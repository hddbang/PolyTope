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Users\hdd\Desktop\annotation_150\"/>
    </mc:Choice>
  </mc:AlternateContent>
  <xr:revisionPtr revIDLastSave="0" documentId="13_ncr:1_{E306D233-1B91-45AD-AA97-B8170EAD5A3B}" xr6:coauthVersionLast="45" xr6:coauthVersionMax="45" xr10:uidLastSave="{00000000-0000-0000-0000-000000000000}"/>
  <bookViews>
    <workbookView xWindow="384" yWindow="384" windowWidth="21252" windowHeight="11184" tabRatio="868" activeTab="4" xr2:uid="{00000000-000D-0000-FFFF-FFFF00000000}"/>
  </bookViews>
  <sheets>
    <sheet name="ScoreCard" sheetId="18" r:id="rId1"/>
    <sheet name="Error Log" sheetId="14" r:id="rId2"/>
    <sheet name="Sheet1" sheetId="22" state="hidden" r:id="rId3"/>
    <sheet name="Scores per segment" sheetId="21" r:id="rId4"/>
    <sheet name="Severity_Matrix" sheetId="19" r:id="rId5"/>
  </sheets>
  <functionGroups builtInGroupCount="19"/>
  <definedNames>
    <definedName name="_xlnm._FilterDatabase" localSheetId="1" hidden="1">'Error Log'!$A$1:$L$404</definedName>
    <definedName name="_xlnm._FilterDatabase" localSheetId="3" hidden="1">'Scores per segment'!$A$1:$J$482</definedName>
    <definedName name="Accuracy">Severity_Matrix!$B$14:$B$18</definedName>
    <definedName name="Addition">Severity_Matrix!$A$26:$A$33</definedName>
    <definedName name="Duplication">Severity_Matrix!$D$41:$D$48</definedName>
    <definedName name="Fluency">Severity_Matrix!$C$14:$C$18</definedName>
    <definedName name="Inaccuracy_external">Severity_Matrix!$D$26:$D$33</definedName>
    <definedName name="Inaccuracy_internal">Severity_Matrix!$C$26:$C$33</definedName>
    <definedName name="Inappropriate_Selection_of_Words">Severity_Matrix!$B$41:$B$48</definedName>
    <definedName name="Issue_Type">Severity_Matrix!$A$14:$A$16</definedName>
    <definedName name="Omission">Severity_Matrix!$B$26:$B$33</definedName>
    <definedName name="Positive_Negative_Aspect">Severity_Matrix!$E$26:$E$33</definedName>
    <definedName name="Spelling">Severity_Matrix!$C$41:$C$48</definedName>
    <definedName name="Word_From">Severity_Matrix!$E$41:$E$48</definedName>
    <definedName name="Word_Order">Severity_Matrix!$A$41:$A$48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J118" i="14" l="1"/>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B17" i="21" l="1"/>
  <c r="C17" i="21"/>
  <c r="B18" i="21"/>
  <c r="C18" i="21"/>
  <c r="B19" i="21"/>
  <c r="C19" i="21"/>
  <c r="B20" i="21"/>
  <c r="C20" i="21"/>
  <c r="B21" i="21"/>
  <c r="C21" i="21"/>
  <c r="B22" i="21"/>
  <c r="C22" i="21"/>
  <c r="B23" i="21"/>
  <c r="C23" i="21"/>
  <c r="B24" i="21"/>
  <c r="C24" i="21"/>
  <c r="B25" i="21"/>
  <c r="C25" i="21"/>
  <c r="B26" i="21"/>
  <c r="C26" i="21"/>
  <c r="B27" i="21"/>
  <c r="C27" i="21"/>
  <c r="B28" i="21"/>
  <c r="C28" i="21"/>
  <c r="B29" i="21"/>
  <c r="C29" i="21"/>
  <c r="B30" i="21"/>
  <c r="C30" i="21"/>
  <c r="B31" i="21"/>
  <c r="C31" i="21"/>
  <c r="B32" i="21"/>
  <c r="C32" i="21"/>
  <c r="B33" i="21"/>
  <c r="C33" i="21"/>
  <c r="B34" i="21"/>
  <c r="C34" i="21"/>
  <c r="B35" i="21"/>
  <c r="C35" i="21"/>
  <c r="B36" i="21"/>
  <c r="C36" i="21"/>
  <c r="B37" i="21"/>
  <c r="C37" i="21"/>
  <c r="B38" i="21"/>
  <c r="C38" i="21"/>
  <c r="B39" i="21"/>
  <c r="C39" i="21"/>
  <c r="B40" i="21"/>
  <c r="C40" i="21"/>
  <c r="B41" i="21"/>
  <c r="C41" i="21"/>
  <c r="B42" i="21"/>
  <c r="C42" i="21"/>
  <c r="B43" i="21"/>
  <c r="C43" i="21"/>
  <c r="B44" i="21"/>
  <c r="C44" i="21"/>
  <c r="B45" i="21"/>
  <c r="C45" i="21"/>
  <c r="B46" i="21"/>
  <c r="C46" i="21"/>
  <c r="B47" i="21"/>
  <c r="C47" i="21"/>
  <c r="B48" i="21"/>
  <c r="C48" i="21"/>
  <c r="B49" i="21"/>
  <c r="C49" i="21"/>
  <c r="B50" i="21"/>
  <c r="C50" i="21"/>
  <c r="B51" i="21"/>
  <c r="C51" i="21"/>
  <c r="B52" i="21"/>
  <c r="C52" i="21"/>
  <c r="B53" i="21"/>
  <c r="C53" i="21"/>
  <c r="B54" i="21"/>
  <c r="C54" i="21"/>
  <c r="B55" i="21"/>
  <c r="C55" i="21"/>
  <c r="B56" i="21"/>
  <c r="C56" i="21"/>
  <c r="B57" i="21"/>
  <c r="C57" i="21"/>
  <c r="B58" i="21"/>
  <c r="C58" i="21"/>
  <c r="B59" i="21"/>
  <c r="C59" i="21"/>
  <c r="B60" i="21"/>
  <c r="C60" i="21"/>
  <c r="B61" i="21"/>
  <c r="C61" i="21"/>
  <c r="B62" i="21"/>
  <c r="C62" i="21"/>
  <c r="B15" i="21"/>
  <c r="C15" i="21"/>
  <c r="B16" i="21"/>
  <c r="C16" i="21"/>
  <c r="J60" i="14" l="1"/>
  <c r="J54" i="14"/>
  <c r="J55" i="14"/>
  <c r="J56" i="14"/>
  <c r="J57" i="14"/>
  <c r="J58" i="14"/>
  <c r="J48" i="14"/>
  <c r="J49" i="14"/>
  <c r="J50" i="14"/>
  <c r="J51" i="14"/>
  <c r="J47" i="14"/>
  <c r="J62" i="14"/>
  <c r="J63" i="14"/>
  <c r="J64" i="14"/>
  <c r="J65" i="14"/>
  <c r="J66" i="14"/>
  <c r="J67" i="14"/>
  <c r="J68" i="14"/>
  <c r="J115" i="14"/>
  <c r="J116" i="14"/>
  <c r="J117" i="14"/>
  <c r="J108" i="14"/>
  <c r="J109" i="14"/>
  <c r="J110" i="14"/>
  <c r="J112" i="14"/>
  <c r="J113" i="14"/>
  <c r="J114" i="14"/>
  <c r="J100" i="14"/>
  <c r="J80" i="14"/>
  <c r="J81" i="14"/>
  <c r="J82" i="14"/>
  <c r="J83" i="14"/>
  <c r="J84" i="14"/>
  <c r="J85" i="14"/>
  <c r="J72" i="14"/>
  <c r="J73" i="14"/>
  <c r="J70" i="14"/>
  <c r="J71" i="14"/>
  <c r="J45" i="14"/>
  <c r="J46" i="14"/>
  <c r="J104" i="14"/>
  <c r="J105" i="14"/>
  <c r="J43" i="14"/>
  <c r="J44" i="14"/>
  <c r="J52" i="14"/>
  <c r="J53" i="14"/>
  <c r="J59" i="14"/>
  <c r="J61" i="14"/>
  <c r="J69" i="14"/>
  <c r="J74" i="14"/>
  <c r="J75" i="14"/>
  <c r="J76" i="14"/>
  <c r="J77" i="14"/>
  <c r="J78" i="14"/>
  <c r="J79" i="14"/>
  <c r="J86" i="14"/>
  <c r="J87" i="14"/>
  <c r="J88" i="14"/>
  <c r="J89" i="14"/>
  <c r="J90" i="14"/>
  <c r="J91" i="14"/>
  <c r="J92" i="14"/>
  <c r="J93" i="14"/>
  <c r="J94" i="14"/>
  <c r="J95" i="14"/>
  <c r="J96" i="14"/>
  <c r="J97" i="14"/>
  <c r="J98" i="14"/>
  <c r="J99" i="14"/>
  <c r="J101" i="14"/>
  <c r="J102" i="14"/>
  <c r="J103" i="14"/>
  <c r="J106" i="14"/>
  <c r="J107" i="14"/>
  <c r="J111" i="14"/>
  <c r="J3" i="14" l="1"/>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2" i="14"/>
  <c r="H31" i="18" l="1"/>
  <c r="I35" i="18" l="1"/>
  <c r="I34" i="18"/>
  <c r="I33" i="18"/>
  <c r="H35" i="18"/>
  <c r="H34" i="18"/>
  <c r="H33" i="18"/>
  <c r="I32" i="18"/>
  <c r="H32" i="18"/>
  <c r="I31" i="18"/>
  <c r="I30" i="18"/>
  <c r="H30" i="18"/>
  <c r="H29" i="18"/>
  <c r="I29" i="18"/>
  <c r="I28" i="18"/>
  <c r="H28" i="18"/>
  <c r="D28" i="18"/>
  <c r="D31" i="18"/>
  <c r="E31" i="18"/>
  <c r="F31" i="18"/>
  <c r="G31" i="18"/>
  <c r="J31" i="18"/>
  <c r="K31" i="18"/>
  <c r="H2" i="21"/>
  <c r="I2" i="21"/>
  <c r="H3" i="21"/>
  <c r="I3" i="21"/>
  <c r="H4" i="21"/>
  <c r="I4" i="21"/>
  <c r="H5" i="21"/>
  <c r="I5" i="21"/>
  <c r="H6" i="21"/>
  <c r="I6" i="21"/>
  <c r="H7" i="21"/>
  <c r="I7" i="21"/>
  <c r="H8" i="21"/>
  <c r="I8" i="21"/>
  <c r="H9" i="21"/>
  <c r="I9" i="21"/>
  <c r="H10" i="21"/>
  <c r="I10" i="21"/>
  <c r="H11" i="21"/>
  <c r="I11" i="21"/>
  <c r="H12" i="21"/>
  <c r="I12" i="21"/>
  <c r="H13" i="21"/>
  <c r="I13" i="21"/>
  <c r="H14" i="21"/>
  <c r="I14" i="21"/>
  <c r="H15" i="21"/>
  <c r="I15" i="21"/>
  <c r="H16" i="21"/>
  <c r="I16" i="21"/>
  <c r="H17" i="21"/>
  <c r="I17" i="21"/>
  <c r="H18" i="21"/>
  <c r="I18" i="21"/>
  <c r="H19" i="21"/>
  <c r="I19" i="21"/>
  <c r="H20" i="21"/>
  <c r="I20" i="21"/>
  <c r="H21" i="21"/>
  <c r="I21" i="21"/>
  <c r="H22" i="21"/>
  <c r="I22" i="21"/>
  <c r="H23" i="21"/>
  <c r="I23" i="21"/>
  <c r="H24" i="21"/>
  <c r="I24" i="21"/>
  <c r="H25" i="21"/>
  <c r="I25" i="21"/>
  <c r="H26" i="21"/>
  <c r="I26" i="21"/>
  <c r="H27" i="21"/>
  <c r="I27" i="21"/>
  <c r="H28" i="21"/>
  <c r="I28" i="21"/>
  <c r="H29" i="21"/>
  <c r="I29" i="21"/>
  <c r="H30" i="21"/>
  <c r="I30" i="21"/>
  <c r="H31" i="21"/>
  <c r="I31" i="21"/>
  <c r="H32" i="21"/>
  <c r="I32" i="21"/>
  <c r="H33" i="21"/>
  <c r="I33" i="21"/>
  <c r="H34" i="21"/>
  <c r="I34" i="21"/>
  <c r="H35" i="21"/>
  <c r="I35" i="21"/>
  <c r="H36" i="21"/>
  <c r="I36" i="21"/>
  <c r="H37" i="21"/>
  <c r="I37" i="21"/>
  <c r="H38" i="21"/>
  <c r="I38" i="21"/>
  <c r="H39" i="21"/>
  <c r="I39" i="21"/>
  <c r="H40" i="21"/>
  <c r="I40" i="21"/>
  <c r="H41" i="21"/>
  <c r="I41" i="21"/>
  <c r="H42" i="21"/>
  <c r="I42" i="21"/>
  <c r="H43" i="21"/>
  <c r="I43" i="21"/>
  <c r="H44" i="21"/>
  <c r="I44" i="21"/>
  <c r="H45" i="21"/>
  <c r="I45" i="21"/>
  <c r="H46" i="21"/>
  <c r="I46" i="21"/>
  <c r="H47" i="21"/>
  <c r="I47" i="21"/>
  <c r="H48" i="21"/>
  <c r="I48" i="21"/>
  <c r="H49" i="21"/>
  <c r="I49" i="21"/>
  <c r="H50" i="21"/>
  <c r="I50" i="21"/>
  <c r="H51" i="21"/>
  <c r="I51" i="21"/>
  <c r="H52" i="21"/>
  <c r="I52" i="21"/>
  <c r="H53" i="21"/>
  <c r="I53" i="21"/>
  <c r="H54" i="21"/>
  <c r="I54" i="21"/>
  <c r="H55" i="21"/>
  <c r="I55" i="21"/>
  <c r="H56" i="21"/>
  <c r="I56" i="21"/>
  <c r="H57" i="21"/>
  <c r="I57" i="21"/>
  <c r="H58" i="21"/>
  <c r="I58" i="21"/>
  <c r="H59" i="21"/>
  <c r="I59" i="21"/>
  <c r="H60" i="21"/>
  <c r="I60" i="21"/>
  <c r="H61" i="21"/>
  <c r="I61" i="21"/>
  <c r="H62" i="21"/>
  <c r="I62" i="21"/>
  <c r="H63" i="21"/>
  <c r="I63" i="21"/>
  <c r="H64" i="21"/>
  <c r="I64" i="21"/>
  <c r="H65" i="21"/>
  <c r="I65" i="21"/>
  <c r="H66" i="21"/>
  <c r="I66" i="21"/>
  <c r="H67" i="21"/>
  <c r="I67" i="21"/>
  <c r="H68" i="21"/>
  <c r="I68" i="21"/>
  <c r="H69" i="21"/>
  <c r="I69" i="21"/>
  <c r="H70" i="21"/>
  <c r="I70" i="21"/>
  <c r="H71" i="21"/>
  <c r="I71" i="21"/>
  <c r="H72" i="21"/>
  <c r="I72" i="21"/>
  <c r="H73" i="21"/>
  <c r="I73" i="21"/>
  <c r="H74" i="21"/>
  <c r="I74" i="21"/>
  <c r="H75" i="21"/>
  <c r="I75" i="21"/>
  <c r="H76" i="21"/>
  <c r="I76" i="21"/>
  <c r="H77" i="21"/>
  <c r="I77" i="21"/>
  <c r="H78" i="21"/>
  <c r="I78" i="21"/>
  <c r="H79" i="21"/>
  <c r="I79" i="21"/>
  <c r="H80" i="21"/>
  <c r="I80" i="21"/>
  <c r="H81" i="21"/>
  <c r="I81" i="21"/>
  <c r="H82" i="21"/>
  <c r="I82" i="21"/>
  <c r="H83" i="21"/>
  <c r="I83" i="21"/>
  <c r="H84" i="21"/>
  <c r="I84" i="21"/>
  <c r="H85" i="21"/>
  <c r="I85" i="21"/>
  <c r="H86" i="21"/>
  <c r="I86" i="21"/>
  <c r="H87" i="21"/>
  <c r="I87" i="21"/>
  <c r="H88" i="21"/>
  <c r="I88" i="21"/>
  <c r="H89" i="21"/>
  <c r="I89" i="21"/>
  <c r="H90" i="21"/>
  <c r="I90" i="21"/>
  <c r="H91" i="21"/>
  <c r="I91" i="21"/>
  <c r="H92" i="21"/>
  <c r="I92" i="21"/>
  <c r="H93" i="21"/>
  <c r="I93" i="21"/>
  <c r="H94" i="21"/>
  <c r="I94" i="21"/>
  <c r="H95" i="21"/>
  <c r="I95" i="21"/>
  <c r="H96" i="21"/>
  <c r="I96" i="21"/>
  <c r="H97" i="21"/>
  <c r="I97" i="21"/>
  <c r="H98" i="21"/>
  <c r="I98" i="21"/>
  <c r="H99" i="21"/>
  <c r="I99" i="21"/>
  <c r="H100" i="21"/>
  <c r="I100" i="21"/>
  <c r="H101" i="21"/>
  <c r="I101" i="21"/>
  <c r="H102" i="21"/>
  <c r="I102" i="21"/>
  <c r="H103" i="21"/>
  <c r="I103" i="21"/>
  <c r="H104" i="21"/>
  <c r="I104" i="21"/>
  <c r="H105" i="21"/>
  <c r="I105" i="21"/>
  <c r="H106" i="21"/>
  <c r="I106" i="21"/>
  <c r="H107" i="21"/>
  <c r="I107" i="21"/>
  <c r="H108" i="21"/>
  <c r="I108" i="21"/>
  <c r="H109" i="21"/>
  <c r="I109" i="21"/>
  <c r="H110" i="21"/>
  <c r="I110" i="21"/>
  <c r="H111" i="21"/>
  <c r="I111" i="21"/>
  <c r="H112" i="21"/>
  <c r="I112" i="21"/>
  <c r="H113" i="21"/>
  <c r="I113" i="21"/>
  <c r="H114" i="21"/>
  <c r="I114" i="21"/>
  <c r="H115" i="21"/>
  <c r="I115" i="21"/>
  <c r="H116" i="21"/>
  <c r="I116" i="21"/>
  <c r="H117" i="21"/>
  <c r="I117" i="21"/>
  <c r="H118" i="21"/>
  <c r="I118" i="21"/>
  <c r="H119" i="21"/>
  <c r="I119" i="21"/>
  <c r="H120" i="21"/>
  <c r="I120" i="21"/>
  <c r="H121" i="21"/>
  <c r="I121" i="21"/>
  <c r="H122" i="21"/>
  <c r="I122" i="21"/>
  <c r="H123" i="21"/>
  <c r="I123" i="21"/>
  <c r="H124" i="21"/>
  <c r="I124" i="21"/>
  <c r="H125" i="21"/>
  <c r="I125" i="21"/>
  <c r="H126" i="21"/>
  <c r="I126" i="21"/>
  <c r="H127" i="21"/>
  <c r="I127" i="21"/>
  <c r="H128" i="21"/>
  <c r="I128" i="21"/>
  <c r="H129" i="21"/>
  <c r="I129" i="21"/>
  <c r="H130" i="21"/>
  <c r="I130" i="21"/>
  <c r="H131" i="21"/>
  <c r="I131" i="21"/>
  <c r="H132" i="21"/>
  <c r="I132" i="21"/>
  <c r="H133" i="21"/>
  <c r="I133" i="21"/>
  <c r="H134" i="21"/>
  <c r="I134" i="21"/>
  <c r="H135" i="21"/>
  <c r="I135" i="21"/>
  <c r="H136" i="21"/>
  <c r="I136" i="21"/>
  <c r="H137" i="21"/>
  <c r="I137" i="21"/>
  <c r="H138" i="21"/>
  <c r="I138" i="21"/>
  <c r="H139" i="21"/>
  <c r="I139" i="21"/>
  <c r="H140" i="21"/>
  <c r="I140" i="21"/>
  <c r="H141" i="21"/>
  <c r="I141" i="21"/>
  <c r="H142" i="21"/>
  <c r="I142" i="21"/>
  <c r="H143" i="21"/>
  <c r="I143" i="21"/>
  <c r="H144" i="21"/>
  <c r="I144" i="21"/>
  <c r="H145" i="21"/>
  <c r="I145" i="21"/>
  <c r="H146" i="21"/>
  <c r="I146" i="21"/>
  <c r="H147" i="21"/>
  <c r="I147" i="21"/>
  <c r="H148" i="21"/>
  <c r="I148" i="21"/>
  <c r="H149" i="21"/>
  <c r="I149" i="21"/>
  <c r="H150" i="21"/>
  <c r="I150" i="21"/>
  <c r="H151" i="21"/>
  <c r="I151" i="21"/>
  <c r="H152" i="21"/>
  <c r="I152" i="21"/>
  <c r="H153" i="21"/>
  <c r="I153" i="21"/>
  <c r="H154" i="21"/>
  <c r="I154" i="21"/>
  <c r="H155" i="21"/>
  <c r="I155" i="21"/>
  <c r="H156" i="21"/>
  <c r="I156" i="21"/>
  <c r="H157" i="21"/>
  <c r="I157" i="21"/>
  <c r="H158" i="21"/>
  <c r="I158" i="21"/>
  <c r="H159" i="21"/>
  <c r="I159" i="21"/>
  <c r="H160" i="21"/>
  <c r="I160" i="21"/>
  <c r="H161" i="21"/>
  <c r="I161" i="21"/>
  <c r="H162" i="21"/>
  <c r="I162" i="21"/>
  <c r="H163" i="21"/>
  <c r="I163" i="21"/>
  <c r="H164" i="21"/>
  <c r="I164" i="21"/>
  <c r="H165" i="21"/>
  <c r="I165" i="21"/>
  <c r="H166" i="21"/>
  <c r="I166" i="21"/>
  <c r="H167" i="21"/>
  <c r="I167" i="21"/>
  <c r="H168" i="21"/>
  <c r="I168" i="21"/>
  <c r="H169" i="21"/>
  <c r="I169" i="21"/>
  <c r="H170" i="21"/>
  <c r="I170" i="21"/>
  <c r="H171" i="21"/>
  <c r="I171" i="21"/>
  <c r="H172" i="21"/>
  <c r="I172" i="21"/>
  <c r="H173" i="21"/>
  <c r="I173" i="21"/>
  <c r="H174" i="21"/>
  <c r="I174" i="21"/>
  <c r="H175" i="21"/>
  <c r="I175" i="21"/>
  <c r="H176" i="21"/>
  <c r="I176" i="21"/>
  <c r="H177" i="21"/>
  <c r="I177" i="21"/>
  <c r="H178" i="21"/>
  <c r="I178" i="21"/>
  <c r="H179" i="21"/>
  <c r="I179" i="21"/>
  <c r="H180" i="21"/>
  <c r="I180" i="21"/>
  <c r="H181" i="21"/>
  <c r="I181" i="21"/>
  <c r="H182" i="21"/>
  <c r="I182" i="21"/>
  <c r="H183" i="21"/>
  <c r="I183" i="21"/>
  <c r="H184" i="21"/>
  <c r="I184" i="21"/>
  <c r="H185" i="21"/>
  <c r="I185" i="21"/>
  <c r="H186" i="21"/>
  <c r="I186" i="21"/>
  <c r="H187" i="21"/>
  <c r="I187" i="21"/>
  <c r="H188" i="21"/>
  <c r="I188" i="21"/>
  <c r="H189" i="21"/>
  <c r="I189" i="21"/>
  <c r="H190" i="21"/>
  <c r="I190" i="21"/>
  <c r="H191" i="21"/>
  <c r="I191" i="21"/>
  <c r="H192" i="21"/>
  <c r="I192" i="21"/>
  <c r="H193" i="21"/>
  <c r="I193" i="21"/>
  <c r="H194" i="21"/>
  <c r="I194" i="21"/>
  <c r="H195" i="21"/>
  <c r="I195" i="21"/>
  <c r="H196" i="21"/>
  <c r="I196" i="21"/>
  <c r="H197" i="21"/>
  <c r="I197" i="21"/>
  <c r="H198" i="21"/>
  <c r="I198" i="21"/>
  <c r="H199" i="21"/>
  <c r="I199" i="21"/>
  <c r="H200" i="21"/>
  <c r="I200" i="21"/>
  <c r="H201" i="21"/>
  <c r="I201" i="21"/>
  <c r="H202" i="21"/>
  <c r="I202" i="21"/>
  <c r="H203" i="21"/>
  <c r="I203" i="21"/>
  <c r="H204" i="21"/>
  <c r="I204" i="21"/>
  <c r="H205" i="21"/>
  <c r="I205" i="21"/>
  <c r="H206" i="21"/>
  <c r="I206" i="21"/>
  <c r="H207" i="21"/>
  <c r="I207" i="21"/>
  <c r="H208" i="21"/>
  <c r="I208" i="21"/>
  <c r="H209" i="21"/>
  <c r="I209" i="21"/>
  <c r="H210" i="21"/>
  <c r="I210" i="21"/>
  <c r="H211" i="21"/>
  <c r="I211" i="21"/>
  <c r="H212" i="21"/>
  <c r="I212" i="21"/>
  <c r="H213" i="21"/>
  <c r="I213" i="21"/>
  <c r="H214" i="21"/>
  <c r="I214" i="21"/>
  <c r="H215" i="21"/>
  <c r="I215" i="21"/>
  <c r="H216" i="21"/>
  <c r="I216" i="21"/>
  <c r="H217" i="21"/>
  <c r="I217" i="21"/>
  <c r="H218" i="21"/>
  <c r="I218" i="21"/>
  <c r="H219" i="21"/>
  <c r="I219" i="21"/>
  <c r="H220" i="21"/>
  <c r="I220" i="21"/>
  <c r="H221" i="21"/>
  <c r="I221" i="21"/>
  <c r="H222" i="21"/>
  <c r="I222" i="21"/>
  <c r="H223" i="21"/>
  <c r="I223" i="21"/>
  <c r="H224" i="21"/>
  <c r="I224" i="21"/>
  <c r="H225" i="21"/>
  <c r="I225" i="21"/>
  <c r="H226" i="21"/>
  <c r="I226" i="21"/>
  <c r="H227" i="21"/>
  <c r="I227" i="21"/>
  <c r="H228" i="21"/>
  <c r="I228" i="21"/>
  <c r="H229" i="21"/>
  <c r="I229" i="21"/>
  <c r="H230" i="21"/>
  <c r="I230" i="21"/>
  <c r="H231" i="21"/>
  <c r="I231" i="21"/>
  <c r="H232" i="21"/>
  <c r="I232" i="21"/>
  <c r="H233" i="21"/>
  <c r="I233" i="21"/>
  <c r="H234" i="21"/>
  <c r="I234" i="21"/>
  <c r="H235" i="21"/>
  <c r="I235" i="21"/>
  <c r="H236" i="21"/>
  <c r="I236" i="21"/>
  <c r="H237" i="21"/>
  <c r="I237" i="21"/>
  <c r="H238" i="21"/>
  <c r="I238" i="21"/>
  <c r="H239" i="21"/>
  <c r="I239" i="21"/>
  <c r="H240" i="21"/>
  <c r="I240" i="21"/>
  <c r="H241" i="21"/>
  <c r="I241" i="21"/>
  <c r="H242" i="21"/>
  <c r="I242" i="21"/>
  <c r="H243" i="21"/>
  <c r="I243" i="21"/>
  <c r="H244" i="21"/>
  <c r="I244" i="21"/>
  <c r="H245" i="21"/>
  <c r="I245" i="21"/>
  <c r="H246" i="21"/>
  <c r="I246" i="21"/>
  <c r="H247" i="21"/>
  <c r="I247" i="21"/>
  <c r="H248" i="21"/>
  <c r="I248" i="21"/>
  <c r="H249" i="21"/>
  <c r="I249" i="21"/>
  <c r="H250" i="21"/>
  <c r="I250" i="21"/>
  <c r="H251" i="21"/>
  <c r="I251" i="21"/>
  <c r="H252" i="21"/>
  <c r="I252" i="21"/>
  <c r="H253" i="21"/>
  <c r="I253" i="21"/>
  <c r="H254" i="21"/>
  <c r="I254" i="21"/>
  <c r="H255" i="21"/>
  <c r="I255" i="21"/>
  <c r="H256" i="21"/>
  <c r="I256" i="21"/>
  <c r="H257" i="21"/>
  <c r="I257" i="21"/>
  <c r="H258" i="21"/>
  <c r="I258" i="21"/>
  <c r="H259" i="21"/>
  <c r="I259" i="21"/>
  <c r="H260" i="21"/>
  <c r="I260" i="21"/>
  <c r="H261" i="21"/>
  <c r="I261" i="21"/>
  <c r="H262" i="21"/>
  <c r="I262" i="21"/>
  <c r="H263" i="21"/>
  <c r="I263" i="21"/>
  <c r="H264" i="21"/>
  <c r="I264" i="21"/>
  <c r="H265" i="21"/>
  <c r="I265" i="21"/>
  <c r="H266" i="21"/>
  <c r="I266" i="21"/>
  <c r="H267" i="21"/>
  <c r="I267" i="21"/>
  <c r="H268" i="21"/>
  <c r="I268" i="21"/>
  <c r="H269" i="21"/>
  <c r="I269" i="21"/>
  <c r="H270" i="21"/>
  <c r="I270" i="21"/>
  <c r="H271" i="21"/>
  <c r="I271" i="21"/>
  <c r="H272" i="21"/>
  <c r="I272" i="21"/>
  <c r="H273" i="21"/>
  <c r="I273" i="21"/>
  <c r="H274" i="21"/>
  <c r="I274" i="21"/>
  <c r="H275" i="21"/>
  <c r="I275" i="21"/>
  <c r="H276" i="21"/>
  <c r="I276" i="21"/>
  <c r="H277" i="21"/>
  <c r="I277" i="21"/>
  <c r="H278" i="21"/>
  <c r="I278" i="21"/>
  <c r="H279" i="21"/>
  <c r="I279" i="21"/>
  <c r="H280" i="21"/>
  <c r="I280" i="21"/>
  <c r="H281" i="21"/>
  <c r="I281" i="21"/>
  <c r="H282" i="21"/>
  <c r="I282" i="21"/>
  <c r="H283" i="21"/>
  <c r="I283" i="21"/>
  <c r="H284" i="21"/>
  <c r="I284" i="21"/>
  <c r="H285" i="21"/>
  <c r="I285" i="21"/>
  <c r="H286" i="21"/>
  <c r="I286" i="21"/>
  <c r="H287" i="21"/>
  <c r="I287" i="21"/>
  <c r="H288" i="21"/>
  <c r="I288" i="21"/>
  <c r="H289" i="21"/>
  <c r="I289" i="21"/>
  <c r="H290" i="21"/>
  <c r="I290" i="21"/>
  <c r="H291" i="21"/>
  <c r="I291" i="21"/>
  <c r="H292" i="21"/>
  <c r="I292" i="21"/>
  <c r="H293" i="21"/>
  <c r="I293" i="21"/>
  <c r="H294" i="21"/>
  <c r="I294" i="21"/>
  <c r="H295" i="21"/>
  <c r="I295" i="21"/>
  <c r="H296" i="21"/>
  <c r="I296" i="21"/>
  <c r="H297" i="21"/>
  <c r="I297" i="21"/>
  <c r="H298" i="21"/>
  <c r="I298" i="21"/>
  <c r="H299" i="21"/>
  <c r="I299" i="21"/>
  <c r="H300" i="21"/>
  <c r="I300" i="21"/>
  <c r="H301" i="21"/>
  <c r="I301" i="21"/>
  <c r="H302" i="21"/>
  <c r="I302" i="21"/>
  <c r="H303" i="21"/>
  <c r="I303" i="21"/>
  <c r="H304" i="21"/>
  <c r="I304" i="21"/>
  <c r="H305" i="21"/>
  <c r="I305" i="21"/>
  <c r="H306" i="21"/>
  <c r="I306" i="21"/>
  <c r="H307" i="21"/>
  <c r="I307" i="21"/>
  <c r="H308" i="21"/>
  <c r="I308" i="21"/>
  <c r="H309" i="21"/>
  <c r="I309" i="21"/>
  <c r="H310" i="21"/>
  <c r="I310" i="21"/>
  <c r="H311" i="21"/>
  <c r="I311" i="21"/>
  <c r="H312" i="21"/>
  <c r="I312" i="21"/>
  <c r="H313" i="21"/>
  <c r="I313" i="21"/>
  <c r="H314" i="21"/>
  <c r="I314" i="21"/>
  <c r="H315" i="21"/>
  <c r="I315" i="21"/>
  <c r="H316" i="21"/>
  <c r="I316" i="21"/>
  <c r="H317" i="21"/>
  <c r="I317" i="21"/>
  <c r="H318" i="21"/>
  <c r="I318" i="21"/>
  <c r="H319" i="21"/>
  <c r="I319" i="21"/>
  <c r="H320" i="21"/>
  <c r="I320" i="21"/>
  <c r="H321" i="21"/>
  <c r="I321" i="21"/>
  <c r="H322" i="21"/>
  <c r="I322" i="21"/>
  <c r="H323" i="21"/>
  <c r="I323" i="21"/>
  <c r="H324" i="21"/>
  <c r="I324" i="21"/>
  <c r="H325" i="21"/>
  <c r="I325" i="21"/>
  <c r="H326" i="21"/>
  <c r="I326" i="21"/>
  <c r="H327" i="21"/>
  <c r="I327" i="21"/>
  <c r="H328" i="21"/>
  <c r="I328" i="21"/>
  <c r="H329" i="21"/>
  <c r="I329" i="21"/>
  <c r="H330" i="21"/>
  <c r="I330" i="21"/>
  <c r="H331" i="21"/>
  <c r="I331" i="21"/>
  <c r="H332" i="21"/>
  <c r="I332" i="21"/>
  <c r="H333" i="21"/>
  <c r="I333" i="21"/>
  <c r="H334" i="21"/>
  <c r="I334" i="21"/>
  <c r="H335" i="21"/>
  <c r="I335" i="21"/>
  <c r="H336" i="21"/>
  <c r="I336" i="21"/>
  <c r="H337" i="21"/>
  <c r="I337" i="21"/>
  <c r="H338" i="21"/>
  <c r="I338" i="21"/>
  <c r="H339" i="21"/>
  <c r="I339" i="21"/>
  <c r="H340" i="21"/>
  <c r="I340" i="21"/>
  <c r="H341" i="21"/>
  <c r="I341" i="21"/>
  <c r="H342" i="21"/>
  <c r="I342" i="21"/>
  <c r="H343" i="21"/>
  <c r="I343" i="21"/>
  <c r="H344" i="21"/>
  <c r="I344" i="21"/>
  <c r="H345" i="21"/>
  <c r="I345" i="21"/>
  <c r="H346" i="21"/>
  <c r="I346" i="21"/>
  <c r="H347" i="21"/>
  <c r="I347" i="21"/>
  <c r="H348" i="21"/>
  <c r="I348" i="21"/>
  <c r="H349" i="21"/>
  <c r="I349" i="21"/>
  <c r="H350" i="21"/>
  <c r="I350" i="21"/>
  <c r="H351" i="21"/>
  <c r="I351" i="21"/>
  <c r="H352" i="21"/>
  <c r="I352" i="21"/>
  <c r="H353" i="21"/>
  <c r="I353" i="21"/>
  <c r="H354" i="21"/>
  <c r="I354" i="21"/>
  <c r="H355" i="21"/>
  <c r="I355" i="21"/>
  <c r="H356" i="21"/>
  <c r="I356" i="21"/>
  <c r="H357" i="21"/>
  <c r="I357" i="21"/>
  <c r="H358" i="21"/>
  <c r="I358" i="21"/>
  <c r="H359" i="21"/>
  <c r="I359" i="21"/>
  <c r="H360" i="21"/>
  <c r="I360" i="21"/>
  <c r="H361" i="21"/>
  <c r="I361" i="21"/>
  <c r="H362" i="21"/>
  <c r="I362" i="21"/>
  <c r="H363" i="21"/>
  <c r="I363" i="21"/>
  <c r="H364" i="21"/>
  <c r="I364" i="21"/>
  <c r="H365" i="21"/>
  <c r="I365" i="21"/>
  <c r="H366" i="21"/>
  <c r="I366" i="21"/>
  <c r="H367" i="21"/>
  <c r="I367" i="21"/>
  <c r="H368" i="21"/>
  <c r="I368" i="21"/>
  <c r="H369" i="21"/>
  <c r="I369" i="21"/>
  <c r="H370" i="21"/>
  <c r="I370" i="21"/>
  <c r="H371" i="21"/>
  <c r="I371" i="21"/>
  <c r="H372" i="21"/>
  <c r="I372" i="21"/>
  <c r="H373" i="21"/>
  <c r="I373" i="21"/>
  <c r="H374" i="21"/>
  <c r="I374" i="21"/>
  <c r="H375" i="21"/>
  <c r="I375" i="21"/>
  <c r="H376" i="21"/>
  <c r="I376" i="21"/>
  <c r="H377" i="21"/>
  <c r="I377" i="21"/>
  <c r="H378" i="21"/>
  <c r="I378" i="21"/>
  <c r="H379" i="21"/>
  <c r="I379" i="21"/>
  <c r="H380" i="21"/>
  <c r="I380" i="21"/>
  <c r="H381" i="21"/>
  <c r="I381" i="21"/>
  <c r="H382" i="21"/>
  <c r="I382" i="21"/>
  <c r="H383" i="21"/>
  <c r="I383" i="21"/>
  <c r="H384" i="21"/>
  <c r="I384" i="21"/>
  <c r="H385" i="21"/>
  <c r="I385" i="21"/>
  <c r="H386" i="21"/>
  <c r="I386" i="21"/>
  <c r="H387" i="21"/>
  <c r="I387" i="21"/>
  <c r="H388" i="21"/>
  <c r="I388" i="21"/>
  <c r="H389" i="21"/>
  <c r="I389" i="21"/>
  <c r="H390" i="21"/>
  <c r="I390" i="21"/>
  <c r="H391" i="21"/>
  <c r="I391" i="21"/>
  <c r="H392" i="21"/>
  <c r="I392" i="21"/>
  <c r="H393" i="21"/>
  <c r="I393" i="21"/>
  <c r="H394" i="21"/>
  <c r="I394" i="21"/>
  <c r="H395" i="21"/>
  <c r="I395" i="21"/>
  <c r="H396" i="21"/>
  <c r="I396" i="21"/>
  <c r="H397" i="21"/>
  <c r="I397" i="21"/>
  <c r="H398" i="21"/>
  <c r="I398" i="21"/>
  <c r="H399" i="21"/>
  <c r="I399" i="21"/>
  <c r="H400" i="21"/>
  <c r="I400" i="21"/>
  <c r="H401" i="21"/>
  <c r="I401" i="21"/>
  <c r="H402" i="21"/>
  <c r="I402" i="21"/>
  <c r="H403" i="21"/>
  <c r="I403" i="21"/>
  <c r="H404" i="21"/>
  <c r="I404" i="21"/>
  <c r="H405" i="21"/>
  <c r="I405" i="21"/>
  <c r="H406" i="21"/>
  <c r="I406" i="21"/>
  <c r="H407" i="21"/>
  <c r="I407" i="21"/>
  <c r="H408" i="21"/>
  <c r="I408" i="21"/>
  <c r="H409" i="21"/>
  <c r="I409" i="21"/>
  <c r="H410" i="21"/>
  <c r="I410" i="21"/>
  <c r="H411" i="21"/>
  <c r="I411" i="21"/>
  <c r="H412" i="21"/>
  <c r="I412" i="21"/>
  <c r="H413" i="21"/>
  <c r="I413" i="21"/>
  <c r="H414" i="21"/>
  <c r="I414" i="21"/>
  <c r="H415" i="21"/>
  <c r="I415" i="21"/>
  <c r="H416" i="21"/>
  <c r="I416" i="21"/>
  <c r="H417" i="21"/>
  <c r="I417" i="21"/>
  <c r="H418" i="21"/>
  <c r="I418" i="21"/>
  <c r="H419" i="21"/>
  <c r="I419" i="21"/>
  <c r="H420" i="21"/>
  <c r="I420" i="21"/>
  <c r="H421" i="21"/>
  <c r="I421" i="21"/>
  <c r="H422" i="21"/>
  <c r="I422" i="21"/>
  <c r="H423" i="21"/>
  <c r="I423" i="21"/>
  <c r="H424" i="21"/>
  <c r="I424" i="21"/>
  <c r="H425" i="21"/>
  <c r="I425" i="21"/>
  <c r="H426" i="21"/>
  <c r="I426" i="21"/>
  <c r="H427" i="21"/>
  <c r="I427" i="21"/>
  <c r="H428" i="21"/>
  <c r="I428" i="21"/>
  <c r="H429" i="21"/>
  <c r="I429" i="21"/>
  <c r="H430" i="21"/>
  <c r="I430" i="21"/>
  <c r="H431" i="21"/>
  <c r="I431" i="21"/>
  <c r="H432" i="21"/>
  <c r="I432" i="21"/>
  <c r="H433" i="21"/>
  <c r="I433" i="21"/>
  <c r="H434" i="21"/>
  <c r="I434" i="21"/>
  <c r="H435" i="21"/>
  <c r="I435" i="21"/>
  <c r="H436" i="21"/>
  <c r="I436" i="21"/>
  <c r="H437" i="21"/>
  <c r="I437" i="21"/>
  <c r="H438" i="21"/>
  <c r="I438" i="21"/>
  <c r="H439" i="21"/>
  <c r="I439" i="21"/>
  <c r="H440" i="21"/>
  <c r="I440" i="21"/>
  <c r="H441" i="21"/>
  <c r="I441" i="21"/>
  <c r="H442" i="21"/>
  <c r="I442" i="21"/>
  <c r="H443" i="21"/>
  <c r="I443" i="21"/>
  <c r="H444" i="21"/>
  <c r="I444" i="21"/>
  <c r="H445" i="21"/>
  <c r="I445" i="21"/>
  <c r="H446" i="21"/>
  <c r="I446" i="21"/>
  <c r="H447" i="21"/>
  <c r="I447" i="21"/>
  <c r="H448" i="21"/>
  <c r="I448" i="21"/>
  <c r="H449" i="21"/>
  <c r="I449" i="21"/>
  <c r="H450" i="21"/>
  <c r="I450" i="21"/>
  <c r="H451" i="21"/>
  <c r="I451" i="21"/>
  <c r="H452" i="21"/>
  <c r="I452" i="21"/>
  <c r="H453" i="21"/>
  <c r="I453" i="21"/>
  <c r="H454" i="21"/>
  <c r="I454" i="21"/>
  <c r="H455" i="21"/>
  <c r="I455" i="21"/>
  <c r="H456" i="21"/>
  <c r="I456" i="21"/>
  <c r="H457" i="21"/>
  <c r="I457" i="21"/>
  <c r="H458" i="21"/>
  <c r="I458" i="21"/>
  <c r="H459" i="21"/>
  <c r="I459" i="21"/>
  <c r="H460" i="21"/>
  <c r="I460" i="21"/>
  <c r="H461" i="21"/>
  <c r="I461" i="21"/>
  <c r="H462" i="21"/>
  <c r="I462" i="21"/>
  <c r="H463" i="21"/>
  <c r="I463" i="21"/>
  <c r="H464" i="21"/>
  <c r="I464" i="21"/>
  <c r="H465" i="21"/>
  <c r="I465" i="21"/>
  <c r="H466" i="21"/>
  <c r="I466" i="21"/>
  <c r="H467" i="21"/>
  <c r="I467" i="21"/>
  <c r="H468" i="21"/>
  <c r="I468" i="21"/>
  <c r="H469" i="21"/>
  <c r="I469" i="21"/>
  <c r="H470" i="21"/>
  <c r="I470" i="21"/>
  <c r="H471" i="21"/>
  <c r="I471" i="21"/>
  <c r="H472" i="21"/>
  <c r="I472" i="21"/>
  <c r="H473" i="21"/>
  <c r="I473" i="21"/>
  <c r="H474" i="21"/>
  <c r="I474" i="21"/>
  <c r="H475" i="21"/>
  <c r="I475" i="21"/>
  <c r="H476" i="21"/>
  <c r="I476" i="21"/>
  <c r="H477" i="21"/>
  <c r="I477" i="21"/>
  <c r="H478" i="21"/>
  <c r="I478" i="21"/>
  <c r="H479" i="21"/>
  <c r="I479" i="21"/>
  <c r="H480" i="21"/>
  <c r="I480" i="21"/>
  <c r="H481" i="21"/>
  <c r="I481" i="21"/>
  <c r="H482" i="21"/>
  <c r="I482" i="21"/>
  <c r="H483" i="21"/>
  <c r="I483" i="21"/>
  <c r="H484" i="21"/>
  <c r="I484" i="21"/>
  <c r="H485" i="21"/>
  <c r="I485" i="21"/>
  <c r="H486" i="21"/>
  <c r="I486" i="21"/>
  <c r="H487" i="21"/>
  <c r="I487" i="21"/>
  <c r="H488" i="21"/>
  <c r="I488" i="21"/>
  <c r="H489" i="21"/>
  <c r="I489" i="21"/>
  <c r="H490" i="21"/>
  <c r="I490" i="21"/>
  <c r="H491" i="21"/>
  <c r="I491" i="21"/>
  <c r="H492" i="21"/>
  <c r="I492" i="21"/>
  <c r="H493" i="21"/>
  <c r="I493" i="21"/>
  <c r="H494" i="21"/>
  <c r="I494" i="21"/>
  <c r="H495" i="21"/>
  <c r="I495" i="21"/>
  <c r="H496" i="21"/>
  <c r="I496" i="21"/>
  <c r="L31" i="18" l="1"/>
  <c r="C5" i="21"/>
  <c r="B3" i="21"/>
  <c r="E28" i="21"/>
  <c r="F28" i="21"/>
  <c r="G28" i="21"/>
  <c r="E29" i="21"/>
  <c r="F29" i="21"/>
  <c r="G29" i="21"/>
  <c r="E30" i="21"/>
  <c r="F30" i="21"/>
  <c r="G30" i="21"/>
  <c r="E31" i="21"/>
  <c r="F31" i="21"/>
  <c r="G31" i="21"/>
  <c r="E32" i="21"/>
  <c r="F32" i="21"/>
  <c r="G32" i="21"/>
  <c r="E33" i="21"/>
  <c r="F33" i="21"/>
  <c r="G33" i="21"/>
  <c r="E34" i="21"/>
  <c r="F34" i="21"/>
  <c r="G34" i="21"/>
  <c r="E35" i="21"/>
  <c r="F35" i="21"/>
  <c r="G35" i="21"/>
  <c r="E36" i="21"/>
  <c r="F36" i="21"/>
  <c r="G36" i="21"/>
  <c r="E37" i="21"/>
  <c r="F37" i="21"/>
  <c r="G37" i="21"/>
  <c r="E38" i="21"/>
  <c r="F38" i="21"/>
  <c r="G38" i="21"/>
  <c r="E39" i="21"/>
  <c r="F39" i="21"/>
  <c r="G39" i="21"/>
  <c r="E40" i="21"/>
  <c r="F40" i="21"/>
  <c r="G40" i="21"/>
  <c r="E41" i="21"/>
  <c r="F41" i="21"/>
  <c r="G41" i="21"/>
  <c r="E42" i="21"/>
  <c r="F42" i="21"/>
  <c r="G42" i="21"/>
  <c r="E43" i="21"/>
  <c r="F43" i="21"/>
  <c r="G43" i="21"/>
  <c r="E44" i="21"/>
  <c r="F44" i="21"/>
  <c r="G44" i="21"/>
  <c r="E45" i="21"/>
  <c r="F45" i="21"/>
  <c r="G45" i="21"/>
  <c r="E46" i="21"/>
  <c r="F46" i="21"/>
  <c r="G46" i="21"/>
  <c r="E47" i="21"/>
  <c r="F47" i="21"/>
  <c r="G47" i="21"/>
  <c r="E48" i="21"/>
  <c r="F48" i="21"/>
  <c r="G48" i="21"/>
  <c r="E49" i="21"/>
  <c r="F49" i="21"/>
  <c r="G49" i="21"/>
  <c r="E50" i="21"/>
  <c r="F50" i="21"/>
  <c r="G50" i="21"/>
  <c r="E51" i="21"/>
  <c r="F51" i="21"/>
  <c r="G51" i="21"/>
  <c r="E52" i="21"/>
  <c r="F52" i="21"/>
  <c r="G52" i="21"/>
  <c r="E53" i="21"/>
  <c r="F53" i="21"/>
  <c r="G53" i="21"/>
  <c r="E54" i="21"/>
  <c r="F54" i="21"/>
  <c r="G54" i="21"/>
  <c r="E55" i="21"/>
  <c r="F55" i="21"/>
  <c r="G55" i="21"/>
  <c r="E56" i="21"/>
  <c r="F56" i="21"/>
  <c r="G56" i="21"/>
  <c r="E57" i="21"/>
  <c r="F57" i="21"/>
  <c r="G57" i="21"/>
  <c r="E58" i="21"/>
  <c r="F58" i="21"/>
  <c r="G58" i="21"/>
  <c r="E59" i="21"/>
  <c r="F59" i="21"/>
  <c r="G59" i="21"/>
  <c r="E60" i="21"/>
  <c r="F60" i="21"/>
  <c r="G60" i="21"/>
  <c r="E61" i="21"/>
  <c r="F61" i="21"/>
  <c r="G61" i="21"/>
  <c r="E62" i="21"/>
  <c r="F62" i="21"/>
  <c r="G62" i="21"/>
  <c r="B63" i="21"/>
  <c r="C63" i="21"/>
  <c r="E63" i="21"/>
  <c r="F63" i="21"/>
  <c r="G63" i="21"/>
  <c r="B64" i="21"/>
  <c r="C64" i="21"/>
  <c r="E64" i="21"/>
  <c r="F64" i="21"/>
  <c r="G64" i="21"/>
  <c r="B65" i="21"/>
  <c r="C65" i="21"/>
  <c r="E65" i="21"/>
  <c r="F65" i="21"/>
  <c r="G65" i="21"/>
  <c r="B66" i="21"/>
  <c r="C66" i="21"/>
  <c r="E66" i="21"/>
  <c r="F66" i="21"/>
  <c r="G66" i="21"/>
  <c r="B67" i="21"/>
  <c r="C67" i="21"/>
  <c r="E67" i="21"/>
  <c r="F67" i="21"/>
  <c r="G67" i="21"/>
  <c r="B68" i="21"/>
  <c r="C68" i="21"/>
  <c r="E68" i="21"/>
  <c r="F68" i="21"/>
  <c r="G68" i="21"/>
  <c r="B69" i="21"/>
  <c r="C69" i="21"/>
  <c r="E69" i="21"/>
  <c r="F69" i="21"/>
  <c r="G69" i="21"/>
  <c r="B70" i="21"/>
  <c r="C70" i="21"/>
  <c r="E70" i="21"/>
  <c r="F70" i="21"/>
  <c r="G70" i="21"/>
  <c r="B71" i="21"/>
  <c r="C71" i="21"/>
  <c r="E71" i="21"/>
  <c r="F71" i="21"/>
  <c r="G71" i="21"/>
  <c r="B72" i="21"/>
  <c r="C72" i="21"/>
  <c r="E72" i="21"/>
  <c r="F72" i="21"/>
  <c r="G72" i="21"/>
  <c r="B73" i="21"/>
  <c r="C73" i="21"/>
  <c r="E73" i="21"/>
  <c r="F73" i="21"/>
  <c r="G73" i="21"/>
  <c r="B74" i="21"/>
  <c r="C74" i="21"/>
  <c r="E74" i="21"/>
  <c r="F74" i="21"/>
  <c r="G74" i="21"/>
  <c r="B75" i="21"/>
  <c r="C75" i="21"/>
  <c r="E75" i="21"/>
  <c r="F75" i="21"/>
  <c r="G75" i="21"/>
  <c r="B76" i="21"/>
  <c r="C76" i="21"/>
  <c r="E76" i="21"/>
  <c r="F76" i="21"/>
  <c r="G76" i="21"/>
  <c r="B77" i="21"/>
  <c r="C77" i="21"/>
  <c r="E77" i="21"/>
  <c r="F77" i="21"/>
  <c r="G77" i="21"/>
  <c r="B78" i="21"/>
  <c r="C78" i="21"/>
  <c r="E78" i="21"/>
  <c r="F78" i="21"/>
  <c r="G78" i="21"/>
  <c r="B79" i="21"/>
  <c r="C79" i="21"/>
  <c r="E79" i="21"/>
  <c r="F79" i="21"/>
  <c r="G79" i="21"/>
  <c r="B80" i="21"/>
  <c r="C80" i="21"/>
  <c r="E80" i="21"/>
  <c r="F80" i="21"/>
  <c r="G80" i="21"/>
  <c r="B81" i="21"/>
  <c r="C81" i="21"/>
  <c r="E81" i="21"/>
  <c r="F81" i="21"/>
  <c r="G81" i="21"/>
  <c r="B82" i="21"/>
  <c r="C82" i="21"/>
  <c r="E82" i="21"/>
  <c r="F82" i="21"/>
  <c r="G82" i="21"/>
  <c r="B83" i="21"/>
  <c r="C83" i="21"/>
  <c r="E83" i="21"/>
  <c r="F83" i="21"/>
  <c r="G83" i="21"/>
  <c r="B84" i="21"/>
  <c r="C84" i="21"/>
  <c r="E84" i="21"/>
  <c r="F84" i="21"/>
  <c r="G84" i="21"/>
  <c r="B85" i="21"/>
  <c r="C85" i="21"/>
  <c r="E85" i="21"/>
  <c r="F85" i="21"/>
  <c r="G85" i="21"/>
  <c r="B86" i="21"/>
  <c r="C86" i="21"/>
  <c r="E86" i="21"/>
  <c r="F86" i="21"/>
  <c r="G86" i="21"/>
  <c r="B87" i="21"/>
  <c r="C87" i="21"/>
  <c r="E87" i="21"/>
  <c r="F87" i="21"/>
  <c r="G87" i="21"/>
  <c r="B88" i="21"/>
  <c r="C88" i="21"/>
  <c r="E88" i="21"/>
  <c r="F88" i="21"/>
  <c r="G88" i="21"/>
  <c r="B89" i="21"/>
  <c r="C89" i="21"/>
  <c r="E89" i="21"/>
  <c r="F89" i="21"/>
  <c r="G89" i="21"/>
  <c r="B90" i="21"/>
  <c r="C90" i="21"/>
  <c r="E90" i="21"/>
  <c r="F90" i="21"/>
  <c r="G90" i="21"/>
  <c r="B91" i="21"/>
  <c r="C91" i="21"/>
  <c r="E91" i="21"/>
  <c r="F91" i="21"/>
  <c r="G91" i="21"/>
  <c r="B92" i="21"/>
  <c r="C92" i="21"/>
  <c r="E92" i="21"/>
  <c r="F92" i="21"/>
  <c r="G92" i="21"/>
  <c r="B93" i="21"/>
  <c r="C93" i="21"/>
  <c r="E93" i="21"/>
  <c r="F93" i="21"/>
  <c r="G93" i="21"/>
  <c r="B94" i="21"/>
  <c r="C94" i="21"/>
  <c r="E94" i="21"/>
  <c r="F94" i="21"/>
  <c r="G94" i="21"/>
  <c r="B95" i="21"/>
  <c r="C95" i="21"/>
  <c r="E95" i="21"/>
  <c r="F95" i="21"/>
  <c r="G95" i="21"/>
  <c r="B96" i="21"/>
  <c r="C96" i="21"/>
  <c r="E96" i="21"/>
  <c r="F96" i="21"/>
  <c r="G96" i="21"/>
  <c r="B97" i="21"/>
  <c r="C97" i="21"/>
  <c r="E97" i="21"/>
  <c r="F97" i="21"/>
  <c r="G97" i="21"/>
  <c r="B98" i="21"/>
  <c r="C98" i="21"/>
  <c r="E98" i="21"/>
  <c r="F98" i="21"/>
  <c r="G98" i="21"/>
  <c r="B99" i="21"/>
  <c r="C99" i="21"/>
  <c r="E99" i="21"/>
  <c r="F99" i="21"/>
  <c r="G99" i="21"/>
  <c r="B100" i="21"/>
  <c r="C100" i="21"/>
  <c r="E100" i="21"/>
  <c r="F100" i="21"/>
  <c r="G100" i="21"/>
  <c r="B101" i="21"/>
  <c r="C101" i="21"/>
  <c r="E101" i="21"/>
  <c r="F101" i="21"/>
  <c r="G101" i="21"/>
  <c r="B102" i="21"/>
  <c r="C102" i="21"/>
  <c r="E102" i="21"/>
  <c r="F102" i="21"/>
  <c r="G102" i="21"/>
  <c r="B103" i="21"/>
  <c r="C103" i="21"/>
  <c r="E103" i="21"/>
  <c r="F103" i="21"/>
  <c r="G103" i="21"/>
  <c r="B104" i="21"/>
  <c r="C104" i="21"/>
  <c r="E104" i="21"/>
  <c r="F104" i="21"/>
  <c r="G104" i="21"/>
  <c r="B105" i="21"/>
  <c r="C105" i="21"/>
  <c r="E105" i="21"/>
  <c r="F105" i="21"/>
  <c r="G105" i="21"/>
  <c r="B106" i="21"/>
  <c r="C106" i="21"/>
  <c r="E106" i="21"/>
  <c r="F106" i="21"/>
  <c r="G106" i="21"/>
  <c r="B107" i="21"/>
  <c r="C107" i="21"/>
  <c r="E107" i="21"/>
  <c r="F107" i="21"/>
  <c r="G107" i="21"/>
  <c r="B108" i="21"/>
  <c r="C108" i="21"/>
  <c r="E108" i="21"/>
  <c r="F108" i="21"/>
  <c r="G108" i="21"/>
  <c r="B109" i="21"/>
  <c r="C109" i="21"/>
  <c r="E109" i="21"/>
  <c r="F109" i="21"/>
  <c r="G109" i="21"/>
  <c r="B110" i="21"/>
  <c r="C110" i="21"/>
  <c r="E110" i="21"/>
  <c r="F110" i="21"/>
  <c r="G110" i="21"/>
  <c r="B111" i="21"/>
  <c r="C111" i="21"/>
  <c r="E111" i="21"/>
  <c r="F111" i="21"/>
  <c r="G111" i="21"/>
  <c r="B112" i="21"/>
  <c r="C112" i="21"/>
  <c r="E112" i="21"/>
  <c r="F112" i="21"/>
  <c r="G112" i="21"/>
  <c r="B113" i="21"/>
  <c r="C113" i="21"/>
  <c r="E113" i="21"/>
  <c r="F113" i="21"/>
  <c r="G113" i="21"/>
  <c r="B114" i="21"/>
  <c r="C114" i="21"/>
  <c r="E114" i="21"/>
  <c r="F114" i="21"/>
  <c r="G114" i="21"/>
  <c r="B115" i="21"/>
  <c r="C115" i="21"/>
  <c r="E115" i="21"/>
  <c r="F115" i="21"/>
  <c r="G115" i="21"/>
  <c r="B116" i="21"/>
  <c r="C116" i="21"/>
  <c r="E116" i="21"/>
  <c r="F116" i="21"/>
  <c r="G116" i="21"/>
  <c r="B117" i="21"/>
  <c r="C117" i="21"/>
  <c r="E117" i="21"/>
  <c r="F117" i="21"/>
  <c r="G117" i="21"/>
  <c r="B118" i="21"/>
  <c r="C118" i="21"/>
  <c r="E118" i="21"/>
  <c r="F118" i="21"/>
  <c r="G118" i="21"/>
  <c r="B119" i="21"/>
  <c r="C119" i="21"/>
  <c r="E119" i="21"/>
  <c r="F119" i="21"/>
  <c r="G119" i="21"/>
  <c r="B120" i="21"/>
  <c r="C120" i="21"/>
  <c r="E120" i="21"/>
  <c r="F120" i="21"/>
  <c r="G120" i="21"/>
  <c r="B121" i="21"/>
  <c r="C121" i="21"/>
  <c r="E121" i="21"/>
  <c r="F121" i="21"/>
  <c r="G121" i="21"/>
  <c r="B122" i="21"/>
  <c r="C122" i="21"/>
  <c r="E122" i="21"/>
  <c r="F122" i="21"/>
  <c r="G122" i="21"/>
  <c r="B123" i="21"/>
  <c r="C123" i="21"/>
  <c r="E123" i="21"/>
  <c r="F123" i="21"/>
  <c r="G123" i="21"/>
  <c r="B124" i="21"/>
  <c r="C124" i="21"/>
  <c r="E124" i="21"/>
  <c r="F124" i="21"/>
  <c r="G124" i="21"/>
  <c r="B125" i="21"/>
  <c r="C125" i="21"/>
  <c r="E125" i="21"/>
  <c r="F125" i="21"/>
  <c r="G125" i="21"/>
  <c r="B126" i="21"/>
  <c r="C126" i="21"/>
  <c r="E126" i="21"/>
  <c r="F126" i="21"/>
  <c r="G126" i="21"/>
  <c r="B127" i="21"/>
  <c r="C127" i="21"/>
  <c r="E127" i="21"/>
  <c r="F127" i="21"/>
  <c r="G127" i="21"/>
  <c r="B128" i="21"/>
  <c r="C128" i="21"/>
  <c r="E128" i="21"/>
  <c r="F128" i="21"/>
  <c r="G128" i="21"/>
  <c r="B129" i="21"/>
  <c r="C129" i="21"/>
  <c r="E129" i="21"/>
  <c r="F129" i="21"/>
  <c r="G129" i="21"/>
  <c r="B130" i="21"/>
  <c r="C130" i="21"/>
  <c r="E130" i="21"/>
  <c r="F130" i="21"/>
  <c r="G130" i="21"/>
  <c r="B131" i="21"/>
  <c r="C131" i="21"/>
  <c r="E131" i="21"/>
  <c r="F131" i="21"/>
  <c r="G131" i="21"/>
  <c r="B132" i="21"/>
  <c r="C132" i="21"/>
  <c r="E132" i="21"/>
  <c r="F132" i="21"/>
  <c r="G132" i="21"/>
  <c r="B133" i="21"/>
  <c r="C133" i="21"/>
  <c r="E133" i="21"/>
  <c r="F133" i="21"/>
  <c r="G133" i="21"/>
  <c r="B134" i="21"/>
  <c r="C134" i="21"/>
  <c r="E134" i="21"/>
  <c r="F134" i="21"/>
  <c r="G134" i="21"/>
  <c r="B135" i="21"/>
  <c r="C135" i="21"/>
  <c r="E135" i="21"/>
  <c r="F135" i="21"/>
  <c r="G135" i="21"/>
  <c r="B136" i="21"/>
  <c r="C136" i="21"/>
  <c r="E136" i="21"/>
  <c r="F136" i="21"/>
  <c r="G136" i="21"/>
  <c r="B137" i="21"/>
  <c r="C137" i="21"/>
  <c r="E137" i="21"/>
  <c r="F137" i="21"/>
  <c r="G137" i="21"/>
  <c r="B138" i="21"/>
  <c r="C138" i="21"/>
  <c r="E138" i="21"/>
  <c r="F138" i="21"/>
  <c r="G138" i="21"/>
  <c r="B139" i="21"/>
  <c r="C139" i="21"/>
  <c r="E139" i="21"/>
  <c r="F139" i="21"/>
  <c r="G139" i="21"/>
  <c r="B140" i="21"/>
  <c r="C140" i="21"/>
  <c r="E140" i="21"/>
  <c r="F140" i="21"/>
  <c r="G140" i="21"/>
  <c r="B141" i="21"/>
  <c r="C141" i="21"/>
  <c r="E141" i="21"/>
  <c r="F141" i="21"/>
  <c r="G141" i="21"/>
  <c r="B142" i="21"/>
  <c r="C142" i="21"/>
  <c r="E142" i="21"/>
  <c r="F142" i="21"/>
  <c r="G142" i="21"/>
  <c r="B143" i="21"/>
  <c r="C143" i="21"/>
  <c r="E143" i="21"/>
  <c r="F143" i="21"/>
  <c r="G143" i="21"/>
  <c r="B144" i="21"/>
  <c r="C144" i="21"/>
  <c r="E144" i="21"/>
  <c r="F144" i="21"/>
  <c r="G144" i="21"/>
  <c r="B145" i="21"/>
  <c r="C145" i="21"/>
  <c r="E145" i="21"/>
  <c r="F145" i="21"/>
  <c r="G145" i="21"/>
  <c r="B146" i="21"/>
  <c r="C146" i="21"/>
  <c r="E146" i="21"/>
  <c r="F146" i="21"/>
  <c r="G146" i="21"/>
  <c r="B147" i="21"/>
  <c r="C147" i="21"/>
  <c r="E147" i="21"/>
  <c r="F147" i="21"/>
  <c r="G147" i="21"/>
  <c r="B148" i="21"/>
  <c r="C148" i="21"/>
  <c r="E148" i="21"/>
  <c r="F148" i="21"/>
  <c r="G148" i="21"/>
  <c r="B149" i="21"/>
  <c r="C149" i="21"/>
  <c r="E149" i="21"/>
  <c r="F149" i="21"/>
  <c r="G149" i="21"/>
  <c r="B150" i="21"/>
  <c r="C150" i="21"/>
  <c r="E150" i="21"/>
  <c r="F150" i="21"/>
  <c r="G150" i="21"/>
  <c r="B151" i="21"/>
  <c r="C151" i="21"/>
  <c r="E151" i="21"/>
  <c r="F151" i="21"/>
  <c r="G151" i="21"/>
  <c r="B152" i="21"/>
  <c r="C152" i="21"/>
  <c r="E152" i="21"/>
  <c r="F152" i="21"/>
  <c r="G152" i="21"/>
  <c r="B153" i="21"/>
  <c r="C153" i="21"/>
  <c r="E153" i="21"/>
  <c r="F153" i="21"/>
  <c r="G153" i="21"/>
  <c r="B154" i="21"/>
  <c r="C154" i="21"/>
  <c r="E154" i="21"/>
  <c r="F154" i="21"/>
  <c r="G154" i="21"/>
  <c r="B155" i="21"/>
  <c r="C155" i="21"/>
  <c r="E155" i="21"/>
  <c r="F155" i="21"/>
  <c r="G155" i="21"/>
  <c r="B156" i="21"/>
  <c r="C156" i="21"/>
  <c r="E156" i="21"/>
  <c r="F156" i="21"/>
  <c r="G156" i="21"/>
  <c r="B157" i="21"/>
  <c r="C157" i="21"/>
  <c r="E157" i="21"/>
  <c r="F157" i="21"/>
  <c r="G157" i="21"/>
  <c r="B158" i="21"/>
  <c r="C158" i="21"/>
  <c r="E158" i="21"/>
  <c r="F158" i="21"/>
  <c r="G158" i="21"/>
  <c r="B159" i="21"/>
  <c r="C159" i="21"/>
  <c r="E159" i="21"/>
  <c r="F159" i="21"/>
  <c r="G159" i="21"/>
  <c r="B160" i="21"/>
  <c r="C160" i="21"/>
  <c r="E160" i="21"/>
  <c r="F160" i="21"/>
  <c r="G160" i="21"/>
  <c r="B161" i="21"/>
  <c r="C161" i="21"/>
  <c r="E161" i="21"/>
  <c r="F161" i="21"/>
  <c r="G161" i="21"/>
  <c r="B162" i="21"/>
  <c r="C162" i="21"/>
  <c r="E162" i="21"/>
  <c r="F162" i="21"/>
  <c r="G162" i="21"/>
  <c r="B163" i="21"/>
  <c r="C163" i="21"/>
  <c r="E163" i="21"/>
  <c r="F163" i="21"/>
  <c r="G163" i="21"/>
  <c r="B164" i="21"/>
  <c r="C164" i="21"/>
  <c r="E164" i="21"/>
  <c r="F164" i="21"/>
  <c r="G164" i="21"/>
  <c r="B165" i="21"/>
  <c r="C165" i="21"/>
  <c r="E165" i="21"/>
  <c r="F165" i="21"/>
  <c r="G165" i="21"/>
  <c r="B166" i="21"/>
  <c r="C166" i="21"/>
  <c r="E166" i="21"/>
  <c r="F166" i="21"/>
  <c r="G166" i="21"/>
  <c r="B167" i="21"/>
  <c r="C167" i="21"/>
  <c r="E167" i="21"/>
  <c r="F167" i="21"/>
  <c r="G167" i="21"/>
  <c r="B168" i="21"/>
  <c r="C168" i="21"/>
  <c r="E168" i="21"/>
  <c r="F168" i="21"/>
  <c r="G168" i="21"/>
  <c r="B169" i="21"/>
  <c r="C169" i="21"/>
  <c r="E169" i="21"/>
  <c r="F169" i="21"/>
  <c r="G169" i="21"/>
  <c r="B170" i="21"/>
  <c r="C170" i="21"/>
  <c r="E170" i="21"/>
  <c r="F170" i="21"/>
  <c r="G170" i="21"/>
  <c r="B171" i="21"/>
  <c r="C171" i="21"/>
  <c r="E171" i="21"/>
  <c r="F171" i="21"/>
  <c r="G171" i="21"/>
  <c r="B172" i="21"/>
  <c r="C172" i="21"/>
  <c r="E172" i="21"/>
  <c r="F172" i="21"/>
  <c r="G172" i="21"/>
  <c r="B173" i="21"/>
  <c r="C173" i="21"/>
  <c r="E173" i="21"/>
  <c r="F173" i="21"/>
  <c r="G173" i="21"/>
  <c r="B174" i="21"/>
  <c r="C174" i="21"/>
  <c r="E174" i="21"/>
  <c r="F174" i="21"/>
  <c r="G174" i="21"/>
  <c r="B175" i="21"/>
  <c r="C175" i="21"/>
  <c r="E175" i="21"/>
  <c r="F175" i="21"/>
  <c r="G175" i="21"/>
  <c r="B176" i="21"/>
  <c r="C176" i="21"/>
  <c r="E176" i="21"/>
  <c r="F176" i="21"/>
  <c r="G176" i="21"/>
  <c r="B177" i="21"/>
  <c r="C177" i="21"/>
  <c r="E177" i="21"/>
  <c r="F177" i="21"/>
  <c r="G177" i="21"/>
  <c r="B178" i="21"/>
  <c r="C178" i="21"/>
  <c r="E178" i="21"/>
  <c r="F178" i="21"/>
  <c r="G178" i="21"/>
  <c r="B179" i="21"/>
  <c r="C179" i="21"/>
  <c r="E179" i="21"/>
  <c r="F179" i="21"/>
  <c r="G179" i="21"/>
  <c r="B180" i="21"/>
  <c r="C180" i="21"/>
  <c r="E180" i="21"/>
  <c r="F180" i="21"/>
  <c r="G180" i="21"/>
  <c r="B181" i="21"/>
  <c r="C181" i="21"/>
  <c r="E181" i="21"/>
  <c r="F181" i="21"/>
  <c r="G181" i="21"/>
  <c r="B182" i="21"/>
  <c r="C182" i="21"/>
  <c r="E182" i="21"/>
  <c r="F182" i="21"/>
  <c r="G182" i="21"/>
  <c r="B183" i="21"/>
  <c r="C183" i="21"/>
  <c r="E183" i="21"/>
  <c r="F183" i="21"/>
  <c r="G183" i="21"/>
  <c r="B184" i="21"/>
  <c r="C184" i="21"/>
  <c r="E184" i="21"/>
  <c r="F184" i="21"/>
  <c r="G184" i="21"/>
  <c r="B185" i="21"/>
  <c r="C185" i="21"/>
  <c r="E185" i="21"/>
  <c r="F185" i="21"/>
  <c r="G185" i="21"/>
  <c r="B186" i="21"/>
  <c r="C186" i="21"/>
  <c r="E186" i="21"/>
  <c r="F186" i="21"/>
  <c r="G186" i="21"/>
  <c r="B187" i="21"/>
  <c r="C187" i="21"/>
  <c r="E187" i="21"/>
  <c r="F187" i="21"/>
  <c r="G187" i="21"/>
  <c r="B188" i="21"/>
  <c r="C188" i="21"/>
  <c r="E188" i="21"/>
  <c r="F188" i="21"/>
  <c r="G188" i="21"/>
  <c r="B189" i="21"/>
  <c r="C189" i="21"/>
  <c r="E189" i="21"/>
  <c r="F189" i="21"/>
  <c r="G189" i="21"/>
  <c r="B190" i="21"/>
  <c r="C190" i="21"/>
  <c r="E190" i="21"/>
  <c r="F190" i="21"/>
  <c r="G190" i="21"/>
  <c r="B191" i="21"/>
  <c r="C191" i="21"/>
  <c r="E191" i="21"/>
  <c r="F191" i="21"/>
  <c r="G191" i="21"/>
  <c r="B192" i="21"/>
  <c r="C192" i="21"/>
  <c r="E192" i="21"/>
  <c r="F192" i="21"/>
  <c r="G192" i="21"/>
  <c r="B193" i="21"/>
  <c r="C193" i="21"/>
  <c r="E193" i="21"/>
  <c r="F193" i="21"/>
  <c r="G193" i="21"/>
  <c r="B194" i="21"/>
  <c r="C194" i="21"/>
  <c r="E194" i="21"/>
  <c r="F194" i="21"/>
  <c r="G194" i="21"/>
  <c r="B195" i="21"/>
  <c r="C195" i="21"/>
  <c r="E195" i="21"/>
  <c r="F195" i="21"/>
  <c r="G195" i="21"/>
  <c r="B196" i="21"/>
  <c r="C196" i="21"/>
  <c r="E196" i="21"/>
  <c r="F196" i="21"/>
  <c r="G196" i="21"/>
  <c r="B197" i="21"/>
  <c r="C197" i="21"/>
  <c r="E197" i="21"/>
  <c r="F197" i="21"/>
  <c r="G197" i="21"/>
  <c r="B198" i="21"/>
  <c r="C198" i="21"/>
  <c r="E198" i="21"/>
  <c r="F198" i="21"/>
  <c r="G198" i="21"/>
  <c r="B199" i="21"/>
  <c r="C199" i="21"/>
  <c r="E199" i="21"/>
  <c r="F199" i="21"/>
  <c r="G199" i="21"/>
  <c r="B200" i="21"/>
  <c r="C200" i="21"/>
  <c r="E200" i="21"/>
  <c r="F200" i="21"/>
  <c r="G200" i="21"/>
  <c r="B201" i="21"/>
  <c r="C201" i="21"/>
  <c r="E201" i="21"/>
  <c r="F201" i="21"/>
  <c r="G201" i="21"/>
  <c r="B202" i="21"/>
  <c r="C202" i="21"/>
  <c r="E202" i="21"/>
  <c r="F202" i="21"/>
  <c r="G202" i="21"/>
  <c r="B203" i="21"/>
  <c r="C203" i="21"/>
  <c r="E203" i="21"/>
  <c r="F203" i="21"/>
  <c r="G203" i="21"/>
  <c r="B204" i="21"/>
  <c r="C204" i="21"/>
  <c r="E204" i="21"/>
  <c r="F204" i="21"/>
  <c r="G204" i="21"/>
  <c r="B205" i="21"/>
  <c r="C205" i="21"/>
  <c r="E205" i="21"/>
  <c r="F205" i="21"/>
  <c r="G205" i="21"/>
  <c r="B206" i="21"/>
  <c r="C206" i="21"/>
  <c r="E206" i="21"/>
  <c r="F206" i="21"/>
  <c r="G206" i="21"/>
  <c r="B207" i="21"/>
  <c r="C207" i="21"/>
  <c r="E207" i="21"/>
  <c r="F207" i="21"/>
  <c r="G207" i="21"/>
  <c r="B208" i="21"/>
  <c r="C208" i="21"/>
  <c r="E208" i="21"/>
  <c r="F208" i="21"/>
  <c r="G208" i="21"/>
  <c r="B209" i="21"/>
  <c r="C209" i="21"/>
  <c r="E209" i="21"/>
  <c r="F209" i="21"/>
  <c r="G209" i="21"/>
  <c r="B210" i="21"/>
  <c r="C210" i="21"/>
  <c r="E210" i="21"/>
  <c r="F210" i="21"/>
  <c r="G210" i="21"/>
  <c r="B211" i="21"/>
  <c r="C211" i="21"/>
  <c r="E211" i="21"/>
  <c r="F211" i="21"/>
  <c r="G211" i="21"/>
  <c r="B212" i="21"/>
  <c r="C212" i="21"/>
  <c r="E212" i="21"/>
  <c r="F212" i="21"/>
  <c r="G212" i="21"/>
  <c r="B213" i="21"/>
  <c r="C213" i="21"/>
  <c r="E213" i="21"/>
  <c r="F213" i="21"/>
  <c r="G213" i="21"/>
  <c r="B214" i="21"/>
  <c r="C214" i="21"/>
  <c r="E214" i="21"/>
  <c r="F214" i="21"/>
  <c r="G214" i="21"/>
  <c r="B215" i="21"/>
  <c r="C215" i="21"/>
  <c r="E215" i="21"/>
  <c r="F215" i="21"/>
  <c r="G215" i="21"/>
  <c r="B216" i="21"/>
  <c r="C216" i="21"/>
  <c r="E216" i="21"/>
  <c r="F216" i="21"/>
  <c r="G216" i="21"/>
  <c r="B217" i="21"/>
  <c r="C217" i="21"/>
  <c r="E217" i="21"/>
  <c r="F217" i="21"/>
  <c r="G217" i="21"/>
  <c r="B218" i="21"/>
  <c r="C218" i="21"/>
  <c r="E218" i="21"/>
  <c r="F218" i="21"/>
  <c r="G218" i="21"/>
  <c r="B219" i="21"/>
  <c r="C219" i="21"/>
  <c r="E219" i="21"/>
  <c r="F219" i="21"/>
  <c r="G219" i="21"/>
  <c r="B220" i="21"/>
  <c r="C220" i="21"/>
  <c r="E220" i="21"/>
  <c r="F220" i="21"/>
  <c r="G220" i="21"/>
  <c r="B221" i="21"/>
  <c r="C221" i="21"/>
  <c r="E221" i="21"/>
  <c r="F221" i="21"/>
  <c r="G221" i="21"/>
  <c r="B222" i="21"/>
  <c r="C222" i="21"/>
  <c r="E222" i="21"/>
  <c r="F222" i="21"/>
  <c r="G222" i="21"/>
  <c r="B223" i="21"/>
  <c r="C223" i="21"/>
  <c r="E223" i="21"/>
  <c r="F223" i="21"/>
  <c r="G223" i="21"/>
  <c r="B224" i="21"/>
  <c r="C224" i="21"/>
  <c r="E224" i="21"/>
  <c r="F224" i="21"/>
  <c r="G224" i="21"/>
  <c r="B225" i="21"/>
  <c r="C225" i="21"/>
  <c r="E225" i="21"/>
  <c r="F225" i="21"/>
  <c r="G225" i="21"/>
  <c r="B226" i="21"/>
  <c r="C226" i="21"/>
  <c r="E226" i="21"/>
  <c r="F226" i="21"/>
  <c r="G226" i="21"/>
  <c r="B227" i="21"/>
  <c r="C227" i="21"/>
  <c r="E227" i="21"/>
  <c r="F227" i="21"/>
  <c r="G227" i="21"/>
  <c r="B228" i="21"/>
  <c r="C228" i="21"/>
  <c r="E228" i="21"/>
  <c r="F228" i="21"/>
  <c r="G228" i="21"/>
  <c r="B229" i="21"/>
  <c r="C229" i="21"/>
  <c r="E229" i="21"/>
  <c r="F229" i="21"/>
  <c r="G229" i="21"/>
  <c r="B230" i="21"/>
  <c r="C230" i="21"/>
  <c r="E230" i="21"/>
  <c r="F230" i="21"/>
  <c r="G230" i="21"/>
  <c r="B231" i="21"/>
  <c r="C231" i="21"/>
  <c r="E231" i="21"/>
  <c r="F231" i="21"/>
  <c r="G231" i="21"/>
  <c r="B232" i="21"/>
  <c r="C232" i="21"/>
  <c r="E232" i="21"/>
  <c r="F232" i="21"/>
  <c r="G232" i="21"/>
  <c r="B233" i="21"/>
  <c r="C233" i="21"/>
  <c r="E233" i="21"/>
  <c r="F233" i="21"/>
  <c r="G233" i="21"/>
  <c r="B234" i="21"/>
  <c r="C234" i="21"/>
  <c r="E234" i="21"/>
  <c r="F234" i="21"/>
  <c r="G234" i="21"/>
  <c r="B235" i="21"/>
  <c r="C235" i="21"/>
  <c r="E235" i="21"/>
  <c r="F235" i="21"/>
  <c r="G235" i="21"/>
  <c r="B236" i="21"/>
  <c r="C236" i="21"/>
  <c r="E236" i="21"/>
  <c r="F236" i="21"/>
  <c r="G236" i="21"/>
  <c r="B237" i="21"/>
  <c r="C237" i="21"/>
  <c r="E237" i="21"/>
  <c r="F237" i="21"/>
  <c r="G237" i="21"/>
  <c r="B238" i="21"/>
  <c r="C238" i="21"/>
  <c r="E238" i="21"/>
  <c r="F238" i="21"/>
  <c r="G238" i="21"/>
  <c r="B239" i="21"/>
  <c r="C239" i="21"/>
  <c r="E239" i="21"/>
  <c r="F239" i="21"/>
  <c r="G239" i="21"/>
  <c r="B240" i="21"/>
  <c r="C240" i="21"/>
  <c r="E240" i="21"/>
  <c r="F240" i="21"/>
  <c r="G240" i="21"/>
  <c r="B241" i="21"/>
  <c r="C241" i="21"/>
  <c r="E241" i="21"/>
  <c r="F241" i="21"/>
  <c r="G241" i="21"/>
  <c r="B242" i="21"/>
  <c r="C242" i="21"/>
  <c r="E242" i="21"/>
  <c r="F242" i="21"/>
  <c r="G242" i="21"/>
  <c r="B243" i="21"/>
  <c r="C243" i="21"/>
  <c r="E243" i="21"/>
  <c r="F243" i="21"/>
  <c r="G243" i="21"/>
  <c r="B244" i="21"/>
  <c r="C244" i="21"/>
  <c r="E244" i="21"/>
  <c r="F244" i="21"/>
  <c r="G244" i="21"/>
  <c r="B245" i="21"/>
  <c r="C245" i="21"/>
  <c r="E245" i="21"/>
  <c r="F245" i="21"/>
  <c r="G245" i="21"/>
  <c r="B246" i="21"/>
  <c r="C246" i="21"/>
  <c r="E246" i="21"/>
  <c r="F246" i="21"/>
  <c r="G246" i="21"/>
  <c r="B247" i="21"/>
  <c r="C247" i="21"/>
  <c r="E247" i="21"/>
  <c r="F247" i="21"/>
  <c r="G247" i="21"/>
  <c r="B248" i="21"/>
  <c r="C248" i="21"/>
  <c r="E248" i="21"/>
  <c r="F248" i="21"/>
  <c r="G248" i="21"/>
  <c r="B249" i="21"/>
  <c r="C249" i="21"/>
  <c r="E249" i="21"/>
  <c r="F249" i="21"/>
  <c r="G249" i="21"/>
  <c r="B250" i="21"/>
  <c r="C250" i="21"/>
  <c r="E250" i="21"/>
  <c r="F250" i="21"/>
  <c r="G250" i="21"/>
  <c r="B251" i="21"/>
  <c r="C251" i="21"/>
  <c r="E251" i="21"/>
  <c r="F251" i="21"/>
  <c r="G251" i="21"/>
  <c r="B252" i="21"/>
  <c r="C252" i="21"/>
  <c r="E252" i="21"/>
  <c r="F252" i="21"/>
  <c r="G252" i="21"/>
  <c r="B253" i="21"/>
  <c r="C253" i="21"/>
  <c r="E253" i="21"/>
  <c r="F253" i="21"/>
  <c r="G253" i="21"/>
  <c r="B254" i="21"/>
  <c r="C254" i="21"/>
  <c r="E254" i="21"/>
  <c r="F254" i="21"/>
  <c r="G254" i="21"/>
  <c r="B255" i="21"/>
  <c r="C255" i="21"/>
  <c r="E255" i="21"/>
  <c r="F255" i="21"/>
  <c r="G255" i="21"/>
  <c r="B256" i="21"/>
  <c r="C256" i="21"/>
  <c r="E256" i="21"/>
  <c r="F256" i="21"/>
  <c r="G256" i="21"/>
  <c r="B257" i="21"/>
  <c r="C257" i="21"/>
  <c r="E257" i="21"/>
  <c r="F257" i="21"/>
  <c r="G257" i="21"/>
  <c r="B258" i="21"/>
  <c r="C258" i="21"/>
  <c r="E258" i="21"/>
  <c r="F258" i="21"/>
  <c r="G258" i="21"/>
  <c r="B259" i="21"/>
  <c r="C259" i="21"/>
  <c r="E259" i="21"/>
  <c r="F259" i="21"/>
  <c r="G259" i="21"/>
  <c r="B260" i="21"/>
  <c r="C260" i="21"/>
  <c r="E260" i="21"/>
  <c r="F260" i="21"/>
  <c r="G260" i="21"/>
  <c r="B261" i="21"/>
  <c r="C261" i="21"/>
  <c r="E261" i="21"/>
  <c r="F261" i="21"/>
  <c r="G261" i="21"/>
  <c r="B262" i="21"/>
  <c r="C262" i="21"/>
  <c r="E262" i="21"/>
  <c r="F262" i="21"/>
  <c r="G262" i="21"/>
  <c r="B263" i="21"/>
  <c r="C263" i="21"/>
  <c r="E263" i="21"/>
  <c r="F263" i="21"/>
  <c r="G263" i="21"/>
  <c r="B264" i="21"/>
  <c r="C264" i="21"/>
  <c r="E264" i="21"/>
  <c r="F264" i="21"/>
  <c r="G264" i="21"/>
  <c r="B265" i="21"/>
  <c r="C265" i="21"/>
  <c r="E265" i="21"/>
  <c r="F265" i="21"/>
  <c r="G265" i="21"/>
  <c r="B266" i="21"/>
  <c r="C266" i="21"/>
  <c r="E266" i="21"/>
  <c r="F266" i="21"/>
  <c r="G266" i="21"/>
  <c r="B267" i="21"/>
  <c r="C267" i="21"/>
  <c r="E267" i="21"/>
  <c r="F267" i="21"/>
  <c r="G267" i="21"/>
  <c r="B268" i="21"/>
  <c r="C268" i="21"/>
  <c r="E268" i="21"/>
  <c r="F268" i="21"/>
  <c r="G268" i="21"/>
  <c r="B269" i="21"/>
  <c r="C269" i="21"/>
  <c r="E269" i="21"/>
  <c r="F269" i="21"/>
  <c r="G269" i="21"/>
  <c r="B270" i="21"/>
  <c r="C270" i="21"/>
  <c r="E270" i="21"/>
  <c r="F270" i="21"/>
  <c r="G270" i="21"/>
  <c r="B271" i="21"/>
  <c r="C271" i="21"/>
  <c r="E271" i="21"/>
  <c r="F271" i="21"/>
  <c r="G271" i="21"/>
  <c r="B272" i="21"/>
  <c r="C272" i="21"/>
  <c r="E272" i="21"/>
  <c r="F272" i="21"/>
  <c r="G272" i="21"/>
  <c r="B273" i="21"/>
  <c r="C273" i="21"/>
  <c r="E273" i="21"/>
  <c r="F273" i="21"/>
  <c r="G273" i="21"/>
  <c r="B274" i="21"/>
  <c r="C274" i="21"/>
  <c r="E274" i="21"/>
  <c r="F274" i="21"/>
  <c r="G274" i="21"/>
  <c r="B275" i="21"/>
  <c r="C275" i="21"/>
  <c r="E275" i="21"/>
  <c r="F275" i="21"/>
  <c r="G275" i="21"/>
  <c r="B276" i="21"/>
  <c r="C276" i="21"/>
  <c r="E276" i="21"/>
  <c r="F276" i="21"/>
  <c r="G276" i="21"/>
  <c r="B277" i="21"/>
  <c r="C277" i="21"/>
  <c r="E277" i="21"/>
  <c r="F277" i="21"/>
  <c r="G277" i="21"/>
  <c r="B278" i="21"/>
  <c r="C278" i="21"/>
  <c r="E278" i="21"/>
  <c r="F278" i="21"/>
  <c r="G278" i="21"/>
  <c r="B279" i="21"/>
  <c r="C279" i="21"/>
  <c r="E279" i="21"/>
  <c r="F279" i="21"/>
  <c r="G279" i="21"/>
  <c r="B280" i="21"/>
  <c r="C280" i="21"/>
  <c r="E280" i="21"/>
  <c r="F280" i="21"/>
  <c r="G280" i="21"/>
  <c r="B281" i="21"/>
  <c r="C281" i="21"/>
  <c r="E281" i="21"/>
  <c r="F281" i="21"/>
  <c r="G281" i="21"/>
  <c r="B282" i="21"/>
  <c r="C282" i="21"/>
  <c r="E282" i="21"/>
  <c r="F282" i="21"/>
  <c r="G282" i="21"/>
  <c r="B283" i="21"/>
  <c r="C283" i="21"/>
  <c r="E283" i="21"/>
  <c r="F283" i="21"/>
  <c r="G283" i="21"/>
  <c r="B284" i="21"/>
  <c r="C284" i="21"/>
  <c r="E284" i="21"/>
  <c r="F284" i="21"/>
  <c r="G284" i="21"/>
  <c r="B285" i="21"/>
  <c r="C285" i="21"/>
  <c r="E285" i="21"/>
  <c r="F285" i="21"/>
  <c r="G285" i="21"/>
  <c r="B286" i="21"/>
  <c r="C286" i="21"/>
  <c r="E286" i="21"/>
  <c r="F286" i="21"/>
  <c r="G286" i="21"/>
  <c r="B287" i="21"/>
  <c r="C287" i="21"/>
  <c r="E287" i="21"/>
  <c r="F287" i="21"/>
  <c r="G287" i="21"/>
  <c r="B288" i="21"/>
  <c r="C288" i="21"/>
  <c r="E288" i="21"/>
  <c r="F288" i="21"/>
  <c r="G288" i="21"/>
  <c r="B289" i="21"/>
  <c r="C289" i="21"/>
  <c r="E289" i="21"/>
  <c r="F289" i="21"/>
  <c r="G289" i="21"/>
  <c r="B290" i="21"/>
  <c r="C290" i="21"/>
  <c r="E290" i="21"/>
  <c r="F290" i="21"/>
  <c r="G290" i="21"/>
  <c r="B291" i="21"/>
  <c r="C291" i="21"/>
  <c r="E291" i="21"/>
  <c r="F291" i="21"/>
  <c r="G291" i="21"/>
  <c r="B292" i="21"/>
  <c r="C292" i="21"/>
  <c r="E292" i="21"/>
  <c r="F292" i="21"/>
  <c r="G292" i="21"/>
  <c r="B293" i="21"/>
  <c r="C293" i="21"/>
  <c r="E293" i="21"/>
  <c r="F293" i="21"/>
  <c r="G293" i="21"/>
  <c r="B294" i="21"/>
  <c r="C294" i="21"/>
  <c r="E294" i="21"/>
  <c r="F294" i="21"/>
  <c r="G294" i="21"/>
  <c r="B295" i="21"/>
  <c r="C295" i="21"/>
  <c r="E295" i="21"/>
  <c r="F295" i="21"/>
  <c r="G295" i="21"/>
  <c r="B296" i="21"/>
  <c r="C296" i="21"/>
  <c r="E296" i="21"/>
  <c r="F296" i="21"/>
  <c r="G296" i="21"/>
  <c r="B297" i="21"/>
  <c r="C297" i="21"/>
  <c r="E297" i="21"/>
  <c r="F297" i="21"/>
  <c r="G297" i="21"/>
  <c r="B298" i="21"/>
  <c r="C298" i="21"/>
  <c r="E298" i="21"/>
  <c r="F298" i="21"/>
  <c r="G298" i="21"/>
  <c r="B299" i="21"/>
  <c r="C299" i="21"/>
  <c r="E299" i="21"/>
  <c r="F299" i="21"/>
  <c r="G299" i="21"/>
  <c r="B300" i="21"/>
  <c r="C300" i="21"/>
  <c r="E300" i="21"/>
  <c r="F300" i="21"/>
  <c r="G300" i="21"/>
  <c r="B301" i="21"/>
  <c r="C301" i="21"/>
  <c r="E301" i="21"/>
  <c r="F301" i="21"/>
  <c r="G301" i="21"/>
  <c r="B302" i="21"/>
  <c r="C302" i="21"/>
  <c r="E302" i="21"/>
  <c r="F302" i="21"/>
  <c r="G302" i="21"/>
  <c r="B303" i="21"/>
  <c r="C303" i="21"/>
  <c r="E303" i="21"/>
  <c r="F303" i="21"/>
  <c r="G303" i="21"/>
  <c r="B304" i="21"/>
  <c r="C304" i="21"/>
  <c r="E304" i="21"/>
  <c r="F304" i="21"/>
  <c r="G304" i="21"/>
  <c r="B305" i="21"/>
  <c r="C305" i="21"/>
  <c r="E305" i="21"/>
  <c r="F305" i="21"/>
  <c r="G305" i="21"/>
  <c r="B306" i="21"/>
  <c r="C306" i="21"/>
  <c r="E306" i="21"/>
  <c r="F306" i="21"/>
  <c r="G306" i="21"/>
  <c r="B307" i="21"/>
  <c r="C307" i="21"/>
  <c r="E307" i="21"/>
  <c r="F307" i="21"/>
  <c r="G307" i="21"/>
  <c r="B308" i="21"/>
  <c r="C308" i="21"/>
  <c r="E308" i="21"/>
  <c r="F308" i="21"/>
  <c r="G308" i="21"/>
  <c r="B309" i="21"/>
  <c r="C309" i="21"/>
  <c r="E309" i="21"/>
  <c r="F309" i="21"/>
  <c r="G309" i="21"/>
  <c r="B310" i="21"/>
  <c r="C310" i="21"/>
  <c r="E310" i="21"/>
  <c r="F310" i="21"/>
  <c r="G310" i="21"/>
  <c r="B311" i="21"/>
  <c r="C311" i="21"/>
  <c r="E311" i="21"/>
  <c r="F311" i="21"/>
  <c r="G311" i="21"/>
  <c r="B312" i="21"/>
  <c r="C312" i="21"/>
  <c r="E312" i="21"/>
  <c r="F312" i="21"/>
  <c r="G312" i="21"/>
  <c r="B313" i="21"/>
  <c r="C313" i="21"/>
  <c r="E313" i="21"/>
  <c r="F313" i="21"/>
  <c r="G313" i="21"/>
  <c r="B314" i="21"/>
  <c r="C314" i="21"/>
  <c r="E314" i="21"/>
  <c r="F314" i="21"/>
  <c r="G314" i="21"/>
  <c r="B315" i="21"/>
  <c r="C315" i="21"/>
  <c r="E315" i="21"/>
  <c r="F315" i="21"/>
  <c r="G315" i="21"/>
  <c r="B316" i="21"/>
  <c r="C316" i="21"/>
  <c r="E316" i="21"/>
  <c r="F316" i="21"/>
  <c r="G316" i="21"/>
  <c r="B317" i="21"/>
  <c r="C317" i="21"/>
  <c r="E317" i="21"/>
  <c r="F317" i="21"/>
  <c r="G317" i="21"/>
  <c r="B318" i="21"/>
  <c r="C318" i="21"/>
  <c r="E318" i="21"/>
  <c r="F318" i="21"/>
  <c r="G318" i="21"/>
  <c r="B319" i="21"/>
  <c r="C319" i="21"/>
  <c r="E319" i="21"/>
  <c r="F319" i="21"/>
  <c r="G319" i="21"/>
  <c r="B320" i="21"/>
  <c r="C320" i="21"/>
  <c r="E320" i="21"/>
  <c r="F320" i="21"/>
  <c r="G320" i="21"/>
  <c r="B321" i="21"/>
  <c r="C321" i="21"/>
  <c r="E321" i="21"/>
  <c r="F321" i="21"/>
  <c r="G321" i="21"/>
  <c r="B322" i="21"/>
  <c r="C322" i="21"/>
  <c r="E322" i="21"/>
  <c r="F322" i="21"/>
  <c r="G322" i="21"/>
  <c r="B323" i="21"/>
  <c r="C323" i="21"/>
  <c r="E323" i="21"/>
  <c r="F323" i="21"/>
  <c r="G323" i="21"/>
  <c r="B324" i="21"/>
  <c r="C324" i="21"/>
  <c r="E324" i="21"/>
  <c r="F324" i="21"/>
  <c r="G324" i="21"/>
  <c r="B325" i="21"/>
  <c r="C325" i="21"/>
  <c r="E325" i="21"/>
  <c r="F325" i="21"/>
  <c r="G325" i="21"/>
  <c r="B326" i="21"/>
  <c r="C326" i="21"/>
  <c r="E326" i="21"/>
  <c r="F326" i="21"/>
  <c r="G326" i="21"/>
  <c r="B327" i="21"/>
  <c r="C327" i="21"/>
  <c r="E327" i="21"/>
  <c r="F327" i="21"/>
  <c r="G327" i="21"/>
  <c r="B328" i="21"/>
  <c r="C328" i="21"/>
  <c r="E328" i="21"/>
  <c r="F328" i="21"/>
  <c r="G328" i="21"/>
  <c r="B329" i="21"/>
  <c r="C329" i="21"/>
  <c r="E329" i="21"/>
  <c r="F329" i="21"/>
  <c r="G329" i="21"/>
  <c r="B330" i="21"/>
  <c r="C330" i="21"/>
  <c r="E330" i="21"/>
  <c r="F330" i="21"/>
  <c r="G330" i="21"/>
  <c r="B331" i="21"/>
  <c r="C331" i="21"/>
  <c r="E331" i="21"/>
  <c r="F331" i="21"/>
  <c r="G331" i="21"/>
  <c r="B332" i="21"/>
  <c r="C332" i="21"/>
  <c r="E332" i="21"/>
  <c r="F332" i="21"/>
  <c r="G332" i="21"/>
  <c r="B333" i="21"/>
  <c r="C333" i="21"/>
  <c r="E333" i="21"/>
  <c r="F333" i="21"/>
  <c r="G333" i="21"/>
  <c r="B334" i="21"/>
  <c r="C334" i="21"/>
  <c r="E334" i="21"/>
  <c r="F334" i="21"/>
  <c r="G334" i="21"/>
  <c r="B335" i="21"/>
  <c r="C335" i="21"/>
  <c r="E335" i="21"/>
  <c r="F335" i="21"/>
  <c r="G335" i="21"/>
  <c r="B336" i="21"/>
  <c r="C336" i="21"/>
  <c r="E336" i="21"/>
  <c r="F336" i="21"/>
  <c r="G336" i="21"/>
  <c r="B337" i="21"/>
  <c r="C337" i="21"/>
  <c r="E337" i="21"/>
  <c r="F337" i="21"/>
  <c r="G337" i="21"/>
  <c r="B338" i="21"/>
  <c r="C338" i="21"/>
  <c r="E338" i="21"/>
  <c r="F338" i="21"/>
  <c r="G338" i="21"/>
  <c r="B339" i="21"/>
  <c r="C339" i="21"/>
  <c r="E339" i="21"/>
  <c r="F339" i="21"/>
  <c r="G339" i="21"/>
  <c r="B340" i="21"/>
  <c r="C340" i="21"/>
  <c r="E340" i="21"/>
  <c r="F340" i="21"/>
  <c r="G340" i="21"/>
  <c r="B341" i="21"/>
  <c r="C341" i="21"/>
  <c r="E341" i="21"/>
  <c r="F341" i="21"/>
  <c r="G341" i="21"/>
  <c r="B342" i="21"/>
  <c r="C342" i="21"/>
  <c r="E342" i="21"/>
  <c r="F342" i="21"/>
  <c r="G342" i="21"/>
  <c r="B343" i="21"/>
  <c r="C343" i="21"/>
  <c r="E343" i="21"/>
  <c r="F343" i="21"/>
  <c r="G343" i="21"/>
  <c r="B344" i="21"/>
  <c r="C344" i="21"/>
  <c r="E344" i="21"/>
  <c r="F344" i="21"/>
  <c r="G344" i="21"/>
  <c r="B345" i="21"/>
  <c r="C345" i="21"/>
  <c r="E345" i="21"/>
  <c r="F345" i="21"/>
  <c r="G345" i="21"/>
  <c r="B346" i="21"/>
  <c r="C346" i="21"/>
  <c r="E346" i="21"/>
  <c r="F346" i="21"/>
  <c r="G346" i="21"/>
  <c r="B347" i="21"/>
  <c r="C347" i="21"/>
  <c r="E347" i="21"/>
  <c r="F347" i="21"/>
  <c r="G347" i="21"/>
  <c r="B348" i="21"/>
  <c r="C348" i="21"/>
  <c r="E348" i="21"/>
  <c r="F348" i="21"/>
  <c r="G348" i="21"/>
  <c r="B349" i="21"/>
  <c r="C349" i="21"/>
  <c r="E349" i="21"/>
  <c r="F349" i="21"/>
  <c r="G349" i="21"/>
  <c r="B350" i="21"/>
  <c r="C350" i="21"/>
  <c r="E350" i="21"/>
  <c r="F350" i="21"/>
  <c r="G350" i="21"/>
  <c r="B351" i="21"/>
  <c r="C351" i="21"/>
  <c r="E351" i="21"/>
  <c r="F351" i="21"/>
  <c r="G351" i="21"/>
  <c r="B352" i="21"/>
  <c r="C352" i="21"/>
  <c r="E352" i="21"/>
  <c r="F352" i="21"/>
  <c r="G352" i="21"/>
  <c r="B353" i="21"/>
  <c r="C353" i="21"/>
  <c r="E353" i="21"/>
  <c r="F353" i="21"/>
  <c r="G353" i="21"/>
  <c r="B354" i="21"/>
  <c r="C354" i="21"/>
  <c r="E354" i="21"/>
  <c r="F354" i="21"/>
  <c r="G354" i="21"/>
  <c r="B355" i="21"/>
  <c r="C355" i="21"/>
  <c r="E355" i="21"/>
  <c r="F355" i="21"/>
  <c r="G355" i="21"/>
  <c r="B356" i="21"/>
  <c r="C356" i="21"/>
  <c r="E356" i="21"/>
  <c r="F356" i="21"/>
  <c r="G356" i="21"/>
  <c r="B357" i="21"/>
  <c r="C357" i="21"/>
  <c r="E357" i="21"/>
  <c r="F357" i="21"/>
  <c r="G357" i="21"/>
  <c r="B358" i="21"/>
  <c r="C358" i="21"/>
  <c r="E358" i="21"/>
  <c r="F358" i="21"/>
  <c r="G358" i="21"/>
  <c r="B359" i="21"/>
  <c r="C359" i="21"/>
  <c r="E359" i="21"/>
  <c r="F359" i="21"/>
  <c r="G359" i="21"/>
  <c r="B360" i="21"/>
  <c r="C360" i="21"/>
  <c r="E360" i="21"/>
  <c r="F360" i="21"/>
  <c r="G360" i="21"/>
  <c r="B361" i="21"/>
  <c r="C361" i="21"/>
  <c r="E361" i="21"/>
  <c r="F361" i="21"/>
  <c r="G361" i="21"/>
  <c r="B362" i="21"/>
  <c r="C362" i="21"/>
  <c r="E362" i="21"/>
  <c r="F362" i="21"/>
  <c r="G362" i="21"/>
  <c r="B363" i="21"/>
  <c r="C363" i="21"/>
  <c r="E363" i="21"/>
  <c r="F363" i="21"/>
  <c r="G363" i="21"/>
  <c r="B364" i="21"/>
  <c r="C364" i="21"/>
  <c r="E364" i="21"/>
  <c r="F364" i="21"/>
  <c r="G364" i="21"/>
  <c r="B365" i="21"/>
  <c r="C365" i="21"/>
  <c r="E365" i="21"/>
  <c r="F365" i="21"/>
  <c r="G365" i="21"/>
  <c r="B366" i="21"/>
  <c r="C366" i="21"/>
  <c r="E366" i="21"/>
  <c r="F366" i="21"/>
  <c r="G366" i="21"/>
  <c r="B367" i="21"/>
  <c r="C367" i="21"/>
  <c r="E367" i="21"/>
  <c r="F367" i="21"/>
  <c r="G367" i="21"/>
  <c r="B368" i="21"/>
  <c r="C368" i="21"/>
  <c r="E368" i="21"/>
  <c r="F368" i="21"/>
  <c r="G368" i="21"/>
  <c r="B369" i="21"/>
  <c r="C369" i="21"/>
  <c r="E369" i="21"/>
  <c r="F369" i="21"/>
  <c r="G369" i="21"/>
  <c r="B370" i="21"/>
  <c r="C370" i="21"/>
  <c r="E370" i="21"/>
  <c r="F370" i="21"/>
  <c r="G370" i="21"/>
  <c r="B371" i="21"/>
  <c r="C371" i="21"/>
  <c r="E371" i="21"/>
  <c r="F371" i="21"/>
  <c r="G371" i="21"/>
  <c r="B372" i="21"/>
  <c r="C372" i="21"/>
  <c r="E372" i="21"/>
  <c r="F372" i="21"/>
  <c r="G372" i="21"/>
  <c r="B373" i="21"/>
  <c r="C373" i="21"/>
  <c r="E373" i="21"/>
  <c r="F373" i="21"/>
  <c r="G373" i="21"/>
  <c r="B374" i="21"/>
  <c r="C374" i="21"/>
  <c r="E374" i="21"/>
  <c r="F374" i="21"/>
  <c r="G374" i="21"/>
  <c r="B375" i="21"/>
  <c r="C375" i="21"/>
  <c r="E375" i="21"/>
  <c r="F375" i="21"/>
  <c r="G375" i="21"/>
  <c r="B376" i="21"/>
  <c r="C376" i="21"/>
  <c r="E376" i="21"/>
  <c r="F376" i="21"/>
  <c r="G376" i="21"/>
  <c r="B377" i="21"/>
  <c r="C377" i="21"/>
  <c r="E377" i="21"/>
  <c r="F377" i="21"/>
  <c r="G377" i="21"/>
  <c r="B378" i="21"/>
  <c r="C378" i="21"/>
  <c r="E378" i="21"/>
  <c r="F378" i="21"/>
  <c r="G378" i="21"/>
  <c r="B379" i="21"/>
  <c r="C379" i="21"/>
  <c r="E379" i="21"/>
  <c r="F379" i="21"/>
  <c r="G379" i="21"/>
  <c r="B380" i="21"/>
  <c r="C380" i="21"/>
  <c r="E380" i="21"/>
  <c r="F380" i="21"/>
  <c r="G380" i="21"/>
  <c r="B381" i="21"/>
  <c r="C381" i="21"/>
  <c r="E381" i="21"/>
  <c r="F381" i="21"/>
  <c r="G381" i="21"/>
  <c r="B382" i="21"/>
  <c r="C382" i="21"/>
  <c r="E382" i="21"/>
  <c r="F382" i="21"/>
  <c r="G382" i="21"/>
  <c r="B383" i="21"/>
  <c r="C383" i="21"/>
  <c r="E383" i="21"/>
  <c r="F383" i="21"/>
  <c r="G383" i="21"/>
  <c r="B384" i="21"/>
  <c r="C384" i="21"/>
  <c r="E384" i="21"/>
  <c r="F384" i="21"/>
  <c r="G384" i="21"/>
  <c r="B385" i="21"/>
  <c r="C385" i="21"/>
  <c r="E385" i="21"/>
  <c r="F385" i="21"/>
  <c r="G385" i="21"/>
  <c r="B386" i="21"/>
  <c r="C386" i="21"/>
  <c r="E386" i="21"/>
  <c r="F386" i="21"/>
  <c r="G386" i="21"/>
  <c r="B387" i="21"/>
  <c r="C387" i="21"/>
  <c r="E387" i="21"/>
  <c r="F387" i="21"/>
  <c r="G387" i="21"/>
  <c r="B388" i="21"/>
  <c r="C388" i="21"/>
  <c r="E388" i="21"/>
  <c r="F388" i="21"/>
  <c r="G388" i="21"/>
  <c r="B389" i="21"/>
  <c r="C389" i="21"/>
  <c r="E389" i="21"/>
  <c r="F389" i="21"/>
  <c r="G389" i="21"/>
  <c r="B390" i="21"/>
  <c r="C390" i="21"/>
  <c r="E390" i="21"/>
  <c r="F390" i="21"/>
  <c r="G390" i="21"/>
  <c r="B391" i="21"/>
  <c r="C391" i="21"/>
  <c r="E391" i="21"/>
  <c r="F391" i="21"/>
  <c r="G391" i="21"/>
  <c r="B392" i="21"/>
  <c r="C392" i="21"/>
  <c r="E392" i="21"/>
  <c r="F392" i="21"/>
  <c r="G392" i="21"/>
  <c r="B393" i="21"/>
  <c r="C393" i="21"/>
  <c r="E393" i="21"/>
  <c r="F393" i="21"/>
  <c r="G393" i="21"/>
  <c r="B394" i="21"/>
  <c r="C394" i="21"/>
  <c r="E394" i="21"/>
  <c r="F394" i="21"/>
  <c r="G394" i="21"/>
  <c r="B395" i="21"/>
  <c r="C395" i="21"/>
  <c r="E395" i="21"/>
  <c r="F395" i="21"/>
  <c r="G395" i="21"/>
  <c r="B396" i="21"/>
  <c r="C396" i="21"/>
  <c r="E396" i="21"/>
  <c r="F396" i="21"/>
  <c r="G396" i="21"/>
  <c r="B397" i="21"/>
  <c r="C397" i="21"/>
  <c r="E397" i="21"/>
  <c r="F397" i="21"/>
  <c r="G397" i="21"/>
  <c r="B398" i="21"/>
  <c r="C398" i="21"/>
  <c r="E398" i="21"/>
  <c r="F398" i="21"/>
  <c r="G398" i="21"/>
  <c r="B399" i="21"/>
  <c r="C399" i="21"/>
  <c r="E399" i="21"/>
  <c r="F399" i="21"/>
  <c r="G399" i="21"/>
  <c r="B400" i="21"/>
  <c r="C400" i="21"/>
  <c r="E400" i="21"/>
  <c r="F400" i="21"/>
  <c r="G400" i="21"/>
  <c r="B401" i="21"/>
  <c r="C401" i="21"/>
  <c r="E401" i="21"/>
  <c r="F401" i="21"/>
  <c r="G401" i="21"/>
  <c r="B402" i="21"/>
  <c r="C402" i="21"/>
  <c r="E402" i="21"/>
  <c r="F402" i="21"/>
  <c r="G402" i="21"/>
  <c r="B403" i="21"/>
  <c r="C403" i="21"/>
  <c r="E403" i="21"/>
  <c r="F403" i="21"/>
  <c r="G403" i="21"/>
  <c r="B404" i="21"/>
  <c r="C404" i="21"/>
  <c r="E404" i="21"/>
  <c r="F404" i="21"/>
  <c r="G404" i="21"/>
  <c r="B405" i="21"/>
  <c r="C405" i="21"/>
  <c r="E405" i="21"/>
  <c r="F405" i="21"/>
  <c r="G405" i="21"/>
  <c r="B406" i="21"/>
  <c r="C406" i="21"/>
  <c r="E406" i="21"/>
  <c r="F406" i="21"/>
  <c r="G406" i="21"/>
  <c r="B407" i="21"/>
  <c r="C407" i="21"/>
  <c r="E407" i="21"/>
  <c r="F407" i="21"/>
  <c r="G407" i="21"/>
  <c r="B408" i="21"/>
  <c r="C408" i="21"/>
  <c r="E408" i="21"/>
  <c r="F408" i="21"/>
  <c r="G408" i="21"/>
  <c r="B409" i="21"/>
  <c r="C409" i="21"/>
  <c r="E409" i="21"/>
  <c r="F409" i="21"/>
  <c r="G409" i="21"/>
  <c r="B410" i="21"/>
  <c r="C410" i="21"/>
  <c r="E410" i="21"/>
  <c r="F410" i="21"/>
  <c r="G410" i="21"/>
  <c r="B411" i="21"/>
  <c r="C411" i="21"/>
  <c r="E411" i="21"/>
  <c r="F411" i="21"/>
  <c r="G411" i="21"/>
  <c r="B412" i="21"/>
  <c r="C412" i="21"/>
  <c r="E412" i="21"/>
  <c r="F412" i="21"/>
  <c r="G412" i="21"/>
  <c r="B413" i="21"/>
  <c r="C413" i="21"/>
  <c r="E413" i="21"/>
  <c r="F413" i="21"/>
  <c r="G413" i="21"/>
  <c r="B414" i="21"/>
  <c r="C414" i="21"/>
  <c r="E414" i="21"/>
  <c r="F414" i="21"/>
  <c r="G414" i="21"/>
  <c r="B415" i="21"/>
  <c r="C415" i="21"/>
  <c r="E415" i="21"/>
  <c r="F415" i="21"/>
  <c r="G415" i="21"/>
  <c r="B416" i="21"/>
  <c r="C416" i="21"/>
  <c r="E416" i="21"/>
  <c r="F416" i="21"/>
  <c r="G416" i="21"/>
  <c r="B417" i="21"/>
  <c r="C417" i="21"/>
  <c r="E417" i="21"/>
  <c r="F417" i="21"/>
  <c r="G417" i="21"/>
  <c r="B418" i="21"/>
  <c r="C418" i="21"/>
  <c r="E418" i="21"/>
  <c r="F418" i="21"/>
  <c r="G418" i="21"/>
  <c r="B419" i="21"/>
  <c r="C419" i="21"/>
  <c r="E419" i="21"/>
  <c r="F419" i="21"/>
  <c r="G419" i="21"/>
  <c r="B420" i="21"/>
  <c r="C420" i="21"/>
  <c r="E420" i="21"/>
  <c r="F420" i="21"/>
  <c r="G420" i="21"/>
  <c r="B421" i="21"/>
  <c r="C421" i="21"/>
  <c r="E421" i="21"/>
  <c r="F421" i="21"/>
  <c r="G421" i="21"/>
  <c r="B422" i="21"/>
  <c r="C422" i="21"/>
  <c r="E422" i="21"/>
  <c r="F422" i="21"/>
  <c r="G422" i="21"/>
  <c r="B423" i="21"/>
  <c r="C423" i="21"/>
  <c r="E423" i="21"/>
  <c r="F423" i="21"/>
  <c r="G423" i="21"/>
  <c r="B424" i="21"/>
  <c r="C424" i="21"/>
  <c r="E424" i="21"/>
  <c r="F424" i="21"/>
  <c r="G424" i="21"/>
  <c r="B425" i="21"/>
  <c r="C425" i="21"/>
  <c r="E425" i="21"/>
  <c r="F425" i="21"/>
  <c r="G425" i="21"/>
  <c r="B426" i="21"/>
  <c r="C426" i="21"/>
  <c r="E426" i="21"/>
  <c r="F426" i="21"/>
  <c r="G426" i="21"/>
  <c r="B427" i="21"/>
  <c r="C427" i="21"/>
  <c r="E427" i="21"/>
  <c r="F427" i="21"/>
  <c r="G427" i="21"/>
  <c r="B428" i="21"/>
  <c r="C428" i="21"/>
  <c r="E428" i="21"/>
  <c r="F428" i="21"/>
  <c r="G428" i="21"/>
  <c r="B429" i="21"/>
  <c r="C429" i="21"/>
  <c r="E429" i="21"/>
  <c r="F429" i="21"/>
  <c r="G429" i="21"/>
  <c r="B430" i="21"/>
  <c r="C430" i="21"/>
  <c r="E430" i="21"/>
  <c r="F430" i="21"/>
  <c r="G430" i="21"/>
  <c r="B431" i="21"/>
  <c r="C431" i="21"/>
  <c r="E431" i="21"/>
  <c r="F431" i="21"/>
  <c r="G431" i="21"/>
  <c r="B432" i="21"/>
  <c r="C432" i="21"/>
  <c r="E432" i="21"/>
  <c r="F432" i="21"/>
  <c r="G432" i="21"/>
  <c r="B433" i="21"/>
  <c r="C433" i="21"/>
  <c r="E433" i="21"/>
  <c r="F433" i="21"/>
  <c r="G433" i="21"/>
  <c r="B434" i="21"/>
  <c r="C434" i="21"/>
  <c r="E434" i="21"/>
  <c r="F434" i="21"/>
  <c r="G434" i="21"/>
  <c r="B435" i="21"/>
  <c r="C435" i="21"/>
  <c r="E435" i="21"/>
  <c r="F435" i="21"/>
  <c r="G435" i="21"/>
  <c r="B436" i="21"/>
  <c r="C436" i="21"/>
  <c r="E436" i="21"/>
  <c r="F436" i="21"/>
  <c r="G436" i="21"/>
  <c r="B437" i="21"/>
  <c r="C437" i="21"/>
  <c r="E437" i="21"/>
  <c r="F437" i="21"/>
  <c r="G437" i="21"/>
  <c r="B438" i="21"/>
  <c r="C438" i="21"/>
  <c r="E438" i="21"/>
  <c r="F438" i="21"/>
  <c r="G438" i="21"/>
  <c r="B439" i="21"/>
  <c r="C439" i="21"/>
  <c r="E439" i="21"/>
  <c r="F439" i="21"/>
  <c r="G439" i="21"/>
  <c r="B440" i="21"/>
  <c r="C440" i="21"/>
  <c r="E440" i="21"/>
  <c r="F440" i="21"/>
  <c r="G440" i="21"/>
  <c r="B441" i="21"/>
  <c r="C441" i="21"/>
  <c r="E441" i="21"/>
  <c r="F441" i="21"/>
  <c r="G441" i="21"/>
  <c r="B442" i="21"/>
  <c r="C442" i="21"/>
  <c r="E442" i="21"/>
  <c r="F442" i="21"/>
  <c r="G442" i="21"/>
  <c r="B443" i="21"/>
  <c r="C443" i="21"/>
  <c r="E443" i="21"/>
  <c r="F443" i="21"/>
  <c r="G443" i="21"/>
  <c r="B444" i="21"/>
  <c r="C444" i="21"/>
  <c r="E444" i="21"/>
  <c r="F444" i="21"/>
  <c r="G444" i="21"/>
  <c r="B445" i="21"/>
  <c r="C445" i="21"/>
  <c r="E445" i="21"/>
  <c r="F445" i="21"/>
  <c r="G445" i="21"/>
  <c r="B446" i="21"/>
  <c r="C446" i="21"/>
  <c r="E446" i="21"/>
  <c r="F446" i="21"/>
  <c r="G446" i="21"/>
  <c r="B447" i="21"/>
  <c r="C447" i="21"/>
  <c r="E447" i="21"/>
  <c r="F447" i="21"/>
  <c r="G447" i="21"/>
  <c r="B448" i="21"/>
  <c r="C448" i="21"/>
  <c r="E448" i="21"/>
  <c r="F448" i="21"/>
  <c r="G448" i="21"/>
  <c r="B449" i="21"/>
  <c r="C449" i="21"/>
  <c r="E449" i="21"/>
  <c r="F449" i="21"/>
  <c r="G449" i="21"/>
  <c r="B450" i="21"/>
  <c r="C450" i="21"/>
  <c r="E450" i="21"/>
  <c r="F450" i="21"/>
  <c r="G450" i="21"/>
  <c r="B451" i="21"/>
  <c r="C451" i="21"/>
  <c r="E451" i="21"/>
  <c r="F451" i="21"/>
  <c r="G451" i="21"/>
  <c r="B452" i="21"/>
  <c r="C452" i="21"/>
  <c r="E452" i="21"/>
  <c r="F452" i="21"/>
  <c r="G452" i="21"/>
  <c r="B453" i="21"/>
  <c r="C453" i="21"/>
  <c r="E453" i="21"/>
  <c r="F453" i="21"/>
  <c r="G453" i="21"/>
  <c r="B454" i="21"/>
  <c r="C454" i="21"/>
  <c r="E454" i="21"/>
  <c r="F454" i="21"/>
  <c r="G454" i="21"/>
  <c r="B455" i="21"/>
  <c r="C455" i="21"/>
  <c r="E455" i="21"/>
  <c r="F455" i="21"/>
  <c r="G455" i="21"/>
  <c r="B456" i="21"/>
  <c r="C456" i="21"/>
  <c r="E456" i="21"/>
  <c r="F456" i="21"/>
  <c r="G456" i="21"/>
  <c r="B457" i="21"/>
  <c r="C457" i="21"/>
  <c r="E457" i="21"/>
  <c r="F457" i="21"/>
  <c r="G457" i="21"/>
  <c r="B458" i="21"/>
  <c r="C458" i="21"/>
  <c r="E458" i="21"/>
  <c r="F458" i="21"/>
  <c r="G458" i="21"/>
  <c r="B459" i="21"/>
  <c r="C459" i="21"/>
  <c r="E459" i="21"/>
  <c r="F459" i="21"/>
  <c r="G459" i="21"/>
  <c r="B460" i="21"/>
  <c r="C460" i="21"/>
  <c r="E460" i="21"/>
  <c r="F460" i="21"/>
  <c r="G460" i="21"/>
  <c r="B461" i="21"/>
  <c r="C461" i="21"/>
  <c r="E461" i="21"/>
  <c r="F461" i="21"/>
  <c r="G461" i="21"/>
  <c r="B462" i="21"/>
  <c r="C462" i="21"/>
  <c r="E462" i="21"/>
  <c r="F462" i="21"/>
  <c r="G462" i="21"/>
  <c r="B463" i="21"/>
  <c r="C463" i="21"/>
  <c r="E463" i="21"/>
  <c r="F463" i="21"/>
  <c r="G463" i="21"/>
  <c r="B464" i="21"/>
  <c r="C464" i="21"/>
  <c r="E464" i="21"/>
  <c r="F464" i="21"/>
  <c r="G464" i="21"/>
  <c r="B465" i="21"/>
  <c r="C465" i="21"/>
  <c r="E465" i="21"/>
  <c r="F465" i="21"/>
  <c r="G465" i="21"/>
  <c r="B466" i="21"/>
  <c r="C466" i="21"/>
  <c r="E466" i="21"/>
  <c r="F466" i="21"/>
  <c r="G466" i="21"/>
  <c r="B467" i="21"/>
  <c r="C467" i="21"/>
  <c r="E467" i="21"/>
  <c r="F467" i="21"/>
  <c r="G467" i="21"/>
  <c r="B468" i="21"/>
  <c r="C468" i="21"/>
  <c r="E468" i="21"/>
  <c r="F468" i="21"/>
  <c r="G468" i="21"/>
  <c r="B469" i="21"/>
  <c r="C469" i="21"/>
  <c r="E469" i="21"/>
  <c r="F469" i="21"/>
  <c r="G469" i="21"/>
  <c r="B470" i="21"/>
  <c r="C470" i="21"/>
  <c r="E470" i="21"/>
  <c r="F470" i="21"/>
  <c r="G470" i="21"/>
  <c r="B471" i="21"/>
  <c r="C471" i="21"/>
  <c r="E471" i="21"/>
  <c r="F471" i="21"/>
  <c r="G471" i="21"/>
  <c r="B472" i="21"/>
  <c r="C472" i="21"/>
  <c r="E472" i="21"/>
  <c r="F472" i="21"/>
  <c r="G472" i="21"/>
  <c r="B473" i="21"/>
  <c r="C473" i="21"/>
  <c r="E473" i="21"/>
  <c r="F473" i="21"/>
  <c r="G473" i="21"/>
  <c r="B474" i="21"/>
  <c r="C474" i="21"/>
  <c r="E474" i="21"/>
  <c r="F474" i="21"/>
  <c r="G474" i="21"/>
  <c r="B475" i="21"/>
  <c r="C475" i="21"/>
  <c r="E475" i="21"/>
  <c r="F475" i="21"/>
  <c r="G475" i="21"/>
  <c r="B476" i="21"/>
  <c r="C476" i="21"/>
  <c r="E476" i="21"/>
  <c r="F476" i="21"/>
  <c r="G476" i="21"/>
  <c r="B477" i="21"/>
  <c r="C477" i="21"/>
  <c r="E477" i="21"/>
  <c r="F477" i="21"/>
  <c r="G477" i="21"/>
  <c r="B478" i="21"/>
  <c r="C478" i="21"/>
  <c r="E478" i="21"/>
  <c r="F478" i="21"/>
  <c r="G478" i="21"/>
  <c r="B479" i="21"/>
  <c r="C479" i="21"/>
  <c r="E479" i="21"/>
  <c r="F479" i="21"/>
  <c r="G479" i="21"/>
  <c r="B480" i="21"/>
  <c r="C480" i="21"/>
  <c r="E480" i="21"/>
  <c r="F480" i="21"/>
  <c r="G480" i="21"/>
  <c r="B481" i="21"/>
  <c r="C481" i="21"/>
  <c r="E481" i="21"/>
  <c r="F481" i="21"/>
  <c r="G481" i="21"/>
  <c r="B482" i="21"/>
  <c r="C482" i="21"/>
  <c r="E482" i="21"/>
  <c r="F482" i="21"/>
  <c r="G482" i="21"/>
  <c r="B483" i="21"/>
  <c r="C483" i="21"/>
  <c r="E483" i="21"/>
  <c r="F483" i="21"/>
  <c r="G483" i="21"/>
  <c r="B484" i="21"/>
  <c r="C484" i="21"/>
  <c r="E484" i="21"/>
  <c r="F484" i="21"/>
  <c r="G484" i="21"/>
  <c r="B485" i="21"/>
  <c r="C485" i="21"/>
  <c r="E485" i="21"/>
  <c r="F485" i="21"/>
  <c r="G485" i="21"/>
  <c r="B486" i="21"/>
  <c r="C486" i="21"/>
  <c r="E486" i="21"/>
  <c r="F486" i="21"/>
  <c r="G486" i="21"/>
  <c r="B487" i="21"/>
  <c r="C487" i="21"/>
  <c r="E487" i="21"/>
  <c r="F487" i="21"/>
  <c r="G487" i="21"/>
  <c r="B488" i="21"/>
  <c r="C488" i="21"/>
  <c r="E488" i="21"/>
  <c r="F488" i="21"/>
  <c r="G488" i="21"/>
  <c r="B489" i="21"/>
  <c r="C489" i="21"/>
  <c r="E489" i="21"/>
  <c r="F489" i="21"/>
  <c r="G489" i="21"/>
  <c r="B490" i="21"/>
  <c r="C490" i="21"/>
  <c r="E490" i="21"/>
  <c r="F490" i="21"/>
  <c r="G490" i="21"/>
  <c r="B491" i="21"/>
  <c r="C491" i="21"/>
  <c r="E491" i="21"/>
  <c r="F491" i="21"/>
  <c r="G491" i="21"/>
  <c r="B492" i="21"/>
  <c r="C492" i="21"/>
  <c r="E492" i="21"/>
  <c r="F492" i="21"/>
  <c r="G492" i="21"/>
  <c r="B493" i="21"/>
  <c r="C493" i="21"/>
  <c r="E493" i="21"/>
  <c r="F493" i="21"/>
  <c r="G493" i="21"/>
  <c r="B494" i="21"/>
  <c r="C494" i="21"/>
  <c r="E494" i="21"/>
  <c r="F494" i="21"/>
  <c r="G494" i="21"/>
  <c r="B495" i="21"/>
  <c r="C495" i="21"/>
  <c r="E495" i="21"/>
  <c r="F495" i="21"/>
  <c r="G495" i="21"/>
  <c r="B496" i="21"/>
  <c r="C496" i="21"/>
  <c r="E496" i="21"/>
  <c r="F496" i="21"/>
  <c r="G496" i="21"/>
  <c r="B8" i="21"/>
  <c r="C10" i="18"/>
  <c r="I8" i="18" s="1"/>
  <c r="B2" i="21"/>
  <c r="B4" i="21"/>
  <c r="B5" i="21"/>
  <c r="B6" i="21"/>
  <c r="B7" i="21"/>
  <c r="B9" i="21"/>
  <c r="B10" i="21"/>
  <c r="B11" i="21"/>
  <c r="B12" i="21"/>
  <c r="B13" i="21"/>
  <c r="B14" i="21"/>
  <c r="C2" i="21"/>
  <c r="C3" i="21"/>
  <c r="C4" i="21"/>
  <c r="C6" i="21"/>
  <c r="C7" i="21"/>
  <c r="C8" i="21"/>
  <c r="C9" i="21"/>
  <c r="C10" i="21"/>
  <c r="C11" i="21"/>
  <c r="C12" i="21"/>
  <c r="C13" i="21"/>
  <c r="C14" i="21"/>
  <c r="F25" i="21"/>
  <c r="G25" i="21"/>
  <c r="E25" i="21"/>
  <c r="E24" i="21"/>
  <c r="F24" i="21"/>
  <c r="G24" i="21"/>
  <c r="E27" i="21"/>
  <c r="F27" i="21"/>
  <c r="G27" i="21"/>
  <c r="E23" i="21"/>
  <c r="F23" i="21"/>
  <c r="G23" i="21"/>
  <c r="G26" i="21"/>
  <c r="E26" i="21"/>
  <c r="F26" i="21"/>
  <c r="F22" i="21"/>
  <c r="G22" i="21"/>
  <c r="E22" i="21"/>
  <c r="E21" i="21"/>
  <c r="F21" i="21"/>
  <c r="G21" i="21"/>
  <c r="G20" i="21"/>
  <c r="E20" i="21"/>
  <c r="F20" i="21"/>
  <c r="G18" i="18"/>
  <c r="E17" i="21"/>
  <c r="F17" i="21"/>
  <c r="G17" i="21"/>
  <c r="F8" i="21"/>
  <c r="G8" i="21"/>
  <c r="E8" i="21"/>
  <c r="F18" i="21"/>
  <c r="G18" i="21"/>
  <c r="E18" i="21"/>
  <c r="E14" i="21"/>
  <c r="F14" i="21"/>
  <c r="G14" i="21"/>
  <c r="G7" i="21"/>
  <c r="E7" i="21"/>
  <c r="F7" i="21"/>
  <c r="E6" i="21"/>
  <c r="F6" i="21"/>
  <c r="G6" i="21"/>
  <c r="E3" i="21"/>
  <c r="F3" i="21"/>
  <c r="G3" i="21"/>
  <c r="G15" i="21"/>
  <c r="E15" i="21"/>
  <c r="F15" i="21"/>
  <c r="F10" i="21"/>
  <c r="G10" i="21"/>
  <c r="E10" i="21"/>
  <c r="E9" i="21"/>
  <c r="F9" i="21"/>
  <c r="G9" i="21"/>
  <c r="E11" i="21"/>
  <c r="F11" i="21"/>
  <c r="G11" i="21"/>
  <c r="E19" i="21"/>
  <c r="F19" i="21"/>
  <c r="G19" i="21"/>
  <c r="F13" i="21"/>
  <c r="G13" i="21"/>
  <c r="E13" i="21"/>
  <c r="F16" i="21"/>
  <c r="G16" i="21"/>
  <c r="E16" i="21"/>
  <c r="E12" i="21"/>
  <c r="F12" i="21"/>
  <c r="G12" i="21"/>
  <c r="F5" i="21"/>
  <c r="G5" i="21"/>
  <c r="E5" i="21"/>
  <c r="E4" i="21"/>
  <c r="F4" i="21"/>
  <c r="G4" i="21"/>
  <c r="F8" i="18"/>
  <c r="F18" i="18"/>
  <c r="G2" i="21"/>
  <c r="E2" i="21"/>
  <c r="E18" i="18"/>
  <c r="F2" i="21"/>
  <c r="D18" i="18"/>
  <c r="D34" i="18"/>
  <c r="E34" i="18"/>
  <c r="F34" i="18"/>
  <c r="G34" i="18"/>
  <c r="J34" i="18"/>
  <c r="K34" i="18"/>
  <c r="D35" i="18"/>
  <c r="E35" i="18"/>
  <c r="F35" i="18"/>
  <c r="G35" i="18"/>
  <c r="J35" i="18"/>
  <c r="K35" i="18"/>
  <c r="E33" i="18"/>
  <c r="F33" i="18"/>
  <c r="G33" i="18"/>
  <c r="J33" i="18"/>
  <c r="K33" i="18"/>
  <c r="D33" i="18"/>
  <c r="D29" i="18"/>
  <c r="E29" i="18"/>
  <c r="F29" i="18"/>
  <c r="G29" i="18"/>
  <c r="J29" i="18"/>
  <c r="K29" i="18"/>
  <c r="D30" i="18"/>
  <c r="E30" i="18"/>
  <c r="F30" i="18"/>
  <c r="G30" i="18"/>
  <c r="J30" i="18"/>
  <c r="K30" i="18"/>
  <c r="D32" i="18"/>
  <c r="E32" i="18"/>
  <c r="F32" i="18"/>
  <c r="G32" i="18"/>
  <c r="J32" i="18"/>
  <c r="K32" i="18"/>
  <c r="E28" i="18"/>
  <c r="F28" i="18"/>
  <c r="G28" i="18"/>
  <c r="J28" i="18"/>
  <c r="K28" i="18"/>
  <c r="F10" i="18"/>
  <c r="F4" i="18"/>
  <c r="L34" i="18" l="1"/>
  <c r="I10" i="18"/>
  <c r="L29" i="18"/>
  <c r="J36" i="18"/>
  <c r="L32" i="18"/>
  <c r="L35" i="18"/>
  <c r="K36" i="18"/>
  <c r="G36" i="18"/>
  <c r="F36" i="18"/>
  <c r="I36" i="18"/>
  <c r="E36" i="18"/>
  <c r="L30" i="18"/>
  <c r="L33" i="18"/>
  <c r="L28" i="18"/>
  <c r="H36" i="18"/>
  <c r="D36" i="18"/>
  <c r="L36" i="18" l="1"/>
  <c r="F6" i="18" s="1"/>
  <c r="D478" i="21"/>
  <c r="D452" i="21"/>
  <c r="D172" i="21"/>
  <c r="D380" i="21"/>
  <c r="D449" i="21"/>
  <c r="D317" i="21"/>
  <c r="D225" i="21"/>
  <c r="D390" i="21"/>
  <c r="D410" i="21"/>
  <c r="D140" i="21"/>
  <c r="D468" i="21"/>
  <c r="D462" i="21"/>
  <c r="D274" i="21"/>
  <c r="D329" i="21"/>
  <c r="D485" i="21"/>
  <c r="D159" i="21"/>
  <c r="D85" i="21"/>
  <c r="D44" i="21"/>
  <c r="D136" i="21"/>
  <c r="D241" i="21"/>
  <c r="D248" i="21"/>
  <c r="D138" i="21"/>
  <c r="D346" i="21"/>
  <c r="D384" i="21"/>
  <c r="D396" i="21"/>
  <c r="D186" i="21"/>
  <c r="D271" i="21"/>
  <c r="D457" i="21"/>
  <c r="D146" i="21"/>
  <c r="D178" i="21"/>
  <c r="D453" i="21"/>
  <c r="D451" i="21"/>
  <c r="D21" i="21"/>
  <c r="D131" i="21"/>
  <c r="D59" i="21"/>
  <c r="D377" i="21"/>
  <c r="D446" i="21"/>
  <c r="D71" i="21"/>
  <c r="D287" i="21"/>
  <c r="D349" i="21"/>
  <c r="D145" i="21"/>
  <c r="D47" i="21"/>
  <c r="D28" i="21"/>
  <c r="D16" i="21"/>
  <c r="D265" i="21"/>
  <c r="D166" i="21"/>
  <c r="D60" i="21"/>
  <c r="D338" i="21"/>
  <c r="D371" i="21"/>
  <c r="D128" i="21"/>
  <c r="D327" i="21"/>
  <c r="D12" i="21"/>
  <c r="D214" i="21"/>
  <c r="D482" i="21"/>
  <c r="D66" i="21"/>
  <c r="D427" i="21"/>
  <c r="D442" i="21"/>
  <c r="D436" i="21"/>
  <c r="D25" i="21"/>
  <c r="D264" i="21"/>
  <c r="D292" i="21"/>
  <c r="D416" i="21"/>
  <c r="D129" i="21"/>
  <c r="D11" i="21"/>
  <c r="D298" i="21"/>
  <c r="D93" i="21"/>
  <c r="D398" i="21"/>
  <c r="D465" i="21"/>
  <c r="D308" i="21"/>
  <c r="D454" i="21"/>
  <c r="D126" i="21"/>
  <c r="D247" i="21"/>
  <c r="D61" i="21"/>
  <c r="D273" i="21"/>
  <c r="D402" i="21"/>
  <c r="D24" i="21"/>
  <c r="D2" i="21"/>
  <c r="D299" i="21"/>
  <c r="D201" i="21"/>
  <c r="D400" i="21"/>
  <c r="D124" i="21"/>
  <c r="D120" i="21"/>
  <c r="D301" i="21"/>
  <c r="D388" i="21"/>
  <c r="D122" i="21"/>
  <c r="D34" i="21"/>
  <c r="D366" i="21"/>
  <c r="D92" i="21"/>
  <c r="D266" i="21"/>
  <c r="D152" i="21"/>
  <c r="D330" i="21"/>
  <c r="D182" i="21"/>
  <c r="D150" i="21"/>
  <c r="D125" i="21"/>
  <c r="D22" i="21"/>
  <c r="D302" i="21"/>
  <c r="D387" i="21"/>
  <c r="D438" i="21"/>
  <c r="D65" i="21"/>
  <c r="D127" i="21"/>
  <c r="D81" i="21"/>
  <c r="D86" i="21"/>
  <c r="D133" i="21"/>
  <c r="D254" i="21"/>
  <c r="D459" i="21"/>
  <c r="D46" i="21"/>
  <c r="D116" i="21"/>
  <c r="D494" i="21"/>
  <c r="D461" i="21"/>
  <c r="D54" i="21"/>
  <c r="D169" i="21"/>
  <c r="D192" i="21"/>
  <c r="D283" i="21"/>
  <c r="D87" i="21"/>
  <c r="D109" i="21"/>
  <c r="D98" i="21"/>
  <c r="D224" i="21"/>
  <c r="D58" i="21"/>
  <c r="D290" i="21"/>
  <c r="D310" i="21"/>
  <c r="D101" i="21"/>
  <c r="D57" i="21"/>
  <c r="D285" i="21"/>
  <c r="D307" i="21"/>
  <c r="D8" i="21"/>
  <c r="D257" i="21"/>
  <c r="D319" i="21"/>
  <c r="D107" i="21"/>
  <c r="D306" i="21"/>
  <c r="D83" i="21"/>
  <c r="D36" i="21"/>
  <c r="D88" i="21"/>
  <c r="D458" i="21"/>
  <c r="D253" i="21"/>
  <c r="D475" i="21"/>
  <c r="D179" i="21"/>
  <c r="D393" i="21"/>
  <c r="D315" i="21"/>
  <c r="D313" i="21"/>
  <c r="D220" i="21"/>
  <c r="D33" i="21"/>
  <c r="D7" i="21"/>
  <c r="D385" i="21"/>
  <c r="D432" i="21"/>
  <c r="D13" i="21"/>
  <c r="D428" i="21"/>
  <c r="D230" i="21"/>
  <c r="D408" i="21"/>
  <c r="D18" i="21"/>
  <c r="D196" i="21"/>
  <c r="D272" i="21"/>
  <c r="D236" i="21"/>
  <c r="D420" i="21"/>
  <c r="D14" i="21"/>
  <c r="D227" i="21"/>
  <c r="D171" i="21"/>
  <c r="D110" i="21"/>
  <c r="D52" i="21"/>
  <c r="D213" i="21"/>
  <c r="D394" i="21"/>
  <c r="D480" i="21"/>
  <c r="D151" i="21"/>
  <c r="D260" i="21"/>
  <c r="D333" i="21"/>
  <c r="D49" i="21"/>
  <c r="D244" i="21"/>
  <c r="D144" i="21"/>
  <c r="D439" i="21"/>
  <c r="D255" i="21"/>
  <c r="D357" i="21"/>
  <c r="D222" i="21"/>
  <c r="D64" i="21"/>
  <c r="D161" i="21"/>
  <c r="D78" i="21"/>
  <c r="D293" i="21"/>
  <c r="D339" i="21"/>
  <c r="D155" i="21"/>
  <c r="D84" i="21"/>
  <c r="D350" i="21"/>
  <c r="D10" i="21"/>
  <c r="D392" i="21"/>
  <c r="D479" i="21"/>
  <c r="D68" i="21"/>
  <c r="D223" i="21"/>
  <c r="D469" i="21"/>
  <c r="D353" i="21"/>
  <c r="D67" i="21"/>
  <c r="D481" i="21"/>
  <c r="D5" i="21"/>
  <c r="D316" i="21"/>
  <c r="D80" i="21"/>
  <c r="D4" i="21"/>
  <c r="D320" i="21"/>
  <c r="D361" i="21"/>
  <c r="D15" i="21"/>
  <c r="D362" i="21"/>
  <c r="D288" i="21"/>
  <c r="D23" i="21"/>
  <c r="D203" i="21"/>
  <c r="D413" i="21"/>
  <c r="D321" i="21"/>
  <c r="D62" i="21"/>
  <c r="D277" i="21"/>
  <c r="D359" i="21"/>
  <c r="D332" i="21"/>
  <c r="D39" i="21"/>
  <c r="D286" i="21"/>
  <c r="D487" i="21"/>
  <c r="D168" i="21"/>
  <c r="D238" i="21"/>
  <c r="D397" i="21"/>
  <c r="D199" i="21"/>
  <c r="D435" i="21"/>
  <c r="D356" i="21"/>
  <c r="D99" i="21"/>
  <c r="D181" i="21"/>
  <c r="D246" i="21"/>
  <c r="D496" i="21"/>
  <c r="D215" i="21"/>
  <c r="D450" i="21"/>
  <c r="D69" i="21"/>
  <c r="D240" i="21"/>
  <c r="D365" i="21"/>
  <c r="D267" i="21"/>
  <c r="D399" i="21"/>
  <c r="D373" i="21"/>
  <c r="D291" i="21"/>
  <c r="D17" i="21"/>
  <c r="D89" i="21"/>
  <c r="D424" i="21"/>
  <c r="D282" i="21"/>
  <c r="D429" i="21"/>
  <c r="D411" i="21"/>
  <c r="D495" i="21"/>
  <c r="D37" i="21"/>
  <c r="D280" i="21"/>
  <c r="D367" i="21"/>
  <c r="D105" i="21"/>
  <c r="D221" i="21"/>
  <c r="D334" i="21"/>
  <c r="D473" i="21"/>
  <c r="D6" i="21"/>
  <c r="D249" i="21"/>
  <c r="D493" i="21"/>
  <c r="D156" i="21"/>
  <c r="D430" i="21"/>
  <c r="D219" i="21"/>
  <c r="D342" i="21"/>
  <c r="D476" i="21"/>
  <c r="D456" i="21"/>
  <c r="D183" i="21"/>
  <c r="D102" i="21"/>
  <c r="D372" i="21"/>
  <c r="D269" i="21"/>
  <c r="D190" i="21"/>
  <c r="D422" i="21"/>
  <c r="D206" i="21"/>
  <c r="D185" i="21"/>
  <c r="D437" i="21"/>
  <c r="D376" i="21"/>
  <c r="D228" i="21"/>
  <c r="D91" i="21"/>
  <c r="D441" i="21"/>
  <c r="D187" i="21"/>
  <c r="D348" i="21"/>
  <c r="D312" i="21"/>
  <c r="D314" i="21"/>
  <c r="D360" i="21"/>
  <c r="D483" i="21"/>
  <c r="D409" i="21"/>
  <c r="D82" i="21"/>
  <c r="D143" i="21"/>
  <c r="D189" i="21"/>
  <c r="D448" i="21"/>
  <c r="D304" i="21"/>
  <c r="D96" i="21"/>
  <c r="D354" i="21"/>
  <c r="D204" i="21"/>
  <c r="D194" i="21"/>
  <c r="D261" i="21"/>
  <c r="D38" i="21"/>
  <c r="D296" i="21"/>
  <c r="D94" i="21"/>
  <c r="D374" i="21"/>
  <c r="D70" i="21"/>
  <c r="D455" i="21"/>
  <c r="D232" i="21"/>
  <c r="D391" i="21"/>
  <c r="D311" i="21"/>
  <c r="D251" i="21"/>
  <c r="D470" i="21"/>
  <c r="D358" i="21"/>
  <c r="D325" i="21"/>
  <c r="D431" i="21"/>
  <c r="D491" i="21"/>
  <c r="D425" i="21"/>
  <c r="D364" i="21"/>
  <c r="D173" i="21"/>
  <c r="D239" i="21"/>
  <c r="D415" i="21"/>
  <c r="D363" i="21"/>
  <c r="D281" i="21"/>
  <c r="D351" i="21"/>
  <c r="D198" i="21"/>
  <c r="D252" i="21"/>
  <c r="D270" i="21"/>
  <c r="D407" i="21"/>
  <c r="D336" i="21"/>
  <c r="D258" i="21"/>
  <c r="D467" i="21"/>
  <c r="D341" i="21"/>
  <c r="D484" i="21"/>
  <c r="D3" i="21"/>
  <c r="D419" i="21"/>
  <c r="D160" i="21"/>
  <c r="D77" i="21"/>
  <c r="D184" i="21"/>
  <c r="D41" i="21"/>
  <c r="D421" i="21"/>
  <c r="D464" i="21"/>
  <c r="D323" i="21"/>
  <c r="D343" i="21"/>
  <c r="D117" i="21"/>
  <c r="D218" i="21"/>
  <c r="D268" i="21"/>
  <c r="D297" i="21"/>
  <c r="D31" i="21"/>
  <c r="D210" i="21"/>
  <c r="D55" i="21"/>
  <c r="D163" i="21"/>
  <c r="D153" i="21"/>
  <c r="D300" i="21"/>
  <c r="D200" i="21"/>
  <c r="D259" i="21"/>
  <c r="D395" i="21"/>
  <c r="D123" i="21"/>
  <c r="D406" i="21"/>
  <c r="D294" i="21"/>
  <c r="D344" i="21"/>
  <c r="D193" i="21"/>
  <c r="D444" i="21"/>
  <c r="D216" i="21"/>
  <c r="D378" i="21"/>
  <c r="D492" i="21"/>
  <c r="D167" i="21"/>
  <c r="D103" i="21"/>
  <c r="D434" i="21"/>
  <c r="D379" i="21"/>
  <c r="D191" i="21"/>
  <c r="D208" i="21"/>
  <c r="D382" i="21"/>
  <c r="D414" i="21"/>
  <c r="D289" i="21"/>
  <c r="D278" i="21"/>
  <c r="D237" i="21"/>
  <c r="D305" i="21"/>
  <c r="D20" i="21"/>
  <c r="D63" i="21"/>
  <c r="D331" i="21"/>
  <c r="D32" i="21"/>
  <c r="D95" i="21"/>
  <c r="D405" i="21"/>
  <c r="D104" i="21"/>
  <c r="D195" i="21"/>
  <c r="D48" i="21"/>
  <c r="D97" i="21"/>
  <c r="D370" i="21"/>
  <c r="D27" i="21"/>
  <c r="D401" i="21"/>
  <c r="D72" i="21"/>
  <c r="D263" i="21"/>
  <c r="D79" i="21"/>
  <c r="D197" i="21"/>
  <c r="D42" i="21"/>
  <c r="D74" i="21"/>
  <c r="D164" i="21"/>
  <c r="D154" i="21"/>
  <c r="D226" i="21"/>
  <c r="D303" i="21"/>
  <c r="D121" i="21"/>
  <c r="D471" i="21"/>
  <c r="D56" i="21"/>
  <c r="D423" i="21"/>
  <c r="D381" i="21"/>
  <c r="D229" i="21"/>
  <c r="D318" i="21"/>
  <c r="D170" i="21"/>
  <c r="D404" i="21"/>
  <c r="D30" i="21"/>
  <c r="D337" i="21"/>
  <c r="D205" i="21"/>
  <c r="D106" i="21"/>
  <c r="D209" i="21"/>
  <c r="D426" i="21"/>
  <c r="D231" i="21"/>
  <c r="D35" i="21"/>
  <c r="D418" i="21"/>
  <c r="D176" i="21"/>
  <c r="D202" i="21"/>
  <c r="D76" i="21"/>
  <c r="D445" i="21"/>
  <c r="D9" i="21"/>
  <c r="D245" i="21"/>
  <c r="D141" i="21"/>
  <c r="D324" i="21"/>
  <c r="D489" i="21"/>
  <c r="D175" i="21"/>
  <c r="D463" i="21"/>
  <c r="D114" i="21"/>
  <c r="D474" i="21"/>
  <c r="D26" i="21"/>
  <c r="D142" i="21"/>
  <c r="D276" i="21"/>
  <c r="D162" i="21"/>
  <c r="D177" i="21"/>
  <c r="D486" i="21"/>
  <c r="D100" i="21"/>
  <c r="D233" i="21"/>
  <c r="D477" i="21"/>
  <c r="D137" i="21"/>
  <c r="D118" i="21"/>
  <c r="D335" i="21"/>
  <c r="D73" i="21"/>
  <c r="D322" i="21"/>
  <c r="D279" i="21"/>
  <c r="D443" i="21"/>
  <c r="D157" i="21"/>
  <c r="D447" i="21"/>
  <c r="D148" i="21"/>
  <c r="D108" i="21"/>
  <c r="D50" i="21"/>
  <c r="D369" i="21"/>
  <c r="D235" i="21"/>
  <c r="D43" i="21"/>
  <c r="D250" i="21"/>
  <c r="D130" i="21"/>
  <c r="D383" i="21"/>
  <c r="D389" i="21"/>
  <c r="D165" i="21"/>
  <c r="D134" i="21"/>
  <c r="D472" i="21"/>
  <c r="D211" i="21"/>
  <c r="D90" i="21"/>
  <c r="D243" i="21"/>
  <c r="D284" i="21"/>
  <c r="D113" i="21"/>
  <c r="D403" i="21"/>
  <c r="D132" i="21"/>
  <c r="D295" i="21"/>
  <c r="D207" i="21"/>
  <c r="D51" i="21"/>
  <c r="D326" i="21"/>
  <c r="D234" i="21"/>
  <c r="D256" i="21"/>
  <c r="D112" i="21"/>
  <c r="D340" i="21"/>
  <c r="D417" i="21"/>
  <c r="D180" i="21"/>
  <c r="D75" i="21"/>
  <c r="D466" i="21"/>
  <c r="D488" i="21"/>
  <c r="D460" i="21"/>
  <c r="D375" i="21"/>
  <c r="D275" i="21"/>
  <c r="D212" i="21"/>
  <c r="D345" i="21"/>
  <c r="D352" i="21"/>
  <c r="D490" i="21"/>
  <c r="D115" i="21"/>
  <c r="D40" i="21"/>
  <c r="D355" i="21"/>
  <c r="D147" i="21"/>
  <c r="D386" i="21"/>
  <c r="D242" i="21"/>
  <c r="D368" i="21"/>
  <c r="D149" i="21"/>
  <c r="D29" i="21"/>
  <c r="D188" i="21"/>
  <c r="D440" i="21"/>
  <c r="D45" i="21"/>
  <c r="D53" i="21"/>
  <c r="D119" i="21"/>
  <c r="D111" i="21"/>
  <c r="D262" i="21"/>
  <c r="D309" i="21"/>
  <c r="D174" i="21"/>
  <c r="D158" i="21"/>
  <c r="D328" i="21"/>
  <c r="D135" i="21"/>
  <c r="D347" i="21"/>
  <c r="D433" i="21"/>
  <c r="D139" i="21"/>
  <c r="D217" i="21"/>
  <c r="D412" i="21"/>
  <c r="D19" i="21"/>
  <c r="J19" i="21" l="1"/>
  <c r="J412" i="21"/>
  <c r="J217" i="21"/>
  <c r="J139" i="21"/>
  <c r="J433" i="21"/>
  <c r="J347" i="21"/>
  <c r="J135" i="21"/>
  <c r="J328" i="21"/>
  <c r="J158" i="21"/>
  <c r="J174" i="21"/>
  <c r="J309" i="21"/>
  <c r="J262" i="21"/>
  <c r="J111" i="21"/>
  <c r="J119" i="21"/>
  <c r="J53" i="21"/>
  <c r="J45" i="21"/>
  <c r="J440" i="21"/>
  <c r="J188" i="21"/>
  <c r="J29" i="21"/>
  <c r="J149" i="21"/>
  <c r="J368" i="21"/>
  <c r="J242" i="21"/>
  <c r="J386" i="21"/>
  <c r="J147" i="21"/>
  <c r="J355" i="21"/>
  <c r="J40" i="21"/>
  <c r="J115" i="21"/>
  <c r="J490" i="21"/>
  <c r="J352" i="21"/>
  <c r="J345" i="21"/>
  <c r="J212" i="21"/>
  <c r="J275" i="21"/>
  <c r="J375" i="21"/>
  <c r="J460" i="21"/>
  <c r="J488" i="21"/>
  <c r="J466" i="21"/>
  <c r="J75" i="21"/>
  <c r="J180" i="21"/>
  <c r="J417" i="21"/>
  <c r="J340" i="21"/>
  <c r="J112" i="21"/>
  <c r="J256" i="21"/>
  <c r="J234" i="21"/>
  <c r="J326" i="21"/>
  <c r="J51" i="21"/>
  <c r="J207" i="21"/>
  <c r="J295" i="21"/>
  <c r="J132" i="21"/>
  <c r="J403" i="21"/>
  <c r="J113" i="21"/>
  <c r="J284" i="21"/>
  <c r="J243" i="21"/>
  <c r="J90" i="21"/>
  <c r="J211" i="21"/>
  <c r="J472" i="21"/>
  <c r="J134" i="21"/>
  <c r="J165" i="21"/>
  <c r="J389" i="21"/>
  <c r="J383" i="21"/>
  <c r="J130" i="21"/>
  <c r="J250" i="21"/>
  <c r="J43" i="21"/>
  <c r="J235" i="21"/>
  <c r="J369" i="21"/>
  <c r="J50" i="21"/>
  <c r="J108" i="21"/>
  <c r="J148" i="21"/>
  <c r="J447" i="21"/>
  <c r="J157" i="21"/>
  <c r="J443" i="21"/>
  <c r="J279" i="21"/>
  <c r="J322" i="21"/>
  <c r="J73" i="21"/>
  <c r="J335" i="21"/>
  <c r="J118" i="21"/>
  <c r="J137" i="21"/>
  <c r="J477" i="21"/>
  <c r="J233" i="21"/>
  <c r="J100" i="21"/>
  <c r="J486" i="21"/>
  <c r="J177" i="21"/>
  <c r="J162" i="21"/>
  <c r="J276" i="21"/>
  <c r="J142" i="21"/>
  <c r="J26" i="21"/>
  <c r="J474" i="21"/>
  <c r="J114" i="21"/>
  <c r="J463" i="21"/>
  <c r="J175" i="21"/>
  <c r="J489" i="21"/>
  <c r="J324" i="21"/>
  <c r="J141" i="21"/>
  <c r="J245" i="21"/>
  <c r="J9" i="21"/>
  <c r="J445" i="21"/>
  <c r="J76" i="21"/>
  <c r="J202" i="21"/>
  <c r="J176" i="21"/>
  <c r="J418" i="21"/>
  <c r="J35" i="21"/>
  <c r="J231" i="21"/>
  <c r="J426" i="21"/>
  <c r="J209" i="21"/>
  <c r="J106" i="21"/>
  <c r="J205" i="21"/>
  <c r="J337" i="21"/>
  <c r="J30" i="21"/>
  <c r="J404" i="21"/>
  <c r="J170" i="21"/>
  <c r="J318" i="21"/>
  <c r="J229" i="21"/>
  <c r="J381" i="21"/>
  <c r="J423" i="21"/>
  <c r="J56" i="21"/>
  <c r="J471" i="21"/>
  <c r="J121" i="21"/>
  <c r="J303" i="21"/>
  <c r="J226" i="21"/>
  <c r="J154" i="21"/>
  <c r="J164" i="21"/>
  <c r="J74" i="21"/>
  <c r="J42" i="21"/>
  <c r="J197" i="21"/>
  <c r="J79" i="21"/>
  <c r="J263" i="21"/>
  <c r="J72" i="21"/>
  <c r="J401" i="21"/>
  <c r="J27" i="21"/>
  <c r="J370" i="21"/>
  <c r="J97" i="21"/>
  <c r="J48" i="21"/>
  <c r="J195" i="21"/>
  <c r="J104" i="21"/>
  <c r="J405" i="21"/>
  <c r="J95" i="21"/>
  <c r="J32" i="21"/>
  <c r="J331" i="21"/>
  <c r="J63" i="21"/>
  <c r="J20" i="21"/>
  <c r="J305" i="21"/>
  <c r="J237" i="21"/>
  <c r="J278" i="21"/>
  <c r="J289" i="21"/>
  <c r="J414" i="21"/>
  <c r="J382" i="21"/>
  <c r="J208" i="21"/>
  <c r="J191" i="21"/>
  <c r="J379" i="21"/>
  <c r="J434" i="21"/>
  <c r="J103" i="21"/>
  <c r="J167" i="21"/>
  <c r="J492" i="21"/>
  <c r="J378" i="21"/>
  <c r="J216" i="21"/>
  <c r="J444" i="21"/>
  <c r="J193" i="21"/>
  <c r="J344" i="21"/>
  <c r="J294" i="21"/>
  <c r="J406" i="21"/>
  <c r="J123" i="21"/>
  <c r="J395" i="21"/>
  <c r="J259" i="21"/>
  <c r="J200" i="21"/>
  <c r="J300" i="21"/>
  <c r="J153" i="21"/>
  <c r="J163" i="21"/>
  <c r="J55" i="21"/>
  <c r="J210" i="21"/>
  <c r="J31" i="21"/>
  <c r="J297" i="21"/>
  <c r="J268" i="21"/>
  <c r="J218" i="21"/>
  <c r="J117" i="21"/>
  <c r="J343" i="21"/>
  <c r="J323" i="21"/>
  <c r="J464" i="21"/>
  <c r="J421" i="21"/>
  <c r="J41" i="21"/>
  <c r="J184" i="21"/>
  <c r="J77" i="21"/>
  <c r="J160" i="21"/>
  <c r="J419" i="21"/>
  <c r="J3" i="21"/>
  <c r="J484" i="21"/>
  <c r="J341" i="21"/>
  <c r="J467" i="21"/>
  <c r="J258" i="21"/>
  <c r="J336" i="21"/>
  <c r="J407" i="21"/>
  <c r="J270" i="21"/>
  <c r="J252" i="21"/>
  <c r="J198" i="21"/>
  <c r="J351" i="21"/>
  <c r="J281" i="21"/>
  <c r="J363" i="21"/>
  <c r="J415" i="21"/>
  <c r="J239" i="21"/>
  <c r="J173" i="21"/>
  <c r="J364" i="21"/>
  <c r="J425" i="21"/>
  <c r="J491" i="21"/>
  <c r="J431" i="21"/>
  <c r="J325" i="21"/>
  <c r="J358" i="21"/>
  <c r="J470" i="21"/>
  <c r="J251" i="21"/>
  <c r="J311" i="21"/>
  <c r="J391" i="21"/>
  <c r="J232" i="21"/>
  <c r="J455" i="21"/>
  <c r="J70" i="21"/>
  <c r="J374" i="21"/>
  <c r="J94" i="21"/>
  <c r="J296" i="21"/>
  <c r="J38" i="21"/>
  <c r="J261" i="21"/>
  <c r="J194" i="21"/>
  <c r="J204" i="21"/>
  <c r="J354" i="21"/>
  <c r="J96" i="21"/>
  <c r="J304" i="21"/>
  <c r="J448" i="21"/>
  <c r="J189" i="21"/>
  <c r="J143" i="21"/>
  <c r="J82" i="21"/>
  <c r="J409" i="21"/>
  <c r="J483" i="21"/>
  <c r="J360" i="21"/>
  <c r="J314" i="21"/>
  <c r="J312" i="21"/>
  <c r="J348" i="21"/>
  <c r="J187" i="21"/>
  <c r="J441" i="21"/>
  <c r="J91" i="21"/>
  <c r="J228" i="21"/>
  <c r="J376" i="21"/>
  <c r="J437" i="21"/>
  <c r="J185" i="21"/>
  <c r="J206" i="21"/>
  <c r="J422" i="21"/>
  <c r="J190" i="21"/>
  <c r="J269" i="21"/>
  <c r="J372" i="21"/>
  <c r="J102" i="21"/>
  <c r="J183" i="21"/>
  <c r="J456" i="21"/>
  <c r="J476" i="21"/>
  <c r="J342" i="21"/>
  <c r="J219" i="21"/>
  <c r="J430" i="21"/>
  <c r="J156" i="21"/>
  <c r="J493" i="21"/>
  <c r="J249" i="21"/>
  <c r="J6" i="21"/>
  <c r="J473" i="21"/>
  <c r="J334" i="21"/>
  <c r="J221" i="21"/>
  <c r="J105" i="21"/>
  <c r="J367" i="21"/>
  <c r="J280" i="21"/>
  <c r="J37" i="21"/>
  <c r="J495" i="21"/>
  <c r="J411" i="21"/>
  <c r="J429" i="21"/>
  <c r="J282" i="21"/>
  <c r="J424" i="21"/>
  <c r="J89" i="21"/>
  <c r="J17" i="21"/>
  <c r="J291" i="21"/>
  <c r="J373" i="21"/>
  <c r="J399" i="21"/>
  <c r="J267" i="21"/>
  <c r="J365" i="21"/>
  <c r="J240" i="21"/>
  <c r="J69" i="21"/>
  <c r="J450" i="21"/>
  <c r="J215" i="21"/>
  <c r="J496" i="21"/>
  <c r="J246" i="21"/>
  <c r="J181" i="21"/>
  <c r="J99" i="21"/>
  <c r="J356" i="21"/>
  <c r="J435" i="21"/>
  <c r="J199" i="21"/>
  <c r="J397" i="21"/>
  <c r="J238" i="21"/>
  <c r="J168" i="21"/>
  <c r="J487" i="21"/>
  <c r="J286" i="21"/>
  <c r="J39" i="21"/>
  <c r="J332" i="21"/>
  <c r="J359" i="21"/>
  <c r="J277" i="21"/>
  <c r="J62" i="21"/>
  <c r="J321" i="21"/>
  <c r="J413" i="21"/>
  <c r="J203" i="21"/>
  <c r="J23" i="21"/>
  <c r="J288" i="21"/>
  <c r="J362" i="21"/>
  <c r="J15" i="21"/>
  <c r="J361" i="21"/>
  <c r="J320" i="21"/>
  <c r="J4" i="21"/>
  <c r="J80" i="21"/>
  <c r="J316" i="21"/>
  <c r="J5" i="21"/>
  <c r="J481" i="21"/>
  <c r="J67" i="21"/>
  <c r="J353" i="21"/>
  <c r="J469" i="21"/>
  <c r="J223" i="21"/>
  <c r="J68" i="21"/>
  <c r="J479" i="21"/>
  <c r="J392" i="21"/>
  <c r="J10" i="21"/>
  <c r="J350" i="21"/>
  <c r="J84" i="21"/>
  <c r="J155" i="21"/>
  <c r="J339" i="21"/>
  <c r="J293" i="21"/>
  <c r="J78" i="21"/>
  <c r="J161" i="21"/>
  <c r="J64" i="21"/>
  <c r="J222" i="21"/>
  <c r="J357" i="21"/>
  <c r="J255" i="21"/>
  <c r="J439" i="21"/>
  <c r="J144" i="21"/>
  <c r="J244" i="21"/>
  <c r="J49" i="21"/>
  <c r="J333" i="21"/>
  <c r="J260" i="21"/>
  <c r="J151" i="21"/>
  <c r="J480" i="21"/>
  <c r="J394" i="21"/>
  <c r="J213" i="21"/>
  <c r="J52" i="21"/>
  <c r="J110" i="21"/>
  <c r="J171" i="21"/>
  <c r="J227" i="21"/>
  <c r="J14" i="21"/>
  <c r="J420" i="21"/>
  <c r="J236" i="21"/>
  <c r="J272" i="21"/>
  <c r="J196" i="21"/>
  <c r="J18" i="21"/>
  <c r="J408" i="21"/>
  <c r="J230" i="21"/>
  <c r="J428" i="21"/>
  <c r="J13" i="21"/>
  <c r="J432" i="21"/>
  <c r="J385" i="21"/>
  <c r="J7" i="21"/>
  <c r="J33" i="21"/>
  <c r="J220" i="21"/>
  <c r="J313" i="21"/>
  <c r="J315" i="21"/>
  <c r="J393" i="21"/>
  <c r="J179" i="21"/>
  <c r="J475" i="21"/>
  <c r="J253" i="21"/>
  <c r="J458" i="21"/>
  <c r="J88" i="21"/>
  <c r="J36" i="21"/>
  <c r="J83" i="21"/>
  <c r="J306" i="21"/>
  <c r="J107" i="21"/>
  <c r="J319" i="21"/>
  <c r="J257" i="21"/>
  <c r="J8" i="21"/>
  <c r="J307" i="21"/>
  <c r="J285" i="21"/>
  <c r="J57" i="21"/>
  <c r="J101" i="21"/>
  <c r="J310" i="21"/>
  <c r="J290" i="21"/>
  <c r="J58" i="21"/>
  <c r="J224" i="21"/>
  <c r="J98" i="21"/>
  <c r="J109" i="21"/>
  <c r="J87" i="21"/>
  <c r="J283" i="21"/>
  <c r="J192" i="21"/>
  <c r="J169" i="21"/>
  <c r="J54" i="21"/>
  <c r="J461" i="21"/>
  <c r="J494" i="21"/>
  <c r="J116" i="21"/>
  <c r="J46" i="21"/>
  <c r="J459" i="21"/>
  <c r="J254" i="21"/>
  <c r="J133" i="21"/>
  <c r="J86" i="21"/>
  <c r="J81" i="21"/>
  <c r="J127" i="21"/>
  <c r="J65" i="21"/>
  <c r="J438" i="21"/>
  <c r="J387" i="21"/>
  <c r="J302" i="21"/>
  <c r="J22" i="21"/>
  <c r="J125" i="21"/>
  <c r="J150" i="21"/>
  <c r="J182" i="21"/>
  <c r="J330" i="21"/>
  <c r="J152" i="21"/>
  <c r="J266" i="21"/>
  <c r="J92" i="21"/>
  <c r="J366" i="21"/>
  <c r="J34" i="21"/>
  <c r="J122" i="21"/>
  <c r="J388" i="21"/>
  <c r="J301" i="21"/>
  <c r="J120" i="21"/>
  <c r="J124" i="21"/>
  <c r="J400" i="21"/>
  <c r="J201" i="21"/>
  <c r="J299" i="21"/>
  <c r="C8" i="18"/>
  <c r="I6" i="18" s="1"/>
  <c r="J2" i="21"/>
  <c r="J24" i="21"/>
  <c r="J402" i="21"/>
  <c r="J273" i="21"/>
  <c r="J61" i="21"/>
  <c r="J247" i="21"/>
  <c r="J126" i="21"/>
  <c r="J454" i="21"/>
  <c r="J308" i="21"/>
  <c r="J465" i="21"/>
  <c r="J398" i="21"/>
  <c r="J93" i="21"/>
  <c r="J298" i="21"/>
  <c r="J11" i="21"/>
  <c r="J129" i="21"/>
  <c r="J416" i="21"/>
  <c r="J292" i="21"/>
  <c r="J264" i="21"/>
  <c r="J25" i="21"/>
  <c r="J436" i="21"/>
  <c r="J442" i="21"/>
  <c r="J427" i="21"/>
  <c r="J66" i="21"/>
  <c r="J482" i="21"/>
  <c r="J214" i="21"/>
  <c r="J12" i="21"/>
  <c r="J327" i="21"/>
  <c r="J128" i="21"/>
  <c r="J371" i="21"/>
  <c r="J338" i="21"/>
  <c r="J60" i="21"/>
  <c r="J166" i="21"/>
  <c r="J265" i="21"/>
  <c r="J16" i="21"/>
  <c r="J28" i="21"/>
  <c r="J47" i="21"/>
  <c r="J145" i="21"/>
  <c r="J349" i="21"/>
  <c r="J287" i="21"/>
  <c r="J71" i="21"/>
  <c r="J446" i="21"/>
  <c r="J377" i="21"/>
  <c r="J59" i="21"/>
  <c r="J131" i="21"/>
  <c r="J21" i="21"/>
  <c r="J451" i="21"/>
  <c r="J453" i="21"/>
  <c r="J178" i="21"/>
  <c r="J146" i="21"/>
  <c r="J457" i="21"/>
  <c r="J271" i="21"/>
  <c r="J186" i="21"/>
  <c r="J396" i="21"/>
  <c r="J384" i="21"/>
  <c r="J346" i="21"/>
  <c r="J138" i="21"/>
  <c r="J248" i="21"/>
  <c r="J241" i="21"/>
  <c r="J136" i="21"/>
  <c r="J44" i="21"/>
  <c r="J85" i="21"/>
  <c r="J159" i="21"/>
  <c r="J485" i="21"/>
  <c r="J329" i="21"/>
  <c r="J274" i="21"/>
  <c r="J462" i="21"/>
  <c r="J468" i="21"/>
  <c r="J140" i="21"/>
  <c r="J410" i="21"/>
  <c r="J390" i="21"/>
  <c r="J225" i="21"/>
  <c r="J317" i="21"/>
  <c r="J449" i="21"/>
  <c r="J380" i="21"/>
  <c r="J172" i="21"/>
  <c r="J452" i="21"/>
  <c r="J478" i="21"/>
  <c r="H18" i="18" l="1"/>
  <c r="I4" i="18" s="1"/>
  <c r="K5" i="18" s="1"/>
  <c r="K7" i="18" s="1"/>
</calcChain>
</file>

<file path=xl/sharedStrings.xml><?xml version="1.0" encoding="utf-8"?>
<sst xmlns="http://schemas.openxmlformats.org/spreadsheetml/2006/main" count="1285" uniqueCount="479">
  <si>
    <t>Issue Types</t>
    <phoneticPr fontId="4" type="noConversion"/>
  </si>
  <si>
    <t>Minor</t>
  </si>
  <si>
    <t>Fluency</t>
  </si>
  <si>
    <t>Subtypes</t>
  </si>
  <si>
    <t>Source</t>
  </si>
  <si>
    <t>Target</t>
  </si>
  <si>
    <t>Total Errors</t>
    <phoneticPr fontId="6" type="noConversion"/>
  </si>
  <si>
    <t>Omission</t>
  </si>
  <si>
    <t>Accuracy</t>
    <phoneticPr fontId="6" type="noConversion"/>
  </si>
  <si>
    <t># Total Errors:</t>
    <phoneticPr fontId="6" type="noConversion"/>
  </si>
  <si>
    <t># Segments:</t>
    <phoneticPr fontId="3" type="noConversion"/>
  </si>
  <si>
    <t># Words:</t>
    <phoneticPr fontId="3" type="noConversion"/>
  </si>
  <si>
    <t>Errors / 1k words:</t>
    <phoneticPr fontId="3" type="noConversion"/>
  </si>
  <si>
    <t># Seg corrects:</t>
    <phoneticPr fontId="6" type="noConversion"/>
  </si>
  <si>
    <t># Total Rows:</t>
    <phoneticPr fontId="3" type="noConversion"/>
  </si>
  <si>
    <t>After Evaluation</t>
    <phoneticPr fontId="3" type="noConversion"/>
  </si>
  <si>
    <t>Before Evaluation</t>
    <phoneticPr fontId="3" type="noConversion"/>
  </si>
  <si>
    <t>#error</t>
    <phoneticPr fontId="4" type="noConversion"/>
  </si>
  <si>
    <t>Evaluation Date</t>
    <phoneticPr fontId="3" type="noConversion"/>
  </si>
  <si>
    <t>% Seg Correct:</t>
    <phoneticPr fontId="3" type="noConversion"/>
  </si>
  <si>
    <t>ID</t>
    <phoneticPr fontId="4" type="noConversion"/>
  </si>
  <si>
    <t>Accuracy</t>
  </si>
  <si>
    <t>Addition</t>
  </si>
  <si>
    <t>Major</t>
  </si>
  <si>
    <t>N/A</t>
  </si>
  <si>
    <t>Critical</t>
  </si>
  <si>
    <t>Duplication</t>
  </si>
  <si>
    <t>Place&amp;Name</t>
  </si>
  <si>
    <t>Attribute</t>
  </si>
  <si>
    <t>Number&amp;Time</t>
  </si>
  <si>
    <t>Sub_Issue_Type</t>
  </si>
  <si>
    <t>Issue_Type</t>
  </si>
  <si>
    <t>Issue Words</t>
  </si>
  <si>
    <t>Labels</t>
  </si>
  <si>
    <t>Severity</t>
  </si>
  <si>
    <t>Critical</t>
    <phoneticPr fontId="4" type="noConversion"/>
  </si>
  <si>
    <t>Major</t>
    <phoneticPr fontId="4" type="noConversion"/>
  </si>
  <si>
    <t>Minor</t>
    <phoneticPr fontId="4" type="noConversion"/>
  </si>
  <si>
    <t># Invalid Segments:</t>
    <phoneticPr fontId="4" type="noConversion"/>
  </si>
  <si>
    <t>% Invalid Segments:</t>
    <phoneticPr fontId="6" type="noConversion"/>
  </si>
  <si>
    <t>Severities ScoreCard</t>
    <phoneticPr fontId="4" type="noConversion"/>
  </si>
  <si>
    <t>Errors ScoreCard</t>
    <phoneticPr fontId="4" type="noConversion"/>
  </si>
  <si>
    <t>LQI:</t>
    <phoneticPr fontId="3" type="noConversion"/>
  </si>
  <si>
    <t>Results</t>
    <phoneticPr fontId="4" type="noConversion"/>
  </si>
  <si>
    <t>wordcount</t>
    <phoneticPr fontId="4" type="noConversion"/>
  </si>
  <si>
    <t>Positive_Negative_Aspect</t>
  </si>
  <si>
    <t>Invalid Source</t>
    <phoneticPr fontId="4" type="noConversion"/>
  </si>
  <si>
    <t>Invalid Target</t>
    <phoneticPr fontId="4" type="noConversion"/>
  </si>
  <si>
    <t>Invalid Target</t>
    <phoneticPr fontId="4" type="noConversion"/>
  </si>
  <si>
    <t>LQE Metrics</t>
    <phoneticPr fontId="1" type="noConversion"/>
  </si>
  <si>
    <t>Severity_Matrix</t>
    <phoneticPr fontId="15" type="noConversion"/>
  </si>
  <si>
    <t>Source Language</t>
  </si>
  <si>
    <t>(Optional)</t>
    <phoneticPr fontId="4" type="noConversion"/>
  </si>
  <si>
    <t>Score</t>
  </si>
  <si>
    <t>Event Entity-Subject</t>
  </si>
  <si>
    <t>Event Entity-Object</t>
  </si>
  <si>
    <t>Event Relation-Predicate</t>
  </si>
  <si>
    <t>Whole Sentence</t>
  </si>
  <si>
    <t>Grammar Function Words</t>
  </si>
  <si>
    <t>Minor</t>
    <phoneticPr fontId="1" type="noConversion"/>
  </si>
  <si>
    <t>Critical</t>
    <phoneticPr fontId="1" type="noConversion"/>
  </si>
  <si>
    <t>Critical</t>
    <phoneticPr fontId="1" type="noConversion"/>
  </si>
  <si>
    <t>Reason for Error (optional)</t>
  </si>
  <si>
    <t>Inaccuracy_internal</t>
  </si>
  <si>
    <t>Inaccuracy_external</t>
  </si>
  <si>
    <t>Word_Order</t>
  </si>
  <si>
    <t>Word_Form</t>
  </si>
  <si>
    <t>Word_From</t>
  </si>
  <si>
    <t>Inaccuracy_internal</t>
    <phoneticPr fontId="4" type="noConversion"/>
  </si>
  <si>
    <t>Inaccuracy_external</t>
    <phoneticPr fontId="4" type="noConversion"/>
  </si>
  <si>
    <t>Word_Form</t>
    <phoneticPr fontId="4" type="noConversion"/>
  </si>
  <si>
    <t>Word_Order</t>
    <phoneticPr fontId="4" type="noConversion"/>
  </si>
  <si>
    <t>Attribute</t>
    <phoneticPr fontId="4" type="noConversion"/>
  </si>
  <si>
    <t>Grammar Function Words</t>
    <phoneticPr fontId="4" type="noConversion"/>
  </si>
  <si>
    <t>94-9</t>
    <phoneticPr fontId="4" type="noConversion"/>
  </si>
  <si>
    <t>93-9</t>
    <phoneticPr fontId="4" type="noConversion"/>
  </si>
  <si>
    <t>90-9</t>
    <phoneticPr fontId="4" type="noConversion"/>
  </si>
  <si>
    <t>89-9</t>
    <phoneticPr fontId="4" type="noConversion"/>
  </si>
  <si>
    <t>88-9</t>
    <phoneticPr fontId="4" type="noConversion"/>
  </si>
  <si>
    <t>87-9</t>
    <phoneticPr fontId="4" type="noConversion"/>
  </si>
  <si>
    <t>85-9</t>
    <phoneticPr fontId="4" type="noConversion"/>
  </si>
  <si>
    <t>84-9</t>
    <phoneticPr fontId="4" type="noConversion"/>
  </si>
  <si>
    <t>83-9</t>
    <phoneticPr fontId="4" type="noConversion"/>
  </si>
  <si>
    <t>82-9</t>
    <phoneticPr fontId="4" type="noConversion"/>
  </si>
  <si>
    <t>b0-9</t>
  </si>
  <si>
    <t>b2-9</t>
  </si>
  <si>
    <t>b5-9</t>
  </si>
  <si>
    <t>b6-9</t>
  </si>
  <si>
    <t>b8-9</t>
  </si>
  <si>
    <t>b21-9</t>
  </si>
  <si>
    <t>b28-9</t>
  </si>
  <si>
    <t>b32-9</t>
  </si>
  <si>
    <t>b40-9</t>
  </si>
  <si>
    <t>b47-9</t>
  </si>
  <si>
    <t>b52-9</t>
  </si>
  <si>
    <t>b61-9</t>
  </si>
  <si>
    <t>b70-9</t>
  </si>
  <si>
    <t>b91-9</t>
  </si>
  <si>
    <t>b92-9</t>
  </si>
  <si>
    <t>b97-9</t>
  </si>
  <si>
    <t>b104-9</t>
  </si>
  <si>
    <t>b121-9</t>
  </si>
  <si>
    <t>b136-9</t>
  </si>
  <si>
    <t>b143-9</t>
  </si>
  <si>
    <t>b149-9</t>
  </si>
  <si>
    <t>b150-9</t>
  </si>
  <si>
    <t>b153-9</t>
  </si>
  <si>
    <t>b161-9</t>
  </si>
  <si>
    <t>b166-9</t>
  </si>
  <si>
    <t>b169-9</t>
  </si>
  <si>
    <t>b203-9</t>
  </si>
  <si>
    <t>b209-9</t>
  </si>
  <si>
    <t>b213-9</t>
  </si>
  <si>
    <t>b227-9</t>
  </si>
  <si>
    <t>b233-9</t>
  </si>
  <si>
    <t>b236-9</t>
  </si>
  <si>
    <t>b279-9</t>
  </si>
  <si>
    <t>b285-9</t>
  </si>
  <si>
    <t>b292-9</t>
  </si>
  <si>
    <t>b303-9</t>
  </si>
  <si>
    <t>b305-9</t>
  </si>
  <si>
    <t>b311-9</t>
  </si>
  <si>
    <t>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t>
    <phoneticPr fontId="4" type="noConversion"/>
  </si>
  <si>
    <t>and denied association with the page</t>
  </si>
  <si>
    <t>b314-9</t>
  </si>
  <si>
    <t>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t>
    <phoneticPr fontId="4" type="noConversion"/>
  </si>
  <si>
    <t>b318-9</t>
  </si>
  <si>
    <t>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t>
    <phoneticPr fontId="4" type="noConversion"/>
  </si>
  <si>
    <t>b330-9</t>
  </si>
  <si>
    <t>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t>
    <phoneticPr fontId="4" type="noConversion"/>
  </si>
  <si>
    <t>b331-9</t>
  </si>
  <si>
    <t>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t>
    <phoneticPr fontId="4" type="noConversion"/>
  </si>
  <si>
    <t>amazing pictures have emerged of blue fluorescent algae lighting up australia 's east coast .</t>
  </si>
  <si>
    <t>b333-9</t>
  </si>
  <si>
    <t>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t>
    <phoneticPr fontId="4" type="noConversion"/>
  </si>
  <si>
    <t>b348-9</t>
  </si>
  <si>
    <t>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t>
    <phoneticPr fontId="4" type="noConversion"/>
  </si>
  <si>
    <t>b349-9</t>
  </si>
  <si>
    <t>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t>
    <phoneticPr fontId="4" type="noConversion"/>
  </si>
  <si>
    <t>guests sat in and around the pool to take in the capsule collection of monochrome unisex pieces</t>
  </si>
  <si>
    <t>b353-9</t>
  </si>
  <si>
    <t>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t>
    <phoneticPr fontId="4" type="noConversion"/>
  </si>
  <si>
    <t>b359-9</t>
  </si>
  <si>
    <t>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t>
    <phoneticPr fontId="4" type="noConversion"/>
  </si>
  <si>
    <t>69-year-old former key activist jailed in 1981 for ` corrupting public morals '</t>
  </si>
  <si>
    <t>his attendance at the meeting is likely to be an embarrassment for group</t>
  </si>
  <si>
    <t>b364-9</t>
  </si>
  <si>
    <t>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t>
    <phoneticPr fontId="4" type="noConversion"/>
  </si>
  <si>
    <t>b377-9</t>
  </si>
  <si>
    <t>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t>
    <phoneticPr fontId="4" type="noConversion"/>
  </si>
  <si>
    <t>b383-9</t>
  </si>
  <si>
    <t>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t>
    <phoneticPr fontId="4" type="noConversion"/>
  </si>
  <si>
    <t>lu xincai says no one else can look after his 84-year-old mother</t>
  </si>
  <si>
    <t>she 's now been given her own room at the bank where he works</t>
  </si>
  <si>
    <t>the boy called 911 shortly before 7 am after he smelled smoke and told the dispatcher the siblings were trapped in the room because it was too hot to get out through the hallway</t>
    <phoneticPr fontId="4" type="noConversion"/>
  </si>
  <si>
    <t>b383-10</t>
    <phoneticPr fontId="4" type="noConversion"/>
  </si>
  <si>
    <t>lu xincai takes his 84-year-old mother to work with him on the back of his motorbike every day . 
his mother suffers from alzheimer 's and used to get lost when she was left alone . 
he ties a sash around both of their waists to ensure that she does not fall off .</t>
    <phoneticPr fontId="4" type="noConversion"/>
  </si>
  <si>
    <t>five-year-old child is called mai zizhuo and he has been shooting hoops since he was two and a half years old . 
the pint-sized player scored a succession of hoops before running around dribbling two basketballs . 
his incredible skills have won him legions of fans across basketball-mad china .</t>
    <phoneticPr fontId="4" type="noConversion"/>
  </si>
  <si>
    <t>a drone carrying traces of a radioactive material was found on the rooftop of japan 's equivalent to the white house .
the discovery came on the same day a japanese court approved a government plan to restart two reactors at the sendai nuclear power plant . 
the drone was equipped with a small camera , smoke flares and a bottle containing small traces of cesium .</t>
    <phoneticPr fontId="4" type="noConversion"/>
  </si>
  <si>
    <t>the drone was equipped with a small camera , smoke flares and a bottle containing small traces of cesium .</t>
  </si>
  <si>
    <t>the drone is sparking terrorism concerns</t>
  </si>
  <si>
    <t>tom o'carroll is a former open university information officer and formerly a key activist for pie . 
he attended a hacked off rally in the houses of parliament on february 25 to lobby mps for state involvement in media regulation . 
the organisation is campaigning against what it sees as the ` biased and unfair ` independent press standards organisation .</t>
    <phoneticPr fontId="4" type="noConversion"/>
  </si>
  <si>
    <t>more than 25 women have been airlifted from royal navy ships because of pregnancy . 
one ship - hms ocean -- even had five pregnant sailors removed in emergency medevacs .
ministry of defence spokesman confirmed there was a strict ` no touching ` rule in place at sea . 
this suggests the women conceived before boarding the ships or during leave .</t>
    <phoneticPr fontId="4" type="noConversion"/>
  </si>
  <si>
    <t>this suggests the women conceived before boarding the ships or during leave .</t>
  </si>
  <si>
    <t>bondi 's icebergs club pool was drained on thursday to create a unique catwalk for mercedes-benz fashion week australia .
 ten pieces is headed up by icebergs restaurateur maurice terzini and his partner lucy hinckfuss . 
the lifestyle brand produces unisex collections of - you guessed it - ten pieces . 
the collection of ten is designed to be worn in 20 different ways and are suitable for day to night wear .</t>
    <phoneticPr fontId="4" type="noConversion"/>
  </si>
  <si>
    <t>the collection of ten is designed to be worn in 20 different ways , and are suitable for day to night wear .</t>
  </si>
  <si>
    <t xml:space="preserve">the lifestyle brand produces unisex collections of - you guessed it - ten pieces . </t>
  </si>
  <si>
    <t>breast cancer patients may be spared chemotherapy thanks to new tests . 
tests pinpoint genetic ` markers ` in the tumour and determine its aggressiveness . 
women can be told within days whether they have a high or low risk of the disease returning .
 test can accurately tell if the risk is as low as five per cent , which is as good as if not better than the odds for those who have chemotherapy .</t>
    <phoneticPr fontId="4" type="noConversion"/>
  </si>
  <si>
    <t xml:space="preserve"> test can accurately tell if the risk is as low as five per cent , which is as good as if not better than the odds for those who have chemotherapy .</t>
  </si>
  <si>
    <t>bolton-born boxer amir khan enjoyed a day a safari park with his family in northern california . 
the 28-year-old was joined by his wife faryal makhdoom khan as well as his daughter lamysa as they all enjoyed some time off . 
khan has announced he will fight former light-welterweight world champion chris algieri on may 30 .</t>
    <phoneticPr fontId="4" type="noConversion"/>
  </si>
  <si>
    <t xml:space="preserve">the 28-year-old was joined by his wife faryal makhdoom khan as well as his daughter lamysa as they all enjoyed some time off . </t>
  </si>
  <si>
    <t>amazing pictures have emerged of blue fluorescent algae lighting up australia 's east coast . 
the images were taken in jervis bay which is in the south coast of new south wales . 
a similar display was shown in sydney 's manly beach back in august 2014 . 
the glow is caused by noctiluca scintillans which is a single celled phytoplankton - the algae of the sea .</t>
    <phoneticPr fontId="4" type="noConversion"/>
  </si>
  <si>
    <t>the algae blossoms in the spring and the autumn</t>
  </si>
  <si>
    <t>mohammed abu khdeir 's name appeared this week on the wall at jerusalem 's mount herzl . 
the 16-year-old was beaten and burned alive by three israelis in july , according to prosecutors . 
the teen 's family objected to his inclusion on the memorial wall .</t>
    <phoneticPr fontId="4" type="noConversion"/>
  </si>
  <si>
    <t>a 13-year-old maryland boy provided firefighters with instructions during a 911 call and got himself and his little sister rescued after his family 's home caught fire on sunday morning . 
marcus and his nine - year-old sister aaliyah were trapped in a second-floor bedroom after the fire broke out on the first floor of their home in clinton . 
the boy called 911 shortly before 7 am after he smelled smoke and told the dispatcher the siblings were trapped because it was too hot to get out through the hallway .</t>
    <phoneticPr fontId="4" type="noConversion"/>
  </si>
  <si>
    <t>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t>
    <phoneticPr fontId="4" type="noConversion"/>
  </si>
  <si>
    <t>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to retire . 
hsbc yesterday removed the hyperlink from its main website after realising its embarrassing mistake .</t>
    <phoneticPr fontId="4" type="noConversion"/>
  </si>
  <si>
    <t>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t>
    <phoneticPr fontId="4" type="noConversion"/>
  </si>
  <si>
    <t>witness robert kushner lost his varsity coaching job at a private academy after testifying this week about his years selling marijuana . 
he told jurors that some of the undercover officers on trial had stolen $ 81,000 in cash and 7 pounds of marijuana from him during a 2007 arrest . 
he is one of more than a dozen former drug dealers testifying for the federal government .</t>
    <phoneticPr fontId="4" type="noConversion"/>
  </si>
  <si>
    <t>he told jurors tuesday that some of the undercover officers on trial had stolen $ 81,000 in cash and 7 pounds of marijuana from him during a 2007 arrest .</t>
  </si>
  <si>
    <t>kushner had passed a background check when he was hired to coach basketball in 2010</t>
  </si>
  <si>
    <t>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t>
    <phoneticPr fontId="4" type="noConversion"/>
  </si>
  <si>
    <t>gemma the pit bull was filmed at home in california being fed some treats . 
but in a bid to trick her , her owner throws a broccoli spear into the mix . 
immediately the canine pulls a look of disgust as she chomps on the vegetable . 
she then proceeds to spit it out on the floor .</t>
    <phoneticPr fontId="4" type="noConversion"/>
  </si>
  <si>
    <t>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t>
    <phoneticPr fontId="4" type="noConversion"/>
  </si>
  <si>
    <t>the blast occurred at an oil storage facility monday night after an oil leak . 
five out of six people were injured by broken glass and have been sent to the hospital . 
more than 600 firefighters were sent to battle the blaze and the fire is now under control . 
the plant was hit by another explosion in july 2013 , although there were no reports of casualties or toxic leaks at the time .</t>
    <phoneticPr fontId="4" type="noConversion"/>
  </si>
  <si>
    <t xml:space="preserve">more than 600 firefighters were sent to battle the blaze and the fire is now under control . </t>
  </si>
  <si>
    <t>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t>
    <phoneticPr fontId="4" type="noConversion"/>
  </si>
  <si>
    <t>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was ` completely justified in her outrage ` 
curtin 's defense attorney said the ex-girlfriend was jealous and bitter that the boyfriend was in a relationship with his client .</t>
    <phoneticPr fontId="4" type="noConversion"/>
  </si>
  <si>
    <t>on Monday</t>
    <phoneticPr fontId="4" type="noConversion"/>
  </si>
  <si>
    <t>boyfriend 's ex was injecting drugs in her bathroom when she came home</t>
  </si>
  <si>
    <t>curtin 's defense attorney said the ex-girlfriend was jealous and bitter that the boyfriend was in a relationship with his client .</t>
  </si>
  <si>
    <t>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t>
    <phoneticPr fontId="4" type="noConversion"/>
  </si>
  <si>
    <t>jack grealish is renowned for wearing his socks low when he takes to the field for aston villa . 
the ireland under 21 international wears children 's shinpads - and says is n't about to change . 
his first league start for the club came in the pulsating 3-3 draw against qpr on t tuesday .</t>
    <phoneticPr fontId="4" type="noConversion"/>
  </si>
  <si>
    <t>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t>
    <phoneticPr fontId="4" type="noConversion"/>
  </si>
  <si>
    <t>journalist and author of the best-selling book i quit sugar has opened up about her own personal battle with mental illness . 
during a candid interview sarah wilson explained how anxiety drove her to believe she had reached a stage in her life where she could n't see the point of continuing . 
one in three australian women will experience anxiety in their lifetime .</t>
    <phoneticPr fontId="4" type="noConversion"/>
  </si>
  <si>
    <t xml:space="preserve">during a candid interview sarah wilson explained how anxiety drove her to believe she had reached a stage in her life where she could n't see the point of continuing . </t>
  </si>
  <si>
    <t>anxiety , stress , loneliness and a thyroid disease made her feel worthless</t>
  </si>
  <si>
    <t>( cnn ) bobbi kristina brown , the daughter of bobby brown and whitney houston , has " global and irreversible brain damage , " according to her grandmother .
though the 22-year-old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t>
    <phoneticPr fontId="4" type="noConversion"/>
  </si>
  <si>
    <t>bobbi kristina brown has `` global and irreversible brain damage , '' her grandmother says . 
'' meeting with the doctors and understanding that she can live in this condition for a lifetime truly saddens me , '' cissy houston says . 
a source with knowledge of brown 's condition tells cnn that she remains in the same neurological state .</t>
    <phoneticPr fontId="4" type="noConversion"/>
  </si>
  <si>
    <t xml:space="preserve"> meeting with the doctors and understanding that she can live in this condition for a lifetime truly saddens me ,  houston said .</t>
  </si>
  <si>
    <t xml:space="preserve">brown 's mother says bobbi kristina brown 's condition has improved </t>
  </si>
  <si>
    <t>a source with knowledge of brown 's condition tells cnn that she remains in the same neurological state .</t>
  </si>
  <si>
    <t>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t>
    <phoneticPr fontId="4" type="noConversion"/>
  </si>
  <si>
    <t>sickening video captured on security cameras shows crazed milton vieira severiano dragging the limp body of dancer cicera alves de sena into the garden of their apartment in the city of rio de janeiro in eastern brazil . 
he then grabs her by the hair and savagely slams the back of her head into the concrete 11 times before viciously punching her in the face another 10 times . 
leaving the battered and unconscious dancer on the ground he goes into the house and returns with a handgun , shooting her five times at pointblank range . 
severiano later confessed that he 'd carried out the brutal act ` because he was jealous of men looking at</t>
    <phoneticPr fontId="4" type="noConversion"/>
  </si>
  <si>
    <t>sickening video captured on security cameras shows crazed milton vieira severiano , 32 , dragging the limp body of dancer cicera alves de sena , 29 , into the garden of their apartment in the city of rio de janeiro in eastern brazil .</t>
  </si>
  <si>
    <t>her</t>
    <phoneticPr fontId="4" type="noConversion"/>
  </si>
  <si>
    <t xml:space="preserve">he then grabs her by the hair and savagely slams the back of her head into the concrete 11 times before viciously punching her in the face another 10 times . </t>
  </si>
  <si>
    <t xml:space="preserve">leaving the battered and unconscious dancer on the ground he goes into the house and returns with a handgun , shooting her five times at pointblank range . </t>
  </si>
  <si>
    <t>dancer cicera alves de sena  was killed by her husband</t>
    <phoneticPr fontId="4" type="noConversion"/>
  </si>
  <si>
    <t>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t>
    <phoneticPr fontId="4" type="noConversion"/>
  </si>
  <si>
    <t>russia are on the brink of making the fed cup final with a 2-0 lead after anastasia pavlyuchenkova saved a match point to beat germany 's sabine lisicki . 
svetlana kuznetsova had earlier beaten julia goerges in straight sets in the opening rubber . 
russia need one win from sunday 's three matches to reach the final and bag a first fed cup title since 2008 .</t>
    <phoneticPr fontId="4" type="noConversion"/>
  </si>
  <si>
    <t xml:space="preserve">russia are on the brink of making the fed cup final with a 2-0 lead after anastasia pavlyuchenkova saved a match point to beat germany 's sabine lisicki . </t>
  </si>
  <si>
    <t>anastasia pavlyuchenkova defeats sabine lisicki for 2-0 lead</t>
  </si>
  <si>
    <t>russia need one win from sunday 's three matches to reach the final and bag a first fed cup title since 2008 .</t>
  </si>
  <si>
    <t>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t>
    <phoneticPr fontId="4" type="noConversion"/>
  </si>
  <si>
    <t>tire changer todd phillips was injuried when he was struck by the car of francesco dracone during the inaugural indycar grand prix of louisiana on sunday . 
dracone had come in on lap 25 for tires and fuel and spun while exiting his put box . 
phillip was taken to the infield care center where he has received stitches for a cut on his leg and has been released .</t>
    <phoneticPr fontId="4" type="noConversion"/>
  </si>
  <si>
    <t>dracone did not finish the race and wound up 23rd</t>
    <phoneticPr fontId="4" type="noConversion"/>
  </si>
  <si>
    <t>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t>
    <phoneticPr fontId="4" type="noConversion"/>
  </si>
  <si>
    <t>residents of new south wales who are already reeling from last week 's wild weather are being warned to brace for more floods and damage . 
meteorologists say early indicators show that an east coast low -- the same weather system that lashed the state 's east coast for three days last week -- could hit the region . 
the state emergency service was deluged with calls for assistance last week and has more than 4,000 jobs from the 24,196 requests still to be completed .</t>
    <phoneticPr fontId="4" type="noConversion"/>
  </si>
  <si>
    <t>residents of new south wales who are already reeling from last week 's wild weather are being warned to brace for more floods and damage , with another storm predicted to hit later this week .</t>
  </si>
  <si>
    <t>the state emergency service was deluged with calls for assistance last week and has more than 4,000 jobs from the 24,196 requests still to be completed .</t>
  </si>
  <si>
    <t>the ses says it is concerned about the impact this will have on communities hard hit by last week 's storms - particularly in the hunter</t>
  </si>
  <si>
    <t>residents urged to prepare their homes to prevent more damage</t>
  </si>
  <si>
    <t>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t>
    <phoneticPr fontId="4" type="noConversion"/>
  </si>
  <si>
    <t>the piglet was born with its back legs missing and has mastered the art of balancing on its front trotters . 
the heartwarming clip featured on the people 's daily online shows the young animal taking unsteady steps , wobbling about with its snout to the ground in the hunt for food .</t>
    <phoneticPr fontId="4" type="noConversion"/>
  </si>
  <si>
    <t>the heartwarming clip featured on the people 's daily online shows the young animal taking unsteady steps , wobbling about with its snout to the ground , foraging for food .</t>
    <phoneticPr fontId="4" type="noConversion"/>
  </si>
  <si>
    <t>villagers have flocked to see the two-legged animal in qionglai city</t>
  </si>
  <si>
    <t>a video released online and has captured the hearts of thousands</t>
  </si>
  <si>
    <t>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t>
    <phoneticPr fontId="4" type="noConversion"/>
  </si>
  <si>
    <t>nina moric posted several photographs of heavy bruising on her arms on her instagram account which has more than 40,000 users . 
italian media reported that ms moric tried to take her own life and was found by her mother in the luxury apartment she shares with her boyfriend in milan . 
the model who appeared in the video for ricky martin 's hit song la vida loco has told followers she did not try to kill herself .</t>
    <phoneticPr fontId="4" type="noConversion"/>
  </si>
  <si>
    <t>and was found by her mother in the luxury apartment she shares with her boyfriend in milan .</t>
    <phoneticPr fontId="4" type="noConversion"/>
  </si>
  <si>
    <t>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2003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t>
  </si>
  <si>
    <t>nina moric posted several photographs of heavy bruising on her arms on her instagram account which has more than 40,001 users . 
italian media reported that ms moric tried to take her own life and was found by her mother in the luxury apartment she shares with her boyfriend in milan . 
the model who appeared in the video for ricky martin 's hit song la vida loco has told followers she did not try to kill herself .</t>
  </si>
  <si>
    <t>who appeared in the video for ricky martin 's hit song la vida loco</t>
    <phoneticPr fontId="4" type="noConversion"/>
  </si>
  <si>
    <t>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2004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t>
  </si>
  <si>
    <t>nina moric posted several photographs of heavy bruising on her arms on her instagram account which has more than 40,002 users . 
italian media reported that ms moric tried to take her own life and was found by her mother in the luxury apartment she shares with her boyfriend in milan . 
the model who appeared in the video for ricky martin 's hit song la vida loco has told followers she did not try to kill herself .</t>
  </si>
  <si>
    <t>nina moric , 38 , posted several photographs of heavy bruising on her arms on her instagram account which has more than 40,000 users .</t>
  </si>
  <si>
    <t>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2005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t>
  </si>
  <si>
    <t>nina moric posted several photographs of heavy bruising on her arms on her instagram account which has more than 40,003 users . 
italian media reported that ms moric tried to take her own life and was found by her mother in the luxury apartment she shares with her boyfriend in milan . 
the model who appeared in the video for ricky martin 's hit song la vida loco has told followers she did not try to kill herself .</t>
  </si>
  <si>
    <t>italian media claimed the croatian-born model tried to take her own life</t>
  </si>
  <si>
    <t>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t>
    <phoneticPr fontId="4" type="noConversion"/>
  </si>
  <si>
    <t>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t>
    <phoneticPr fontId="4" type="noConversion"/>
  </si>
  <si>
    <t>the findings come after the general secretary of the national association of head teachers said he was dubious about using technology as a teaching aid in non-it classes .</t>
  </si>
  <si>
    <t>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66th annual conference of the international communication association in puerto rico .</t>
  </si>
  <si>
    <t>however , research into the effects of the devices on literacy levels suggests the best outcome comes from youngsters sharing devices .</t>
  </si>
  <si>
    <t>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67th annual conference of the international communication association in puerto rico .</t>
  </si>
  <si>
    <t xml:space="preserve"> 30 points higher </t>
    <phoneticPr fontId="4" type="noConversion"/>
  </si>
  <si>
    <t>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t>
    <phoneticPr fontId="4" type="noConversion"/>
  </si>
  <si>
    <t>diana is the favourite name for the second royal baby , name after williams mother - the late princess of wales . 
alice and charlotte were next in terms of preference , getting nine per cent of the vote each . 
if the child is a boy then 13 per cent would like him to be called james , with the second favourite name being alexander .</t>
    <phoneticPr fontId="4" type="noConversion"/>
  </si>
  <si>
    <t>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t>
    <phoneticPr fontId="4" type="noConversion"/>
  </si>
  <si>
    <t>a new zealand couple needed a home upon returning home after living in the uk so they built one on the back of an old flatbed truck . 
hannah and alex purchased a 1986 hino flatbed and undertook their year and a half labor of love . 
the result was a solar-powered two-bedroom , wood and steel home that now allows them to live almost self-sufficiently in nelson .</t>
    <phoneticPr fontId="4" type="noConversion"/>
  </si>
  <si>
    <t>the result was a solar-powered two-bedroom , wood and steel home that now allows them to live almost self-sufficiently in nelson , new zealand .</t>
    <phoneticPr fontId="4" type="noConversion"/>
  </si>
  <si>
    <t>they then purchased a secluded piece of property and drove their nearly self-sufficient $ 25,000 home there</t>
    <phoneticPr fontId="4" type="noConversion"/>
  </si>
  <si>
    <t>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t>
    <phoneticPr fontId="4" type="noConversion"/>
  </si>
  <si>
    <t>a suicide bomber detonates his explosives near a group of protesters in eastern afghanistan . 
an afghan lawmaker taking part in the protests was among the 64 people wounded . 
taliban spokesman zabiullah mujahid denied his group was responsible for the attack . 
no other organization has so far claimed responsibility .</t>
    <phoneticPr fontId="4" type="noConversion"/>
  </si>
  <si>
    <t>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t>
    <phoneticPr fontId="4" type="noConversion"/>
  </si>
  <si>
    <t>nypd has released images of a heart tattoo with the name ` monique ` found on an unnamed woman who died in brooklyn last month . 
the unnamed woman was discovered lying unconscious march 22 in the area near shore parkway and 26th avenue in the gravesend section of brookslyn . 
paramedics who responded to the scene were unable to revive her and she was pronounced dead that evening .</t>
    <phoneticPr fontId="4" type="noConversion"/>
  </si>
  <si>
    <t>paramedics who responded to the scene were unable to revive her and she was pronounced dead that evening .</t>
  </si>
  <si>
    <t>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t>
    <phoneticPr fontId="4" type="noConversion"/>
  </si>
  <si>
    <t>dani alves looks set to leave barcelona this summer after his representative confirmed the brazilian right-back had rejected the club 's final contract offer . 
alves has enjoyed seven successful years at barcelona winning four spanish titles and the champions league twice . 
the 31-year-old has been unable to agree a new deal with the catalan club and will leave the nou camp this summer .</t>
    <phoneticPr fontId="4" type="noConversion"/>
  </si>
  <si>
    <t>dani alves looks set to leave barcelona this summer after his representative confirmed the brazilian right-back had rejected the club 's final contract offer .</t>
    <phoneticPr fontId="4" type="noConversion"/>
  </si>
  <si>
    <t>successful</t>
  </si>
  <si>
    <t>has been unable to agree a new deal with the catalan club and</t>
    <phoneticPr fontId="4" type="noConversion"/>
  </si>
  <si>
    <t>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t>
    <phoneticPr fontId="4" type="noConversion"/>
  </si>
  <si>
    <t>fearless atif saeed , 38 , from lahore , pakistan was in the city 's safari park when he spotted the male lion in the distance . 
mr saeed got out of his car and crept up towards the hunter armed only with a camera and fired off a few frames . 
unfortunately the clicking sound of the camera 's shutter alerted the lion to the hunter 's presence .</t>
    <phoneticPr fontId="4" type="noConversion"/>
  </si>
  <si>
    <t xml:space="preserve"> hunter</t>
  </si>
  <si>
    <t>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11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t>
  </si>
  <si>
    <t>fearless atif saeed , 39 , from lahore , pakistan was in the city 's safari park when he spotted the male lion in the distance . 
mr saeed got out of his car and crept up towards the hunter armed only with a camera and fired off a few frames . 
unfortunately the clicking sound of the camera 's shutter alerted the lion to the hunter 's presence .</t>
  </si>
  <si>
    <t>as soon as the camera captured the image , mr saeed had to flee for his life</t>
  </si>
  <si>
    <t>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12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t>
  </si>
  <si>
    <t>fearless atif saeed , 40 , from lahore , pakistan was in the city 's safari park when he spotted the male lion in the distance . 
mr saeed got out of his car and crept up towards the hunter armed only with a camera and fired off a few frames . 
unfortunately the clicking sound of the camera 's shutter alerted the lion to the hunter 's presence .</t>
  </si>
  <si>
    <t>the lion charged at the intrepid photographer as he closed the car 's door</t>
    <phoneticPr fontId="4" type="noConversion"/>
  </si>
  <si>
    <t>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t>
    <phoneticPr fontId="4" type="noConversion"/>
  </si>
  <si>
    <t>pablo osvaldo has urged italian legends andrea pirlo and francisco totti to move continents and join him at argentinian giants boca juniors . 
the 29-year-old moved to his current side on a loan deal from southampton and has become an instant hit - scoring three goals in six games . 
` the bombonera would go absolutely crazy for players like them . '</t>
    <phoneticPr fontId="4" type="noConversion"/>
  </si>
  <si>
    <t>and has become an instant hit - scoring three goals in six games .</t>
    <phoneticPr fontId="4" type="noConversion"/>
  </si>
  <si>
    <t>italian legends</t>
    <phoneticPr fontId="4" type="noConversion"/>
  </si>
  <si>
    <t>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t>
    <phoneticPr fontId="4" type="noConversion"/>
  </si>
  <si>
    <t>agent arthur baldwin was taken into custody at 12:30 am on friday on a residential street in south-eastern d.c. by the metropolitan police . 
he has been hit with a felony charge of attempted burglary and another of destruction of property . 
the agency revoked baldwin 's security clearance and put him on leave in light of the arrest .</t>
    <phoneticPr fontId="4" type="noConversion"/>
  </si>
  <si>
    <t>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t>
    <phoneticPr fontId="4" type="noConversion"/>
  </si>
  <si>
    <t>amateur jockey lee lewis ferguson was flung from his horse in spectacular fashion at wincanton . 
the 18-year-old has just a cut on his nose to show for his ordeal . 
ferguson 's spectacular double somersault fall from the favourite merrion square in the 4.20 pm at wincanton has been watched hundreds of thousands of times online .</t>
    <phoneticPr fontId="4" type="noConversion"/>
  </si>
  <si>
    <t>(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t>
    <phoneticPr fontId="4" type="noConversion"/>
  </si>
  <si>
    <t>bob barker hosted the tv game show for 35 years before stepping down in 2007 . 
looking spry at 91 , barker handled the first price-guessing game of the show before turning hosting duties over to carey . 
despite being away from the show for most of the past eight years , barker did n't seem to miss a beat .</t>
    <phoneticPr fontId="4" type="noConversion"/>
  </si>
  <si>
    <t>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t>
    <phoneticPr fontId="4" type="noConversion"/>
  </si>
  <si>
    <t>england flanker james haskell dressed in iron man costume and posted it on his instagram page . 
the london wasps captain returned to wasps for the 2012 season after spells with stade francais , ricoh black rams and highlanders in new zealand . 
windsor-born haskell first joined wasps in 2002 playing eight seasons for the club and winning his first england cap five years later .</t>
    <phoneticPr fontId="4" type="noConversion"/>
  </si>
  <si>
    <t>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t>
    <phoneticPr fontId="4" type="noConversion"/>
  </si>
  <si>
    <t>chelsea manager jose mourinho has revealed that he talks to god every day , but never about football and never discusses the game with his wife . 
the 52-year-old father-of-two said he only prays for things in his personal life , never about the game . 
the former real madrid manager said that he tries his best to separate his professional and family life .</t>
    <phoneticPr fontId="4" type="noConversion"/>
  </si>
  <si>
    <t>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t>
    <phoneticPr fontId="4" type="noConversion"/>
  </si>
  <si>
    <t>the wide leg trouser is at the forefront of ss15 trends . 
there 's something effortless about a wide leg that really appeals . 
gucci revisited the seventies with a collection filled with flared jeans in vintage washes . 
celine showcased colourful billowing bottoms on their ss15 runway .</t>
    <phoneticPr fontId="4" type="noConversion"/>
  </si>
  <si>
    <t>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t>
    <phoneticPr fontId="4" type="noConversion"/>
  </si>
  <si>
    <t>yulia simonova , 52 , wanted to hire a hitman to torture and murder 15-year-old damian vanya after he ended their relationship . 
police set up a sting operation sending one of their undercover officers to pose as a hitman during a meeting with the teacher . 
a hidden camera filmed the exchange where the teacher said she wanted the boy to slowly bleed to death before she ` finished ` him .</t>
    <phoneticPr fontId="4" type="noConversion"/>
  </si>
  <si>
    <t>(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t>
    <phoneticPr fontId="4" type="noConversion"/>
  </si>
  <si>
    <t>the university of michigan has decided to proceed with a screening of the film '' american sniper '' despite objections from some students . 
more than 200 students signed a petition asking the school not to show the movie . 
some students believed the movie 's depiction of the iraq war reflected negatively on the middle east and people from that region .</t>
    <phoneticPr fontId="4" type="noConversion"/>
  </si>
  <si>
    <t>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t>
    <phoneticPr fontId="4" type="noConversion"/>
  </si>
  <si>
    <t>leon yeaman , 55 , was allegedly killed by a single punch in the head from 28-year-old shift worker phillip pama during a row in front of their north brisbane homes . 
mr yeaman was reportedly in his yard on muller road making a lot of noise at around 9 pm th thursday night . 
pama then confronted mr yeaman and it was at that point the situation escalated . 
the married father of three was granted conditional bail on friday .</t>
    <phoneticPr fontId="4" type="noConversion"/>
  </si>
  <si>
    <t>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t>
    <phoneticPr fontId="4" type="noConversion"/>
  </si>
  <si>
    <t>two french male tourists allegedly ignited an aerosol spray with a lighter causing a large flame to make contact with a quokka on rottnest island off perth in western australia on april 3 . 
the lucky little critter survived the reckless incident but was singed by the flame and the men were charged with animal cruelty .</t>
    <phoneticPr fontId="4" type="noConversion"/>
  </si>
  <si>
    <t>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t>
    <phoneticPr fontId="4" type="noConversion"/>
  </si>
  <si>
    <t>the queen , 88 , was spotted trotting through windsor great park aboard her faithful black fell pony , carltonlima emma . 
the queen eschewed a helmet in favour of one of her silk scarves and is reportedly reluctant to wear one because of her hair . 
the monarch is famous for her love of horses and first found herself in the saddle at the age of four after being presented with a shetland pony , named peggy .</t>
    <phoneticPr fontId="4" type="noConversion"/>
  </si>
  <si>
    <t>(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t>
    <phoneticPr fontId="4" type="noConversion"/>
  </si>
  <si>
    <t>102-year-old alice barker was a dancer in such new york nightspots as the cotton club and the cafe zanzibar . 
there were motion pictures made of barker , but she had never seen any of them . 
her photographs and memorabilia had all been lost over the years .</t>
    <phoneticPr fontId="4" type="noConversion"/>
  </si>
  <si>
    <t>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t>
    <phoneticPr fontId="4" type="noConversion"/>
  </si>
  <si>
    <t>ninety condos on the beach in westhampton were obliterated by flames on wednesday afternoon . 
smoke poured toward the ocean and could be seen from three miles away as 12 fire crews tried to control the flames . 
it is not known what started the blaze which was so intense it melted the paint off nearby buildings . 
the sandpiper complex is open between may and november and is used as a holiday home by residents .</t>
    <phoneticPr fontId="4" type="noConversion"/>
  </si>
  <si>
    <t>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t>
    <phoneticPr fontId="4" type="noConversion"/>
  </si>
  <si>
    <t>a third of men have never picked up a bucket and a chamois leather to wash their own car . 
three quarters of women never wash their car with drivers more likely to take it to a car wash on a local forecourt . 
factors behind decline include shops now opening on a sunday and more live football on tv . 
rise of hand car washes and the fact that 4x4 and off-road vehicles are too large to clean .</t>
    <phoneticPr fontId="4" type="noConversion"/>
  </si>
  <si>
    <t>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t>
    <phoneticPr fontId="4" type="noConversion"/>
  </si>
  <si>
    <t>jessica kemp from eustis says teachers at seminole county elementary threaten to remove kindergartner logan from class because the oils smell and are a distraction to youngsters around him . 
the family uses detorra oils with scents such as lavender , chamomile and sandalwood . 
lake county school district told the station they would not suspend logan saying it was a health issue .</t>
    <phoneticPr fontId="4" type="noConversion"/>
  </si>
  <si>
    <t>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t>
    <phoneticPr fontId="4" type="noConversion"/>
  </si>
  <si>
    <t>martin skrtel has praised the impact steven gerrard has had upon him since arriving at anfield in 2008 . 
martin believes liverpool can overcome the difficult challenge of replacing him . 
liverpool face aston villa in the fa cup semi-final at wembley on sunday . 
should liverpool emerge victorious against villa , g errard will sign off his anfield career in the final .</t>
    <phoneticPr fontId="4" type="noConversion"/>
  </si>
  <si>
    <t>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i ca n't sleep . '
all three were charged with aggravated assault , conspiracy and false imprisonment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t>
    <phoneticPr fontId="4" type="noConversion"/>
  </si>
  <si>
    <t>corry ` corey ` campbell , 21 , was the ringleader of a gang dubbed the ` tattoo terrorists ' 
he was sentenced to 20 years in state prison for the abuse of greg valecce , 53 , who was tied to a chair and beaten for three days . 
sandra ng , campbell 's girlfriend , was also sentenced to 23 months in prison for her role in the shocking assault last year . 
another man involved , david thomas , 28 , is awaiting sentencing while another defendant jennifer pratt , 40 , is awaiting trial .</t>
    <phoneticPr fontId="4" type="noConversion"/>
  </si>
  <si>
    <t>lewis ferguson was mucking out the stables as usual on thursday</t>
  </si>
  <si>
    <t>despite being away from the show for most of the past eight years , barker did n't seem to miss a beat .</t>
  </si>
  <si>
    <t>bob barker returned to host " the price is right " on wednesday</t>
  </si>
  <si>
    <t xml:space="preserve">looking spry at 91 , barker handled the first price-guessing game of the show before turning hosting duties over to carey . </t>
  </si>
  <si>
    <t>windsor-born haskell first joined wasps in 2002 playing eight seasons for the club and winning his first england cap five years later .</t>
    <phoneticPr fontId="4" type="noConversion"/>
  </si>
  <si>
    <t>the avengers : age of ultron move hit the screens in england this week</t>
  </si>
  <si>
    <t>the former real madrid manager said that he tries his best to separate his professional and family life .</t>
  </si>
  <si>
    <t>jose mourinho said he is proud to work with underprivileged people</t>
  </si>
  <si>
    <t>he also claims that he is essentially a ` very good person ' despite his antics</t>
  </si>
  <si>
    <t xml:space="preserve">there 's something effortless about a wide leg that really appeals . </t>
  </si>
  <si>
    <t>louise and emma say to avoid being drowned by too much fabric try a high heeled shoe</t>
  </si>
  <si>
    <t xml:space="preserve">gucci revisited the seventies with a collection filled with flared jeans in vintage washes . </t>
  </si>
  <si>
    <t>celine showcased colourful billowing bottoms on their ss15 runway .</t>
  </si>
  <si>
    <t xml:space="preserve">police set up a sting operation sending one of their undercover officers to pose as a hitman during a meeting with the teacher . </t>
  </si>
  <si>
    <t>offered to pay ` hitman ' # 1,400 to murder the boy in police sting operation</t>
  </si>
  <si>
    <t>now faces 15 years in prison after being charged with attempted murder</t>
  </si>
  <si>
    <t>a hidden camera filmed the exchange where the teacher said she wanted the boy to slowly bleed to death before she ` finished ` him .</t>
  </si>
  <si>
    <t>th</t>
  </si>
  <si>
    <t>the monarch is famous for her love of horses and first found herself in the saddle at the age of four after being presented with a shetland pony , named peggy .</t>
  </si>
  <si>
    <t>her photographs and memorabilia had all been lost over the years .</t>
  </si>
  <si>
    <t>thanks to filmmakers , barker -- now 102 -- finally saw herself dance</t>
  </si>
  <si>
    <t>twelve fire teams were deployed to fight the blaze but could only battle it from the outside , it lasted past 8pm</t>
  </si>
  <si>
    <t xml:space="preserve">three quarters of women never wash their car with drivers more likely to take it to a car wash on a local forecourt . </t>
  </si>
  <si>
    <t>only 12 per cent that have cleaned their own car say they do it regularly</t>
  </si>
  <si>
    <t xml:space="preserve">the family uses detorra oils with scents such as lavender , chamomile and sandalwood . </t>
  </si>
  <si>
    <t>has slammed seminole county elementary in eustis</t>
  </si>
  <si>
    <t xml:space="preserve">reds captain gerrard is set to feature for liverpool in the fa cup semi-final against aston villa at wembley on sunday , looking to lead his hometown side into the final against arsenal . </t>
    <phoneticPr fontId="4" type="noConversion"/>
  </si>
  <si>
    <t>believed valecce had harmed his cat</t>
  </si>
  <si>
    <t>b377-10</t>
  </si>
  <si>
    <t>b364-10</t>
  </si>
  <si>
    <t>b359-10</t>
  </si>
  <si>
    <t>b353-10</t>
  </si>
  <si>
    <t>b349-10</t>
  </si>
  <si>
    <t>b348-10</t>
  </si>
  <si>
    <t>b333-10</t>
  </si>
  <si>
    <t>b331-10</t>
  </si>
  <si>
    <t>b330-10</t>
  </si>
  <si>
    <t>b318-10</t>
  </si>
  <si>
    <t>b314-10</t>
  </si>
  <si>
    <t>b311-10</t>
  </si>
  <si>
    <t>b305-10</t>
  </si>
  <si>
    <t>b303-10</t>
  </si>
  <si>
    <t>b292-10</t>
  </si>
  <si>
    <t>b285-10</t>
  </si>
  <si>
    <t>b279-10</t>
  </si>
  <si>
    <t>b236-10</t>
  </si>
  <si>
    <t>b233-10</t>
  </si>
  <si>
    <t>b227-10</t>
  </si>
  <si>
    <t>b213-10</t>
  </si>
  <si>
    <t>b209-10</t>
  </si>
  <si>
    <t>b203-10</t>
  </si>
  <si>
    <t>b169-10</t>
  </si>
  <si>
    <t>b166-10</t>
  </si>
  <si>
    <t>b161-10</t>
  </si>
  <si>
    <t>b153-10</t>
  </si>
  <si>
    <t>b150-10</t>
  </si>
  <si>
    <t>b149-10</t>
  </si>
  <si>
    <t>b143-10</t>
  </si>
  <si>
    <t>b136-10</t>
  </si>
  <si>
    <t>b121-10</t>
  </si>
  <si>
    <t>b104-10</t>
  </si>
  <si>
    <t>b97-10</t>
  </si>
  <si>
    <t>b92-10</t>
  </si>
  <si>
    <t>b91-10</t>
  </si>
  <si>
    <t>b70-10</t>
  </si>
  <si>
    <t>b61-10</t>
  </si>
  <si>
    <t>b52-10</t>
  </si>
  <si>
    <t>b47-10</t>
  </si>
  <si>
    <t>b40-10</t>
  </si>
  <si>
    <t>b32-10</t>
  </si>
  <si>
    <t>b28-10</t>
  </si>
  <si>
    <t>b21-10</t>
  </si>
  <si>
    <t>b8-10</t>
  </si>
  <si>
    <t>b6-10</t>
  </si>
  <si>
    <t>b5-10</t>
  </si>
  <si>
    <t>b2-10</t>
  </si>
  <si>
    <t>b0-10</t>
  </si>
  <si>
    <t>0-10</t>
    <phoneticPr fontId="4" type="noConversion"/>
  </si>
  <si>
    <t>1-10</t>
    <phoneticPr fontId="4" type="noConversion"/>
  </si>
  <si>
    <t>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t>
    <phoneticPr fontId="4" type="noConversion"/>
  </si>
  <si>
    <t>jack nicklaus added another magic moment to his storied career at augusta national in the par-3 contest . 
the greatest golfer of all time saw his shot sail beyond the flag before spinning back into the hole . 
camilo villegas followed nicklaus with an ace on the fourth and also managed one on the eighth .</t>
    <phoneticPr fontId="4" type="noConversion"/>
  </si>
  <si>
    <t>the crowd roared in celebration</t>
  </si>
  <si>
    <t>players cheer</t>
  </si>
  <si>
    <t>villegas was beaten in a play-off by world no 74 kevin streelman</t>
  </si>
  <si>
    <t>3-10</t>
    <phoneticPr fontId="4" type="noConversion"/>
  </si>
  <si>
    <t>(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t>
    <phoneticPr fontId="4" type="noConversion"/>
  </si>
  <si>
    <t>robert bates , 73 , is accused of fatally shooting eric harris , a man he says he meant to subdue with a taser . 
the judge granted bates permission to go to the bahamas for a family vacation . 
`` we are still mourning the death of a loved one that he shot down in the street , '' the family of harris said .</t>
    <phoneticPr fontId="4" type="noConversion"/>
  </si>
  <si>
    <t>`` we are still mourning the death of a loved one that he shot down in the street , '' the family of harris said .</t>
  </si>
  <si>
    <t>the preliminary hearing is scheduled for july 2</t>
  </si>
  <si>
    <t>4-10</t>
    <phoneticPr fontId="4" type="noConversion"/>
  </si>
  <si>
    <t>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point guard derrick rose ( right ) scored 12 points for the bulls as he continued his comeback from injury</t>
    <phoneticPr fontId="4" type="noConversion"/>
  </si>
  <si>
    <t>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lamarcus aldridge had 27 points and six rebounds , and damian lillard added 20 points and eight assists for the blazer . 
elsewhere , pau gasol had 16 points and 15 rebounds and chicago bulls easily wiped out a 19-point halftime deficit to deal a huge blow to m</t>
    <phoneticPr fontId="4" type="noConversion"/>
  </si>
  <si>
    <t xml:space="preserve">curry entered the game four shy of his mark of 272 three-pointers , which he set two years ago in the season finale at portland . </t>
  </si>
  <si>
    <t xml:space="preserve">lamarcus aldridge had 27 points and six rebounds , and damian lillard added 20 points and eight assists for the blazer . </t>
  </si>
  <si>
    <t>4-10</t>
  </si>
  <si>
    <t>elsewhere , pau gasol had 16 points and 15 rebounds and chicago bulls easily wiped out a 19-point halftime deficit to deal a huge blow to m</t>
  </si>
  <si>
    <t>curry hit eight three 's to surpass his previous best of 272 three-pointers</t>
  </si>
  <si>
    <t>miami heat lost 78-89 vs chicago bulls in the eastern conference</t>
  </si>
  <si>
    <t>5-10</t>
    <phoneticPr fontId="4" type="noConversion"/>
  </si>
  <si>
    <t>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mcgregor claims he has greater motivation to win the title than aldo has to defend it for the eighth time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t>
    <phoneticPr fontId="4" type="noConversion"/>
  </si>
  <si>
    <t>conor mcgregor is gearing up for a featherweight title challenge against jose aldo on july 11 and has unveiled a fearsome new tattoo ahead of the encounter . 
the 26-year-old irishman has already got a picture of a gorilla eating a heart inked upon his chest and has now revealed a tiger 's face tattooed onto his stomach . 
` if you see the tiger , it 's too late . you 're food , ` he wrote next to the instagram post .</t>
    <phoneticPr fontId="4" type="noConversion"/>
  </si>
  <si>
    <t>` if you see the tiger , it 's too late . you 're food , ` he wrote next to the instagram post .</t>
  </si>
  <si>
    <t>mcgregor grabbed aldo 's featherweight champion belt in dublin</t>
  </si>
  <si>
    <t xml:space="preserve">and has unveiled a fearsome new tattoo ahead of the encounter . </t>
  </si>
  <si>
    <t>6-10</t>
    <phoneticPr fontId="4" type="noConversion"/>
  </si>
  <si>
    <t>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van velzen lines up his first free-kick of the day as the liverpool stars watch on
balotelli and lambert watch as van velzen showcases his dead-ball skills at melwood
the stand-in keeper was helpless as the youtube star 's strike sailed into the top corner
after a poor first effort , balotelli sends a perfectly-executed free-kick into the top corner
balotelli looks pleased with his effort as markovic ( left ) and van velzen wait for their turn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balotelli wore his famous t-shirt during manchester city 's 6-1 win over united in october 2011</t>
    <phoneticPr fontId="4" type="noConversion"/>
  </si>
  <si>
    <t>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that they were not dealing with a regular fan .</t>
    <phoneticPr fontId="4" type="noConversion"/>
  </si>
  <si>
    <t xml:space="preserve">liverpool players mario balotelli , fabio borini , rickie lambert and lazar markovic got more than they bargained for when youtube star bas van velzen arrived at melwood . </t>
  </si>
  <si>
    <t>after a few rounds of action , however , it became clear that they were not dealing with a regular fan .</t>
  </si>
  <si>
    <t>6-10</t>
  </si>
  <si>
    <t>the reds players were all set to give van velzen a free-kick masterclass</t>
  </si>
  <si>
    <t>but van velzen 's dead ball skills became apparent very quickly</t>
  </si>
  <si>
    <t>2-10</t>
  </si>
  <si>
    <t>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t>
  </si>
  <si>
    <t>jamar nicholson, 15, and his friends were hanging out in an alleyway in south l.a. before school on february 10 when two police officers working for the lapd's criminal gang-homicide unit approached the boys with their guns drawn. 
One of the teenagers was holding a toy gun that the officers thought was real and it prompted the officers to fire. suing la for millions.</t>
  </si>
  <si>
    <t>jamar nicholson , 15 , was shot in the back by officer miguel gutierrez on february 10 because his friend was holding a toy gun</t>
  </si>
  <si>
    <t>nicholson and his friend jason huerta , 17 , are suing the city of los angeles for $ 20m</t>
  </si>
  <si>
    <t>officer miguel gutierrez who shot nicholson has returned to duty but the incident is under investigation</t>
  </si>
  <si>
    <t xml:space="preserve">jamar nicholson, 15, and his friends were hanging out in an alleyway in south l.a. before school on february 10 when two police officers working for the lapd's criminal gang-homicide unit approached the boys with their guns drawn. </t>
  </si>
  <si>
    <t>One of the teenagers was holding a toy gun that the officers thought was real and it prompted the officers to fire. suing la for millions.</t>
  </si>
  <si>
    <t>19-10</t>
  </si>
  <si>
    <t>(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t>
  </si>
  <si>
    <t>Heavy drinking among americans rose 17.2 percent between 2005 and 2012.
 The study is the first to track adult drinking patterns at the county level. 
1 in 5 high school girls binge drink. 
The cost of excessive drinking has been estimated at more than $ 220 billion per year.</t>
  </si>
  <si>
    <t xml:space="preserve"> The study is the first to track adult drinking patterns at the county level. </t>
  </si>
  <si>
    <t xml:space="preserve">1 in 5 high school girls binge drink. </t>
  </si>
  <si>
    <t>The cost of excessive drinking has been estimated at more than $ 220 billion per year.</t>
  </si>
  <si>
    <t>the increase is driven largely by women 's drinking habits</t>
  </si>
  <si>
    <t>it 's now more acceptable for women to drink the way men traditionally have , says one expert</t>
  </si>
  <si>
    <t>55-10</t>
  </si>
  <si>
    <t>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t>
  </si>
  <si>
    <t>A passenger filmed the driver on a bus in auckland and sent the video to bus company ritchies coachlines along with a complaint. In the footage the driver can be seen flicking through pages of the newspaper while the bus is in motion. as the bus slows to a stop at a set of traffic lights he moves his head to get a good look at one of the pages. Coachlines boss andrew ritchie said he was embarrassed by the driver's actions.</t>
  </si>
  <si>
    <t>68-10</t>
  </si>
  <si>
    <t>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t>
  </si>
  <si>
    <t>Just over a quarter of women giving birth in england now have a caesarean. The rate has more than doubled since the early 1990s. This includes a growing number of women who are very anxious about giving birth naturally. Experts say this figure should ideally be between just 10 per cent and 15 per cent.</t>
  </si>
  <si>
    <t>This includes a growing number of women who are very anxious about giving birth naturally.</t>
  </si>
  <si>
    <t>Experts say this figure should ideally be between just 10 per cent and 15 per cent.</t>
  </si>
  <si>
    <t>un officials say procedure should only be done when ` medically necessary '</t>
  </si>
  <si>
    <t>86-10</t>
  </si>
  <si>
    <t>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t>
  </si>
  <si>
    <t xml:space="preserve"> james robarge, 45, of vermont was sentenced in court on friday morning for second-degree murder in the death of his wife kelly robarge, 42. kelly had filed for divorce after 24 years of marriage on june 27, 2013 -- the day she disappeared from her charlestown, new hampshire, home and her body was later found. The judge said he took into account the extent to which robarge went to conceal his wife's killing and body as well as the couple's history of domestic violence.</t>
  </si>
  <si>
    <t xml:space="preserve"> kelly had filed for divorce after 24 years of marriage on june 27, 2013 -- the day she disappeared from her charlestown, new hampshire, home and her body was later found.</t>
  </si>
  <si>
    <t>The judge said he took into account the extent to which robarge went to conceal his wife's killing and body as well as the couple's history of domestic violence.</t>
  </si>
  <si>
    <t>robarge has already served two years behind bars which means he could be eligible for parole in about 28 years</t>
  </si>
  <si>
    <t>91-10</t>
  </si>
  <si>
    <t>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t>
  </si>
  <si>
    <t>michelle filkins, 44, of west wareham has been charged with breaking and entering, larceny over $ 250, and malicious destruction of property. she was discovered at the court street property in edgartown by owner mark conklin on april 17. a construction worker in the neighborhood has told police that he saw filkins outside with items from the home.</t>
  </si>
  <si>
    <t>92-10</t>
  </si>
  <si>
    <t>(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t>
  </si>
  <si>
    <t>french customs officers say they have seized more than 2 tons of cocaine aboard a sailboat that was falsely flying an american flag in the caribbean. The drugs, whose value is estimated at more than $ 105 million, are the biggest cocaine seizure ever carried out by french authorities. One venezuelan and two spanish citizens were arrested.</t>
  </si>
  <si>
    <t>that was falsely flying an american flag in the caribbean.</t>
  </si>
  <si>
    <t>145-10</t>
  </si>
  <si>
    <t>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t>
  </si>
  <si>
    <t>A lost iphone was reunited with its owner after police posted a series of bizarre photos on the woman's facebook page in a bid to track her down. the phone belonged to bella crooke from melbourne who lost it at a friend's birthday party on saturday night. officers from albury police station on the nsw-victoria border posted selfies on a woman ''s facebook page saying she could come and collect her phone after it was handed in on sunday morning. bella has since put a password on her phone.</t>
  </si>
  <si>
    <t>bella has since put a password on her phone.</t>
  </si>
  <si>
    <t>146-10</t>
  </si>
  <si>
    <t>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t>
  </si>
  <si>
    <t xml:space="preserve">A woman was arrested in china after apparently dumping her newborn baby in a rubbish bin in a fast-food restaurant. staff heard the baby girl crying in the ladies'toilet of a burger bar in chengdu, sichuan province. workers who found the baby, who was wrapped in a shirt but was still attached to the umbilical cord and placenta, called the police and ambulance. </t>
  </si>
  <si>
    <t>but was otherwise fine</t>
  </si>
  <si>
    <t>147-10</t>
  </si>
  <si>
    <t>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t>
  </si>
  <si>
    <t>A five-day old baby hippopotamus was thrown into the air as it was mauled to death after getting caught up in a fight between two adults in eastern south africa.  The mother of the calf watched in horror as one of the brawling adults grabbed the calf between its jaws.</t>
  </si>
  <si>
    <t>adult hippos had been fighting for hours before attacking the baby in the isimangaliso wetland park</t>
  </si>
  <si>
    <t>148-10</t>
  </si>
  <si>
    <t>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t>
  </si>
  <si>
    <t>One man has curated a spooky collection of nine old dolls which he claims each have their own personalities. Since then he has spent hundreds of pounds on the creepy collection... and he's on the hunt for more to add. His favourite doll is annabel who he thinks is haunted by a seven-year-old girl who drowned.</t>
  </si>
  <si>
    <t>149-10</t>
  </si>
  <si>
    <t>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t>
  </si>
  <si>
    <t xml:space="preserve">A three-bedroom apartment in one of the most expensive areas to live in britain has been put on the market for just £ 575,000. But the property comes with a catch - it has just three years left on the lease. If any buyer decides to extend the lease, the property could be worth upwards of £ 6 million. </t>
  </si>
  <si>
    <t>but renewal would not come cheap with the cost for a new 90-year lease estimated at between £ 3.35 and £ 4.5 million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</si>
</sst>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 #,##0.00_ ;_ * \-#,##0.00_ ;_ * &quot;-&quot;??_ ;_ @_ "/>
    <numFmt numFmtId="165" formatCode="00_ "/>
    <numFmt numFmtId="166" formatCode="0.000000000000_ "/>
    <numFmt numFmtId="167" formatCode="_-* #,##0.0_-;\-* #,##0.0_-;_-* &quot;-&quot;??_-;_-@_-"/>
  </numFmts>
  <fonts count="36">
    <font>
      <sz val="12"/>
      <color indexed="8"/>
      <name val="宋体"/>
      <charset val="134"/>
    </font>
    <font>
      <sz val="11"/>
      <color theme="1"/>
      <name val="Calibri"/>
      <family val="2"/>
      <scheme val="minor"/>
    </font>
    <font>
      <sz val="11"/>
      <color theme="1"/>
      <name val="Calibri"/>
      <family val="2"/>
      <scheme val="minor"/>
    </font>
    <font>
      <sz val="11"/>
      <color theme="1"/>
      <name val="Calibri"/>
      <family val="2"/>
      <scheme val="minor"/>
    </font>
    <font>
      <sz val="9"/>
      <name val="宋体"/>
      <family val="3"/>
      <charset val="134"/>
    </font>
    <font>
      <sz val="10"/>
      <name val="Arial"/>
      <family val="2"/>
    </font>
    <font>
      <sz val="11"/>
      <color theme="1"/>
      <name val="宋体"/>
      <family val="3"/>
      <charset val="134"/>
    </font>
    <font>
      <u/>
      <sz val="12"/>
      <color theme="10"/>
      <name val="宋体"/>
      <family val="3"/>
      <charset val="134"/>
    </font>
    <font>
      <u/>
      <sz val="12"/>
      <color theme="11"/>
      <name val="宋体"/>
      <family val="3"/>
      <charset val="134"/>
    </font>
    <font>
      <sz val="12"/>
      <color indexed="8"/>
      <name val="宋体"/>
      <family val="3"/>
      <charset val="134"/>
    </font>
    <font>
      <sz val="11"/>
      <color theme="1"/>
      <name val="Calibri"/>
      <family val="2"/>
      <charset val="134"/>
      <scheme val="minor"/>
    </font>
    <font>
      <sz val="11"/>
      <color theme="1"/>
      <name val="Arial"/>
      <family val="2"/>
    </font>
    <font>
      <sz val="10"/>
      <color theme="1"/>
      <name val="Arial"/>
      <family val="2"/>
    </font>
    <font>
      <b/>
      <sz val="10"/>
      <name val="Arial"/>
      <family val="2"/>
    </font>
    <font>
      <b/>
      <sz val="10"/>
      <color theme="1"/>
      <name val="Arial"/>
      <family val="2"/>
    </font>
    <font>
      <sz val="9"/>
      <name val="宋体"/>
      <family val="3"/>
      <charset val="134"/>
    </font>
    <font>
      <b/>
      <sz val="11"/>
      <name val="Arial"/>
      <family val="2"/>
    </font>
    <font>
      <sz val="11"/>
      <color indexed="8"/>
      <name val="Arial"/>
      <family val="2"/>
    </font>
    <font>
      <b/>
      <sz val="11"/>
      <color indexed="8"/>
      <name val="Arial"/>
      <family val="2"/>
    </font>
    <font>
      <b/>
      <u/>
      <sz val="11"/>
      <color theme="1"/>
      <name val="Arial"/>
      <family val="2"/>
    </font>
    <font>
      <b/>
      <sz val="11"/>
      <color theme="1"/>
      <name val="Arial"/>
      <family val="2"/>
    </font>
    <font>
      <b/>
      <sz val="9"/>
      <name val="Arial"/>
      <family val="2"/>
    </font>
    <font>
      <sz val="12"/>
      <color rgb="FF000000"/>
      <name val="Arial"/>
      <family val="2"/>
    </font>
    <font>
      <sz val="9"/>
      <name val="Arial"/>
      <family val="2"/>
    </font>
    <font>
      <sz val="10"/>
      <color rgb="FF000000"/>
      <name val="Arial"/>
      <family val="2"/>
    </font>
    <font>
      <b/>
      <sz val="12"/>
      <color rgb="FF000000"/>
      <name val="Arial"/>
      <family val="2"/>
    </font>
    <font>
      <b/>
      <sz val="9"/>
      <color rgb="FF000000"/>
      <name val="Arial"/>
      <family val="2"/>
    </font>
    <font>
      <sz val="12"/>
      <color indexed="8"/>
      <name val="Arial"/>
      <family val="2"/>
    </font>
    <font>
      <sz val="11"/>
      <color theme="0" tint="-0.14999847407452621"/>
      <name val="Arial"/>
      <family val="2"/>
    </font>
    <font>
      <sz val="11"/>
      <color theme="0"/>
      <name val="Arial"/>
      <family val="2"/>
    </font>
    <font>
      <sz val="12"/>
      <color indexed="8"/>
      <name val="宋体"/>
      <family val="3"/>
      <charset val="134"/>
    </font>
    <font>
      <sz val="9"/>
      <color theme="1" tint="0.499984740745262"/>
      <name val="Arial"/>
      <family val="2"/>
    </font>
    <font>
      <b/>
      <sz val="12"/>
      <color theme="1"/>
      <name val="Arial"/>
      <family val="2"/>
    </font>
    <font>
      <sz val="12"/>
      <color rgb="FF000000"/>
      <name val="Calibri"/>
      <family val="2"/>
    </font>
    <font>
      <sz val="12"/>
      <color rgb="FFFF0000"/>
      <name val="Arial"/>
      <family val="2"/>
    </font>
    <font>
      <sz val="11"/>
      <name val="Arial"/>
      <family val="2"/>
    </font>
  </fonts>
  <fills count="1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39997558519241921"/>
        <bgColor rgb="FF000000"/>
      </patternFill>
    </fill>
    <fill>
      <patternFill patternType="solid">
        <fgColor theme="7" tint="0.59999389629810485"/>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s>
  <cellStyleXfs count="211">
    <xf numFmtId="0" fontId="0" fillId="0" borderId="0"/>
    <xf numFmtId="0" fontId="6" fillId="0" borderId="0"/>
    <xf numFmtId="0" fontId="5" fillId="0" borderId="0"/>
    <xf numFmtId="0" fontId="3" fillId="0" borderId="0"/>
    <xf numFmtId="9" fontId="3"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xf numFmtId="9" fontId="2" fillId="0" borderId="0" applyFont="0" applyFill="0" applyBorder="0" applyAlignment="0" applyProtection="0"/>
    <xf numFmtId="0" fontId="9" fillId="0" borderId="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0" fillId="0" borderId="0">
      <alignment vertical="center"/>
    </xf>
    <xf numFmtId="9" fontId="10" fillId="0" borderId="0" applyFont="0" applyFill="0" applyBorder="0" applyAlignment="0" applyProtection="0">
      <alignment vertical="center"/>
    </xf>
    <xf numFmtId="43" fontId="10" fillId="0" borderId="0" applyFont="0" applyFill="0" applyBorder="0" applyAlignment="0" applyProtection="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164" fontId="30" fillId="0" borderId="0" applyFont="0" applyFill="0" applyBorder="0" applyAlignment="0" applyProtection="0">
      <alignment vertical="center"/>
    </xf>
    <xf numFmtId="0" fontId="9"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123">
    <xf numFmtId="0" fontId="0" fillId="0" borderId="0" xfId="0"/>
    <xf numFmtId="49" fontId="11" fillId="0" borderId="1" xfId="0" applyNumberFormat="1" applyFont="1" applyBorder="1" applyAlignment="1">
      <alignment wrapText="1"/>
    </xf>
    <xf numFmtId="0" fontId="12" fillId="0" borderId="0" xfId="180" applyFont="1" applyAlignment="1">
      <alignment vertical="center"/>
    </xf>
    <xf numFmtId="0" fontId="5" fillId="0" borderId="1" xfId="180" applyFont="1" applyFill="1" applyBorder="1" applyAlignment="1">
      <alignment vertical="center"/>
    </xf>
    <xf numFmtId="0" fontId="13" fillId="0" borderId="1" xfId="180" applyFont="1" applyFill="1" applyBorder="1" applyAlignment="1">
      <alignment vertical="center"/>
    </xf>
    <xf numFmtId="0" fontId="13" fillId="2" borderId="1" xfId="180" applyFont="1" applyFill="1" applyBorder="1" applyAlignment="1">
      <alignment vertical="center"/>
    </xf>
    <xf numFmtId="0" fontId="12" fillId="0" borderId="0" xfId="0" applyFont="1" applyAlignment="1">
      <alignment vertical="center"/>
    </xf>
    <xf numFmtId="0" fontId="12" fillId="4" borderId="1" xfId="0" applyFont="1" applyFill="1" applyBorder="1" applyAlignment="1">
      <alignment vertical="center"/>
    </xf>
    <xf numFmtId="0" fontId="14" fillId="4" borderId="1" xfId="0" applyFont="1" applyFill="1" applyBorder="1" applyAlignment="1">
      <alignment vertical="center"/>
    </xf>
    <xf numFmtId="0" fontId="13" fillId="2" borderId="1" xfId="0" applyFont="1" applyFill="1" applyBorder="1" applyAlignment="1">
      <alignment vertical="center"/>
    </xf>
    <xf numFmtId="0" fontId="5" fillId="0" borderId="1" xfId="0" applyFont="1" applyFill="1" applyBorder="1" applyAlignment="1">
      <alignment vertical="center"/>
    </xf>
    <xf numFmtId="0" fontId="12" fillId="0" borderId="1" xfId="0" applyFont="1" applyBorder="1" applyAlignment="1">
      <alignment vertical="center"/>
    </xf>
    <xf numFmtId="0" fontId="16" fillId="3" borderId="1" xfId="0" applyFont="1" applyFill="1" applyBorder="1" applyAlignment="1" applyProtection="1">
      <alignment horizontal="center" vertical="center" wrapText="1"/>
      <protection locked="0"/>
    </xf>
    <xf numFmtId="0" fontId="16" fillId="0" borderId="1" xfId="0" applyFont="1" applyBorder="1" applyAlignment="1">
      <alignment horizontal="center" vertical="center" wrapText="1"/>
    </xf>
    <xf numFmtId="0" fontId="17" fillId="0" borderId="1" xfId="0" applyFont="1" applyBorder="1" applyAlignment="1" applyProtection="1">
      <alignment horizontal="left" vertical="center" wrapText="1"/>
      <protection locked="0"/>
    </xf>
    <xf numFmtId="0" fontId="17" fillId="0" borderId="1" xfId="0" applyFont="1" applyBorder="1" applyAlignment="1">
      <alignment vertical="center"/>
    </xf>
    <xf numFmtId="1" fontId="18" fillId="0" borderId="1" xfId="0" applyNumberFormat="1" applyFont="1" applyBorder="1" applyAlignment="1">
      <alignment horizontal="left" vertical="center"/>
    </xf>
    <xf numFmtId="0" fontId="18" fillId="0" borderId="1" xfId="0" applyFont="1" applyBorder="1" applyAlignment="1">
      <alignment horizontal="center" vertical="center"/>
    </xf>
    <xf numFmtId="165" fontId="17" fillId="0" borderId="1" xfId="0" applyNumberFormat="1" applyFont="1" applyBorder="1" applyAlignment="1">
      <alignment horizontal="center" vertical="center"/>
    </xf>
    <xf numFmtId="1" fontId="17" fillId="0" borderId="1" xfId="0" applyNumberFormat="1" applyFont="1" applyBorder="1" applyAlignment="1">
      <alignment horizontal="left" vertical="center"/>
    </xf>
    <xf numFmtId="0" fontId="17" fillId="0" borderId="1" xfId="0" applyFont="1" applyBorder="1" applyAlignment="1">
      <alignment wrapText="1"/>
    </xf>
    <xf numFmtId="0" fontId="17" fillId="0" borderId="0" xfId="0" applyFont="1" applyBorder="1" applyAlignment="1">
      <alignment vertical="center"/>
    </xf>
    <xf numFmtId="1" fontId="17" fillId="0" borderId="0" xfId="0" applyNumberFormat="1" applyFont="1" applyBorder="1" applyAlignment="1">
      <alignment horizontal="left" vertical="center"/>
    </xf>
    <xf numFmtId="0" fontId="17" fillId="0" borderId="0" xfId="0" applyFont="1" applyBorder="1" applyAlignment="1">
      <alignment horizontal="center" vertical="center"/>
    </xf>
    <xf numFmtId="49" fontId="17" fillId="0" borderId="0" xfId="0" applyNumberFormat="1" applyFont="1" applyBorder="1" applyAlignment="1">
      <alignment horizontal="left" vertical="top" wrapText="1"/>
    </xf>
    <xf numFmtId="0" fontId="17" fillId="0" borderId="0" xfId="0" applyFont="1" applyBorder="1" applyAlignment="1" applyProtection="1">
      <alignment horizontal="left" vertical="center" wrapText="1"/>
      <protection locked="0"/>
    </xf>
    <xf numFmtId="0" fontId="11" fillId="0" borderId="0" xfId="180" applyFont="1">
      <alignment vertical="center"/>
    </xf>
    <xf numFmtId="0" fontId="11" fillId="0" borderId="1" xfId="180" applyFont="1" applyBorder="1" applyAlignment="1">
      <alignment horizontal="right" vertical="center"/>
    </xf>
    <xf numFmtId="0" fontId="11" fillId="0" borderId="0" xfId="180" applyFont="1" applyAlignment="1">
      <alignment horizontal="right" vertical="center"/>
    </xf>
    <xf numFmtId="14" fontId="11" fillId="0" borderId="1" xfId="180" applyNumberFormat="1" applyFont="1" applyBorder="1" applyAlignment="1">
      <alignment horizontal="right" vertical="center"/>
    </xf>
    <xf numFmtId="0" fontId="11" fillId="0" borderId="5" xfId="180" applyFont="1" applyBorder="1">
      <alignment vertical="center"/>
    </xf>
    <xf numFmtId="0" fontId="26" fillId="0" borderId="11" xfId="180" applyFont="1" applyFill="1" applyBorder="1" applyAlignment="1">
      <alignment horizontal="right"/>
    </xf>
    <xf numFmtId="0" fontId="27" fillId="0" borderId="0" xfId="0" applyFont="1"/>
    <xf numFmtId="0" fontId="11" fillId="0" borderId="0" xfId="180" applyFont="1" applyBorder="1">
      <alignment vertical="center"/>
    </xf>
    <xf numFmtId="0" fontId="11" fillId="0" borderId="0" xfId="180" applyFont="1" applyBorder="1" applyAlignment="1">
      <alignment horizontal="right" vertical="center"/>
    </xf>
    <xf numFmtId="0" fontId="28" fillId="0" borderId="0" xfId="180" applyFont="1">
      <alignment vertical="center"/>
    </xf>
    <xf numFmtId="2" fontId="29" fillId="0" borderId="0" xfId="180" applyNumberFormat="1" applyFont="1">
      <alignment vertical="center"/>
    </xf>
    <xf numFmtId="0" fontId="29" fillId="0" borderId="0" xfId="180" applyFont="1">
      <alignment vertical="center"/>
    </xf>
    <xf numFmtId="166" fontId="29" fillId="0" borderId="0" xfId="180" applyNumberFormat="1" applyFont="1">
      <alignment vertical="center"/>
    </xf>
    <xf numFmtId="0" fontId="11" fillId="0" borderId="0" xfId="180" applyFont="1" applyBorder="1" applyAlignment="1">
      <alignment horizontal="center" vertical="center"/>
    </xf>
    <xf numFmtId="0" fontId="19" fillId="0" borderId="0" xfId="180" applyFont="1">
      <alignment vertical="center"/>
    </xf>
    <xf numFmtId="0" fontId="16" fillId="2" borderId="0" xfId="180" applyFont="1" applyFill="1" applyAlignment="1">
      <alignment horizontal="right" vertical="center"/>
    </xf>
    <xf numFmtId="164" fontId="20" fillId="2" borderId="0" xfId="203" applyFont="1" applyFill="1" applyAlignment="1">
      <alignment horizontal="right" vertical="center"/>
    </xf>
    <xf numFmtId="167" fontId="20" fillId="2" borderId="0" xfId="182" applyNumberFormat="1" applyFont="1" applyFill="1" applyAlignment="1">
      <alignment horizontal="right" vertical="center"/>
    </xf>
    <xf numFmtId="10" fontId="20" fillId="2" borderId="0" xfId="181" applyNumberFormat="1" applyFont="1" applyFill="1" applyAlignment="1">
      <alignment horizontal="right" vertical="center"/>
    </xf>
    <xf numFmtId="0" fontId="21" fillId="10" borderId="6" xfId="180" applyFont="1" applyFill="1" applyBorder="1" applyAlignment="1">
      <alignment vertical="center"/>
    </xf>
    <xf numFmtId="0" fontId="21" fillId="10" borderId="11" xfId="180" applyFont="1" applyFill="1" applyBorder="1" applyAlignment="1">
      <alignment vertical="center"/>
    </xf>
    <xf numFmtId="0" fontId="21" fillId="10" borderId="15" xfId="180" applyFont="1" applyFill="1" applyBorder="1" applyAlignment="1">
      <alignment vertical="center"/>
    </xf>
    <xf numFmtId="0" fontId="23" fillId="6" borderId="2" xfId="180" applyFont="1" applyFill="1" applyBorder="1" applyAlignment="1">
      <alignment horizontal="right"/>
    </xf>
    <xf numFmtId="0" fontId="23" fillId="6" borderId="1" xfId="180" applyFont="1" applyFill="1" applyBorder="1" applyAlignment="1">
      <alignment horizontal="right"/>
    </xf>
    <xf numFmtId="0" fontId="23" fillId="6" borderId="9" xfId="180" applyFont="1" applyFill="1" applyBorder="1" applyAlignment="1">
      <alignment horizontal="right"/>
    </xf>
    <xf numFmtId="0" fontId="31" fillId="7" borderId="1" xfId="180" applyFont="1" applyFill="1" applyBorder="1" applyAlignment="1">
      <alignment horizontal="right"/>
    </xf>
    <xf numFmtId="0" fontId="23" fillId="9" borderId="1" xfId="180" applyFont="1" applyFill="1" applyBorder="1" applyAlignment="1">
      <alignment horizontal="right"/>
    </xf>
    <xf numFmtId="0" fontId="23" fillId="9" borderId="9" xfId="180" applyFont="1" applyFill="1" applyBorder="1" applyAlignment="1">
      <alignment horizontal="right"/>
    </xf>
    <xf numFmtId="0" fontId="23" fillId="9" borderId="2" xfId="180" applyFont="1" applyFill="1" applyBorder="1" applyAlignment="1">
      <alignment horizontal="right"/>
    </xf>
    <xf numFmtId="0" fontId="23" fillId="5" borderId="2" xfId="180" applyFont="1" applyFill="1" applyBorder="1" applyAlignment="1">
      <alignment horizontal="right"/>
    </xf>
    <xf numFmtId="0" fontId="23" fillId="5" borderId="1" xfId="180" applyFont="1" applyFill="1" applyBorder="1" applyAlignment="1">
      <alignment horizontal="right"/>
    </xf>
    <xf numFmtId="0" fontId="23" fillId="5" borderId="9" xfId="180" applyFont="1" applyFill="1" applyBorder="1" applyAlignment="1">
      <alignment horizontal="right"/>
    </xf>
    <xf numFmtId="0" fontId="20" fillId="6" borderId="1" xfId="180" applyFont="1" applyFill="1" applyBorder="1" applyAlignment="1">
      <alignment horizontal="center" vertical="center"/>
    </xf>
    <xf numFmtId="0" fontId="20" fillId="5" borderId="1" xfId="180" applyFont="1" applyFill="1" applyBorder="1" applyAlignment="1">
      <alignment horizontal="center" vertical="center"/>
    </xf>
    <xf numFmtId="0" fontId="20" fillId="9" borderId="1" xfId="180" applyFont="1" applyFill="1" applyBorder="1" applyAlignment="1">
      <alignment horizontal="center" vertical="center"/>
    </xf>
    <xf numFmtId="0" fontId="5" fillId="0" borderId="2" xfId="180" applyFont="1" applyFill="1" applyBorder="1" applyAlignment="1"/>
    <xf numFmtId="0" fontId="5" fillId="0" borderId="1" xfId="180" applyFont="1" applyFill="1" applyBorder="1" applyAlignment="1"/>
    <xf numFmtId="0" fontId="24" fillId="0" borderId="9" xfId="180" applyFont="1" applyFill="1" applyBorder="1" applyAlignment="1"/>
    <xf numFmtId="0" fontId="26" fillId="0" borderId="12" xfId="180" applyFont="1" applyFill="1" applyBorder="1" applyAlignment="1"/>
    <xf numFmtId="0" fontId="21" fillId="0" borderId="14" xfId="180" applyFont="1" applyFill="1" applyBorder="1" applyAlignment="1"/>
    <xf numFmtId="0" fontId="21" fillId="0" borderId="13" xfId="180" applyFont="1" applyFill="1" applyBorder="1" applyAlignment="1"/>
    <xf numFmtId="0" fontId="20" fillId="0" borderId="0" xfId="180" applyFont="1" applyBorder="1" applyAlignment="1">
      <alignment horizontal="right" vertical="center"/>
    </xf>
    <xf numFmtId="0" fontId="32" fillId="8" borderId="1" xfId="180" applyFont="1" applyFill="1" applyBorder="1" applyAlignment="1">
      <alignment horizontal="center" vertical="center"/>
    </xf>
    <xf numFmtId="2" fontId="32" fillId="0" borderId="1" xfId="180" applyNumberFormat="1" applyFont="1" applyFill="1" applyBorder="1" applyAlignment="1">
      <alignment horizontal="center" vertical="center"/>
    </xf>
    <xf numFmtId="0" fontId="27" fillId="0" borderId="1" xfId="0" applyFont="1" applyBorder="1"/>
    <xf numFmtId="2" fontId="27" fillId="0" borderId="1" xfId="0" applyNumberFormat="1" applyFont="1" applyBorder="1"/>
    <xf numFmtId="0" fontId="10" fillId="0" borderId="0" xfId="180">
      <alignment vertical="center"/>
    </xf>
    <xf numFmtId="0" fontId="20" fillId="11" borderId="1" xfId="180" applyFont="1" applyFill="1" applyBorder="1" applyAlignment="1">
      <alignment horizontal="center" vertical="center"/>
    </xf>
    <xf numFmtId="0" fontId="13" fillId="0" borderId="0" xfId="180" applyFont="1" applyFill="1" applyBorder="1" applyAlignment="1">
      <alignment vertical="center"/>
    </xf>
    <xf numFmtId="0" fontId="5" fillId="0" borderId="0" xfId="180" applyFont="1" applyFill="1" applyBorder="1" applyAlignment="1">
      <alignment vertical="center"/>
    </xf>
    <xf numFmtId="0" fontId="12" fillId="0" borderId="0" xfId="0" applyFont="1" applyBorder="1" applyAlignment="1">
      <alignment vertical="center"/>
    </xf>
    <xf numFmtId="1" fontId="11" fillId="0" borderId="1" xfId="180" applyNumberFormat="1" applyFont="1" applyBorder="1" applyAlignment="1">
      <alignment horizontal="right" vertical="center"/>
    </xf>
    <xf numFmtId="0" fontId="34" fillId="0" borderId="0" xfId="0" applyFont="1"/>
    <xf numFmtId="49" fontId="11" fillId="0" borderId="1" xfId="0" applyNumberFormat="1" applyFont="1" applyBorder="1" applyAlignment="1"/>
    <xf numFmtId="49" fontId="17" fillId="0" borderId="1" xfId="0" applyNumberFormat="1" applyFont="1" applyBorder="1" applyAlignment="1">
      <alignment horizontal="left" vertical="center"/>
    </xf>
    <xf numFmtId="49" fontId="18" fillId="0" borderId="1" xfId="0" applyNumberFormat="1" applyFont="1" applyBorder="1" applyAlignment="1">
      <alignment horizontal="left" vertical="center"/>
    </xf>
    <xf numFmtId="49" fontId="27" fillId="0" borderId="1" xfId="0" applyNumberFormat="1" applyFont="1" applyBorder="1"/>
    <xf numFmtId="49" fontId="27" fillId="0" borderId="0" xfId="0" applyNumberFormat="1" applyFont="1"/>
    <xf numFmtId="0" fontId="17" fillId="0" borderId="1" xfId="0" applyFont="1" applyBorder="1" applyAlignment="1"/>
    <xf numFmtId="0" fontId="17" fillId="0" borderId="1" xfId="0" applyFont="1" applyBorder="1" applyAlignment="1" applyProtection="1">
      <alignment horizontal="left" vertical="center"/>
      <protection locked="0"/>
    </xf>
    <xf numFmtId="0" fontId="35" fillId="0" borderId="1" xfId="0" applyFont="1" applyBorder="1" applyAlignment="1" applyProtection="1">
      <alignment horizontal="left" vertical="center"/>
      <protection locked="0"/>
    </xf>
    <xf numFmtId="49" fontId="35" fillId="0" borderId="1" xfId="0" applyNumberFormat="1" applyFont="1" applyBorder="1" applyAlignment="1" applyProtection="1">
      <alignment horizontal="left" vertical="center"/>
      <protection locked="0"/>
    </xf>
    <xf numFmtId="0" fontId="17" fillId="0" borderId="0" xfId="0" applyFont="1" applyBorder="1" applyAlignment="1" applyProtection="1">
      <alignment horizontal="left" vertical="center"/>
      <protection locked="0"/>
    </xf>
    <xf numFmtId="0" fontId="17" fillId="3" borderId="1" xfId="0" applyFont="1" applyFill="1" applyBorder="1" applyAlignment="1" applyProtection="1">
      <alignment horizontal="left" vertical="center"/>
      <protection locked="0"/>
    </xf>
    <xf numFmtId="49" fontId="17" fillId="0" borderId="1" xfId="0" applyNumberFormat="1" applyFont="1" applyFill="1" applyBorder="1" applyAlignment="1">
      <alignment horizontal="left" vertical="center"/>
    </xf>
    <xf numFmtId="0" fontId="17" fillId="0" borderId="1" xfId="0" applyFont="1" applyFill="1" applyBorder="1" applyAlignment="1" applyProtection="1">
      <alignment horizontal="left" vertical="center"/>
      <protection locked="0"/>
    </xf>
    <xf numFmtId="49" fontId="11" fillId="0" borderId="1" xfId="0" applyNumberFormat="1" applyFont="1" applyBorder="1"/>
    <xf numFmtId="0" fontId="17" fillId="0" borderId="0" xfId="0" applyFont="1" applyAlignment="1" applyProtection="1">
      <alignment horizontal="left" vertical="center"/>
      <protection locked="0"/>
    </xf>
    <xf numFmtId="0" fontId="17" fillId="0" borderId="1" xfId="0" applyFont="1" applyBorder="1"/>
    <xf numFmtId="0" fontId="17" fillId="0" borderId="0" xfId="0" applyFont="1" applyAlignment="1">
      <alignment vertical="center"/>
    </xf>
    <xf numFmtId="49" fontId="35" fillId="0" borderId="0" xfId="0" applyNumberFormat="1" applyFont="1" applyBorder="1" applyAlignment="1" applyProtection="1">
      <alignment horizontal="left" vertical="center"/>
      <protection locked="0"/>
    </xf>
    <xf numFmtId="49" fontId="6" fillId="0" borderId="1" xfId="0" applyNumberFormat="1" applyFont="1" applyBorder="1" applyAlignment="1"/>
    <xf numFmtId="0" fontId="17" fillId="0" borderId="0" xfId="0" applyFont="1" applyAlignment="1">
      <alignment horizontal="left" vertical="center"/>
    </xf>
    <xf numFmtId="49" fontId="17" fillId="0" borderId="1" xfId="0" applyNumberFormat="1" applyFont="1" applyBorder="1" applyAlignment="1" applyProtection="1">
      <alignment horizontal="left" vertical="center"/>
      <protection locked="0"/>
    </xf>
    <xf numFmtId="9" fontId="17" fillId="0" borderId="1" xfId="0" applyNumberFormat="1" applyFont="1" applyBorder="1" applyAlignment="1" applyProtection="1">
      <alignment horizontal="left" vertical="center"/>
      <protection locked="0"/>
    </xf>
    <xf numFmtId="0" fontId="11" fillId="0" borderId="1" xfId="0" applyFont="1" applyBorder="1" applyAlignment="1" applyProtection="1">
      <alignment horizontal="left" vertical="center"/>
      <protection locked="0"/>
    </xf>
    <xf numFmtId="0" fontId="11" fillId="0" borderId="0" xfId="0" applyFont="1" applyAlignment="1" applyProtection="1">
      <alignment horizontal="left" vertical="center"/>
      <protection locked="0"/>
    </xf>
    <xf numFmtId="0" fontId="9" fillId="0" borderId="0" xfId="0" applyFont="1"/>
    <xf numFmtId="49" fontId="17" fillId="0" borderId="0" xfId="0" applyNumberFormat="1" applyFont="1" applyAlignment="1">
      <alignment horizontal="left" vertical="center"/>
    </xf>
    <xf numFmtId="0" fontId="0" fillId="0" borderId="0" xfId="0" applyAlignment="1"/>
    <xf numFmtId="165" fontId="17" fillId="0" borderId="10" xfId="0" applyNumberFormat="1" applyFont="1" applyBorder="1" applyAlignment="1">
      <alignment horizontal="center" vertical="center"/>
    </xf>
    <xf numFmtId="49" fontId="9" fillId="0" borderId="0" xfId="0" applyNumberFormat="1" applyFont="1"/>
    <xf numFmtId="0" fontId="17" fillId="0" borderId="1" xfId="0" applyFont="1" applyBorder="1" applyAlignment="1">
      <alignment horizontal="left" vertical="center"/>
    </xf>
    <xf numFmtId="0" fontId="11" fillId="0" borderId="1" xfId="0" applyFont="1" applyBorder="1"/>
    <xf numFmtId="0" fontId="11" fillId="0" borderId="0" xfId="0" applyFont="1" applyBorder="1"/>
    <xf numFmtId="0" fontId="17" fillId="0" borderId="0" xfId="0" applyFont="1" applyBorder="1" applyAlignment="1">
      <alignment horizontal="left" vertical="center"/>
    </xf>
    <xf numFmtId="49" fontId="17" fillId="0" borderId="0" xfId="0" applyNumberFormat="1" applyFont="1" applyBorder="1" applyAlignment="1">
      <alignment horizontal="left" vertical="center"/>
    </xf>
    <xf numFmtId="0" fontId="19" fillId="0" borderId="0" xfId="180" applyFont="1" applyAlignment="1">
      <alignment horizontal="center" vertical="center"/>
    </xf>
    <xf numFmtId="0" fontId="25" fillId="0" borderId="6" xfId="180" applyFont="1" applyFill="1" applyBorder="1" applyAlignment="1">
      <alignment horizontal="center" vertical="center"/>
    </xf>
    <xf numFmtId="0" fontId="25" fillId="0" borderId="11" xfId="180" applyFont="1" applyFill="1" applyBorder="1" applyAlignment="1">
      <alignment horizontal="center" vertical="center"/>
    </xf>
    <xf numFmtId="0" fontId="22" fillId="0" borderId="8" xfId="180" applyFont="1" applyFill="1" applyBorder="1" applyAlignment="1">
      <alignment horizontal="center" vertical="center"/>
    </xf>
    <xf numFmtId="0" fontId="22" fillId="0" borderId="7" xfId="180" applyFont="1" applyFill="1" applyBorder="1" applyAlignment="1">
      <alignment horizontal="center" vertical="center"/>
    </xf>
    <xf numFmtId="0" fontId="22" fillId="0" borderId="16" xfId="180" applyFont="1" applyFill="1" applyBorder="1" applyAlignment="1">
      <alignment horizontal="center" vertical="center"/>
    </xf>
    <xf numFmtId="0" fontId="13" fillId="4" borderId="1" xfId="180" applyFont="1" applyFill="1" applyBorder="1" applyAlignment="1">
      <alignment horizontal="center" vertical="center"/>
    </xf>
    <xf numFmtId="0" fontId="13" fillId="0" borderId="3" xfId="180" applyFont="1" applyBorder="1" applyAlignment="1">
      <alignment horizontal="center" vertical="center"/>
    </xf>
    <xf numFmtId="0" fontId="13" fillId="0" borderId="4" xfId="180" applyFont="1" applyBorder="1" applyAlignment="1">
      <alignment horizontal="center" vertical="center"/>
    </xf>
    <xf numFmtId="0" fontId="13" fillId="0" borderId="10" xfId="180" applyFont="1" applyBorder="1" applyAlignment="1">
      <alignment horizontal="center" vertical="center"/>
    </xf>
  </cellXfs>
  <cellStyles count="211">
    <cellStyle name="Comma 2" xfId="182" xr:uid="{00000000-0005-0000-0000-000001000000}"/>
    <cellStyle name="Normal 2" xfId="1" xr:uid="{00000000-0005-0000-0000-0000C9000000}"/>
    <cellStyle name="Normal 2 2" xfId="2" xr:uid="{00000000-0005-0000-0000-0000CA000000}"/>
    <cellStyle name="Normal 3" xfId="3" xr:uid="{00000000-0005-0000-0000-0000CB000000}"/>
    <cellStyle name="Normal 3 2" xfId="163" xr:uid="{00000000-0005-0000-0000-0000CC000000}"/>
    <cellStyle name="Normal 4" xfId="165" xr:uid="{00000000-0005-0000-0000-0000CD000000}"/>
    <cellStyle name="Normal 5" xfId="180" xr:uid="{00000000-0005-0000-0000-0000CE000000}"/>
    <cellStyle name="Normal 6" xfId="204" xr:uid="{00000000-0005-0000-0000-0000CF000000}"/>
    <cellStyle name="Percent 2" xfId="4" xr:uid="{00000000-0005-0000-0000-0000D0000000}"/>
    <cellStyle name="Percent 2 2" xfId="164" xr:uid="{00000000-0005-0000-0000-0000D1000000}"/>
    <cellStyle name="Percent 3" xfId="181" xr:uid="{00000000-0005-0000-0000-0000D2000000}"/>
    <cellStyle name="千位分隔" xfId="203" builtinId="3"/>
    <cellStyle name="已访问的超链接" xfId="6" builtinId="9" hidden="1"/>
    <cellStyle name="已访问的超链接" xfId="8" builtinId="9" hidden="1"/>
    <cellStyle name="已访问的超链接" xfId="10" builtinId="9" hidden="1"/>
    <cellStyle name="已访问的超链接" xfId="12" builtinId="9" hidden="1"/>
    <cellStyle name="已访问的超链接" xfId="14" builtinId="9" hidden="1"/>
    <cellStyle name="已访问的超链接" xfId="16" builtinId="9" hidden="1"/>
    <cellStyle name="已访问的超链接" xfId="18" builtinId="9" hidden="1"/>
    <cellStyle name="已访问的超链接" xfId="20" builtinId="9" hidden="1"/>
    <cellStyle name="已访问的超链接" xfId="22" builtinId="9" hidden="1"/>
    <cellStyle name="已访问的超链接" xfId="24" builtinId="9" hidden="1"/>
    <cellStyle name="已访问的超链接" xfId="26" builtinId="9" hidden="1"/>
    <cellStyle name="已访问的超链接" xfId="28" builtinId="9" hidden="1"/>
    <cellStyle name="已访问的超链接" xfId="30" builtinId="9" hidden="1"/>
    <cellStyle name="已访问的超链接" xfId="32" builtinId="9" hidden="1"/>
    <cellStyle name="已访问的超链接" xfId="34" builtinId="9" hidden="1"/>
    <cellStyle name="已访问的超链接" xfId="36" builtinId="9" hidden="1"/>
    <cellStyle name="已访问的超链接" xfId="38" builtinId="9" hidden="1"/>
    <cellStyle name="已访问的超链接" xfId="40" builtinId="9" hidden="1"/>
    <cellStyle name="已访问的超链接" xfId="42" builtinId="9" hidden="1"/>
    <cellStyle name="已访问的超链接" xfId="44" builtinId="9" hidden="1"/>
    <cellStyle name="已访问的超链接" xfId="46" builtinId="9" hidden="1"/>
    <cellStyle name="已访问的超链接" xfId="48" builtinId="9" hidden="1"/>
    <cellStyle name="已访问的超链接" xfId="50" builtinId="9" hidden="1"/>
    <cellStyle name="已访问的超链接" xfId="52" builtinId="9" hidden="1"/>
    <cellStyle name="已访问的超链接" xfId="54" builtinId="9" hidden="1"/>
    <cellStyle name="已访问的超链接" xfId="56" builtinId="9" hidden="1"/>
    <cellStyle name="已访问的超链接" xfId="58" builtinId="9" hidden="1"/>
    <cellStyle name="已访问的超链接" xfId="60" builtinId="9" hidden="1"/>
    <cellStyle name="已访问的超链接" xfId="62" builtinId="9" hidden="1"/>
    <cellStyle name="已访问的超链接" xfId="64" builtinId="9" hidden="1"/>
    <cellStyle name="已访问的超链接" xfId="66" builtinId="9" hidden="1"/>
    <cellStyle name="已访问的超链接" xfId="68" builtinId="9" hidden="1"/>
    <cellStyle name="已访问的超链接" xfId="70" builtinId="9" hidden="1"/>
    <cellStyle name="已访问的超链接" xfId="72" builtinId="9" hidden="1"/>
    <cellStyle name="已访问的超链接" xfId="74" builtinId="9" hidden="1"/>
    <cellStyle name="已访问的超链接" xfId="76" builtinId="9" hidden="1"/>
    <cellStyle name="已访问的超链接" xfId="78" builtinId="9" hidden="1"/>
    <cellStyle name="已访问的超链接" xfId="80" builtinId="9" hidden="1"/>
    <cellStyle name="已访问的超链接" xfId="82" builtinId="9" hidden="1"/>
    <cellStyle name="已访问的超链接" xfId="84" builtinId="9" hidden="1"/>
    <cellStyle name="已访问的超链接" xfId="86" builtinId="9" hidden="1"/>
    <cellStyle name="已访问的超链接" xfId="88" builtinId="9" hidden="1"/>
    <cellStyle name="已访问的超链接" xfId="90" builtinId="9" hidden="1"/>
    <cellStyle name="已访问的超链接" xfId="92" builtinId="9" hidden="1"/>
    <cellStyle name="已访问的超链接" xfId="94" builtinId="9" hidden="1"/>
    <cellStyle name="已访问的超链接" xfId="96" builtinId="9" hidden="1"/>
    <cellStyle name="已访问的超链接" xfId="98" builtinId="9" hidden="1"/>
    <cellStyle name="已访问的超链接" xfId="100" builtinId="9" hidden="1"/>
    <cellStyle name="已访问的超链接" xfId="102" builtinId="9" hidden="1"/>
    <cellStyle name="已访问的超链接" xfId="104" builtinId="9" hidden="1"/>
    <cellStyle name="已访问的超链接" xfId="106" builtinId="9" hidden="1"/>
    <cellStyle name="已访问的超链接" xfId="108" builtinId="9" hidden="1"/>
    <cellStyle name="已访问的超链接" xfId="110" builtinId="9" hidden="1"/>
    <cellStyle name="已访问的超链接" xfId="112" builtinId="9" hidden="1"/>
    <cellStyle name="已访问的超链接" xfId="114" builtinId="9" hidden="1"/>
    <cellStyle name="已访问的超链接" xfId="116" builtinId="9" hidden="1"/>
    <cellStyle name="已访问的超链接" xfId="118" builtinId="9" hidden="1"/>
    <cellStyle name="已访问的超链接" xfId="120" builtinId="9" hidden="1"/>
    <cellStyle name="已访问的超链接" xfId="122" builtinId="9" hidden="1"/>
    <cellStyle name="已访问的超链接" xfId="124" builtinId="9" hidden="1"/>
    <cellStyle name="已访问的超链接" xfId="126" builtinId="9" hidden="1"/>
    <cellStyle name="已访问的超链接" xfId="128" builtinId="9" hidden="1"/>
    <cellStyle name="已访问的超链接" xfId="130" builtinId="9" hidden="1"/>
    <cellStyle name="已访问的超链接" xfId="132" builtinId="9" hidden="1"/>
    <cellStyle name="已访问的超链接" xfId="134" builtinId="9" hidden="1"/>
    <cellStyle name="已访问的超链接" xfId="136" builtinId="9" hidden="1"/>
    <cellStyle name="已访问的超链接" xfId="138" builtinId="9" hidden="1"/>
    <cellStyle name="已访问的超链接" xfId="140" builtinId="9" hidden="1"/>
    <cellStyle name="已访问的超链接" xfId="142" builtinId="9" hidden="1"/>
    <cellStyle name="已访问的超链接" xfId="144" builtinId="9" hidden="1"/>
    <cellStyle name="已访问的超链接" xfId="146" builtinId="9" hidden="1"/>
    <cellStyle name="已访问的超链接" xfId="148" builtinId="9" hidden="1"/>
    <cellStyle name="已访问的超链接" xfId="150" builtinId="9" hidden="1"/>
    <cellStyle name="已访问的超链接" xfId="152" builtinId="9" hidden="1"/>
    <cellStyle name="已访问的超链接" xfId="154" builtinId="9" hidden="1"/>
    <cellStyle name="已访问的超链接" xfId="156" builtinId="9" hidden="1"/>
    <cellStyle name="已访问的超链接" xfId="158" builtinId="9" hidden="1"/>
    <cellStyle name="已访问的超链接" xfId="160" builtinId="9" hidden="1"/>
    <cellStyle name="已访问的超链接" xfId="162" builtinId="9" hidden="1"/>
    <cellStyle name="已访问的超链接" xfId="167" builtinId="9" hidden="1"/>
    <cellStyle name="已访问的超链接" xfId="169" builtinId="9" hidden="1"/>
    <cellStyle name="已访问的超链接" xfId="171" builtinId="9" hidden="1"/>
    <cellStyle name="已访问的超链接" xfId="173" builtinId="9" hidden="1"/>
    <cellStyle name="已访问的超链接" xfId="175" builtinId="9" hidden="1"/>
    <cellStyle name="已访问的超链接" xfId="177" builtinId="9" hidden="1"/>
    <cellStyle name="已访问的超链接" xfId="179" builtinId="9" hidden="1"/>
    <cellStyle name="已访问的超链接" xfId="184" builtinId="9" hidden="1"/>
    <cellStyle name="已访问的超链接" xfId="186" builtinId="9" hidden="1"/>
    <cellStyle name="已访问的超链接" xfId="188" builtinId="9" hidden="1"/>
    <cellStyle name="已访问的超链接" xfId="190" builtinId="9" hidden="1"/>
    <cellStyle name="已访问的超链接" xfId="192" builtinId="9" hidden="1"/>
    <cellStyle name="已访问的超链接" xfId="194" builtinId="9" hidden="1"/>
    <cellStyle name="已访问的超链接" xfId="196" builtinId="9" hidden="1"/>
    <cellStyle name="已访问的超链接" xfId="198" builtinId="9" hidden="1"/>
    <cellStyle name="已访问的超链接" xfId="200" builtinId="9" hidden="1"/>
    <cellStyle name="已访问的超链接" xfId="202" builtinId="9" hidden="1"/>
    <cellStyle name="已访问的超链接" xfId="206" builtinId="9" hidden="1"/>
    <cellStyle name="已访问的超链接" xfId="208" builtinId="9" hidden="1"/>
    <cellStyle name="已访问的超链接" xfId="210" builtinId="9" hidden="1"/>
    <cellStyle name="常规" xfId="0" builtinId="0"/>
    <cellStyle name="超链接" xfId="5" builtinId="8" hidden="1"/>
    <cellStyle name="超链接" xfId="7" builtinId="8" hidden="1"/>
    <cellStyle name="超链接" xfId="9" builtinId="8" hidden="1"/>
    <cellStyle name="超链接" xfId="11" builtinId="8" hidden="1"/>
    <cellStyle name="超链接" xfId="13" builtinId="8" hidden="1"/>
    <cellStyle name="超链接" xfId="15" builtinId="8" hidden="1"/>
    <cellStyle name="超链接" xfId="17" builtinId="8" hidden="1"/>
    <cellStyle name="超链接" xfId="19" builtinId="8" hidden="1"/>
    <cellStyle name="超链接" xfId="21" builtinId="8" hidden="1"/>
    <cellStyle name="超链接" xfId="23" builtinId="8" hidden="1"/>
    <cellStyle name="超链接" xfId="25" builtinId="8" hidden="1"/>
    <cellStyle name="超链接" xfId="27" builtinId="8" hidden="1"/>
    <cellStyle name="超链接" xfId="29" builtinId="8" hidden="1"/>
    <cellStyle name="超链接" xfId="31" builtinId="8" hidden="1"/>
    <cellStyle name="超链接" xfId="33" builtinId="8" hidden="1"/>
    <cellStyle name="超链接" xfId="35" builtinId="8" hidden="1"/>
    <cellStyle name="超链接" xfId="37" builtinId="8" hidden="1"/>
    <cellStyle name="超链接" xfId="39" builtinId="8" hidden="1"/>
    <cellStyle name="超链接" xfId="41" builtinId="8" hidden="1"/>
    <cellStyle name="超链接" xfId="43" builtinId="8" hidden="1"/>
    <cellStyle name="超链接" xfId="45" builtinId="8" hidden="1"/>
    <cellStyle name="超链接" xfId="47" builtinId="8" hidden="1"/>
    <cellStyle name="超链接" xfId="49" builtinId="8" hidden="1"/>
    <cellStyle name="超链接" xfId="51" builtinId="8" hidden="1"/>
    <cellStyle name="超链接" xfId="53" builtinId="8" hidden="1"/>
    <cellStyle name="超链接" xfId="55" builtinId="8" hidden="1"/>
    <cellStyle name="超链接" xfId="57" builtinId="8" hidden="1"/>
    <cellStyle name="超链接" xfId="59" builtinId="8" hidden="1"/>
    <cellStyle name="超链接" xfId="61" builtinId="8" hidden="1"/>
    <cellStyle name="超链接" xfId="63" builtinId="8" hidden="1"/>
    <cellStyle name="超链接" xfId="65" builtinId="8" hidden="1"/>
    <cellStyle name="超链接" xfId="67" builtinId="8" hidden="1"/>
    <cellStyle name="超链接" xfId="69" builtinId="8" hidden="1"/>
    <cellStyle name="超链接" xfId="71" builtinId="8" hidden="1"/>
    <cellStyle name="超链接" xfId="73" builtinId="8" hidden="1"/>
    <cellStyle name="超链接" xfId="75" builtinId="8" hidden="1"/>
    <cellStyle name="超链接" xfId="77" builtinId="8" hidden="1"/>
    <cellStyle name="超链接" xfId="79" builtinId="8" hidden="1"/>
    <cellStyle name="超链接" xfId="81" builtinId="8" hidden="1"/>
    <cellStyle name="超链接" xfId="83" builtinId="8" hidden="1"/>
    <cellStyle name="超链接" xfId="85" builtinId="8" hidden="1"/>
    <cellStyle name="超链接" xfId="87" builtinId="8" hidden="1"/>
    <cellStyle name="超链接" xfId="89" builtinId="8" hidden="1"/>
    <cellStyle name="超链接" xfId="91" builtinId="8" hidden="1"/>
    <cellStyle name="超链接" xfId="93" builtinId="8" hidden="1"/>
    <cellStyle name="超链接" xfId="95" builtinId="8" hidden="1"/>
    <cellStyle name="超链接" xfId="97" builtinId="8" hidden="1"/>
    <cellStyle name="超链接" xfId="99" builtinId="8" hidden="1"/>
    <cellStyle name="超链接" xfId="101" builtinId="8" hidden="1"/>
    <cellStyle name="超链接" xfId="103" builtinId="8" hidden="1"/>
    <cellStyle name="超链接" xfId="105" builtinId="8" hidden="1"/>
    <cellStyle name="超链接" xfId="107" builtinId="8" hidden="1"/>
    <cellStyle name="超链接" xfId="109" builtinId="8" hidden="1"/>
    <cellStyle name="超链接" xfId="111" builtinId="8" hidden="1"/>
    <cellStyle name="超链接" xfId="113" builtinId="8" hidden="1"/>
    <cellStyle name="超链接" xfId="115" builtinId="8" hidden="1"/>
    <cellStyle name="超链接" xfId="117" builtinId="8" hidden="1"/>
    <cellStyle name="超链接" xfId="119" builtinId="8" hidden="1"/>
    <cellStyle name="超链接" xfId="121" builtinId="8" hidden="1"/>
    <cellStyle name="超链接" xfId="123" builtinId="8" hidden="1"/>
    <cellStyle name="超链接" xfId="125" builtinId="8" hidden="1"/>
    <cellStyle name="超链接" xfId="127" builtinId="8" hidden="1"/>
    <cellStyle name="超链接" xfId="129" builtinId="8" hidden="1"/>
    <cellStyle name="超链接" xfId="131" builtinId="8" hidden="1"/>
    <cellStyle name="超链接" xfId="133" builtinId="8" hidden="1"/>
    <cellStyle name="超链接" xfId="135" builtinId="8" hidden="1"/>
    <cellStyle name="超链接" xfId="137" builtinId="8" hidden="1"/>
    <cellStyle name="超链接" xfId="139" builtinId="8" hidden="1"/>
    <cellStyle name="超链接" xfId="141" builtinId="8" hidden="1"/>
    <cellStyle name="超链接" xfId="143" builtinId="8" hidden="1"/>
    <cellStyle name="超链接" xfId="145" builtinId="8" hidden="1"/>
    <cellStyle name="超链接" xfId="147" builtinId="8" hidden="1"/>
    <cellStyle name="超链接" xfId="149" builtinId="8" hidden="1"/>
    <cellStyle name="超链接" xfId="151" builtinId="8" hidden="1"/>
    <cellStyle name="超链接" xfId="153" builtinId="8" hidden="1"/>
    <cellStyle name="超链接" xfId="155" builtinId="8" hidden="1"/>
    <cellStyle name="超链接" xfId="157" builtinId="8" hidden="1"/>
    <cellStyle name="超链接" xfId="159" builtinId="8" hidden="1"/>
    <cellStyle name="超链接" xfId="161" builtinId="8" hidden="1"/>
    <cellStyle name="超链接" xfId="166" builtinId="8" hidden="1"/>
    <cellStyle name="超链接" xfId="168" builtinId="8" hidden="1"/>
    <cellStyle name="超链接" xfId="170" builtinId="8" hidden="1"/>
    <cellStyle name="超链接" xfId="172" builtinId="8" hidden="1"/>
    <cellStyle name="超链接" xfId="174" builtinId="8" hidden="1"/>
    <cellStyle name="超链接" xfId="176" builtinId="8" hidden="1"/>
    <cellStyle name="超链接" xfId="178" builtinId="8" hidden="1"/>
    <cellStyle name="超链接" xfId="183" builtinId="8" hidden="1"/>
    <cellStyle name="超链接" xfId="185" builtinId="8" hidden="1"/>
    <cellStyle name="超链接" xfId="187" builtinId="8" hidden="1"/>
    <cellStyle name="超链接" xfId="189" builtinId="8" hidden="1"/>
    <cellStyle name="超链接" xfId="191" builtinId="8" hidden="1"/>
    <cellStyle name="超链接" xfId="193" builtinId="8" hidden="1"/>
    <cellStyle name="超链接" xfId="195" builtinId="8" hidden="1"/>
    <cellStyle name="超链接" xfId="197" builtinId="8" hidden="1"/>
    <cellStyle name="超链接" xfId="199" builtinId="8" hidden="1"/>
    <cellStyle name="超链接" xfId="201" builtinId="8" hidden="1"/>
    <cellStyle name="超链接" xfId="205" builtinId="8" hidden="1"/>
    <cellStyle name="超链接" xfId="207" builtinId="8" hidden="1"/>
    <cellStyle name="超链接" xfId="209" builtinId="8" hidden="1"/>
  </cellStyles>
  <dxfs count="941">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152400</xdr:colOff>
          <xdr:row>0</xdr:row>
          <xdr:rowOff>22860</xdr:rowOff>
        </xdr:from>
        <xdr:to>
          <xdr:col>10</xdr:col>
          <xdr:colOff>1013460</xdr:colOff>
          <xdr:row>0</xdr:row>
          <xdr:rowOff>365760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Copy Row</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办公室">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办公室">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办公室">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L36"/>
  <sheetViews>
    <sheetView showGridLines="0" zoomScale="80" zoomScaleNormal="80" zoomScalePageLayoutView="110" workbookViewId="0">
      <selection activeCell="D30" sqref="D30"/>
    </sheetView>
  </sheetViews>
  <sheetFormatPr defaultColWidth="7.69921875" defaultRowHeight="13.8"/>
  <cols>
    <col min="1" max="1" width="3.19921875" style="26" customWidth="1"/>
    <col min="2" max="2" width="16.69921875" style="26" bestFit="1" customWidth="1"/>
    <col min="3" max="3" width="24" style="26" bestFit="1" customWidth="1"/>
    <col min="4" max="5" width="16.69921875" style="26" customWidth="1"/>
    <col min="6" max="6" width="17.5" style="26" customWidth="1"/>
    <col min="7" max="9" width="16.69921875" style="26" customWidth="1"/>
    <col min="10" max="10" width="21.69921875" style="26" customWidth="1"/>
    <col min="11" max="12" width="16.69921875" style="26" customWidth="1"/>
    <col min="13" max="16384" width="7.69921875" style="26"/>
  </cols>
  <sheetData>
    <row r="2" spans="2:11">
      <c r="B2" s="113" t="s">
        <v>16</v>
      </c>
      <c r="C2" s="113"/>
      <c r="E2" s="113" t="s">
        <v>15</v>
      </c>
      <c r="F2" s="113"/>
      <c r="H2" s="113" t="s">
        <v>49</v>
      </c>
      <c r="I2" s="113"/>
    </row>
    <row r="4" spans="2:11">
      <c r="B4" s="26" t="s">
        <v>18</v>
      </c>
      <c r="C4" s="27"/>
      <c r="E4" s="26" t="s">
        <v>14</v>
      </c>
      <c r="F4" s="41">
        <f>COUNTA('Error Log'!A:A)-1</f>
        <v>140</v>
      </c>
      <c r="H4" s="26" t="s">
        <v>42</v>
      </c>
      <c r="I4" s="42">
        <f>H18</f>
        <v>89.449435613913849</v>
      </c>
      <c r="K4" s="35"/>
    </row>
    <row r="5" spans="2:11">
      <c r="C5" s="28"/>
      <c r="F5" s="28"/>
      <c r="K5" s="36">
        <f>I4</f>
        <v>89.449435613913849</v>
      </c>
    </row>
    <row r="6" spans="2:11">
      <c r="B6" s="26" t="s">
        <v>51</v>
      </c>
      <c r="C6" s="29"/>
      <c r="D6" s="26" t="s">
        <v>52</v>
      </c>
      <c r="E6" s="26" t="s">
        <v>9</v>
      </c>
      <c r="F6" s="41">
        <f>L36</f>
        <v>127</v>
      </c>
      <c r="H6" s="26" t="s">
        <v>12</v>
      </c>
      <c r="I6" s="43">
        <f>IF(C8=0,"0",1000*(F6/C8))</f>
        <v>29.255931812946326</v>
      </c>
      <c r="K6" s="37">
        <v>1</v>
      </c>
    </row>
    <row r="7" spans="2:11">
      <c r="C7" s="28"/>
      <c r="F7" s="28"/>
      <c r="I7" s="28"/>
      <c r="K7" s="38">
        <f>200-(K5+K6)</f>
        <v>109.55056438608615</v>
      </c>
    </row>
    <row r="8" spans="2:11">
      <c r="B8" s="26" t="s">
        <v>11</v>
      </c>
      <c r="C8" s="77">
        <f>SUM('Scores per segment'!D:D)</f>
        <v>4341</v>
      </c>
      <c r="E8" s="26" t="s">
        <v>38</v>
      </c>
      <c r="F8" s="41" t="e">
        <f>#REF!</f>
        <v>#REF!</v>
      </c>
      <c r="H8" s="26" t="s">
        <v>39</v>
      </c>
      <c r="I8" s="44" t="str">
        <f>IF(C10=0,"0",(F8/C10))</f>
        <v>0</v>
      </c>
      <c r="K8" s="37"/>
    </row>
    <row r="9" spans="2:11">
      <c r="C9" s="28"/>
      <c r="I9" s="28"/>
      <c r="K9" s="37"/>
    </row>
    <row r="10" spans="2:11">
      <c r="B10" s="26" t="s">
        <v>10</v>
      </c>
      <c r="C10" s="27">
        <f>COUNT('Scores per segment'!A:A)</f>
        <v>0</v>
      </c>
      <c r="E10" s="26" t="s">
        <v>13</v>
      </c>
      <c r="F10" s="41">
        <f>COUNTIFS('Error Log'!D:D,"*",'Error Log'!E:E,"")</f>
        <v>13</v>
      </c>
      <c r="H10" s="26" t="s">
        <v>19</v>
      </c>
      <c r="I10" s="44" t="str">
        <f>IF(C10=0,"0",(F10/C10))</f>
        <v>0</v>
      </c>
    </row>
    <row r="11" spans="2:11">
      <c r="C11" s="34"/>
    </row>
    <row r="12" spans="2:11" ht="14.4" thickBot="1">
      <c r="B12" s="30"/>
      <c r="C12" s="30"/>
      <c r="D12" s="30"/>
      <c r="E12" s="30"/>
      <c r="F12" s="30"/>
      <c r="G12" s="30"/>
      <c r="H12" s="30"/>
      <c r="I12" s="30"/>
    </row>
    <row r="13" spans="2:11" ht="14.4" thickTop="1">
      <c r="B13" s="33"/>
      <c r="C13" s="33"/>
      <c r="D13" s="33"/>
      <c r="E13" s="33"/>
      <c r="F13" s="33"/>
      <c r="G13" s="33"/>
      <c r="H13" s="33"/>
      <c r="I13" s="33"/>
      <c r="J13" s="33"/>
    </row>
    <row r="15" spans="2:11">
      <c r="D15" s="40" t="s">
        <v>40</v>
      </c>
    </row>
    <row r="16" spans="2:11">
      <c r="C16" s="34"/>
    </row>
    <row r="17" spans="2:12" ht="15.6">
      <c r="C17" s="39"/>
      <c r="D17" s="58" t="s">
        <v>35</v>
      </c>
      <c r="E17" s="59" t="s">
        <v>36</v>
      </c>
      <c r="F17" s="60" t="s">
        <v>37</v>
      </c>
      <c r="G17" s="73" t="s">
        <v>48</v>
      </c>
      <c r="H17" s="68" t="s">
        <v>53</v>
      </c>
    </row>
    <row r="18" spans="2:12" ht="15.6">
      <c r="C18" s="67" t="s">
        <v>43</v>
      </c>
      <c r="D18" s="58">
        <f>COUNTIF('Error Log'!$J:$J,D$17)</f>
        <v>57</v>
      </c>
      <c r="E18" s="59">
        <f>COUNTIF('Error Log'!$J:$J,E$17)</f>
        <v>69</v>
      </c>
      <c r="F18" s="60">
        <f>COUNTIF('Error Log'!$J:$J,F$17)</f>
        <v>1</v>
      </c>
      <c r="G18" s="73">
        <f>COUNTIF('Error Log'!$F:$F,"Target")</f>
        <v>0</v>
      </c>
      <c r="H18" s="69">
        <f>SUMPRODUCT('Scores per segment'!J:J,'Scores per segment'!D:D)/SUM('Scores per segment'!D:D)</f>
        <v>89.449435613913849</v>
      </c>
    </row>
    <row r="21" spans="2:12">
      <c r="C21" s="34"/>
    </row>
    <row r="22" spans="2:12" ht="14.4" thickBot="1">
      <c r="B22" s="30"/>
      <c r="C22" s="30"/>
      <c r="D22" s="30"/>
      <c r="E22" s="30"/>
      <c r="F22" s="30"/>
      <c r="G22" s="30"/>
      <c r="H22" s="30"/>
      <c r="I22" s="30"/>
      <c r="J22" s="30"/>
      <c r="K22" s="30"/>
      <c r="L22" s="30"/>
    </row>
    <row r="23" spans="2:12" ht="14.4" thickTop="1">
      <c r="B23" s="33"/>
      <c r="C23" s="33"/>
      <c r="D23" s="33"/>
      <c r="E23" s="33"/>
      <c r="F23" s="33"/>
      <c r="G23" s="33"/>
      <c r="H23" s="33"/>
      <c r="I23" s="33"/>
      <c r="J23" s="33"/>
      <c r="K23" s="33"/>
      <c r="L23" s="33"/>
    </row>
    <row r="24" spans="2:12">
      <c r="B24" s="33"/>
      <c r="C24" s="33"/>
      <c r="D24" s="33"/>
      <c r="E24" s="33"/>
      <c r="F24" s="33"/>
      <c r="G24" s="33"/>
      <c r="H24" s="33"/>
      <c r="I24" s="33"/>
      <c r="J24" s="33"/>
      <c r="K24" s="33"/>
      <c r="L24" s="33"/>
    </row>
    <row r="25" spans="2:12">
      <c r="B25" s="33"/>
      <c r="D25" s="40" t="s">
        <v>41</v>
      </c>
      <c r="E25" s="33"/>
      <c r="F25" s="33"/>
      <c r="G25" s="33"/>
      <c r="H25" s="33"/>
      <c r="I25" s="33"/>
      <c r="J25" s="33"/>
      <c r="K25" s="33"/>
      <c r="L25" s="33"/>
    </row>
    <row r="26" spans="2:12" ht="14.4" thickBot="1">
      <c r="B26" s="33"/>
      <c r="C26" s="33"/>
      <c r="D26" s="33"/>
      <c r="E26" s="33"/>
      <c r="F26" s="33"/>
      <c r="G26" s="33"/>
      <c r="H26" s="33"/>
      <c r="I26" s="33"/>
      <c r="J26" s="33"/>
      <c r="K26" s="33"/>
      <c r="L26" s="33"/>
    </row>
    <row r="27" spans="2:12" ht="14.4" thickBot="1">
      <c r="B27" s="45" t="s">
        <v>31</v>
      </c>
      <c r="C27" s="46" t="s">
        <v>30</v>
      </c>
      <c r="D27" s="46" t="s">
        <v>54</v>
      </c>
      <c r="E27" s="46" t="s">
        <v>55</v>
      </c>
      <c r="F27" s="46" t="s">
        <v>56</v>
      </c>
      <c r="G27" s="46" t="s">
        <v>29</v>
      </c>
      <c r="H27" s="46" t="s">
        <v>27</v>
      </c>
      <c r="I27" s="46" t="s">
        <v>72</v>
      </c>
      <c r="J27" s="46" t="s">
        <v>73</v>
      </c>
      <c r="K27" s="46" t="s">
        <v>57</v>
      </c>
      <c r="L27" s="47" t="s">
        <v>6</v>
      </c>
    </row>
    <row r="28" spans="2:12">
      <c r="B28" s="118" t="s">
        <v>8</v>
      </c>
      <c r="C28" s="61" t="s">
        <v>22</v>
      </c>
      <c r="D28" s="48">
        <f>COUNTIFS('Error Log'!$E:$E,$B$28,'Error Log'!$F:$F,$C28,'Error Log'!$G:$G,D$27)</f>
        <v>0</v>
      </c>
      <c r="E28" s="48">
        <f>COUNTIFS('Error Log'!$E:$E,$B$28,'Error Log'!$F:$F,$C28,'Error Log'!$G:$G,E$27)</f>
        <v>0</v>
      </c>
      <c r="F28" s="55">
        <f>COUNTIFS('Error Log'!$E:$E,$B$28,'Error Log'!$F:$F,$C28,'Error Log'!$G:$G,F$27)</f>
        <v>0</v>
      </c>
      <c r="G28" s="55">
        <f>COUNTIFS('Error Log'!$E:$E,$B$28,'Error Log'!$F:$F,$C28,'Error Log'!$G:$G,G$27)</f>
        <v>0</v>
      </c>
      <c r="H28" s="55">
        <f>COUNTIFS('Error Log'!$E:$E,$B$28,'Error Log'!$F:$F,$C28,'Error Log'!$G:$G,H$27)</f>
        <v>0</v>
      </c>
      <c r="I28" s="55">
        <f>COUNTIFS('Error Log'!$E:$E,$B$28,'Error Log'!$F:$F,$C28,'Error Log'!$G:$G,I$27)</f>
        <v>3</v>
      </c>
      <c r="J28" s="48">
        <f>COUNTIFS('Error Log'!$E:$E,$B$28,'Error Log'!$F:$F,$C28,'Error Log'!$G:$G,J$27)</f>
        <v>1</v>
      </c>
      <c r="K28" s="54">
        <f>COUNTIFS('Error Log'!$E:$E,$B$28,'Error Log'!$F:$F,$C28,'Error Log'!$G:$G,K$27)</f>
        <v>62</v>
      </c>
      <c r="L28" s="65">
        <f t="shared" ref="L28:L35" si="0">SUM(D28:K28)</f>
        <v>66</v>
      </c>
    </row>
    <row r="29" spans="2:12">
      <c r="B29" s="117"/>
      <c r="C29" s="62" t="s">
        <v>7</v>
      </c>
      <c r="D29" s="49">
        <f>COUNTIFS('Error Log'!$E:$E,$B$28,'Error Log'!$F:$F,$C29,'Error Log'!$G:$G,D$27)</f>
        <v>0</v>
      </c>
      <c r="E29" s="49">
        <f>COUNTIFS('Error Log'!$E:$E,$B$28,'Error Log'!$F:$F,$C29,'Error Log'!$G:$G,E$27)</f>
        <v>1</v>
      </c>
      <c r="F29" s="56">
        <f>COUNTIFS('Error Log'!$E:$E,$B$28,'Error Log'!$F:$F,$C29,'Error Log'!$G:$G,F$27)</f>
        <v>0</v>
      </c>
      <c r="G29" s="56">
        <f>COUNTIFS('Error Log'!$E:$E,$B$28,'Error Log'!$F:$F,$C29,'Error Log'!$G:$G,G$27)</f>
        <v>0</v>
      </c>
      <c r="H29" s="56">
        <f>COUNTIFS('Error Log'!$E:$E,$B$28,'Error Log'!$F:$F,$C29,'Error Log'!$G:$G,H$27)</f>
        <v>0</v>
      </c>
      <c r="I29" s="56">
        <f>COUNTIFS('Error Log'!$E:$E,$B$28,'Error Log'!$F:$F,$C29,'Error Log'!$G:$G,I$27)</f>
        <v>1</v>
      </c>
      <c r="J29" s="51">
        <f>COUNTIFS('Error Log'!$E:$E,$B$28,'Error Log'!$F:$F,$C29,'Error Log'!$G:$G,J$27)</f>
        <v>0</v>
      </c>
      <c r="K29" s="52">
        <f>COUNTIFS('Error Log'!$E:$E,$B$28,'Error Log'!$F:$F,$C29,'Error Log'!$G:$G,K$27)</f>
        <v>55</v>
      </c>
      <c r="L29" s="66">
        <f t="shared" si="0"/>
        <v>57</v>
      </c>
    </row>
    <row r="30" spans="2:12">
      <c r="B30" s="117"/>
      <c r="C30" s="62" t="s">
        <v>68</v>
      </c>
      <c r="D30" s="49">
        <f>COUNTIFS('Error Log'!$E:$E,$B$28,'Error Log'!$F:$F,$C30,'Error Log'!$G:$G,D$27)</f>
        <v>1</v>
      </c>
      <c r="E30" s="49">
        <f>COUNTIFS('Error Log'!$E:$E,$B$28,'Error Log'!$F:$F,$C30,'Error Log'!$G:$G,E$27)</f>
        <v>0</v>
      </c>
      <c r="F30" s="56">
        <f>COUNTIFS('Error Log'!$E:$E,$B$28,'Error Log'!$F:$F,$C30,'Error Log'!$G:$G,F$27)</f>
        <v>0</v>
      </c>
      <c r="G30" s="56">
        <f>COUNTIFS('Error Log'!$E:$E,$B$28,'Error Log'!$F:$F,$C30,'Error Log'!$G:$G,G$27)</f>
        <v>0</v>
      </c>
      <c r="H30" s="56">
        <f>COUNTIFS('Error Log'!$E:$E,$B$28,'Error Log'!$F:$F,$C30,'Error Log'!$G:$G,H$27)</f>
        <v>0</v>
      </c>
      <c r="I30" s="56">
        <f>COUNTIFS('Error Log'!$E:$E,$B$28,'Error Log'!$F:$F,$C30,'Error Log'!$G:$G,I$27)</f>
        <v>0</v>
      </c>
      <c r="J30" s="49">
        <f>COUNTIFS('Error Log'!$E:$E,$B$28,'Error Log'!$F:$F,$C30,'Error Log'!$G:$G,J$27)</f>
        <v>0</v>
      </c>
      <c r="K30" s="52">
        <f>COUNTIFS('Error Log'!$E:$E,$B$28,'Error Log'!$F:$F,$C30,'Error Log'!$G:$G,K$27)</f>
        <v>0</v>
      </c>
      <c r="L30" s="66">
        <f t="shared" si="0"/>
        <v>1</v>
      </c>
    </row>
    <row r="31" spans="2:12">
      <c r="B31" s="117"/>
      <c r="C31" s="62" t="s">
        <v>69</v>
      </c>
      <c r="D31" s="49">
        <f>COUNTIFS('Error Log'!$E:$E,$B$28,'Error Log'!$F:$F,$C31,'Error Log'!$G:$G,D$27)</f>
        <v>0</v>
      </c>
      <c r="E31" s="49">
        <f>COUNTIFS('Error Log'!$E:$E,$B$28,'Error Log'!$F:$F,$C31,'Error Log'!$G:$G,E$27)</f>
        <v>0</v>
      </c>
      <c r="F31" s="56">
        <f>COUNTIFS('Error Log'!$E:$E,$B$28,'Error Log'!$F:$F,$C31,'Error Log'!$G:$G,F$27)</f>
        <v>0</v>
      </c>
      <c r="G31" s="56">
        <f>COUNTIFS('Error Log'!$E:$E,$B$28,'Error Log'!$F:$F,$C31,'Error Log'!$G:$G,G$27)</f>
        <v>0</v>
      </c>
      <c r="H31" s="56">
        <f>COUNTIFS('Error Log'!$E:$E,$B$28,'Error Log'!$F:$F,$C31,'Error Log'!$G:$G,H$27)</f>
        <v>0</v>
      </c>
      <c r="I31" s="56">
        <f>COUNTIFS('Error Log'!$E:$E,$B$28,'Error Log'!$F:$F,$C31,'Error Log'!$G:$G,I$27)</f>
        <v>0</v>
      </c>
      <c r="J31" s="49">
        <f>COUNTIFS('Error Log'!$E:$E,$B$28,'Error Log'!$F:$F,$C31,'Error Log'!$G:$G,J$27)</f>
        <v>0</v>
      </c>
      <c r="K31" s="52">
        <f>COUNTIFS('Error Log'!$E:$E,$B$28,'Error Log'!$F:$F,$C31,'Error Log'!$G:$G,K$27)</f>
        <v>0</v>
      </c>
      <c r="L31" s="66">
        <f t="shared" ref="L31" si="1">SUM(D31:K31)</f>
        <v>0</v>
      </c>
    </row>
    <row r="32" spans="2:12" ht="14.4" thickBot="1">
      <c r="B32" s="117"/>
      <c r="C32" s="62" t="s">
        <v>45</v>
      </c>
      <c r="D32" s="51">
        <f>COUNTIFS('Error Log'!$E:$E,$B$28,'Error Log'!$F:$F,$C32,'Error Log'!$G:$G,D$27)</f>
        <v>0</v>
      </c>
      <c r="E32" s="51">
        <f>COUNTIFS('Error Log'!$E:$E,$B$28,'Error Log'!$F:$F,$C32,'Error Log'!$G:$G,E$27)</f>
        <v>0</v>
      </c>
      <c r="F32" s="51">
        <f>COUNTIFS('Error Log'!$E:$E,$B$28,'Error Log'!$F:$F,$C32,'Error Log'!$G:$G,F$27)</f>
        <v>0</v>
      </c>
      <c r="G32" s="51">
        <f>COUNTIFS('Error Log'!$E:$E,$B$28,'Error Log'!$F:$F,$C32,'Error Log'!$G:$G,G$27)</f>
        <v>0</v>
      </c>
      <c r="H32" s="51">
        <f>COUNTIFS('Error Log'!$E:$E,$B$28,'Error Log'!$F:$F,$C32,'Error Log'!$G:$G,H$27)</f>
        <v>0</v>
      </c>
      <c r="I32" s="51">
        <f>COUNTIFS('Error Log'!$E:$E,$B$28,'Error Log'!$F:$F,$C32,'Error Log'!$G:$G,I$27)</f>
        <v>0</v>
      </c>
      <c r="J32" s="49">
        <f>COUNTIFS('Error Log'!$E:$E,$B$28,'Error Log'!$F:$F,$C32,'Error Log'!$G:$G,J$27)</f>
        <v>0</v>
      </c>
      <c r="K32" s="52">
        <f>COUNTIFS('Error Log'!$E:$E,$B$28,'Error Log'!$F:$F,$C32,'Error Log'!$G:$G,K$27)</f>
        <v>0</v>
      </c>
      <c r="L32" s="66">
        <f t="shared" si="0"/>
        <v>0</v>
      </c>
    </row>
    <row r="33" spans="2:12">
      <c r="B33" s="116" t="s">
        <v>2</v>
      </c>
      <c r="C33" s="63" t="s">
        <v>71</v>
      </c>
      <c r="D33" s="57">
        <f>COUNTIFS('Error Log'!$E:$E,$B$33,'Error Log'!$F:$F,$C33,'Error Log'!$G:$G,D$27)</f>
        <v>0</v>
      </c>
      <c r="E33" s="53">
        <f>COUNTIFS('Error Log'!$E:$E,$B$33,'Error Log'!$F:$F,$C33,'Error Log'!$G:$G,E$27)</f>
        <v>0</v>
      </c>
      <c r="F33" s="53">
        <f>COUNTIFS('Error Log'!$E:$E,$B$33,'Error Log'!$F:$F,$C33,'Error Log'!$G:$G,F$27)</f>
        <v>0</v>
      </c>
      <c r="G33" s="53">
        <f>COUNTIFS('Error Log'!$E:$E,$B$33,'Error Log'!$F:$F,$C33,'Error Log'!$G:$G,G$27)</f>
        <v>0</v>
      </c>
      <c r="H33" s="53">
        <f>COUNTIFS('Error Log'!$E:$E,$B$33,'Error Log'!$F:$F,$C33,'Error Log'!$G:$G,H$27)</f>
        <v>0</v>
      </c>
      <c r="I33" s="53">
        <f>COUNTIFS('Error Log'!$E:$E,$B$33,'Error Log'!$F:$F,$C33,'Error Log'!$G:$G,I$27)</f>
        <v>0</v>
      </c>
      <c r="J33" s="50">
        <f>COUNTIFS('Error Log'!$E:$E,$B$33,'Error Log'!$F:$F,$C33,'Error Log'!$G:$G,J$27)</f>
        <v>0</v>
      </c>
      <c r="K33" s="53">
        <f>COUNTIFS('Error Log'!$E:$E,$B$33,'Error Log'!$F:$F,$C33,'Error Log'!$G:$G,K$27)</f>
        <v>0</v>
      </c>
      <c r="L33" s="65">
        <f t="shared" si="0"/>
        <v>0</v>
      </c>
    </row>
    <row r="34" spans="2:12">
      <c r="B34" s="117"/>
      <c r="C34" s="62" t="s">
        <v>26</v>
      </c>
      <c r="D34" s="52">
        <f>COUNTIFS('Error Log'!$E:$E,$B$33,'Error Log'!$F:$F,$C34,'Error Log'!$G:$G,D$27)</f>
        <v>0</v>
      </c>
      <c r="E34" s="52">
        <f>COUNTIFS('Error Log'!$E:$E,$B$33,'Error Log'!$F:$F,$C34,'Error Log'!$G:$G,E$27)</f>
        <v>0</v>
      </c>
      <c r="F34" s="52">
        <f>COUNTIFS('Error Log'!$E:$E,$B$33,'Error Log'!$F:$F,$C34,'Error Log'!$G:$G,F$27)</f>
        <v>0</v>
      </c>
      <c r="G34" s="52">
        <f>COUNTIFS('Error Log'!$E:$E,$B$33,'Error Log'!$F:$F,$C34,'Error Log'!$G:$G,G$27)</f>
        <v>0</v>
      </c>
      <c r="H34" s="52">
        <f>COUNTIFS('Error Log'!$E:$E,$B$33,'Error Log'!$F:$F,$C34,'Error Log'!$G:$G,H$27)</f>
        <v>0</v>
      </c>
      <c r="I34" s="52">
        <f>COUNTIFS('Error Log'!$E:$E,$B$33,'Error Log'!$F:$F,$C34,'Error Log'!$G:$G,I$27)</f>
        <v>0</v>
      </c>
      <c r="J34" s="51">
        <f>COUNTIFS('Error Log'!$E:$E,$B$33,'Error Log'!$F:$F,$C34,'Error Log'!$G:$G,J$27)</f>
        <v>0</v>
      </c>
      <c r="K34" s="52">
        <f>COUNTIFS('Error Log'!$E:$E,$B$33,'Error Log'!$F:$F,$C34,'Error Log'!$G:$G,K$27)</f>
        <v>3</v>
      </c>
      <c r="L34" s="66">
        <f t="shared" si="0"/>
        <v>3</v>
      </c>
    </row>
    <row r="35" spans="2:12" ht="14.4" thickBot="1">
      <c r="B35" s="117"/>
      <c r="C35" s="62" t="s">
        <v>70</v>
      </c>
      <c r="D35" s="56">
        <f>COUNTIFS('Error Log'!$E:$E,$B$33,'Error Log'!$F:$F,$C35,'Error Log'!$G:$G,D$27)</f>
        <v>0</v>
      </c>
      <c r="E35" s="52">
        <f>COUNTIFS('Error Log'!$E:$E,$B$33,'Error Log'!$F:$F,$C35,'Error Log'!$G:$G,E$27)</f>
        <v>0</v>
      </c>
      <c r="F35" s="52">
        <f>COUNTIFS('Error Log'!$E:$E,$B$33,'Error Log'!$F:$F,$C35,'Error Log'!$G:$G,F$27)</f>
        <v>0</v>
      </c>
      <c r="G35" s="52">
        <f>COUNTIFS('Error Log'!$E:$E,$B$33,'Error Log'!$F:$F,$C35,'Error Log'!$G:$G,G$27)</f>
        <v>0</v>
      </c>
      <c r="H35" s="52">
        <f>COUNTIFS('Error Log'!$E:$E,$B$33,'Error Log'!$F:$F,$C35,'Error Log'!$G:$G,H$27)</f>
        <v>0</v>
      </c>
      <c r="I35" s="52">
        <f>COUNTIFS('Error Log'!$E:$E,$B$33,'Error Log'!$F:$F,$C35,'Error Log'!$G:$G,I$27)</f>
        <v>0</v>
      </c>
      <c r="J35" s="51">
        <f>COUNTIFS('Error Log'!$E:$E,$B$33,'Error Log'!$F:$F,$C35,'Error Log'!$G:$G,J$27)</f>
        <v>0</v>
      </c>
      <c r="K35" s="52">
        <f>COUNTIFS('Error Log'!$E:$E,$B$33,'Error Log'!$F:$F,$C35,'Error Log'!$G:$G,K$27)</f>
        <v>0</v>
      </c>
      <c r="L35" s="66">
        <f t="shared" si="0"/>
        <v>0</v>
      </c>
    </row>
    <row r="36" spans="2:12" ht="16.2" thickBot="1">
      <c r="B36" s="114" t="s">
        <v>6</v>
      </c>
      <c r="C36" s="115"/>
      <c r="D36" s="31">
        <f t="shared" ref="D36:L36" si="2">SUM(D28:D35)</f>
        <v>1</v>
      </c>
      <c r="E36" s="31">
        <f t="shared" si="2"/>
        <v>1</v>
      </c>
      <c r="F36" s="31">
        <f t="shared" si="2"/>
        <v>0</v>
      </c>
      <c r="G36" s="31">
        <f t="shared" si="2"/>
        <v>0</v>
      </c>
      <c r="H36" s="31">
        <f t="shared" si="2"/>
        <v>0</v>
      </c>
      <c r="I36" s="31">
        <f t="shared" si="2"/>
        <v>4</v>
      </c>
      <c r="J36" s="31">
        <f t="shared" si="2"/>
        <v>1</v>
      </c>
      <c r="K36" s="31">
        <f t="shared" si="2"/>
        <v>120</v>
      </c>
      <c r="L36" s="64">
        <f t="shared" si="2"/>
        <v>127</v>
      </c>
    </row>
  </sheetData>
  <mergeCells count="6">
    <mergeCell ref="B2:C2"/>
    <mergeCell ref="E2:F2"/>
    <mergeCell ref="H2:I2"/>
    <mergeCell ref="B36:C36"/>
    <mergeCell ref="B33:B35"/>
    <mergeCell ref="B28:B32"/>
  </mergeCells>
  <phoneticPr fontId="4" type="noConversion"/>
  <pageMargins left="0.7" right="0.7" top="0.75" bottom="0.75" header="0.3" footer="0.3"/>
  <pageSetup paperSize="9" orientation="portrait" horizontalDpi="4294967292" verticalDpi="4294967292"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FF00"/>
  </sheetPr>
  <dimension ref="A1:K876"/>
  <sheetViews>
    <sheetView showGridLines="0" zoomScale="90" zoomScaleNormal="90" zoomScalePageLayoutView="80" workbookViewId="0">
      <pane ySplit="1" topLeftCell="A2" activePane="bottomLeft" state="frozen"/>
      <selection pane="bottomLeft" sqref="A1:XFD1"/>
    </sheetView>
  </sheetViews>
  <sheetFormatPr defaultColWidth="11" defaultRowHeight="13.8"/>
  <cols>
    <col min="1" max="1" width="13.69921875" style="22" customWidth="1"/>
    <col min="2" max="2" width="10" style="23" bestFit="1" customWidth="1"/>
    <col min="3" max="3" width="19.19921875" style="24" customWidth="1"/>
    <col min="4" max="4" width="42.69921875" style="24" customWidth="1"/>
    <col min="5" max="5" width="14.69921875" style="25" bestFit="1" customWidth="1"/>
    <col min="6" max="6" width="13.69921875" style="25" bestFit="1" customWidth="1"/>
    <col min="7" max="7" width="16.69921875" style="25" bestFit="1" customWidth="1"/>
    <col min="8" max="8" width="19.5" style="25" customWidth="1"/>
    <col min="9" max="9" width="11.09765625" style="25" customWidth="1"/>
    <col min="10" max="10" width="13.19921875" style="21" customWidth="1"/>
    <col min="11" max="11" width="17.19921875" style="21" customWidth="1"/>
    <col min="12" max="16384" width="11" style="21"/>
  </cols>
  <sheetData>
    <row r="1" spans="1:11" ht="41.4">
      <c r="A1" s="16" t="s">
        <v>20</v>
      </c>
      <c r="B1" s="17" t="s">
        <v>17</v>
      </c>
      <c r="C1" s="13" t="s">
        <v>4</v>
      </c>
      <c r="D1" s="13" t="s">
        <v>5</v>
      </c>
      <c r="E1" s="12" t="s">
        <v>0</v>
      </c>
      <c r="F1" s="12" t="s">
        <v>3</v>
      </c>
      <c r="G1" s="12" t="s">
        <v>33</v>
      </c>
      <c r="H1" s="12" t="s">
        <v>32</v>
      </c>
      <c r="I1" s="12" t="s">
        <v>62</v>
      </c>
      <c r="J1" s="12" t="s">
        <v>34</v>
      </c>
    </row>
    <row r="2" spans="1:11">
      <c r="A2" s="98" t="s">
        <v>155</v>
      </c>
      <c r="B2" s="18">
        <v>1</v>
      </c>
      <c r="C2" s="92" t="s">
        <v>151</v>
      </c>
      <c r="D2" s="92" t="s">
        <v>156</v>
      </c>
      <c r="E2" s="85" t="s">
        <v>21</v>
      </c>
      <c r="F2" s="85" t="s">
        <v>7</v>
      </c>
      <c r="G2" s="85" t="s">
        <v>57</v>
      </c>
      <c r="H2" s="85" t="s">
        <v>152</v>
      </c>
      <c r="I2" s="85"/>
      <c r="J2" s="15" t="str">
        <f>IF(E2="Invalid_Segment","Invalid",IFERROR(INDEX(Severity_Matrix!$C$3:$M$10,MATCH('Error Log'!$F2,Severity_Matrix!$B$3:$B$10,0),MATCH('Error Log'!$G2,Severity_Matrix!$C$2:$M$2,0)),"No errors"))</f>
        <v>Critical</v>
      </c>
      <c r="K2" s="1"/>
    </row>
    <row r="3" spans="1:11">
      <c r="A3" s="98" t="s">
        <v>155</v>
      </c>
      <c r="B3" s="18">
        <v>2</v>
      </c>
      <c r="C3" s="92" t="s">
        <v>151</v>
      </c>
      <c r="D3" s="92" t="s">
        <v>156</v>
      </c>
      <c r="E3" s="85" t="s">
        <v>21</v>
      </c>
      <c r="F3" s="85" t="s">
        <v>7</v>
      </c>
      <c r="G3" s="85" t="s">
        <v>57</v>
      </c>
      <c r="H3" s="85" t="s">
        <v>153</v>
      </c>
      <c r="I3" s="14"/>
      <c r="J3" s="15" t="str">
        <f>IF(E3="Invalid_Segment","Invalid",IFERROR(INDEX(Severity_Matrix!$C$3:$M$10,MATCH('Error Log'!$F3,Severity_Matrix!$B$3:$B$10,0),MATCH('Error Log'!$G3,Severity_Matrix!$C$2:$M$2,0)),"No errors"))</f>
        <v>Critical</v>
      </c>
      <c r="K3" s="1"/>
    </row>
    <row r="4" spans="1:11" ht="15.6">
      <c r="A4" t="s">
        <v>338</v>
      </c>
      <c r="B4" s="18">
        <v>1</v>
      </c>
      <c r="C4" s="92" t="s">
        <v>149</v>
      </c>
      <c r="D4" s="92" t="s">
        <v>157</v>
      </c>
      <c r="E4" s="85"/>
      <c r="F4" s="85"/>
      <c r="G4" s="85"/>
      <c r="H4" s="85"/>
      <c r="I4" s="14"/>
      <c r="J4" s="15" t="str">
        <f>IF(E4="Invalid_Segment","Invalid",IFERROR(INDEX(Severity_Matrix!$C$3:$M$10,MATCH('Error Log'!$F4,Severity_Matrix!$B$3:$B$10,0),MATCH('Error Log'!$G4,Severity_Matrix!$C$2:$M$2,0)),"No errors"))</f>
        <v>No errors</v>
      </c>
      <c r="K4" s="1"/>
    </row>
    <row r="5" spans="1:11" ht="15.6">
      <c r="A5" t="s">
        <v>339</v>
      </c>
      <c r="B5" s="18">
        <v>1</v>
      </c>
      <c r="C5" s="92" t="s">
        <v>147</v>
      </c>
      <c r="D5" s="92" t="s">
        <v>158</v>
      </c>
      <c r="E5" s="85" t="s">
        <v>21</v>
      </c>
      <c r="F5" s="85" t="s">
        <v>22</v>
      </c>
      <c r="G5" s="85" t="s">
        <v>57</v>
      </c>
      <c r="H5" s="85" t="s">
        <v>159</v>
      </c>
      <c r="I5" s="14"/>
      <c r="J5" s="15" t="str">
        <f>IF(E5="Invalid_Segment","Invalid",IFERROR(INDEX(Severity_Matrix!$C$3:$M$10,MATCH('Error Log'!$F5,Severity_Matrix!$B$3:$B$10,0),MATCH('Error Log'!$G5,Severity_Matrix!$C$2:$M$2,0)),"No errors"))</f>
        <v>Major</v>
      </c>
      <c r="K5" s="1"/>
    </row>
    <row r="6" spans="1:11" ht="15.6">
      <c r="A6" t="s">
        <v>339</v>
      </c>
      <c r="B6" s="18">
        <v>2</v>
      </c>
      <c r="C6" s="92" t="s">
        <v>147</v>
      </c>
      <c r="D6" s="92" t="s">
        <v>158</v>
      </c>
      <c r="E6" s="85" t="s">
        <v>21</v>
      </c>
      <c r="F6" s="85" t="s">
        <v>7</v>
      </c>
      <c r="G6" s="85" t="s">
        <v>57</v>
      </c>
      <c r="H6" s="85" t="s">
        <v>160</v>
      </c>
      <c r="I6" s="14"/>
      <c r="J6" s="15" t="str">
        <f>IF(E6="Invalid_Segment","Invalid",IFERROR(INDEX(Severity_Matrix!$C$3:$M$10,MATCH('Error Log'!$F6,Severity_Matrix!$B$3:$B$10,0),MATCH('Error Log'!$G6,Severity_Matrix!$C$2:$M$2,0)),"No errors"))</f>
        <v>Critical</v>
      </c>
      <c r="K6" s="1"/>
    </row>
    <row r="7" spans="1:11" ht="15.6">
      <c r="A7" t="s">
        <v>340</v>
      </c>
      <c r="B7" s="18">
        <v>1</v>
      </c>
      <c r="C7" s="92" t="s">
        <v>143</v>
      </c>
      <c r="D7" s="92" t="s">
        <v>161</v>
      </c>
      <c r="E7" s="85" t="s">
        <v>21</v>
      </c>
      <c r="F7" s="85" t="s">
        <v>7</v>
      </c>
      <c r="G7" s="85" t="s">
        <v>57</v>
      </c>
      <c r="H7" s="85" t="s">
        <v>145</v>
      </c>
      <c r="I7" s="14"/>
      <c r="J7" s="15" t="str">
        <f>IF(E7="Invalid_Segment","Invalid",IFERROR(INDEX(Severity_Matrix!$C$3:$M$10,MATCH('Error Log'!$F7,Severity_Matrix!$B$3:$B$10,0),MATCH('Error Log'!$G7,Severity_Matrix!$C$2:$M$2,0)),"No errors"))</f>
        <v>Critical</v>
      </c>
      <c r="K7" s="1"/>
    </row>
    <row r="8" spans="1:11" ht="15.6">
      <c r="A8" t="s">
        <v>340</v>
      </c>
      <c r="B8" s="18">
        <v>2</v>
      </c>
      <c r="C8" s="92" t="s">
        <v>143</v>
      </c>
      <c r="D8" s="92" t="s">
        <v>161</v>
      </c>
      <c r="E8" s="85" t="s">
        <v>21</v>
      </c>
      <c r="F8" s="85" t="s">
        <v>7</v>
      </c>
      <c r="G8" s="85" t="s">
        <v>57</v>
      </c>
      <c r="H8" s="85" t="s">
        <v>144</v>
      </c>
      <c r="I8" s="14"/>
      <c r="J8" s="15" t="str">
        <f>IF(E8="Invalid_Segment","Invalid",IFERROR(INDEX(Severity_Matrix!$C$3:$M$10,MATCH('Error Log'!$F8,Severity_Matrix!$B$3:$B$10,0),MATCH('Error Log'!$G8,Severity_Matrix!$C$2:$M$2,0)),"No errors"))</f>
        <v>Critical</v>
      </c>
      <c r="K8" s="1"/>
    </row>
    <row r="9" spans="1:11" ht="15.6">
      <c r="A9" t="s">
        <v>341</v>
      </c>
      <c r="B9" s="18">
        <v>1</v>
      </c>
      <c r="C9" s="92" t="s">
        <v>141</v>
      </c>
      <c r="D9" s="92" t="s">
        <v>162</v>
      </c>
      <c r="E9" s="85" t="s">
        <v>21</v>
      </c>
      <c r="F9" s="85" t="s">
        <v>22</v>
      </c>
      <c r="G9" s="85" t="s">
        <v>57</v>
      </c>
      <c r="H9" s="85" t="s">
        <v>163</v>
      </c>
      <c r="I9" s="14"/>
      <c r="J9" s="15" t="str">
        <f>IF(E9="Invalid_Segment","Invalid",IFERROR(INDEX(Severity_Matrix!$C$3:$M$10,MATCH('Error Log'!$F9,Severity_Matrix!$B$3:$B$10,0),MATCH('Error Log'!$G9,Severity_Matrix!$C$2:$M$2,0)),"No errors"))</f>
        <v>Major</v>
      </c>
      <c r="K9" s="1"/>
    </row>
    <row r="10" spans="1:11" ht="15.6">
      <c r="A10" t="s">
        <v>342</v>
      </c>
      <c r="B10" s="18">
        <v>1</v>
      </c>
      <c r="C10" s="92" t="s">
        <v>138</v>
      </c>
      <c r="D10" s="92" t="s">
        <v>164</v>
      </c>
      <c r="E10" s="85" t="s">
        <v>21</v>
      </c>
      <c r="F10" s="85" t="s">
        <v>22</v>
      </c>
      <c r="G10" s="85" t="s">
        <v>57</v>
      </c>
      <c r="H10" s="85" t="s">
        <v>165</v>
      </c>
      <c r="I10" s="14"/>
      <c r="J10" s="15" t="str">
        <f>IF(E10="Invalid_Segment","Invalid",IFERROR(INDEX(Severity_Matrix!$C$3:$M$10,MATCH('Error Log'!$F10,Severity_Matrix!$B$3:$B$10,0),MATCH('Error Log'!$G10,Severity_Matrix!$C$2:$M$2,0)),"No errors"))</f>
        <v>Major</v>
      </c>
      <c r="K10" s="1"/>
    </row>
    <row r="11" spans="1:11" ht="15.6">
      <c r="A11" t="s">
        <v>342</v>
      </c>
      <c r="B11" s="18">
        <v>2</v>
      </c>
      <c r="C11" s="92" t="s">
        <v>138</v>
      </c>
      <c r="D11" s="92" t="s">
        <v>164</v>
      </c>
      <c r="E11" s="85" t="s">
        <v>21</v>
      </c>
      <c r="F11" s="85" t="s">
        <v>7</v>
      </c>
      <c r="G11" s="85" t="s">
        <v>57</v>
      </c>
      <c r="H11" s="85" t="s">
        <v>139</v>
      </c>
      <c r="I11" s="14"/>
      <c r="J11" s="15" t="str">
        <f>IF(E11="Invalid_Segment","Invalid",IFERROR(INDEX(Severity_Matrix!$C$3:$M$10,MATCH('Error Log'!$F11,Severity_Matrix!$B$3:$B$10,0),MATCH('Error Log'!$G11,Severity_Matrix!$C$2:$M$2,0)),"No errors"))</f>
        <v>Critical</v>
      </c>
      <c r="K11" s="1"/>
    </row>
    <row r="12" spans="1:11" ht="15.6">
      <c r="A12" t="s">
        <v>342</v>
      </c>
      <c r="B12" s="18">
        <v>3</v>
      </c>
      <c r="C12" s="92" t="s">
        <v>138</v>
      </c>
      <c r="D12" s="92" t="s">
        <v>164</v>
      </c>
      <c r="E12" s="85" t="s">
        <v>21</v>
      </c>
      <c r="F12" s="85" t="s">
        <v>22</v>
      </c>
      <c r="G12" s="85" t="s">
        <v>57</v>
      </c>
      <c r="H12" s="85" t="s">
        <v>166</v>
      </c>
      <c r="I12" s="14"/>
      <c r="J12" s="15" t="str">
        <f>IF(E12="Invalid_Segment","Invalid",IFERROR(INDEX(Severity_Matrix!$C$3:$M$10,MATCH('Error Log'!$F12,Severity_Matrix!$B$3:$B$10,0),MATCH('Error Log'!$G12,Severity_Matrix!$C$2:$M$2,0)),"No errors"))</f>
        <v>Major</v>
      </c>
      <c r="K12" s="1"/>
    </row>
    <row r="13" spans="1:11" ht="15.6">
      <c r="A13" t="s">
        <v>343</v>
      </c>
      <c r="B13" s="18">
        <v>1</v>
      </c>
      <c r="C13" s="92" t="s">
        <v>136</v>
      </c>
      <c r="D13" s="92" t="s">
        <v>167</v>
      </c>
      <c r="E13" s="85" t="s">
        <v>21</v>
      </c>
      <c r="F13" s="85" t="s">
        <v>22</v>
      </c>
      <c r="G13" s="85" t="s">
        <v>57</v>
      </c>
      <c r="H13" s="85" t="s">
        <v>168</v>
      </c>
      <c r="I13" s="14"/>
      <c r="J13" s="15" t="str">
        <f>IF(E13="Invalid_Segment","Invalid",IFERROR(INDEX(Severity_Matrix!$C$3:$M$10,MATCH('Error Log'!$F13,Severity_Matrix!$B$3:$B$10,0),MATCH('Error Log'!$G13,Severity_Matrix!$C$2:$M$2,0)),"No errors"))</f>
        <v>Major</v>
      </c>
      <c r="K13" s="1"/>
    </row>
    <row r="14" spans="1:11" ht="15.6">
      <c r="A14" t="s">
        <v>344</v>
      </c>
      <c r="B14" s="18">
        <v>1</v>
      </c>
      <c r="C14" s="92" t="s">
        <v>134</v>
      </c>
      <c r="D14" s="92" t="s">
        <v>169</v>
      </c>
      <c r="E14" s="85" t="s">
        <v>21</v>
      </c>
      <c r="F14" s="85" t="s">
        <v>22</v>
      </c>
      <c r="G14" s="85" t="s">
        <v>57</v>
      </c>
      <c r="H14" s="85" t="s">
        <v>170</v>
      </c>
      <c r="I14" s="14"/>
      <c r="J14" s="15" t="str">
        <f>IF(E14="Invalid_Segment","Invalid",IFERROR(INDEX(Severity_Matrix!$C$3:$M$10,MATCH('Error Log'!$F14,Severity_Matrix!$B$3:$B$10,0),MATCH('Error Log'!$G14,Severity_Matrix!$C$2:$M$2,0)),"No errors"))</f>
        <v>Major</v>
      </c>
      <c r="K14" s="1"/>
    </row>
    <row r="15" spans="1:11" ht="15.6">
      <c r="A15" t="s">
        <v>345</v>
      </c>
      <c r="B15" s="18">
        <v>1</v>
      </c>
      <c r="C15" s="92" t="s">
        <v>131</v>
      </c>
      <c r="D15" s="92" t="s">
        <v>171</v>
      </c>
      <c r="E15" s="85" t="s">
        <v>21</v>
      </c>
      <c r="F15" s="85" t="s">
        <v>22</v>
      </c>
      <c r="G15" s="85" t="s">
        <v>57</v>
      </c>
      <c r="H15" s="85" t="s">
        <v>132</v>
      </c>
      <c r="I15" s="14"/>
      <c r="J15" s="15" t="str">
        <f>IF(E15="Invalid_Segment","Invalid",IFERROR(INDEX(Severity_Matrix!$C$3:$M$10,MATCH('Error Log'!$F15,Severity_Matrix!$B$3:$B$10,0),MATCH('Error Log'!$G15,Severity_Matrix!$C$2:$M$2,0)),"No errors"))</f>
        <v>Major</v>
      </c>
      <c r="K15" s="1"/>
    </row>
    <row r="16" spans="1:11" ht="15.6">
      <c r="A16" t="s">
        <v>345</v>
      </c>
      <c r="B16" s="18">
        <v>2</v>
      </c>
      <c r="C16" s="92" t="s">
        <v>131</v>
      </c>
      <c r="D16" s="92" t="s">
        <v>171</v>
      </c>
      <c r="E16" s="85" t="s">
        <v>21</v>
      </c>
      <c r="F16" s="85" t="s">
        <v>7</v>
      </c>
      <c r="G16" s="85" t="s">
        <v>57</v>
      </c>
      <c r="H16" s="99" t="s">
        <v>172</v>
      </c>
      <c r="I16" s="14"/>
      <c r="J16" s="15" t="str">
        <f>IF(E16="Invalid_Segment","Invalid",IFERROR(INDEX(Severity_Matrix!$C$3:$M$10,MATCH('Error Log'!$F16,Severity_Matrix!$B$3:$B$10,0),MATCH('Error Log'!$G16,Severity_Matrix!$C$2:$M$2,0)),"No errors"))</f>
        <v>Critical</v>
      </c>
      <c r="K16" s="1"/>
    </row>
    <row r="17" spans="1:11" ht="15.6">
      <c r="A17" t="s">
        <v>346</v>
      </c>
      <c r="B17" s="18">
        <v>1</v>
      </c>
      <c r="C17" s="92" t="s">
        <v>129</v>
      </c>
      <c r="D17" s="92" t="s">
        <v>173</v>
      </c>
      <c r="E17" s="85"/>
      <c r="F17" s="85"/>
      <c r="G17" s="85"/>
      <c r="H17" s="85"/>
      <c r="I17" s="14"/>
      <c r="J17" s="15" t="str">
        <f>IF(E17="Invalid_Segment","Invalid",IFERROR(INDEX(Severity_Matrix!$C$3:$M$10,MATCH('Error Log'!$F17,Severity_Matrix!$B$3:$B$10,0),MATCH('Error Log'!$G17,Severity_Matrix!$C$2:$M$2,0)),"No errors"))</f>
        <v>No errors</v>
      </c>
      <c r="K17" s="1"/>
    </row>
    <row r="18" spans="1:11" ht="15.6">
      <c r="A18" t="s">
        <v>347</v>
      </c>
      <c r="B18" s="18">
        <v>1</v>
      </c>
      <c r="C18" s="92" t="s">
        <v>127</v>
      </c>
      <c r="D18" s="92" t="s">
        <v>174</v>
      </c>
      <c r="E18" s="85" t="s">
        <v>2</v>
      </c>
      <c r="F18" s="85" t="s">
        <v>26</v>
      </c>
      <c r="G18" s="85" t="s">
        <v>57</v>
      </c>
      <c r="H18" s="85" t="s">
        <v>154</v>
      </c>
      <c r="I18" s="14"/>
      <c r="J18" s="15" t="str">
        <f>IF(E18="Invalid_Segment","Invalid",IFERROR(INDEX(Severity_Matrix!$C$3:$M$10,MATCH('Error Log'!$F18,Severity_Matrix!$B$3:$B$10,0),MATCH('Error Log'!$G18,Severity_Matrix!$C$2:$M$2,0)),"No errors"))</f>
        <v>Major</v>
      </c>
      <c r="K18" s="1"/>
    </row>
    <row r="19" spans="1:11" ht="15.6">
      <c r="A19" s="105" t="s">
        <v>348</v>
      </c>
      <c r="B19" s="18">
        <v>1</v>
      </c>
      <c r="C19" s="79" t="s">
        <v>125</v>
      </c>
      <c r="D19" s="79" t="s">
        <v>175</v>
      </c>
      <c r="E19" s="85"/>
      <c r="F19" s="85"/>
      <c r="G19" s="85"/>
      <c r="H19" s="85"/>
      <c r="I19" s="85"/>
      <c r="J19" s="15" t="str">
        <f>IF(E19="Invalid_Segment","Invalid",IFERROR(INDEX(Severity_Matrix!$C$3:$M$10,MATCH('Error Log'!$F19,Severity_Matrix!$B$3:$B$10,0),MATCH('Error Log'!$G19,Severity_Matrix!$C$2:$M$2,0)),"No errors"))</f>
        <v>No errors</v>
      </c>
      <c r="K19" s="79"/>
    </row>
    <row r="20" spans="1:11" ht="15.6">
      <c r="A20" t="s">
        <v>349</v>
      </c>
      <c r="B20" s="18">
        <v>1</v>
      </c>
      <c r="C20" s="92" t="s">
        <v>122</v>
      </c>
      <c r="D20" s="92" t="s">
        <v>176</v>
      </c>
      <c r="E20" s="85" t="s">
        <v>21</v>
      </c>
      <c r="F20" s="85" t="s">
        <v>7</v>
      </c>
      <c r="G20" s="85" t="s">
        <v>57</v>
      </c>
      <c r="H20" s="85" t="s">
        <v>123</v>
      </c>
      <c r="I20" s="14"/>
      <c r="J20" s="15" t="str">
        <f>IF(E20="Invalid_Segment","Invalid",IFERROR(INDEX(Severity_Matrix!$C$3:$M$10,MATCH('Error Log'!$F20,Severity_Matrix!$B$3:$B$10,0),MATCH('Error Log'!$G20,Severity_Matrix!$C$2:$M$2,0)),"No errors"))</f>
        <v>Critical</v>
      </c>
      <c r="K20" s="1"/>
    </row>
    <row r="21" spans="1:11" ht="15.6">
      <c r="A21" t="s">
        <v>350</v>
      </c>
      <c r="B21" s="18">
        <v>1</v>
      </c>
      <c r="C21" s="92" t="s">
        <v>177</v>
      </c>
      <c r="D21" s="92" t="s">
        <v>178</v>
      </c>
      <c r="E21" s="85" t="s">
        <v>21</v>
      </c>
      <c r="F21" s="85" t="s">
        <v>22</v>
      </c>
      <c r="G21" s="85" t="s">
        <v>57</v>
      </c>
      <c r="H21" s="85" t="s">
        <v>179</v>
      </c>
      <c r="I21" s="14"/>
      <c r="J21" s="15" t="str">
        <f>IF(E21="Invalid_Segment","Invalid",IFERROR(INDEX(Severity_Matrix!$C$3:$M$10,MATCH('Error Log'!$F21,Severity_Matrix!$B$3:$B$10,0),MATCH('Error Log'!$G21,Severity_Matrix!$C$2:$M$2,0)),"No errors"))</f>
        <v>Major</v>
      </c>
      <c r="K21" s="1"/>
    </row>
    <row r="22" spans="1:11" ht="15.6">
      <c r="A22" t="s">
        <v>350</v>
      </c>
      <c r="B22" s="18">
        <v>2</v>
      </c>
      <c r="C22" s="92" t="s">
        <v>177</v>
      </c>
      <c r="D22" s="92" t="s">
        <v>178</v>
      </c>
      <c r="E22" s="85" t="s">
        <v>21</v>
      </c>
      <c r="F22" s="85" t="s">
        <v>7</v>
      </c>
      <c r="G22" s="85" t="s">
        <v>57</v>
      </c>
      <c r="H22" s="85" t="s">
        <v>180</v>
      </c>
      <c r="I22" s="14"/>
      <c r="J22" s="15" t="str">
        <f>IF(E22="Invalid_Segment","Invalid",IFERROR(INDEX(Severity_Matrix!$C$3:$M$10,MATCH('Error Log'!$F22,Severity_Matrix!$B$3:$B$10,0),MATCH('Error Log'!$G22,Severity_Matrix!$C$2:$M$2,0)),"No errors"))</f>
        <v>Critical</v>
      </c>
      <c r="K22" s="1"/>
    </row>
    <row r="23" spans="1:11" ht="15.6">
      <c r="A23" s="105" t="s">
        <v>351</v>
      </c>
      <c r="B23" s="18">
        <v>1</v>
      </c>
      <c r="C23" s="79" t="s">
        <v>181</v>
      </c>
      <c r="D23" s="79" t="s">
        <v>182</v>
      </c>
      <c r="E23" s="85"/>
      <c r="F23" s="85"/>
      <c r="G23" s="85"/>
      <c r="H23" s="93"/>
      <c r="I23" s="85"/>
      <c r="J23" s="15" t="str">
        <f>IF(E23="Invalid_Segment","Invalid",IFERROR(INDEX(Severity_Matrix!$C$3:$M$10,MATCH('Error Log'!$F23,Severity_Matrix!$B$3:$B$10,0),MATCH('Error Log'!$G23,Severity_Matrix!$C$2:$M$2,0)),"No errors"))</f>
        <v>No errors</v>
      </c>
      <c r="K23" s="79"/>
    </row>
    <row r="24" spans="1:11" ht="15.6">
      <c r="A24" t="s">
        <v>352</v>
      </c>
      <c r="B24" s="18">
        <v>1</v>
      </c>
      <c r="C24" s="92" t="s">
        <v>183</v>
      </c>
      <c r="D24" s="92" t="s">
        <v>184</v>
      </c>
      <c r="E24" s="85" t="s">
        <v>21</v>
      </c>
      <c r="F24" s="85" t="s">
        <v>22</v>
      </c>
      <c r="G24" s="85" t="s">
        <v>57</v>
      </c>
      <c r="H24" s="85" t="s">
        <v>185</v>
      </c>
      <c r="I24" s="14"/>
      <c r="J24" s="15" t="str">
        <f>IF(E24="Invalid_Segment","Invalid",IFERROR(INDEX(Severity_Matrix!$C$3:$M$10,MATCH('Error Log'!$F24,Severity_Matrix!$B$3:$B$10,0),MATCH('Error Log'!$G24,Severity_Matrix!$C$2:$M$2,0)),"No errors"))</f>
        <v>Major</v>
      </c>
      <c r="K24" s="1"/>
    </row>
    <row r="25" spans="1:11" ht="15.6">
      <c r="A25" t="s">
        <v>353</v>
      </c>
      <c r="B25" s="18">
        <v>1</v>
      </c>
      <c r="C25" s="92" t="s">
        <v>186</v>
      </c>
      <c r="D25" s="92" t="s">
        <v>187</v>
      </c>
      <c r="E25" s="85" t="s">
        <v>21</v>
      </c>
      <c r="F25" s="85" t="s">
        <v>22</v>
      </c>
      <c r="G25" s="85" t="s">
        <v>28</v>
      </c>
      <c r="H25" s="93" t="s">
        <v>188</v>
      </c>
      <c r="I25" s="14"/>
      <c r="J25" s="15" t="str">
        <f>IF(E25="Invalid_Segment","Invalid",IFERROR(INDEX(Severity_Matrix!$C$3:$M$10,MATCH('Error Log'!$F25,Severity_Matrix!$B$3:$B$10,0),MATCH('Error Log'!$G25,Severity_Matrix!$C$2:$M$2,0)),"No errors"))</f>
        <v>Major</v>
      </c>
      <c r="K25" s="1"/>
    </row>
    <row r="26" spans="1:11" ht="15.6">
      <c r="A26" t="s">
        <v>353</v>
      </c>
      <c r="B26" s="18">
        <v>2</v>
      </c>
      <c r="C26" s="92" t="s">
        <v>186</v>
      </c>
      <c r="D26" s="92" t="s">
        <v>187</v>
      </c>
      <c r="E26" s="85" t="s">
        <v>21</v>
      </c>
      <c r="F26" s="85" t="s">
        <v>7</v>
      </c>
      <c r="G26" s="85" t="s">
        <v>57</v>
      </c>
      <c r="H26" s="85" t="s">
        <v>189</v>
      </c>
      <c r="I26" s="14"/>
      <c r="J26" s="15" t="str">
        <f>IF(E26="Invalid_Segment","Invalid",IFERROR(INDEX(Severity_Matrix!$C$3:$M$10,MATCH('Error Log'!$F26,Severity_Matrix!$B$3:$B$10,0),MATCH('Error Log'!$G26,Severity_Matrix!$C$2:$M$2,0)),"No errors"))</f>
        <v>Critical</v>
      </c>
      <c r="K26" s="1"/>
    </row>
    <row r="27" spans="1:11" ht="15.6">
      <c r="A27" t="s">
        <v>353</v>
      </c>
      <c r="B27" s="18">
        <v>3</v>
      </c>
      <c r="C27" s="92" t="s">
        <v>186</v>
      </c>
      <c r="D27" s="92" t="s">
        <v>187</v>
      </c>
      <c r="E27" s="85" t="s">
        <v>21</v>
      </c>
      <c r="F27" s="85" t="s">
        <v>22</v>
      </c>
      <c r="G27" s="85" t="s">
        <v>57</v>
      </c>
      <c r="H27" s="93" t="s">
        <v>190</v>
      </c>
      <c r="I27" s="14"/>
      <c r="J27" s="15" t="str">
        <f>IF(E27="Invalid_Segment","Invalid",IFERROR(INDEX(Severity_Matrix!$C$3:$M$10,MATCH('Error Log'!$F27,Severity_Matrix!$B$3:$B$10,0),MATCH('Error Log'!$G27,Severity_Matrix!$C$2:$M$2,0)),"No errors"))</f>
        <v>Major</v>
      </c>
      <c r="K27" s="1"/>
    </row>
    <row r="28" spans="1:11" ht="15.6">
      <c r="A28" t="s">
        <v>354</v>
      </c>
      <c r="B28" s="18">
        <v>1</v>
      </c>
      <c r="C28" s="92" t="s">
        <v>191</v>
      </c>
      <c r="D28" s="92" t="s">
        <v>192</v>
      </c>
      <c r="E28" s="85"/>
      <c r="F28" s="85"/>
      <c r="G28" s="85"/>
      <c r="H28" s="85"/>
      <c r="I28" s="14"/>
      <c r="J28" s="15" t="str">
        <f>IF(E28="Invalid_Segment","Invalid",IFERROR(INDEX(Severity_Matrix!$C$3:$M$10,MATCH('Error Log'!$F28,Severity_Matrix!$B$3:$B$10,0),MATCH('Error Log'!$G28,Severity_Matrix!$C$2:$M$2,0)),"No errors"))</f>
        <v>No errors</v>
      </c>
      <c r="K28" s="1"/>
    </row>
    <row r="29" spans="1:11" ht="15.6">
      <c r="A29" t="s">
        <v>355</v>
      </c>
      <c r="B29" s="18">
        <v>1</v>
      </c>
      <c r="C29" s="92" t="s">
        <v>193</v>
      </c>
      <c r="D29" s="92" t="s">
        <v>194</v>
      </c>
      <c r="E29" s="85" t="s">
        <v>21</v>
      </c>
      <c r="F29" s="85" t="s">
        <v>22</v>
      </c>
      <c r="G29" s="85" t="s">
        <v>57</v>
      </c>
      <c r="H29" s="85" t="s">
        <v>195</v>
      </c>
      <c r="I29" s="14"/>
      <c r="J29" s="15" t="str">
        <f>IF(E29="Invalid_Segment","Invalid",IFERROR(INDEX(Severity_Matrix!$C$3:$M$10,MATCH('Error Log'!$F29,Severity_Matrix!$B$3:$B$10,0),MATCH('Error Log'!$G29,Severity_Matrix!$C$2:$M$2,0)),"No errors"))</f>
        <v>Major</v>
      </c>
      <c r="K29" s="1"/>
    </row>
    <row r="30" spans="1:11" ht="15.6">
      <c r="A30" t="s">
        <v>355</v>
      </c>
      <c r="B30" s="18">
        <v>2</v>
      </c>
      <c r="C30" s="92" t="s">
        <v>193</v>
      </c>
      <c r="D30" s="92" t="s">
        <v>194</v>
      </c>
      <c r="E30" s="85" t="s">
        <v>21</v>
      </c>
      <c r="F30" s="85" t="s">
        <v>7</v>
      </c>
      <c r="G30" s="85" t="s">
        <v>57</v>
      </c>
      <c r="H30" s="85" t="s">
        <v>196</v>
      </c>
      <c r="I30" s="14"/>
      <c r="J30" s="15" t="str">
        <f>IF(E30="Invalid_Segment","Invalid",IFERROR(INDEX(Severity_Matrix!$C$3:$M$10,MATCH('Error Log'!$F30,Severity_Matrix!$B$3:$B$10,0),MATCH('Error Log'!$G30,Severity_Matrix!$C$2:$M$2,0)),"No errors"))</f>
        <v>Critical</v>
      </c>
      <c r="K30" s="1"/>
    </row>
    <row r="31" spans="1:11" ht="15.6">
      <c r="A31" t="s">
        <v>356</v>
      </c>
      <c r="B31" s="18">
        <v>1</v>
      </c>
      <c r="C31" s="92" t="s">
        <v>197</v>
      </c>
      <c r="D31" s="92" t="s">
        <v>198</v>
      </c>
      <c r="E31" s="85" t="s">
        <v>21</v>
      </c>
      <c r="F31" s="85" t="s">
        <v>22</v>
      </c>
      <c r="G31" s="85" t="s">
        <v>57</v>
      </c>
      <c r="H31" s="85" t="s">
        <v>199</v>
      </c>
      <c r="I31" s="14"/>
      <c r="J31" s="15" t="str">
        <f>IF(E31="Invalid_Segment","Invalid",IFERROR(INDEX(Severity_Matrix!$C$3:$M$10,MATCH('Error Log'!$F31,Severity_Matrix!$B$3:$B$10,0),MATCH('Error Log'!$G31,Severity_Matrix!$C$2:$M$2,0)),"No errors"))</f>
        <v>Major</v>
      </c>
      <c r="K31" s="1"/>
    </row>
    <row r="32" spans="1:11" ht="15.6">
      <c r="A32" t="s">
        <v>356</v>
      </c>
      <c r="B32" s="18">
        <v>2</v>
      </c>
      <c r="C32" s="92" t="s">
        <v>197</v>
      </c>
      <c r="D32" s="92" t="s">
        <v>198</v>
      </c>
      <c r="E32" s="85" t="s">
        <v>21</v>
      </c>
      <c r="F32" s="85" t="s">
        <v>7</v>
      </c>
      <c r="G32" s="85" t="s">
        <v>57</v>
      </c>
      <c r="H32" s="85" t="s">
        <v>200</v>
      </c>
      <c r="I32" s="14"/>
      <c r="J32" s="15" t="str">
        <f>IF(E32="Invalid_Segment","Invalid",IFERROR(INDEX(Severity_Matrix!$C$3:$M$10,MATCH('Error Log'!$F32,Severity_Matrix!$B$3:$B$10,0),MATCH('Error Log'!$G32,Severity_Matrix!$C$2:$M$2,0)),"No errors"))</f>
        <v>Critical</v>
      </c>
      <c r="K32" s="1"/>
    </row>
    <row r="33" spans="1:11" ht="15.6">
      <c r="A33" t="s">
        <v>356</v>
      </c>
      <c r="B33" s="18">
        <v>3</v>
      </c>
      <c r="C33" s="92" t="s">
        <v>197</v>
      </c>
      <c r="D33" s="92" t="s">
        <v>198</v>
      </c>
      <c r="E33" s="85" t="s">
        <v>21</v>
      </c>
      <c r="F33" s="85" t="s">
        <v>22</v>
      </c>
      <c r="G33" s="85" t="s">
        <v>57</v>
      </c>
      <c r="H33" s="93" t="s">
        <v>201</v>
      </c>
      <c r="I33" s="14"/>
      <c r="J33" s="15" t="str">
        <f>IF(E33="Invalid_Segment","Invalid",IFERROR(INDEX(Severity_Matrix!$C$3:$M$10,MATCH('Error Log'!$F33,Severity_Matrix!$B$3:$B$10,0),MATCH('Error Log'!$G33,Severity_Matrix!$C$2:$M$2,0)),"No errors"))</f>
        <v>Major</v>
      </c>
      <c r="K33" s="1"/>
    </row>
    <row r="34" spans="1:11" ht="15.6">
      <c r="A34" t="s">
        <v>357</v>
      </c>
      <c r="B34" s="18">
        <v>1</v>
      </c>
      <c r="C34" s="92" t="s">
        <v>202</v>
      </c>
      <c r="D34" s="92" t="s">
        <v>203</v>
      </c>
      <c r="E34" s="85" t="s">
        <v>21</v>
      </c>
      <c r="F34" s="85" t="s">
        <v>22</v>
      </c>
      <c r="G34" s="85" t="s">
        <v>57</v>
      </c>
      <c r="H34" s="85" t="s">
        <v>204</v>
      </c>
      <c r="I34" s="14"/>
      <c r="J34" s="15" t="str">
        <f>IF(E34="Invalid_Segment","Invalid",IFERROR(INDEX(Severity_Matrix!$C$3:$M$10,MATCH('Error Log'!$F34,Severity_Matrix!$B$3:$B$10,0),MATCH('Error Log'!$G34,Severity_Matrix!$C$2:$M$2,0)),"No errors"))</f>
        <v>Major</v>
      </c>
      <c r="K34" s="1"/>
    </row>
    <row r="35" spans="1:11" ht="15.6">
      <c r="A35" t="s">
        <v>357</v>
      </c>
      <c r="B35" s="18">
        <v>2</v>
      </c>
      <c r="C35" s="92" t="s">
        <v>202</v>
      </c>
      <c r="D35" s="92" t="s">
        <v>203</v>
      </c>
      <c r="E35" s="85" t="s">
        <v>21</v>
      </c>
      <c r="F35" s="85" t="s">
        <v>7</v>
      </c>
      <c r="G35" s="85" t="s">
        <v>55</v>
      </c>
      <c r="H35" s="85" t="s">
        <v>205</v>
      </c>
      <c r="I35" s="14"/>
      <c r="J35" s="15" t="str">
        <f>IF(E35="Invalid_Segment","Invalid",IFERROR(INDEX(Severity_Matrix!$C$3:$M$10,MATCH('Error Log'!$F35,Severity_Matrix!$B$3:$B$10,0),MATCH('Error Log'!$G35,Severity_Matrix!$C$2:$M$2,0)),"No errors"))</f>
        <v>Critical</v>
      </c>
      <c r="K35" s="1"/>
    </row>
    <row r="36" spans="1:11" ht="15.6">
      <c r="A36" t="s">
        <v>357</v>
      </c>
      <c r="B36" s="18">
        <v>3</v>
      </c>
      <c r="C36" s="92" t="s">
        <v>202</v>
      </c>
      <c r="D36" s="92" t="s">
        <v>203</v>
      </c>
      <c r="E36" s="85" t="s">
        <v>21</v>
      </c>
      <c r="F36" s="85" t="s">
        <v>22</v>
      </c>
      <c r="G36" s="85" t="s">
        <v>57</v>
      </c>
      <c r="H36" s="93" t="s">
        <v>206</v>
      </c>
      <c r="I36" s="14"/>
      <c r="J36" s="15" t="str">
        <f>IF(E36="Invalid_Segment","Invalid",IFERROR(INDEX(Severity_Matrix!$C$3:$M$10,MATCH('Error Log'!$F36,Severity_Matrix!$B$3:$B$10,0),MATCH('Error Log'!$G36,Severity_Matrix!$C$2:$M$2,0)),"No errors"))</f>
        <v>Major</v>
      </c>
      <c r="K36" s="1"/>
    </row>
    <row r="37" spans="1:11" ht="15.6">
      <c r="A37" t="s">
        <v>357</v>
      </c>
      <c r="B37" s="18">
        <v>4</v>
      </c>
      <c r="C37" s="92" t="s">
        <v>202</v>
      </c>
      <c r="D37" s="92" t="s">
        <v>203</v>
      </c>
      <c r="E37" s="85" t="s">
        <v>21</v>
      </c>
      <c r="F37" s="85" t="s">
        <v>22</v>
      </c>
      <c r="G37" s="85" t="s">
        <v>57</v>
      </c>
      <c r="H37" s="85" t="s">
        <v>207</v>
      </c>
      <c r="I37" s="14"/>
      <c r="J37" s="15" t="str">
        <f>IF(E37="Invalid_Segment","Invalid",IFERROR(INDEX(Severity_Matrix!$C$3:$M$10,MATCH('Error Log'!$F37,Severity_Matrix!$B$3:$B$10,0),MATCH('Error Log'!$G37,Severity_Matrix!$C$2:$M$2,0)),"No errors"))</f>
        <v>Major</v>
      </c>
      <c r="K37" s="1"/>
    </row>
    <row r="38" spans="1:11" ht="15.6">
      <c r="A38" t="s">
        <v>357</v>
      </c>
      <c r="B38" s="18">
        <v>5</v>
      </c>
      <c r="C38" s="92" t="s">
        <v>202</v>
      </c>
      <c r="D38" s="92" t="s">
        <v>203</v>
      </c>
      <c r="E38" s="85" t="s">
        <v>21</v>
      </c>
      <c r="F38" s="85" t="s">
        <v>7</v>
      </c>
      <c r="G38" s="85" t="s">
        <v>57</v>
      </c>
      <c r="H38" s="85" t="s">
        <v>208</v>
      </c>
      <c r="I38" s="14"/>
      <c r="J38" s="15" t="str">
        <f>IF(E38="Invalid_Segment","Invalid",IFERROR(INDEX(Severity_Matrix!$C$3:$M$10,MATCH('Error Log'!$F38,Severity_Matrix!$B$3:$B$10,0),MATCH('Error Log'!$G38,Severity_Matrix!$C$2:$M$2,0)),"No errors"))</f>
        <v>Critical</v>
      </c>
      <c r="K38" s="1"/>
    </row>
    <row r="39" spans="1:11" ht="15.6">
      <c r="A39" t="s">
        <v>358</v>
      </c>
      <c r="B39" s="18">
        <v>1</v>
      </c>
      <c r="C39" s="92" t="s">
        <v>209</v>
      </c>
      <c r="D39" s="92" t="s">
        <v>210</v>
      </c>
      <c r="E39" s="85" t="s">
        <v>21</v>
      </c>
      <c r="F39" s="85" t="s">
        <v>22</v>
      </c>
      <c r="G39" s="85" t="s">
        <v>57</v>
      </c>
      <c r="H39" s="85" t="s">
        <v>211</v>
      </c>
      <c r="I39" s="14"/>
      <c r="J39" s="15" t="str">
        <f>IF(E39="Invalid_Segment","Invalid",IFERROR(INDEX(Severity_Matrix!$C$3:$M$10,MATCH('Error Log'!$F39,Severity_Matrix!$B$3:$B$10,0),MATCH('Error Log'!$G39,Severity_Matrix!$C$2:$M$2,0)),"No errors"))</f>
        <v>Major</v>
      </c>
      <c r="K39" s="1"/>
    </row>
    <row r="40" spans="1:11" ht="15.6">
      <c r="A40" t="s">
        <v>358</v>
      </c>
      <c r="B40" s="18">
        <v>2</v>
      </c>
      <c r="C40" s="92" t="s">
        <v>209</v>
      </c>
      <c r="D40" s="92" t="s">
        <v>210</v>
      </c>
      <c r="E40" s="85" t="s">
        <v>21</v>
      </c>
      <c r="F40" s="85" t="s">
        <v>7</v>
      </c>
      <c r="G40" s="85" t="s">
        <v>57</v>
      </c>
      <c r="H40" s="85" t="s">
        <v>212</v>
      </c>
      <c r="I40" s="14"/>
      <c r="J40" s="15" t="str">
        <f>IF(E40="Invalid_Segment","Invalid",IFERROR(INDEX(Severity_Matrix!$C$3:$M$10,MATCH('Error Log'!$F40,Severity_Matrix!$B$3:$B$10,0),MATCH('Error Log'!$G40,Severity_Matrix!$C$2:$M$2,0)),"No errors"))</f>
        <v>Critical</v>
      </c>
      <c r="K40" s="1"/>
    </row>
    <row r="41" spans="1:11" ht="15.6">
      <c r="A41" t="s">
        <v>358</v>
      </c>
      <c r="B41" s="18">
        <v>3</v>
      </c>
      <c r="C41" s="92" t="s">
        <v>209</v>
      </c>
      <c r="D41" s="92" t="s">
        <v>210</v>
      </c>
      <c r="E41" s="85" t="s">
        <v>21</v>
      </c>
      <c r="F41" s="85" t="s">
        <v>22</v>
      </c>
      <c r="G41" s="85" t="s">
        <v>57</v>
      </c>
      <c r="H41" s="85" t="s">
        <v>213</v>
      </c>
      <c r="I41" s="14"/>
      <c r="J41" s="15" t="str">
        <f>IF(E41="Invalid_Segment","Invalid",IFERROR(INDEX(Severity_Matrix!$C$3:$M$10,MATCH('Error Log'!$F41,Severity_Matrix!$B$3:$B$10,0),MATCH('Error Log'!$G41,Severity_Matrix!$C$2:$M$2,0)),"No errors"))</f>
        <v>Major</v>
      </c>
      <c r="K41" s="1"/>
    </row>
    <row r="42" spans="1:11" ht="15.6">
      <c r="A42" t="s">
        <v>359</v>
      </c>
      <c r="B42" s="18">
        <v>1</v>
      </c>
      <c r="C42" s="92" t="s">
        <v>214</v>
      </c>
      <c r="D42" s="92" t="s">
        <v>215</v>
      </c>
      <c r="E42" s="85" t="s">
        <v>21</v>
      </c>
      <c r="F42" s="85" t="s">
        <v>7</v>
      </c>
      <c r="G42" s="85" t="s">
        <v>57</v>
      </c>
      <c r="H42" s="85" t="s">
        <v>216</v>
      </c>
      <c r="I42" s="14"/>
      <c r="J42" s="15" t="str">
        <f>IF(E42="Invalid_Segment","Invalid",IFERROR(INDEX(Severity_Matrix!$C$3:$M$10,MATCH('Error Log'!$F42,Severity_Matrix!$B$3:$B$10,0),MATCH('Error Log'!$G42,Severity_Matrix!$C$2:$M$2,0)),"No errors"))</f>
        <v>Critical</v>
      </c>
      <c r="K42" s="1"/>
    </row>
    <row r="43" spans="1:11" ht="15.6">
      <c r="A43" t="s">
        <v>360</v>
      </c>
      <c r="B43" s="18">
        <v>1</v>
      </c>
      <c r="C43" s="92" t="s">
        <v>217</v>
      </c>
      <c r="D43" s="92" t="s">
        <v>218</v>
      </c>
      <c r="E43" s="85" t="s">
        <v>2</v>
      </c>
      <c r="F43" s="85" t="s">
        <v>26</v>
      </c>
      <c r="G43" s="85" t="s">
        <v>57</v>
      </c>
      <c r="H43" s="85" t="s">
        <v>219</v>
      </c>
      <c r="I43" s="14"/>
      <c r="J43" s="15" t="str">
        <f>IF(E43="Invalid_Segment","Invalid",IFERROR(INDEX(Severity_Matrix!$C$3:$M$10,MATCH('Error Log'!$F43,Severity_Matrix!$B$3:$B$10,0),MATCH('Error Log'!$G43,Severity_Matrix!$C$2:$M$2,0)),"No errors"))</f>
        <v>Major</v>
      </c>
      <c r="K43" s="1"/>
    </row>
    <row r="44" spans="1:11" ht="15.6">
      <c r="A44" t="s">
        <v>360</v>
      </c>
      <c r="B44" s="18">
        <v>2</v>
      </c>
      <c r="C44" s="92" t="s">
        <v>217</v>
      </c>
      <c r="D44" s="92" t="s">
        <v>218</v>
      </c>
      <c r="E44" s="85" t="s">
        <v>21</v>
      </c>
      <c r="F44" s="85" t="s">
        <v>22</v>
      </c>
      <c r="G44" s="85" t="s">
        <v>57</v>
      </c>
      <c r="H44" s="85" t="s">
        <v>220</v>
      </c>
      <c r="I44" s="14"/>
      <c r="J44" s="15" t="str">
        <f>IF(E44="Invalid_Segment","Invalid",IFERROR(INDEX(Severity_Matrix!$C$3:$M$10,MATCH('Error Log'!$F44,Severity_Matrix!$B$3:$B$10,0),MATCH('Error Log'!$G44,Severity_Matrix!$C$2:$M$2,0)),"No errors"))</f>
        <v>Major</v>
      </c>
      <c r="K44" s="1"/>
    </row>
    <row r="45" spans="1:11" ht="15.6">
      <c r="A45" t="s">
        <v>360</v>
      </c>
      <c r="B45" s="18">
        <v>3</v>
      </c>
      <c r="C45" s="92" t="s">
        <v>217</v>
      </c>
      <c r="D45" s="92" t="s">
        <v>218</v>
      </c>
      <c r="E45" s="85" t="s">
        <v>21</v>
      </c>
      <c r="F45" s="85" t="s">
        <v>7</v>
      </c>
      <c r="G45" s="85" t="s">
        <v>57</v>
      </c>
      <c r="H45" s="85" t="s">
        <v>221</v>
      </c>
      <c r="I45" s="14"/>
      <c r="J45" s="15" t="str">
        <f>IF(E45="Invalid_Segment","Invalid",IFERROR(INDEX(Severity_Matrix!$C$3:$M$10,MATCH('Error Log'!$F45,Severity_Matrix!$B$3:$B$10,0),MATCH('Error Log'!$G45,Severity_Matrix!$C$2:$M$2,0)),"No errors"))</f>
        <v>Critical</v>
      </c>
      <c r="K45" s="1"/>
    </row>
    <row r="46" spans="1:11" ht="15.6">
      <c r="A46" t="s">
        <v>360</v>
      </c>
      <c r="B46" s="18">
        <v>4</v>
      </c>
      <c r="C46" s="92" t="s">
        <v>217</v>
      </c>
      <c r="D46" s="92" t="s">
        <v>218</v>
      </c>
      <c r="E46" s="85" t="s">
        <v>21</v>
      </c>
      <c r="F46" s="85" t="s">
        <v>7</v>
      </c>
      <c r="G46" s="85" t="s">
        <v>57</v>
      </c>
      <c r="H46" s="85" t="s">
        <v>222</v>
      </c>
      <c r="I46" s="14"/>
      <c r="J46" s="15" t="str">
        <f>IF(E46="Invalid_Segment","Invalid",IFERROR(INDEX(Severity_Matrix!$C$3:$M$10,MATCH('Error Log'!$F46,Severity_Matrix!$B$3:$B$10,0),MATCH('Error Log'!$G46,Severity_Matrix!$C$2:$M$2,0)),"No errors"))</f>
        <v>Critical</v>
      </c>
      <c r="K46" s="1"/>
    </row>
    <row r="47" spans="1:11" ht="15.6">
      <c r="A47" t="s">
        <v>361</v>
      </c>
      <c r="B47" s="18">
        <v>1</v>
      </c>
      <c r="C47" s="92" t="s">
        <v>223</v>
      </c>
      <c r="D47" s="92" t="s">
        <v>224</v>
      </c>
      <c r="E47" s="85" t="s">
        <v>21</v>
      </c>
      <c r="F47" s="85" t="s">
        <v>22</v>
      </c>
      <c r="G47" s="85" t="s">
        <v>57</v>
      </c>
      <c r="H47" s="85" t="s">
        <v>225</v>
      </c>
      <c r="I47" s="14"/>
      <c r="J47" s="15" t="str">
        <f>IF(E47="Invalid_Segment","Invalid",IFERROR(INDEX(Severity_Matrix!$C$3:$M$10,MATCH('Error Log'!$F47,Severity_Matrix!$B$3:$B$10,0),MATCH('Error Log'!$G47,Severity_Matrix!$C$2:$M$2,0)),"No errors"))</f>
        <v>Major</v>
      </c>
      <c r="K47" s="1"/>
    </row>
    <row r="48" spans="1:11" ht="15.6">
      <c r="A48" t="s">
        <v>361</v>
      </c>
      <c r="B48" s="18">
        <v>2</v>
      </c>
      <c r="C48" s="92" t="s">
        <v>223</v>
      </c>
      <c r="D48" s="92" t="s">
        <v>224</v>
      </c>
      <c r="E48" s="85" t="s">
        <v>21</v>
      </c>
      <c r="F48" s="85" t="s">
        <v>7</v>
      </c>
      <c r="G48" s="85" t="s">
        <v>57</v>
      </c>
      <c r="H48" s="85" t="s">
        <v>226</v>
      </c>
      <c r="I48" s="14"/>
      <c r="J48" s="15" t="str">
        <f>IF(E48="Invalid_Segment","Invalid",IFERROR(INDEX(Severity_Matrix!$C$3:$M$10,MATCH('Error Log'!$F48,Severity_Matrix!$B$3:$B$10,0),MATCH('Error Log'!$G48,Severity_Matrix!$C$2:$M$2,0)),"No errors"))</f>
        <v>Critical</v>
      </c>
      <c r="K48" s="1"/>
    </row>
    <row r="49" spans="1:11" ht="15.6">
      <c r="A49" t="s">
        <v>361</v>
      </c>
      <c r="B49" s="18">
        <v>3</v>
      </c>
      <c r="C49" s="92" t="s">
        <v>223</v>
      </c>
      <c r="D49" s="92" t="s">
        <v>224</v>
      </c>
      <c r="E49" s="85" t="s">
        <v>21</v>
      </c>
      <c r="F49" s="85" t="s">
        <v>7</v>
      </c>
      <c r="G49" s="85" t="s">
        <v>57</v>
      </c>
      <c r="H49" s="85" t="s">
        <v>227</v>
      </c>
      <c r="I49" s="14"/>
      <c r="J49" s="15" t="str">
        <f>IF(E49="Invalid_Segment","Invalid",IFERROR(INDEX(Severity_Matrix!$C$3:$M$10,MATCH('Error Log'!$F49,Severity_Matrix!$B$3:$B$10,0),MATCH('Error Log'!$G49,Severity_Matrix!$C$2:$M$2,0)),"No errors"))</f>
        <v>Critical</v>
      </c>
      <c r="K49" s="1"/>
    </row>
    <row r="50" spans="1:11" ht="15.6">
      <c r="A50" t="s">
        <v>362</v>
      </c>
      <c r="B50" s="18">
        <v>1</v>
      </c>
      <c r="C50" s="92" t="s">
        <v>228</v>
      </c>
      <c r="D50" s="92" t="s">
        <v>229</v>
      </c>
      <c r="E50" s="85" t="s">
        <v>21</v>
      </c>
      <c r="F50" s="85" t="s">
        <v>22</v>
      </c>
      <c r="G50" s="85" t="s">
        <v>57</v>
      </c>
      <c r="H50" s="85" t="s">
        <v>230</v>
      </c>
      <c r="I50" s="14"/>
      <c r="J50" s="15" t="str">
        <f>IF(E50="Invalid_Segment","Invalid",IFERROR(INDEX(Severity_Matrix!$C$3:$M$10,MATCH('Error Log'!$F50,Severity_Matrix!$B$3:$B$10,0),MATCH('Error Log'!$G50,Severity_Matrix!$C$2:$M$2,0)),"No errors"))</f>
        <v>Major</v>
      </c>
      <c r="K50" s="1"/>
    </row>
    <row r="51" spans="1:11" ht="15.6">
      <c r="A51" t="s">
        <v>362</v>
      </c>
      <c r="B51" s="18">
        <v>2</v>
      </c>
      <c r="C51" s="92" t="s">
        <v>231</v>
      </c>
      <c r="D51" s="92" t="s">
        <v>232</v>
      </c>
      <c r="E51" s="85" t="s">
        <v>21</v>
      </c>
      <c r="F51" s="85" t="s">
        <v>22</v>
      </c>
      <c r="G51" s="85" t="s">
        <v>57</v>
      </c>
      <c r="H51" s="85" t="s">
        <v>233</v>
      </c>
      <c r="I51" s="14"/>
      <c r="J51" s="15" t="str">
        <f>IF(E51="Invalid_Segment","Invalid",IFERROR(INDEX(Severity_Matrix!$C$3:$M$10,MATCH('Error Log'!$F51,Severity_Matrix!$B$3:$B$10,0),MATCH('Error Log'!$G51,Severity_Matrix!$C$2:$M$2,0)),"No errors"))</f>
        <v>Major</v>
      </c>
      <c r="K51" s="1"/>
    </row>
    <row r="52" spans="1:11" ht="15.6">
      <c r="A52" t="s">
        <v>362</v>
      </c>
      <c r="B52" s="18">
        <v>3</v>
      </c>
      <c r="C52" s="92" t="s">
        <v>234</v>
      </c>
      <c r="D52" s="92" t="s">
        <v>235</v>
      </c>
      <c r="E52" s="85" t="s">
        <v>21</v>
      </c>
      <c r="F52" s="85" t="s">
        <v>22</v>
      </c>
      <c r="G52" s="85" t="s">
        <v>57</v>
      </c>
      <c r="H52" s="85" t="s">
        <v>236</v>
      </c>
      <c r="I52" s="14"/>
      <c r="J52" s="15" t="str">
        <f>IF(E52="Invalid_Segment","Invalid",IFERROR(INDEX(Severity_Matrix!$C$3:$M$10,MATCH('Error Log'!$F52,Severity_Matrix!$B$3:$B$10,0),MATCH('Error Log'!$G52,Severity_Matrix!$C$2:$M$2,0)),"No errors"))</f>
        <v>Major</v>
      </c>
      <c r="K52" s="1"/>
    </row>
    <row r="53" spans="1:11" ht="15.6">
      <c r="A53" t="s">
        <v>362</v>
      </c>
      <c r="B53" s="18">
        <v>4</v>
      </c>
      <c r="C53" s="92" t="s">
        <v>237</v>
      </c>
      <c r="D53" s="92" t="s">
        <v>238</v>
      </c>
      <c r="E53" s="85" t="s">
        <v>21</v>
      </c>
      <c r="F53" s="85" t="s">
        <v>7</v>
      </c>
      <c r="G53" s="85" t="s">
        <v>57</v>
      </c>
      <c r="H53" s="85" t="s">
        <v>239</v>
      </c>
      <c r="I53" s="14"/>
      <c r="J53" s="15" t="str">
        <f>IF(E53="Invalid_Segment","Invalid",IFERROR(INDEX(Severity_Matrix!$C$3:$M$10,MATCH('Error Log'!$F53,Severity_Matrix!$B$3:$B$10,0),MATCH('Error Log'!$G53,Severity_Matrix!$C$2:$M$2,0)),"No errors"))</f>
        <v>Critical</v>
      </c>
      <c r="K53" s="1"/>
    </row>
    <row r="54" spans="1:11" ht="15.6">
      <c r="A54" t="s">
        <v>363</v>
      </c>
      <c r="B54" s="18">
        <v>1</v>
      </c>
      <c r="C54" s="92" t="s">
        <v>240</v>
      </c>
      <c r="D54" s="92" t="s">
        <v>241</v>
      </c>
      <c r="E54" s="85" t="s">
        <v>21</v>
      </c>
      <c r="F54" s="85" t="s">
        <v>22</v>
      </c>
      <c r="G54" s="85" t="s">
        <v>57</v>
      </c>
      <c r="H54" s="85" t="s">
        <v>242</v>
      </c>
      <c r="I54" s="14"/>
      <c r="J54" s="15" t="str">
        <f>IF(E54="Invalid_Segment","Invalid",IFERROR(INDEX(Severity_Matrix!$C$3:$M$10,MATCH('Error Log'!$F54,Severity_Matrix!$B$3:$B$10,0),MATCH('Error Log'!$G54,Severity_Matrix!$C$2:$M$2,0)),"No errors"))</f>
        <v>Major</v>
      </c>
      <c r="K54" s="1"/>
    </row>
    <row r="55" spans="1:11" ht="15.6">
      <c r="A55" t="s">
        <v>363</v>
      </c>
      <c r="B55" s="18">
        <v>2</v>
      </c>
      <c r="C55" s="92" t="s">
        <v>243</v>
      </c>
      <c r="D55" s="92" t="s">
        <v>241</v>
      </c>
      <c r="E55" s="85" t="s">
        <v>21</v>
      </c>
      <c r="F55" s="85" t="s">
        <v>22</v>
      </c>
      <c r="G55" s="85" t="s">
        <v>57</v>
      </c>
      <c r="H55" s="85" t="s">
        <v>244</v>
      </c>
      <c r="I55" s="14"/>
      <c r="J55" s="15" t="str">
        <f>IF(E55="Invalid_Segment","Invalid",IFERROR(INDEX(Severity_Matrix!$C$3:$M$10,MATCH('Error Log'!$F55,Severity_Matrix!$B$3:$B$10,0),MATCH('Error Log'!$G55,Severity_Matrix!$C$2:$M$2,0)),"No errors"))</f>
        <v>Major</v>
      </c>
      <c r="K55" s="1"/>
    </row>
    <row r="56" spans="1:11" ht="15.6">
      <c r="A56" t="s">
        <v>363</v>
      </c>
      <c r="B56" s="18">
        <v>3</v>
      </c>
      <c r="C56" s="92" t="s">
        <v>245</v>
      </c>
      <c r="D56" s="92" t="s">
        <v>241</v>
      </c>
      <c r="E56" s="85" t="s">
        <v>21</v>
      </c>
      <c r="F56" s="85" t="s">
        <v>7</v>
      </c>
      <c r="G56" s="85" t="s">
        <v>28</v>
      </c>
      <c r="H56" s="85" t="s">
        <v>246</v>
      </c>
      <c r="I56" s="14"/>
      <c r="J56" s="15" t="str">
        <f>IF(E56="Invalid_Segment","Invalid",IFERROR(INDEX(Severity_Matrix!$C$3:$M$10,MATCH('Error Log'!$F56,Severity_Matrix!$B$3:$B$10,0),MATCH('Error Log'!$G56,Severity_Matrix!$C$2:$M$2,0)),"No errors"))</f>
        <v>Major</v>
      </c>
      <c r="K56" s="1"/>
    </row>
    <row r="57" spans="1:11" ht="15.6">
      <c r="A57" t="s">
        <v>364</v>
      </c>
      <c r="B57" s="18">
        <v>1</v>
      </c>
      <c r="C57" s="92" t="s">
        <v>247</v>
      </c>
      <c r="D57" s="92" t="s">
        <v>248</v>
      </c>
      <c r="E57" s="85"/>
      <c r="F57" s="85"/>
      <c r="G57" s="85"/>
      <c r="H57" s="85"/>
      <c r="I57" s="14"/>
      <c r="J57" s="15" t="str">
        <f>IF(E57="Invalid_Segment","Invalid",IFERROR(INDEX(Severity_Matrix!$C$3:$M$10,MATCH('Error Log'!$F57,Severity_Matrix!$B$3:$B$10,0),MATCH('Error Log'!$G57,Severity_Matrix!$C$2:$M$2,0)),"No errors"))</f>
        <v>No errors</v>
      </c>
      <c r="K57" s="1"/>
    </row>
    <row r="58" spans="1:11" ht="15.6">
      <c r="A58" t="s">
        <v>365</v>
      </c>
      <c r="B58" s="18">
        <v>1</v>
      </c>
      <c r="C58" s="92" t="s">
        <v>249</v>
      </c>
      <c r="D58" s="92" t="s">
        <v>250</v>
      </c>
      <c r="E58" s="85" t="s">
        <v>21</v>
      </c>
      <c r="F58" s="85" t="s">
        <v>22</v>
      </c>
      <c r="G58" s="85" t="s">
        <v>57</v>
      </c>
      <c r="H58" s="85" t="s">
        <v>251</v>
      </c>
      <c r="I58" s="14"/>
      <c r="J58" s="15" t="str">
        <f>IF(E58="Invalid_Segment","Invalid",IFERROR(INDEX(Severity_Matrix!$C$3:$M$10,MATCH('Error Log'!$F58,Severity_Matrix!$B$3:$B$10,0),MATCH('Error Log'!$G58,Severity_Matrix!$C$2:$M$2,0)),"No errors"))</f>
        <v>Major</v>
      </c>
      <c r="K58" s="1"/>
    </row>
    <row r="59" spans="1:11" ht="15.6">
      <c r="A59" t="s">
        <v>365</v>
      </c>
      <c r="B59" s="18">
        <v>2</v>
      </c>
      <c r="C59" s="92" t="s">
        <v>249</v>
      </c>
      <c r="D59" s="92" t="s">
        <v>250</v>
      </c>
      <c r="E59" s="85" t="s">
        <v>21</v>
      </c>
      <c r="F59" s="85" t="s">
        <v>7</v>
      </c>
      <c r="G59" s="85" t="s">
        <v>57</v>
      </c>
      <c r="H59" s="85" t="s">
        <v>252</v>
      </c>
      <c r="I59" s="14"/>
      <c r="J59" s="15" t="str">
        <f>IF(E59="Invalid_Segment","Invalid",IFERROR(INDEX(Severity_Matrix!$C$3:$M$10,MATCH('Error Log'!$F59,Severity_Matrix!$B$3:$B$10,0),MATCH('Error Log'!$G59,Severity_Matrix!$C$2:$M$2,0)),"No errors"))</f>
        <v>Critical</v>
      </c>
      <c r="K59" s="1"/>
    </row>
    <row r="60" spans="1:11" ht="15.6">
      <c r="A60" t="s">
        <v>366</v>
      </c>
      <c r="B60" s="18">
        <v>1</v>
      </c>
      <c r="C60" s="92" t="s">
        <v>253</v>
      </c>
      <c r="D60" s="92" t="s">
        <v>254</v>
      </c>
      <c r="E60" s="85"/>
      <c r="F60" s="85"/>
      <c r="G60" s="85"/>
      <c r="H60" s="100"/>
      <c r="I60" s="14"/>
      <c r="J60" s="15" t="str">
        <f>IF(E60="Invalid_Segment","Invalid",IFERROR(INDEX(Severity_Matrix!$C$3:$M$10,MATCH('Error Log'!$F60,Severity_Matrix!$B$3:$B$10,0),MATCH('Error Log'!$G60,Severity_Matrix!$C$2:$M$2,0)),"No errors"))</f>
        <v>No errors</v>
      </c>
      <c r="K60" s="1"/>
    </row>
    <row r="61" spans="1:11" ht="15.6">
      <c r="A61" t="s">
        <v>367</v>
      </c>
      <c r="B61" s="18">
        <v>1</v>
      </c>
      <c r="C61" s="92" t="s">
        <v>255</v>
      </c>
      <c r="D61" s="92" t="s">
        <v>256</v>
      </c>
      <c r="E61" s="85" t="s">
        <v>21</v>
      </c>
      <c r="F61" s="85" t="s">
        <v>22</v>
      </c>
      <c r="G61" s="85" t="s">
        <v>57</v>
      </c>
      <c r="H61" s="94" t="s">
        <v>257</v>
      </c>
      <c r="I61" s="14"/>
      <c r="J61" s="15" t="str">
        <f>IF(E61="Invalid_Segment","Invalid",IFERROR(INDEX(Severity_Matrix!$C$3:$M$10,MATCH('Error Log'!$F61,Severity_Matrix!$B$3:$B$10,0),MATCH('Error Log'!$G61,Severity_Matrix!$C$2:$M$2,0)),"No errors"))</f>
        <v>Major</v>
      </c>
      <c r="K61" s="1"/>
    </row>
    <row r="62" spans="1:11" ht="15.6">
      <c r="A62" t="s">
        <v>368</v>
      </c>
      <c r="B62" s="18">
        <v>1</v>
      </c>
      <c r="C62" s="92" t="s">
        <v>258</v>
      </c>
      <c r="D62" s="92" t="s">
        <v>259</v>
      </c>
      <c r="E62" s="85" t="s">
        <v>21</v>
      </c>
      <c r="F62" s="85" t="s">
        <v>22</v>
      </c>
      <c r="G62" s="85" t="s">
        <v>57</v>
      </c>
      <c r="H62" s="85" t="s">
        <v>260</v>
      </c>
      <c r="I62" s="14"/>
      <c r="J62" s="15" t="str">
        <f>IF(E62="Invalid_Segment","Invalid",IFERROR(INDEX(Severity_Matrix!$C$3:$M$10,MATCH('Error Log'!$F62,Severity_Matrix!$B$3:$B$10,0),MATCH('Error Log'!$G62,Severity_Matrix!$C$2:$M$2,0)),"No errors"))</f>
        <v>Major</v>
      </c>
      <c r="K62" s="1"/>
    </row>
    <row r="63" spans="1:11" ht="15.6">
      <c r="A63" t="s">
        <v>368</v>
      </c>
      <c r="B63" s="18">
        <v>2</v>
      </c>
      <c r="C63" s="92" t="s">
        <v>258</v>
      </c>
      <c r="D63" s="92" t="s">
        <v>259</v>
      </c>
      <c r="E63" s="85" t="s">
        <v>21</v>
      </c>
      <c r="F63" s="85" t="s">
        <v>22</v>
      </c>
      <c r="G63" s="85" t="s">
        <v>28</v>
      </c>
      <c r="H63" s="85" t="s">
        <v>261</v>
      </c>
      <c r="I63" s="14"/>
      <c r="J63" s="15" t="str">
        <f>IF(E63="Invalid_Segment","Invalid",IFERROR(INDEX(Severity_Matrix!$C$3:$M$10,MATCH('Error Log'!$F63,Severity_Matrix!$B$3:$B$10,0),MATCH('Error Log'!$G63,Severity_Matrix!$C$2:$M$2,0)),"No errors"))</f>
        <v>Major</v>
      </c>
      <c r="K63" s="1"/>
    </row>
    <row r="64" spans="1:11" ht="15.6">
      <c r="A64" t="s">
        <v>368</v>
      </c>
      <c r="B64" s="18">
        <v>3</v>
      </c>
      <c r="C64" s="92" t="s">
        <v>258</v>
      </c>
      <c r="D64" s="92" t="s">
        <v>259</v>
      </c>
      <c r="E64" s="85" t="s">
        <v>21</v>
      </c>
      <c r="F64" s="85" t="s">
        <v>22</v>
      </c>
      <c r="G64" s="85" t="s">
        <v>57</v>
      </c>
      <c r="H64" s="85" t="s">
        <v>262</v>
      </c>
      <c r="I64" s="14"/>
      <c r="J64" s="15" t="str">
        <f>IF(E64="Invalid_Segment","Invalid",IFERROR(INDEX(Severity_Matrix!$C$3:$M$10,MATCH('Error Log'!$F64,Severity_Matrix!$B$3:$B$10,0),MATCH('Error Log'!$G64,Severity_Matrix!$C$2:$M$2,0)),"No errors"))</f>
        <v>Major</v>
      </c>
      <c r="K64" s="1"/>
    </row>
    <row r="65" spans="1:11" ht="15.6">
      <c r="A65" t="s">
        <v>369</v>
      </c>
      <c r="B65" s="18">
        <v>1</v>
      </c>
      <c r="C65" s="92" t="s">
        <v>263</v>
      </c>
      <c r="D65" s="92" t="s">
        <v>264</v>
      </c>
      <c r="E65" s="85" t="s">
        <v>21</v>
      </c>
      <c r="F65" s="85" t="s">
        <v>63</v>
      </c>
      <c r="G65" s="85" t="s">
        <v>54</v>
      </c>
      <c r="H65" s="85" t="s">
        <v>265</v>
      </c>
      <c r="I65" s="14"/>
      <c r="J65" s="15" t="str">
        <f>IF(E65="Invalid_Segment","Invalid",IFERROR(INDEX(Severity_Matrix!$C$3:$M$10,MATCH('Error Log'!$F65,Severity_Matrix!$B$3:$B$10,0),MATCH('Error Log'!$G65,Severity_Matrix!$C$2:$M$2,0)),"No errors"))</f>
        <v>Critical</v>
      </c>
      <c r="K65" s="1"/>
    </row>
    <row r="66" spans="1:11" ht="15.6">
      <c r="A66" t="s">
        <v>369</v>
      </c>
      <c r="B66" s="18">
        <v>2</v>
      </c>
      <c r="C66" s="92" t="s">
        <v>266</v>
      </c>
      <c r="D66" s="92" t="s">
        <v>267</v>
      </c>
      <c r="E66" s="85" t="s">
        <v>21</v>
      </c>
      <c r="F66" s="85" t="s">
        <v>7</v>
      </c>
      <c r="G66" s="85" t="s">
        <v>57</v>
      </c>
      <c r="H66" s="85" t="s">
        <v>268</v>
      </c>
      <c r="I66" s="14"/>
      <c r="J66" s="15" t="str">
        <f>IF(E66="Invalid_Segment","Invalid",IFERROR(INDEX(Severity_Matrix!$C$3:$M$10,MATCH('Error Log'!$F66,Severity_Matrix!$B$3:$B$10,0),MATCH('Error Log'!$G66,Severity_Matrix!$C$2:$M$2,0)),"No errors"))</f>
        <v>Critical</v>
      </c>
      <c r="K66" s="1"/>
    </row>
    <row r="67" spans="1:11" ht="15.6">
      <c r="A67" t="s">
        <v>369</v>
      </c>
      <c r="B67" s="18">
        <v>3</v>
      </c>
      <c r="C67" s="92" t="s">
        <v>269</v>
      </c>
      <c r="D67" s="92" t="s">
        <v>270</v>
      </c>
      <c r="E67" s="85" t="s">
        <v>21</v>
      </c>
      <c r="F67" s="85" t="s">
        <v>7</v>
      </c>
      <c r="G67" s="85" t="s">
        <v>57</v>
      </c>
      <c r="H67" s="85" t="s">
        <v>271</v>
      </c>
      <c r="I67" s="14"/>
      <c r="J67" s="15" t="str">
        <f>IF(E67="Invalid_Segment","Invalid",IFERROR(INDEX(Severity_Matrix!$C$3:$M$10,MATCH('Error Log'!$F67,Severity_Matrix!$B$3:$B$10,0),MATCH('Error Log'!$G67,Severity_Matrix!$C$2:$M$2,0)),"No errors"))</f>
        <v>Critical</v>
      </c>
      <c r="K67" s="1"/>
    </row>
    <row r="68" spans="1:11" ht="15.6">
      <c r="A68" t="s">
        <v>370</v>
      </c>
      <c r="B68" s="18">
        <v>1</v>
      </c>
      <c r="C68" s="92" t="s">
        <v>272</v>
      </c>
      <c r="D68" s="92" t="s">
        <v>273</v>
      </c>
      <c r="E68" s="85" t="s">
        <v>21</v>
      </c>
      <c r="F68" s="85" t="s">
        <v>22</v>
      </c>
      <c r="G68" s="85" t="s">
        <v>57</v>
      </c>
      <c r="H68" s="93" t="s">
        <v>274</v>
      </c>
      <c r="I68" s="14"/>
      <c r="J68" s="15" t="str">
        <f>IF(E68="Invalid_Segment","Invalid",IFERROR(INDEX(Severity_Matrix!$C$3:$M$10,MATCH('Error Log'!$F68,Severity_Matrix!$B$3:$B$10,0),MATCH('Error Log'!$G68,Severity_Matrix!$C$2:$M$2,0)),"No errors"))</f>
        <v>Major</v>
      </c>
      <c r="K68" s="1"/>
    </row>
    <row r="69" spans="1:11" ht="15.6">
      <c r="A69" t="s">
        <v>370</v>
      </c>
      <c r="B69" s="18">
        <v>2</v>
      </c>
      <c r="C69" s="92" t="s">
        <v>272</v>
      </c>
      <c r="D69" s="92" t="s">
        <v>273</v>
      </c>
      <c r="E69" s="85" t="s">
        <v>21</v>
      </c>
      <c r="F69" s="85" t="s">
        <v>22</v>
      </c>
      <c r="G69" s="85" t="s">
        <v>28</v>
      </c>
      <c r="H69" s="93" t="s">
        <v>275</v>
      </c>
      <c r="I69" s="14"/>
      <c r="J69" s="15" t="str">
        <f>IF(E69="Invalid_Segment","Invalid",IFERROR(INDEX(Severity_Matrix!$C$3:$M$10,MATCH('Error Log'!$F69,Severity_Matrix!$B$3:$B$10,0),MATCH('Error Log'!$G69,Severity_Matrix!$C$2:$M$2,0)),"No errors"))</f>
        <v>Major</v>
      </c>
      <c r="K69" s="80"/>
    </row>
    <row r="70" spans="1:11" ht="15.6">
      <c r="A70" t="s">
        <v>371</v>
      </c>
      <c r="B70" s="18">
        <v>1</v>
      </c>
      <c r="C70" s="92" t="s">
        <v>276</v>
      </c>
      <c r="D70" s="92" t="s">
        <v>277</v>
      </c>
      <c r="E70" s="85"/>
      <c r="F70" s="85"/>
      <c r="G70" s="85"/>
      <c r="H70" s="85"/>
      <c r="I70" s="14"/>
      <c r="J70" s="15" t="str">
        <f>IF(E70="Invalid_Segment","Invalid",IFERROR(INDEX(Severity_Matrix!$C$3:$M$10,MATCH('Error Log'!$F70,Severity_Matrix!$B$3:$B$10,0),MATCH('Error Log'!$G70,Severity_Matrix!$C$2:$M$2,0)),"No errors"))</f>
        <v>No errors</v>
      </c>
      <c r="K70" s="80"/>
    </row>
    <row r="71" spans="1:11" ht="15.6">
      <c r="A71" t="s">
        <v>372</v>
      </c>
      <c r="B71" s="18">
        <v>1</v>
      </c>
      <c r="C71" s="92" t="s">
        <v>278</v>
      </c>
      <c r="D71" s="92" t="s">
        <v>279</v>
      </c>
      <c r="E71" s="85" t="s">
        <v>21</v>
      </c>
      <c r="F71" s="85" t="s">
        <v>7</v>
      </c>
      <c r="G71" s="85" t="s">
        <v>57</v>
      </c>
      <c r="H71" s="85" t="s">
        <v>310</v>
      </c>
      <c r="I71" s="14"/>
      <c r="J71" s="15" t="str">
        <f>IF(E71="Invalid_Segment","Invalid",IFERROR(INDEX(Severity_Matrix!$C$3:$M$10,MATCH('Error Log'!$F71,Severity_Matrix!$B$3:$B$10,0),MATCH('Error Log'!$G71,Severity_Matrix!$C$2:$M$2,0)),"No errors"))</f>
        <v>Critical</v>
      </c>
      <c r="K71" s="80"/>
    </row>
    <row r="72" spans="1:11" ht="15.6">
      <c r="A72" t="s">
        <v>373</v>
      </c>
      <c r="B72" s="18">
        <v>1</v>
      </c>
      <c r="C72" s="92" t="s">
        <v>280</v>
      </c>
      <c r="D72" s="92" t="s">
        <v>281</v>
      </c>
      <c r="E72" s="85" t="s">
        <v>21</v>
      </c>
      <c r="F72" s="85" t="s">
        <v>22</v>
      </c>
      <c r="G72" s="85" t="s">
        <v>57</v>
      </c>
      <c r="H72" s="85" t="s">
        <v>311</v>
      </c>
      <c r="I72" s="14"/>
      <c r="J72" s="15" t="str">
        <f>IF(E72="Invalid_Segment","Invalid",IFERROR(INDEX(Severity_Matrix!$C$3:$M$10,MATCH('Error Log'!$F72,Severity_Matrix!$B$3:$B$10,0),MATCH('Error Log'!$G72,Severity_Matrix!$C$2:$M$2,0)),"No errors"))</f>
        <v>Major</v>
      </c>
      <c r="K72" s="80"/>
    </row>
    <row r="73" spans="1:11" ht="15.6">
      <c r="A73" t="s">
        <v>373</v>
      </c>
      <c r="B73" s="18">
        <v>2</v>
      </c>
      <c r="C73" s="92" t="s">
        <v>280</v>
      </c>
      <c r="D73" s="92" t="s">
        <v>281</v>
      </c>
      <c r="E73" s="85" t="s">
        <v>21</v>
      </c>
      <c r="F73" s="85" t="s">
        <v>7</v>
      </c>
      <c r="G73" s="85" t="s">
        <v>57</v>
      </c>
      <c r="H73" s="85" t="s">
        <v>312</v>
      </c>
      <c r="I73" s="14"/>
      <c r="J73" s="15" t="str">
        <f>IF(E73="Invalid_Segment","Invalid",IFERROR(INDEX(Severity_Matrix!$C$3:$M$10,MATCH('Error Log'!$F73,Severity_Matrix!$B$3:$B$10,0),MATCH('Error Log'!$G73,Severity_Matrix!$C$2:$M$2,0)),"No errors"))</f>
        <v>Critical</v>
      </c>
      <c r="K73" s="80"/>
    </row>
    <row r="74" spans="1:11" ht="15.6">
      <c r="A74" t="s">
        <v>373</v>
      </c>
      <c r="B74" s="18">
        <v>3</v>
      </c>
      <c r="C74" s="92" t="s">
        <v>280</v>
      </c>
      <c r="D74" s="92" t="s">
        <v>281</v>
      </c>
      <c r="E74" s="85" t="s">
        <v>21</v>
      </c>
      <c r="F74" s="85" t="s">
        <v>22</v>
      </c>
      <c r="G74" s="85" t="s">
        <v>57</v>
      </c>
      <c r="H74" s="95" t="s">
        <v>313</v>
      </c>
      <c r="I74" s="14"/>
      <c r="J74" s="15" t="str">
        <f>IF(E74="Invalid_Segment","Invalid",IFERROR(INDEX(Severity_Matrix!$C$3:$M$10,MATCH('Error Log'!$F74,Severity_Matrix!$B$3:$B$10,0),MATCH('Error Log'!$G74,Severity_Matrix!$C$2:$M$2,0)),"No errors"))</f>
        <v>Major</v>
      </c>
      <c r="K74" s="80"/>
    </row>
    <row r="75" spans="1:11" ht="15.6">
      <c r="A75" t="s">
        <v>374</v>
      </c>
      <c r="B75" s="18">
        <v>1</v>
      </c>
      <c r="C75" s="92" t="s">
        <v>282</v>
      </c>
      <c r="D75" s="92" t="s">
        <v>283</v>
      </c>
      <c r="E75" s="85" t="s">
        <v>21</v>
      </c>
      <c r="F75" s="85" t="s">
        <v>22</v>
      </c>
      <c r="G75" s="85" t="s">
        <v>57</v>
      </c>
      <c r="H75" s="85" t="s">
        <v>314</v>
      </c>
      <c r="I75" s="14"/>
      <c r="J75" s="15" t="str">
        <f>IF(E75="Invalid_Segment","Invalid",IFERROR(INDEX(Severity_Matrix!$C$3:$M$10,MATCH('Error Log'!$F75,Severity_Matrix!$B$3:$B$10,0),MATCH('Error Log'!$G75,Severity_Matrix!$C$2:$M$2,0)),"No errors"))</f>
        <v>Major</v>
      </c>
      <c r="K75" s="80"/>
    </row>
    <row r="76" spans="1:11" ht="15.6">
      <c r="A76" t="s">
        <v>374</v>
      </c>
      <c r="B76" s="18">
        <v>2</v>
      </c>
      <c r="C76" s="92" t="s">
        <v>282</v>
      </c>
      <c r="D76" s="92" t="s">
        <v>283</v>
      </c>
      <c r="E76" s="85" t="s">
        <v>21</v>
      </c>
      <c r="F76" s="85" t="s">
        <v>7</v>
      </c>
      <c r="G76" s="85" t="s">
        <v>57</v>
      </c>
      <c r="H76" s="85" t="s">
        <v>315</v>
      </c>
      <c r="I76" s="14"/>
      <c r="J76" s="15" t="str">
        <f>IF(E76="Invalid_Segment","Invalid",IFERROR(INDEX(Severity_Matrix!$C$3:$M$10,MATCH('Error Log'!$F76,Severity_Matrix!$B$3:$B$10,0),MATCH('Error Log'!$G76,Severity_Matrix!$C$2:$M$2,0)),"No errors"))</f>
        <v>Critical</v>
      </c>
      <c r="K76" s="80"/>
    </row>
    <row r="77" spans="1:11" ht="15.6">
      <c r="A77" t="s">
        <v>375</v>
      </c>
      <c r="B77" s="18">
        <v>1</v>
      </c>
      <c r="C77" s="92" t="s">
        <v>284</v>
      </c>
      <c r="D77" s="92" t="s">
        <v>285</v>
      </c>
      <c r="E77" s="85" t="s">
        <v>2</v>
      </c>
      <c r="F77" s="85" t="s">
        <v>26</v>
      </c>
      <c r="G77" s="85" t="s">
        <v>57</v>
      </c>
      <c r="H77" s="85" t="s">
        <v>316</v>
      </c>
      <c r="I77" s="14"/>
      <c r="J77" s="15" t="str">
        <f>IF(E77="Invalid_Segment","Invalid",IFERROR(INDEX(Severity_Matrix!$C$3:$M$10,MATCH('Error Log'!$F77,Severity_Matrix!$B$3:$B$10,0),MATCH('Error Log'!$G77,Severity_Matrix!$C$2:$M$2,0)),"No errors"))</f>
        <v>Major</v>
      </c>
      <c r="K77" s="80"/>
    </row>
    <row r="78" spans="1:11" ht="15.6">
      <c r="A78" t="s">
        <v>375</v>
      </c>
      <c r="B78" s="18">
        <v>2</v>
      </c>
      <c r="C78" s="92" t="s">
        <v>284</v>
      </c>
      <c r="D78" s="92" t="s">
        <v>285</v>
      </c>
      <c r="E78" s="85" t="s">
        <v>21</v>
      </c>
      <c r="F78" s="85" t="s">
        <v>7</v>
      </c>
      <c r="G78" s="85" t="s">
        <v>57</v>
      </c>
      <c r="H78" s="85" t="s">
        <v>317</v>
      </c>
      <c r="I78" s="14"/>
      <c r="J78" s="15" t="str">
        <f>IF(E78="Invalid_Segment","Invalid",IFERROR(INDEX(Severity_Matrix!$C$3:$M$10,MATCH('Error Log'!$F78,Severity_Matrix!$B$3:$B$10,0),MATCH('Error Log'!$G78,Severity_Matrix!$C$2:$M$2,0)),"No errors"))</f>
        <v>Critical</v>
      </c>
      <c r="K78" s="80"/>
    </row>
    <row r="79" spans="1:11" ht="15.6">
      <c r="A79" t="s">
        <v>375</v>
      </c>
      <c r="B79" s="18">
        <v>3</v>
      </c>
      <c r="C79" s="92" t="s">
        <v>284</v>
      </c>
      <c r="D79" s="92" t="s">
        <v>285</v>
      </c>
      <c r="E79" s="85" t="s">
        <v>21</v>
      </c>
      <c r="F79" s="85" t="s">
        <v>7</v>
      </c>
      <c r="G79" s="85" t="s">
        <v>57</v>
      </c>
      <c r="H79" s="85" t="s">
        <v>318</v>
      </c>
      <c r="I79" s="14"/>
      <c r="J79" s="15" t="str">
        <f>IF(E79="Invalid_Segment","Invalid",IFERROR(INDEX(Severity_Matrix!$C$3:$M$10,MATCH('Error Log'!$F79,Severity_Matrix!$B$3:$B$10,0),MATCH('Error Log'!$G79,Severity_Matrix!$C$2:$M$2,0)),"No errors"))</f>
        <v>Critical</v>
      </c>
      <c r="K79" s="80"/>
    </row>
    <row r="80" spans="1:11" ht="15.6">
      <c r="A80" t="s">
        <v>376</v>
      </c>
      <c r="B80" s="18">
        <v>1</v>
      </c>
      <c r="C80" s="92" t="s">
        <v>286</v>
      </c>
      <c r="D80" s="92" t="s">
        <v>287</v>
      </c>
      <c r="E80" s="85" t="s">
        <v>21</v>
      </c>
      <c r="F80" s="85" t="s">
        <v>22</v>
      </c>
      <c r="G80" s="85" t="s">
        <v>57</v>
      </c>
      <c r="H80" s="85" t="s">
        <v>319</v>
      </c>
      <c r="I80" s="14"/>
      <c r="J80" s="15" t="str">
        <f>IF(E80="Invalid_Segment","Invalid",IFERROR(INDEX(Severity_Matrix!$C$3:$M$10,MATCH('Error Log'!$F80,Severity_Matrix!$B$3:$B$10,0),MATCH('Error Log'!$G80,Severity_Matrix!$C$2:$M$2,0)),"No errors"))</f>
        <v>Major</v>
      </c>
      <c r="K80" s="80"/>
    </row>
    <row r="81" spans="1:11" ht="15.6">
      <c r="A81" t="s">
        <v>376</v>
      </c>
      <c r="B81" s="18">
        <v>2</v>
      </c>
      <c r="C81" s="92" t="s">
        <v>286</v>
      </c>
      <c r="D81" s="92" t="s">
        <v>287</v>
      </c>
      <c r="E81" s="85" t="s">
        <v>21</v>
      </c>
      <c r="F81" s="85" t="s">
        <v>7</v>
      </c>
      <c r="G81" s="85" t="s">
        <v>57</v>
      </c>
      <c r="H81" s="85" t="s">
        <v>320</v>
      </c>
      <c r="I81" s="14"/>
      <c r="J81" s="15" t="str">
        <f>IF(E81="Invalid_Segment","Invalid",IFERROR(INDEX(Severity_Matrix!$C$3:$M$10,MATCH('Error Log'!$F81,Severity_Matrix!$B$3:$B$10,0),MATCH('Error Log'!$G81,Severity_Matrix!$C$2:$M$2,0)),"No errors"))</f>
        <v>Critical</v>
      </c>
      <c r="K81" s="80"/>
    </row>
    <row r="82" spans="1:11" ht="15.6">
      <c r="A82" t="s">
        <v>376</v>
      </c>
      <c r="B82" s="18">
        <v>3</v>
      </c>
      <c r="C82" s="92" t="s">
        <v>286</v>
      </c>
      <c r="D82" s="92" t="s">
        <v>287</v>
      </c>
      <c r="E82" s="85" t="s">
        <v>21</v>
      </c>
      <c r="F82" s="85" t="s">
        <v>22</v>
      </c>
      <c r="G82" s="85" t="s">
        <v>57</v>
      </c>
      <c r="H82" s="85" t="s">
        <v>321</v>
      </c>
      <c r="I82" s="14"/>
      <c r="J82" s="15" t="str">
        <f>IF(E82="Invalid_Segment","Invalid",IFERROR(INDEX(Severity_Matrix!$C$3:$M$10,MATCH('Error Log'!$F82,Severity_Matrix!$B$3:$B$10,0),MATCH('Error Log'!$G82,Severity_Matrix!$C$2:$M$2,0)),"No errors"))</f>
        <v>Major</v>
      </c>
      <c r="K82" s="80"/>
    </row>
    <row r="83" spans="1:11" ht="15.6">
      <c r="A83" t="s">
        <v>376</v>
      </c>
      <c r="B83" s="18">
        <v>4</v>
      </c>
      <c r="C83" s="92" t="s">
        <v>286</v>
      </c>
      <c r="D83" s="92" t="s">
        <v>287</v>
      </c>
      <c r="E83" s="85" t="s">
        <v>21</v>
      </c>
      <c r="F83" s="85" t="s">
        <v>22</v>
      </c>
      <c r="G83" s="85" t="s">
        <v>57</v>
      </c>
      <c r="H83" s="85" t="s">
        <v>322</v>
      </c>
      <c r="I83" s="14"/>
      <c r="J83" s="15" t="str">
        <f>IF(E83="Invalid_Segment","Invalid",IFERROR(INDEX(Severity_Matrix!$C$3:$M$10,MATCH('Error Log'!$F83,Severity_Matrix!$B$3:$B$10,0),MATCH('Error Log'!$G83,Severity_Matrix!$C$2:$M$2,0)),"No errors"))</f>
        <v>Major</v>
      </c>
      <c r="K83" s="80"/>
    </row>
    <row r="84" spans="1:11" ht="15.6">
      <c r="A84" t="s">
        <v>377</v>
      </c>
      <c r="B84" s="18">
        <v>1</v>
      </c>
      <c r="C84" s="92" t="s">
        <v>288</v>
      </c>
      <c r="D84" s="92" t="s">
        <v>289</v>
      </c>
      <c r="E84" s="85" t="s">
        <v>21</v>
      </c>
      <c r="F84" s="85" t="s">
        <v>22</v>
      </c>
      <c r="G84" s="85" t="s">
        <v>57</v>
      </c>
      <c r="H84" s="85" t="s">
        <v>323</v>
      </c>
      <c r="I84" s="14"/>
      <c r="J84" s="15" t="str">
        <f>IF(E84="Invalid_Segment","Invalid",IFERROR(INDEX(Severity_Matrix!$C$3:$M$10,MATCH('Error Log'!$F84,Severity_Matrix!$B$3:$B$10,0),MATCH('Error Log'!$G84,Severity_Matrix!$C$2:$M$2,0)),"No errors"))</f>
        <v>Major</v>
      </c>
      <c r="K84" s="80"/>
    </row>
    <row r="85" spans="1:11" ht="15" customHeight="1">
      <c r="A85" t="s">
        <v>377</v>
      </c>
      <c r="B85" s="18">
        <v>2</v>
      </c>
      <c r="C85" s="92" t="s">
        <v>288</v>
      </c>
      <c r="D85" s="92" t="s">
        <v>289</v>
      </c>
      <c r="E85" s="85" t="s">
        <v>21</v>
      </c>
      <c r="F85" s="85" t="s">
        <v>7</v>
      </c>
      <c r="G85" s="85" t="s">
        <v>57</v>
      </c>
      <c r="H85" s="85" t="s">
        <v>324</v>
      </c>
      <c r="I85" s="14"/>
      <c r="J85" s="15" t="str">
        <f>IF(E85="Invalid_Segment","Invalid",IFERROR(INDEX(Severity_Matrix!$C$3:$M$10,MATCH('Error Log'!$F85,Severity_Matrix!$B$3:$B$10,0),MATCH('Error Log'!$G85,Severity_Matrix!$C$2:$M$2,0)),"No errors"))</f>
        <v>Critical</v>
      </c>
      <c r="K85" s="80"/>
    </row>
    <row r="86" spans="1:11" ht="15.6">
      <c r="A86" t="s">
        <v>377</v>
      </c>
      <c r="B86" s="18">
        <v>3</v>
      </c>
      <c r="C86" s="92" t="s">
        <v>288</v>
      </c>
      <c r="D86" s="92" t="s">
        <v>289</v>
      </c>
      <c r="E86" s="85" t="s">
        <v>21</v>
      </c>
      <c r="F86" s="85" t="s">
        <v>7</v>
      </c>
      <c r="G86" s="85" t="s">
        <v>57</v>
      </c>
      <c r="H86" s="85" t="s">
        <v>325</v>
      </c>
      <c r="I86" s="14"/>
      <c r="J86" s="15" t="str">
        <f>IF(E86="Invalid_Segment","Invalid",IFERROR(INDEX(Severity_Matrix!$C$3:$M$10,MATCH('Error Log'!$F86,Severity_Matrix!$B$3:$B$10,0),MATCH('Error Log'!$G86,Severity_Matrix!$C$2:$M$2,0)),"No errors"))</f>
        <v>Critical</v>
      </c>
      <c r="K86" s="80"/>
    </row>
    <row r="87" spans="1:11" ht="15.6">
      <c r="A87" t="s">
        <v>377</v>
      </c>
      <c r="B87" s="18">
        <v>4</v>
      </c>
      <c r="C87" s="92" t="s">
        <v>288</v>
      </c>
      <c r="D87" s="92" t="s">
        <v>289</v>
      </c>
      <c r="E87" s="85" t="s">
        <v>21</v>
      </c>
      <c r="F87" s="85" t="s">
        <v>22</v>
      </c>
      <c r="G87" s="85" t="s">
        <v>57</v>
      </c>
      <c r="H87" s="85" t="s">
        <v>326</v>
      </c>
      <c r="I87" s="14"/>
      <c r="J87" s="15" t="str">
        <f>IF(E87="Invalid_Segment","Invalid",IFERROR(INDEX(Severity_Matrix!$C$3:$M$10,MATCH('Error Log'!$F87,Severity_Matrix!$B$3:$B$10,0),MATCH('Error Log'!$G87,Severity_Matrix!$C$2:$M$2,0)),"No errors"))</f>
        <v>Major</v>
      </c>
      <c r="K87" s="80"/>
    </row>
    <row r="88" spans="1:11" ht="15.6">
      <c r="A88" t="s">
        <v>378</v>
      </c>
      <c r="B88" s="18">
        <v>1</v>
      </c>
      <c r="C88" s="92" t="s">
        <v>290</v>
      </c>
      <c r="D88" s="92" t="s">
        <v>291</v>
      </c>
      <c r="E88" s="85"/>
      <c r="F88" s="85"/>
      <c r="G88" s="85"/>
      <c r="H88" s="85"/>
      <c r="I88" s="14"/>
      <c r="J88" s="15" t="str">
        <f>IF(E88="Invalid_Segment","Invalid",IFERROR(INDEX(Severity_Matrix!$C$3:$M$10,MATCH('Error Log'!$F88,Severity_Matrix!$B$3:$B$10,0),MATCH('Error Log'!$G88,Severity_Matrix!$C$2:$M$2,0)),"No errors"))</f>
        <v>No errors</v>
      </c>
      <c r="K88" s="80"/>
    </row>
    <row r="89" spans="1:11" ht="15.6">
      <c r="A89" t="s">
        <v>379</v>
      </c>
      <c r="B89" s="18">
        <v>1</v>
      </c>
      <c r="C89" s="92" t="s">
        <v>292</v>
      </c>
      <c r="D89" s="92" t="s">
        <v>293</v>
      </c>
      <c r="E89" s="85" t="s">
        <v>21</v>
      </c>
      <c r="F89" s="85" t="s">
        <v>22</v>
      </c>
      <c r="G89" s="85" t="s">
        <v>58</v>
      </c>
      <c r="H89" s="85" t="s">
        <v>327</v>
      </c>
      <c r="I89" s="14"/>
      <c r="J89" s="15" t="str">
        <f>IF(E89="Invalid_Segment","Invalid",IFERROR(INDEX(Severity_Matrix!$C$3:$M$10,MATCH('Error Log'!$F89,Severity_Matrix!$B$3:$B$10,0),MATCH('Error Log'!$G89,Severity_Matrix!$C$2:$M$2,0)),"No errors"))</f>
        <v>Minor</v>
      </c>
      <c r="K89" s="80"/>
    </row>
    <row r="90" spans="1:11" ht="15.6">
      <c r="A90" t="s">
        <v>380</v>
      </c>
      <c r="B90" s="18">
        <v>1</v>
      </c>
      <c r="C90" s="92" t="s">
        <v>294</v>
      </c>
      <c r="D90" s="92" t="s">
        <v>295</v>
      </c>
      <c r="E90" s="85"/>
      <c r="F90" s="85"/>
      <c r="G90" s="85"/>
      <c r="H90" s="85"/>
      <c r="I90" s="14"/>
      <c r="J90" s="15" t="str">
        <f>IF(E90="Invalid_Segment","Invalid",IFERROR(INDEX(Severity_Matrix!$C$3:$M$10,MATCH('Error Log'!$F90,Severity_Matrix!$B$3:$B$10,0),MATCH('Error Log'!$G90,Severity_Matrix!$C$2:$M$2,0)),"No errors"))</f>
        <v>No errors</v>
      </c>
      <c r="K90" s="80"/>
    </row>
    <row r="91" spans="1:11" ht="15.6">
      <c r="A91" t="s">
        <v>381</v>
      </c>
      <c r="B91" s="18">
        <v>1</v>
      </c>
      <c r="C91" s="92" t="s">
        <v>296</v>
      </c>
      <c r="D91" s="92" t="s">
        <v>297</v>
      </c>
      <c r="E91" s="85" t="s">
        <v>21</v>
      </c>
      <c r="F91" s="85" t="s">
        <v>22</v>
      </c>
      <c r="G91" s="85" t="s">
        <v>57</v>
      </c>
      <c r="H91" s="85" t="s">
        <v>328</v>
      </c>
      <c r="I91" s="14"/>
      <c r="J91" s="15" t="str">
        <f>IF(E91="Invalid_Segment","Invalid",IFERROR(INDEX(Severity_Matrix!$C$3:$M$10,MATCH('Error Log'!$F91,Severity_Matrix!$B$3:$B$10,0),MATCH('Error Log'!$G91,Severity_Matrix!$C$2:$M$2,0)),"No errors"))</f>
        <v>Major</v>
      </c>
      <c r="K91" s="80"/>
    </row>
    <row r="92" spans="1:11" ht="15.6">
      <c r="A92" t="s">
        <v>382</v>
      </c>
      <c r="B92" s="18">
        <v>1</v>
      </c>
      <c r="C92" s="92" t="s">
        <v>298</v>
      </c>
      <c r="D92" s="92" t="s">
        <v>299</v>
      </c>
      <c r="E92" s="85" t="s">
        <v>21</v>
      </c>
      <c r="F92" s="85" t="s">
        <v>22</v>
      </c>
      <c r="G92" s="85" t="s">
        <v>57</v>
      </c>
      <c r="H92" s="85" t="s">
        <v>329</v>
      </c>
      <c r="I92" s="14"/>
      <c r="J92" s="15" t="str">
        <f>IF(E92="Invalid_Segment","Invalid",IFERROR(INDEX(Severity_Matrix!$C$3:$M$10,MATCH('Error Log'!$F92,Severity_Matrix!$B$3:$B$10,0),MATCH('Error Log'!$G92,Severity_Matrix!$C$2:$M$2,0)),"No errors"))</f>
        <v>Major</v>
      </c>
      <c r="K92" s="80"/>
    </row>
    <row r="93" spans="1:11" ht="15.6">
      <c r="A93" t="s">
        <v>382</v>
      </c>
      <c r="B93" s="18">
        <v>2</v>
      </c>
      <c r="C93" s="92" t="s">
        <v>298</v>
      </c>
      <c r="D93" s="92" t="s">
        <v>299</v>
      </c>
      <c r="E93" s="85" t="s">
        <v>21</v>
      </c>
      <c r="F93" s="85" t="s">
        <v>7</v>
      </c>
      <c r="G93" s="85" t="s">
        <v>57</v>
      </c>
      <c r="H93" s="85" t="s">
        <v>330</v>
      </c>
      <c r="I93" s="14"/>
      <c r="J93" s="15" t="str">
        <f>IF(E93="Invalid_Segment","Invalid",IFERROR(INDEX(Severity_Matrix!$C$3:$M$10,MATCH('Error Log'!$F93,Severity_Matrix!$B$3:$B$10,0),MATCH('Error Log'!$G93,Severity_Matrix!$C$2:$M$2,0)),"No errors"))</f>
        <v>Critical</v>
      </c>
      <c r="K93" s="80"/>
    </row>
    <row r="94" spans="1:11" ht="15.6">
      <c r="A94" t="s">
        <v>383</v>
      </c>
      <c r="B94" s="18">
        <v>1</v>
      </c>
      <c r="C94" s="79" t="s">
        <v>300</v>
      </c>
      <c r="D94" s="79" t="s">
        <v>301</v>
      </c>
      <c r="E94" s="85" t="s">
        <v>21</v>
      </c>
      <c r="F94" s="85" t="s">
        <v>7</v>
      </c>
      <c r="G94" s="85" t="s">
        <v>57</v>
      </c>
      <c r="H94" s="85" t="s">
        <v>331</v>
      </c>
      <c r="I94" s="85"/>
      <c r="J94" s="15" t="str">
        <f>IF(E94="Invalid_Segment","Invalid",IFERROR(INDEX(Severity_Matrix!$C$3:$M$10,MATCH('Error Log'!$F94,Severity_Matrix!$B$3:$B$10,0),MATCH('Error Log'!$G94,Severity_Matrix!$C$2:$M$2,0)),"No errors"))</f>
        <v>Critical</v>
      </c>
      <c r="K94" s="80"/>
    </row>
    <row r="95" spans="1:11" ht="15.6">
      <c r="A95" t="s">
        <v>384</v>
      </c>
      <c r="B95" s="18">
        <v>1</v>
      </c>
      <c r="C95" s="92" t="s">
        <v>302</v>
      </c>
      <c r="D95" s="92" t="s">
        <v>303</v>
      </c>
      <c r="E95" s="85" t="s">
        <v>21</v>
      </c>
      <c r="F95" s="85" t="s">
        <v>22</v>
      </c>
      <c r="G95" s="85" t="s">
        <v>57</v>
      </c>
      <c r="H95" s="85" t="s">
        <v>332</v>
      </c>
      <c r="I95" s="14"/>
      <c r="J95" s="15" t="str">
        <f>IF(E95="Invalid_Segment","Invalid",IFERROR(INDEX(Severity_Matrix!$C$3:$M$10,MATCH('Error Log'!$F95,Severity_Matrix!$B$3:$B$10,0),MATCH('Error Log'!$G95,Severity_Matrix!$C$2:$M$2,0)),"No errors"))</f>
        <v>Major</v>
      </c>
      <c r="K95" s="80"/>
    </row>
    <row r="96" spans="1:11" ht="15.6">
      <c r="A96" t="s">
        <v>384</v>
      </c>
      <c r="B96" s="18">
        <v>2</v>
      </c>
      <c r="C96" s="92" t="s">
        <v>302</v>
      </c>
      <c r="D96" s="92" t="s">
        <v>303</v>
      </c>
      <c r="E96" s="85" t="s">
        <v>21</v>
      </c>
      <c r="F96" s="85" t="s">
        <v>7</v>
      </c>
      <c r="G96" s="85" t="s">
        <v>57</v>
      </c>
      <c r="H96" s="85" t="s">
        <v>333</v>
      </c>
      <c r="I96" s="14"/>
      <c r="J96" s="15" t="str">
        <f>IF(E96="Invalid_Segment","Invalid",IFERROR(INDEX(Severity_Matrix!$C$3:$M$10,MATCH('Error Log'!$F96,Severity_Matrix!$B$3:$B$10,0),MATCH('Error Log'!$G96,Severity_Matrix!$C$2:$M$2,0)),"No errors"))</f>
        <v>Critical</v>
      </c>
      <c r="K96" s="80"/>
    </row>
    <row r="97" spans="1:11" ht="15.6">
      <c r="A97" t="s">
        <v>385</v>
      </c>
      <c r="B97" s="18">
        <v>1</v>
      </c>
      <c r="C97" s="92" t="s">
        <v>304</v>
      </c>
      <c r="D97" s="92" t="s">
        <v>305</v>
      </c>
      <c r="E97" s="85" t="s">
        <v>21</v>
      </c>
      <c r="F97" s="85" t="s">
        <v>22</v>
      </c>
      <c r="G97" s="85" t="s">
        <v>57</v>
      </c>
      <c r="H97" s="85" t="s">
        <v>334</v>
      </c>
      <c r="I97" s="14"/>
      <c r="J97" s="15" t="str">
        <f>IF(E97="Invalid_Segment","Invalid",IFERROR(INDEX(Severity_Matrix!$C$3:$M$10,MATCH('Error Log'!$F97,Severity_Matrix!$B$3:$B$10,0),MATCH('Error Log'!$G97,Severity_Matrix!$C$2:$M$2,0)),"No errors"))</f>
        <v>Major</v>
      </c>
      <c r="K97" s="80"/>
    </row>
    <row r="98" spans="1:11" ht="15.6">
      <c r="A98" t="s">
        <v>385</v>
      </c>
      <c r="B98" s="18">
        <v>2</v>
      </c>
      <c r="C98" s="92" t="s">
        <v>304</v>
      </c>
      <c r="D98" s="92" t="s">
        <v>305</v>
      </c>
      <c r="E98" s="85" t="s">
        <v>21</v>
      </c>
      <c r="F98" s="85" t="s">
        <v>7</v>
      </c>
      <c r="G98" s="85" t="s">
        <v>57</v>
      </c>
      <c r="H98" s="85" t="s">
        <v>335</v>
      </c>
      <c r="I98" s="14"/>
      <c r="J98" s="15" t="str">
        <f>IF(E98="Invalid_Segment","Invalid",IFERROR(INDEX(Severity_Matrix!$C$3:$M$10,MATCH('Error Log'!$F98,Severity_Matrix!$B$3:$B$10,0),MATCH('Error Log'!$G98,Severity_Matrix!$C$2:$M$2,0)),"No errors"))</f>
        <v>Critical</v>
      </c>
      <c r="K98" s="80"/>
    </row>
    <row r="99" spans="1:11" ht="15.6">
      <c r="A99" t="s">
        <v>386</v>
      </c>
      <c r="B99" s="18">
        <v>1</v>
      </c>
      <c r="C99" s="92" t="s">
        <v>306</v>
      </c>
      <c r="D99" s="92" t="s">
        <v>307</v>
      </c>
      <c r="E99" s="101" t="s">
        <v>21</v>
      </c>
      <c r="F99" s="101" t="s">
        <v>22</v>
      </c>
      <c r="G99" s="101" t="s">
        <v>57</v>
      </c>
      <c r="H99" s="102" t="s">
        <v>336</v>
      </c>
      <c r="I99" s="14"/>
      <c r="J99" s="15" t="str">
        <f>IF(E99="Invalid_Segment","Invalid",IFERROR(INDEX(Severity_Matrix!$C$3:$M$10,MATCH('Error Log'!$F99,Severity_Matrix!$B$3:$B$10,0),MATCH('Error Log'!$G99,Severity_Matrix!$C$2:$M$2,0)),"No errors"))</f>
        <v>Major</v>
      </c>
      <c r="K99" s="80"/>
    </row>
    <row r="100" spans="1:11" ht="15.6">
      <c r="A100" s="103" t="s">
        <v>387</v>
      </c>
      <c r="B100" s="18">
        <v>1</v>
      </c>
      <c r="C100" s="92" t="s">
        <v>308</v>
      </c>
      <c r="D100" s="92" t="s">
        <v>309</v>
      </c>
      <c r="E100" s="85" t="s">
        <v>21</v>
      </c>
      <c r="F100" s="85" t="s">
        <v>7</v>
      </c>
      <c r="G100" s="85" t="s">
        <v>57</v>
      </c>
      <c r="H100" s="95" t="s">
        <v>337</v>
      </c>
      <c r="I100" s="14"/>
      <c r="J100" s="15" t="str">
        <f>IF(E100="Invalid_Segment","Invalid",IFERROR(INDEX(Severity_Matrix!$C$3:$M$10,MATCH('Error Log'!$F100,Severity_Matrix!$B$3:$B$10,0),MATCH('Error Log'!$G100,Severity_Matrix!$C$2:$M$2,0)),"No errors"))</f>
        <v>Critical</v>
      </c>
      <c r="K100" s="80"/>
    </row>
    <row r="101" spans="1:11">
      <c r="A101" s="104" t="s">
        <v>388</v>
      </c>
      <c r="B101" s="18">
        <v>1</v>
      </c>
      <c r="C101" s="79" t="s">
        <v>389</v>
      </c>
      <c r="D101" s="79" t="s">
        <v>390</v>
      </c>
      <c r="E101" s="85" t="s">
        <v>21</v>
      </c>
      <c r="F101" s="85" t="s">
        <v>7</v>
      </c>
      <c r="G101" s="85" t="s">
        <v>57</v>
      </c>
      <c r="H101" s="85" t="s">
        <v>391</v>
      </c>
      <c r="I101" s="14"/>
      <c r="J101" s="15" t="str">
        <f>IF(E101="Invalid_Segment","Invalid",IFERROR(INDEX(Severity_Matrix!$C$3:$M$10,MATCH('Error Log'!$F101,Severity_Matrix!$B$3:$B$10,0),MATCH('Error Log'!$G101,Severity_Matrix!$C$2:$M$2,0)),"No errors"))</f>
        <v>Critical</v>
      </c>
      <c r="K101" s="80"/>
    </row>
    <row r="102" spans="1:11">
      <c r="A102" s="104" t="s">
        <v>388</v>
      </c>
      <c r="B102" s="18">
        <v>2</v>
      </c>
      <c r="C102" s="79" t="s">
        <v>389</v>
      </c>
      <c r="D102" s="79" t="s">
        <v>390</v>
      </c>
      <c r="E102" s="85" t="s">
        <v>21</v>
      </c>
      <c r="F102" s="85" t="s">
        <v>7</v>
      </c>
      <c r="G102" s="85" t="s">
        <v>57</v>
      </c>
      <c r="H102" s="85" t="s">
        <v>392</v>
      </c>
      <c r="I102" s="14"/>
      <c r="J102" s="15" t="str">
        <f>IF(E102="Invalid_Segment","Invalid",IFERROR(INDEX(Severity_Matrix!$C$3:$M$10,MATCH('Error Log'!$F102,Severity_Matrix!$B$3:$B$10,0),MATCH('Error Log'!$G102,Severity_Matrix!$C$2:$M$2,0)),"No errors"))</f>
        <v>Critical</v>
      </c>
      <c r="K102" s="80"/>
    </row>
    <row r="103" spans="1:11">
      <c r="A103" s="104" t="s">
        <v>388</v>
      </c>
      <c r="B103" s="18">
        <v>3</v>
      </c>
      <c r="C103" s="79" t="s">
        <v>389</v>
      </c>
      <c r="D103" s="79" t="s">
        <v>390</v>
      </c>
      <c r="E103" s="85" t="s">
        <v>21</v>
      </c>
      <c r="F103" s="85" t="s">
        <v>7</v>
      </c>
      <c r="G103" s="85" t="s">
        <v>57</v>
      </c>
      <c r="H103" s="85" t="s">
        <v>393</v>
      </c>
      <c r="I103" s="14"/>
      <c r="J103" s="15" t="str">
        <f>IF(E103="Invalid_Segment","Invalid",IFERROR(INDEX(Severity_Matrix!$C$3:$M$10,MATCH('Error Log'!$F103,Severity_Matrix!$B$3:$B$10,0),MATCH('Error Log'!$G103,Severity_Matrix!$C$2:$M$2,0)),"No errors"))</f>
        <v>Critical</v>
      </c>
      <c r="K103" s="80"/>
    </row>
    <row r="104" spans="1:11">
      <c r="A104" s="104" t="s">
        <v>394</v>
      </c>
      <c r="B104" s="18">
        <v>1</v>
      </c>
      <c r="C104" s="79" t="s">
        <v>395</v>
      </c>
      <c r="D104" s="79" t="s">
        <v>396</v>
      </c>
      <c r="E104" s="85" t="s">
        <v>21</v>
      </c>
      <c r="F104" s="85" t="s">
        <v>22</v>
      </c>
      <c r="G104" s="85" t="s">
        <v>57</v>
      </c>
      <c r="H104" s="85" t="s">
        <v>397</v>
      </c>
      <c r="I104" s="14"/>
      <c r="J104" s="15" t="str">
        <f>IF(E104="Invalid_Segment","Invalid",IFERROR(INDEX(Severity_Matrix!$C$3:$M$10,MATCH('Error Log'!$F104,Severity_Matrix!$B$3:$B$10,0),MATCH('Error Log'!$G104,Severity_Matrix!$C$2:$M$2,0)),"No errors"))</f>
        <v>Major</v>
      </c>
      <c r="K104" s="80"/>
    </row>
    <row r="105" spans="1:11">
      <c r="A105" s="104" t="s">
        <v>394</v>
      </c>
      <c r="B105" s="18">
        <v>2</v>
      </c>
      <c r="C105" s="79" t="s">
        <v>395</v>
      </c>
      <c r="D105" s="79" t="s">
        <v>396</v>
      </c>
      <c r="E105" s="85" t="s">
        <v>21</v>
      </c>
      <c r="F105" s="85" t="s">
        <v>7</v>
      </c>
      <c r="G105" s="85" t="s">
        <v>57</v>
      </c>
      <c r="H105" s="85" t="s">
        <v>398</v>
      </c>
      <c r="I105" s="14"/>
      <c r="J105" s="15" t="str">
        <f>IF(E105="Invalid_Segment","Invalid",IFERROR(INDEX(Severity_Matrix!$C$3:$M$10,MATCH('Error Log'!$F105,Severity_Matrix!$B$3:$B$10,0),MATCH('Error Log'!$G105,Severity_Matrix!$C$2:$M$2,0)),"No errors"))</f>
        <v>Critical</v>
      </c>
      <c r="K105" s="80"/>
    </row>
    <row r="106" spans="1:11">
      <c r="A106" s="104" t="s">
        <v>399</v>
      </c>
      <c r="B106" s="18">
        <v>1</v>
      </c>
      <c r="C106" s="79" t="s">
        <v>400</v>
      </c>
      <c r="D106" s="79" t="s">
        <v>401</v>
      </c>
      <c r="E106" s="85" t="s">
        <v>21</v>
      </c>
      <c r="F106" s="85" t="s">
        <v>22</v>
      </c>
      <c r="G106" s="85" t="s">
        <v>57</v>
      </c>
      <c r="H106" s="85" t="s">
        <v>402</v>
      </c>
      <c r="I106" s="14"/>
      <c r="J106" s="15" t="str">
        <f>IF(E106="Invalid_Segment","Invalid",IFERROR(INDEX(Severity_Matrix!$C$3:$M$10,MATCH('Error Log'!$F106,Severity_Matrix!$B$3:$B$10,0),MATCH('Error Log'!$G106,Severity_Matrix!$C$2:$M$2,0)),"No errors"))</f>
        <v>Major</v>
      </c>
      <c r="K106" s="80"/>
    </row>
    <row r="107" spans="1:11">
      <c r="A107" s="104" t="s">
        <v>399</v>
      </c>
      <c r="B107" s="18">
        <v>2</v>
      </c>
      <c r="C107" s="79" t="s">
        <v>400</v>
      </c>
      <c r="D107" s="79" t="s">
        <v>401</v>
      </c>
      <c r="E107" s="85" t="s">
        <v>21</v>
      </c>
      <c r="F107" s="85" t="s">
        <v>22</v>
      </c>
      <c r="G107" s="85" t="s">
        <v>57</v>
      </c>
      <c r="H107" s="85" t="s">
        <v>403</v>
      </c>
      <c r="I107" s="14"/>
      <c r="J107" s="15" t="str">
        <f>IF(E107="Invalid_Segment","Invalid",IFERROR(INDEX(Severity_Matrix!$C$3:$M$10,MATCH('Error Log'!$F107,Severity_Matrix!$B$3:$B$10,0),MATCH('Error Log'!$G107,Severity_Matrix!$C$2:$M$2,0)),"No errors"))</f>
        <v>Major</v>
      </c>
      <c r="K107" s="80"/>
    </row>
    <row r="108" spans="1:11">
      <c r="A108" s="104" t="s">
        <v>404</v>
      </c>
      <c r="B108" s="18">
        <v>3</v>
      </c>
      <c r="C108" s="79" t="s">
        <v>400</v>
      </c>
      <c r="D108" s="79" t="s">
        <v>401</v>
      </c>
      <c r="E108" s="85" t="s">
        <v>21</v>
      </c>
      <c r="F108" s="85" t="s">
        <v>22</v>
      </c>
      <c r="G108" s="85" t="s">
        <v>57</v>
      </c>
      <c r="H108" s="85" t="s">
        <v>405</v>
      </c>
      <c r="I108" s="14"/>
      <c r="J108" s="15" t="str">
        <f>IF(E108="Invalid_Segment","Invalid",IFERROR(INDEX(Severity_Matrix!$C$3:$M$10,MATCH('Error Log'!$F108,Severity_Matrix!$B$3:$B$10,0),MATCH('Error Log'!$G108,Severity_Matrix!$C$2:$M$2,0)),"No errors"))</f>
        <v>Major</v>
      </c>
      <c r="K108" s="80"/>
    </row>
    <row r="109" spans="1:11">
      <c r="A109" s="104" t="s">
        <v>404</v>
      </c>
      <c r="B109" s="18">
        <v>4</v>
      </c>
      <c r="C109" s="79" t="s">
        <v>400</v>
      </c>
      <c r="D109" s="79" t="s">
        <v>401</v>
      </c>
      <c r="E109" s="85" t="s">
        <v>21</v>
      </c>
      <c r="F109" s="85" t="s">
        <v>7</v>
      </c>
      <c r="G109" s="85" t="s">
        <v>57</v>
      </c>
      <c r="H109" s="85" t="s">
        <v>406</v>
      </c>
      <c r="I109" s="14"/>
      <c r="J109" s="15" t="str">
        <f>IF(E109="Invalid_Segment","Invalid",IFERROR(INDEX(Severity_Matrix!$C$3:$M$10,MATCH('Error Log'!$F109,Severity_Matrix!$B$3:$B$10,0),MATCH('Error Log'!$G109,Severity_Matrix!$C$2:$M$2,0)),"No errors"))</f>
        <v>Critical</v>
      </c>
      <c r="K109" s="80"/>
    </row>
    <row r="110" spans="1:11">
      <c r="A110" s="104" t="s">
        <v>404</v>
      </c>
      <c r="B110" s="18">
        <v>5</v>
      </c>
      <c r="C110" s="79" t="s">
        <v>400</v>
      </c>
      <c r="D110" s="79" t="s">
        <v>401</v>
      </c>
      <c r="E110" s="85" t="s">
        <v>21</v>
      </c>
      <c r="F110" s="85" t="s">
        <v>7</v>
      </c>
      <c r="G110" s="85" t="s">
        <v>57</v>
      </c>
      <c r="H110" s="85" t="s">
        <v>407</v>
      </c>
      <c r="I110" s="14"/>
      <c r="J110" s="15" t="str">
        <f>IF(E110="Invalid_Segment","Invalid",IFERROR(INDEX(Severity_Matrix!$C$3:$M$10,MATCH('Error Log'!$F110,Severity_Matrix!$B$3:$B$10,0),MATCH('Error Log'!$G110,Severity_Matrix!$C$2:$M$2,0)),"No errors"))</f>
        <v>Critical</v>
      </c>
      <c r="K110" s="80"/>
    </row>
    <row r="111" spans="1:11">
      <c r="A111" s="104" t="s">
        <v>408</v>
      </c>
      <c r="B111" s="18">
        <v>1</v>
      </c>
      <c r="C111" s="79" t="s">
        <v>409</v>
      </c>
      <c r="D111" s="79" t="s">
        <v>410</v>
      </c>
      <c r="E111" s="85" t="s">
        <v>21</v>
      </c>
      <c r="F111" s="85" t="s">
        <v>22</v>
      </c>
      <c r="G111" s="85" t="s">
        <v>57</v>
      </c>
      <c r="H111" s="85" t="s">
        <v>411</v>
      </c>
      <c r="I111" s="14"/>
      <c r="J111" s="15" t="str">
        <f>IF(E111="Invalid_Segment","Invalid",IFERROR(INDEX(Severity_Matrix!$C$3:$M$10,MATCH('Error Log'!$F111,Severity_Matrix!$B$3:$B$10,0),MATCH('Error Log'!$G111,Severity_Matrix!$C$2:$M$2,0)),"No errors"))</f>
        <v>Major</v>
      </c>
      <c r="K111" s="80"/>
    </row>
    <row r="112" spans="1:11">
      <c r="A112" s="104" t="s">
        <v>408</v>
      </c>
      <c r="B112" s="18">
        <v>2</v>
      </c>
      <c r="C112" s="79" t="s">
        <v>409</v>
      </c>
      <c r="D112" s="79" t="s">
        <v>410</v>
      </c>
      <c r="E112" s="85" t="s">
        <v>21</v>
      </c>
      <c r="F112" s="85" t="s">
        <v>7</v>
      </c>
      <c r="G112" s="85" t="s">
        <v>57</v>
      </c>
      <c r="H112" s="85" t="s">
        <v>412</v>
      </c>
      <c r="I112" s="14"/>
      <c r="J112" s="15" t="str">
        <f>IF(E112="Invalid_Segment","Invalid",IFERROR(INDEX(Severity_Matrix!$C$3:$M$10,MATCH('Error Log'!$F112,Severity_Matrix!$B$3:$B$10,0),MATCH('Error Log'!$G112,Severity_Matrix!$C$2:$M$2,0)),"No errors"))</f>
        <v>Critical</v>
      </c>
      <c r="K112" s="80"/>
    </row>
    <row r="113" spans="1:11">
      <c r="A113" s="104" t="s">
        <v>408</v>
      </c>
      <c r="B113" s="18">
        <v>3</v>
      </c>
      <c r="C113" s="79" t="s">
        <v>409</v>
      </c>
      <c r="D113" s="79" t="s">
        <v>410</v>
      </c>
      <c r="E113" s="85" t="s">
        <v>21</v>
      </c>
      <c r="F113" s="85" t="s">
        <v>22</v>
      </c>
      <c r="G113" s="85" t="s">
        <v>57</v>
      </c>
      <c r="H113" s="85" t="s">
        <v>413</v>
      </c>
      <c r="I113" s="14"/>
      <c r="J113" s="15" t="str">
        <f>IF(E113="Invalid_Segment","Invalid",IFERROR(INDEX(Severity_Matrix!$C$3:$M$10,MATCH('Error Log'!$F113,Severity_Matrix!$B$3:$B$10,0),MATCH('Error Log'!$G113,Severity_Matrix!$C$2:$M$2,0)),"No errors"))</f>
        <v>Major</v>
      </c>
      <c r="K113" s="80"/>
    </row>
    <row r="114" spans="1:11">
      <c r="A114" s="104" t="s">
        <v>414</v>
      </c>
      <c r="B114" s="18">
        <v>1</v>
      </c>
      <c r="C114" s="79" t="s">
        <v>415</v>
      </c>
      <c r="D114" s="79" t="s">
        <v>416</v>
      </c>
      <c r="E114" s="85" t="s">
        <v>21</v>
      </c>
      <c r="F114" s="85" t="s">
        <v>22</v>
      </c>
      <c r="G114" s="85" t="s">
        <v>57</v>
      </c>
      <c r="H114" s="85" t="s">
        <v>417</v>
      </c>
      <c r="I114" s="14"/>
      <c r="J114" s="15" t="str">
        <f>IF(E114="Invalid_Segment","Invalid",IFERROR(INDEX(Severity_Matrix!$C$3:$M$10,MATCH('Error Log'!$F114,Severity_Matrix!$B$3:$B$10,0),MATCH('Error Log'!$G114,Severity_Matrix!$C$2:$M$2,0)),"No errors"))</f>
        <v>Major</v>
      </c>
      <c r="K114" s="80"/>
    </row>
    <row r="115" spans="1:11">
      <c r="A115" s="104" t="s">
        <v>414</v>
      </c>
      <c r="B115" s="18">
        <v>2</v>
      </c>
      <c r="C115" s="79" t="s">
        <v>415</v>
      </c>
      <c r="D115" s="79" t="s">
        <v>416</v>
      </c>
      <c r="E115" s="85" t="s">
        <v>21</v>
      </c>
      <c r="F115" s="85" t="s">
        <v>22</v>
      </c>
      <c r="G115" s="85" t="s">
        <v>57</v>
      </c>
      <c r="H115" s="85" t="s">
        <v>418</v>
      </c>
      <c r="I115" s="14"/>
      <c r="J115" s="15" t="str">
        <f>IF(E115="Invalid_Segment","Invalid",IFERROR(INDEX(Severity_Matrix!$C$3:$M$10,MATCH('Error Log'!$F115,Severity_Matrix!$B$3:$B$10,0),MATCH('Error Log'!$G115,Severity_Matrix!$C$2:$M$2,0)),"No errors"))</f>
        <v>Major</v>
      </c>
      <c r="K115" s="80"/>
    </row>
    <row r="116" spans="1:11">
      <c r="A116" s="104" t="s">
        <v>419</v>
      </c>
      <c r="B116" s="18">
        <v>3</v>
      </c>
      <c r="C116" s="79" t="s">
        <v>415</v>
      </c>
      <c r="D116" s="79" t="s">
        <v>416</v>
      </c>
      <c r="E116" s="85" t="s">
        <v>21</v>
      </c>
      <c r="F116" s="85" t="s">
        <v>7</v>
      </c>
      <c r="G116" s="85" t="s">
        <v>57</v>
      </c>
      <c r="H116" s="85" t="s">
        <v>420</v>
      </c>
      <c r="I116" s="14"/>
      <c r="J116" s="15" t="str">
        <f>IF(E116="Invalid_Segment","Invalid",IFERROR(INDEX(Severity_Matrix!$C$3:$M$10,MATCH('Error Log'!$F116,Severity_Matrix!$B$3:$B$10,0),MATCH('Error Log'!$G116,Severity_Matrix!$C$2:$M$2,0)),"No errors"))</f>
        <v>Critical</v>
      </c>
      <c r="K116" s="80"/>
    </row>
    <row r="117" spans="1:11">
      <c r="A117" s="104" t="s">
        <v>419</v>
      </c>
      <c r="B117" s="18">
        <v>4</v>
      </c>
      <c r="C117" s="79" t="s">
        <v>415</v>
      </c>
      <c r="D117" s="79" t="s">
        <v>416</v>
      </c>
      <c r="E117" s="85" t="s">
        <v>21</v>
      </c>
      <c r="F117" s="85" t="s">
        <v>7</v>
      </c>
      <c r="G117" s="85" t="s">
        <v>57</v>
      </c>
      <c r="H117" s="85" t="s">
        <v>421</v>
      </c>
      <c r="I117" s="14"/>
      <c r="J117" s="15" t="str">
        <f>IF(E117="Invalid_Segment","Invalid",IFERROR(INDEX(Severity_Matrix!$C$3:$M$10,MATCH('Error Log'!$F117,Severity_Matrix!$B$3:$B$10,0),MATCH('Error Log'!$G117,Severity_Matrix!$C$2:$M$2,0)),"No errors"))</f>
        <v>Critical</v>
      </c>
      <c r="K117" s="80"/>
    </row>
    <row r="118" spans="1:11">
      <c r="A118" s="80" t="s">
        <v>422</v>
      </c>
      <c r="B118" s="106">
        <v>1</v>
      </c>
      <c r="C118" s="92" t="s">
        <v>423</v>
      </c>
      <c r="D118" s="92" t="s">
        <v>424</v>
      </c>
      <c r="E118" s="85" t="s">
        <v>21</v>
      </c>
      <c r="F118" s="85" t="s">
        <v>7</v>
      </c>
      <c r="G118" s="85" t="s">
        <v>57</v>
      </c>
      <c r="H118" s="85" t="s">
        <v>425</v>
      </c>
      <c r="I118" s="85"/>
      <c r="J118" s="15" t="str">
        <f>IF(E118="Invalid_Segment","Invalid",IFERROR(INDEX(Severity_Matrix!$C$3:$M$10,MATCH('Error Log'!$F118,Severity_Matrix!$B$3:$B$10,0),MATCH('Error Log'!$G118,Severity_Matrix!$C$2:$M$2,0)),"No errors"))</f>
        <v>Critical</v>
      </c>
      <c r="K118" s="80"/>
    </row>
    <row r="119" spans="1:11" ht="15" customHeight="1">
      <c r="A119" s="80" t="s">
        <v>422</v>
      </c>
      <c r="B119" s="106">
        <v>2</v>
      </c>
      <c r="C119" s="92" t="s">
        <v>423</v>
      </c>
      <c r="D119" s="92" t="s">
        <v>424</v>
      </c>
      <c r="E119" s="85" t="s">
        <v>21</v>
      </c>
      <c r="F119" s="85" t="s">
        <v>7</v>
      </c>
      <c r="G119" s="85" t="s">
        <v>57</v>
      </c>
      <c r="H119" s="85" t="s">
        <v>426</v>
      </c>
      <c r="I119" s="85"/>
      <c r="J119" s="15" t="str">
        <f>IF(E119="Invalid_Segment","Invalid",IFERROR(INDEX(Severity_Matrix!$C$3:$M$10,MATCH('Error Log'!$F119,Severity_Matrix!$B$3:$B$10,0),MATCH('Error Log'!$G119,Severity_Matrix!$C$2:$M$2,0)),"No errors"))</f>
        <v>Critical</v>
      </c>
      <c r="K119" s="80"/>
    </row>
    <row r="120" spans="1:11" ht="15" customHeight="1">
      <c r="A120" s="80" t="s">
        <v>422</v>
      </c>
      <c r="B120" s="106">
        <v>3</v>
      </c>
      <c r="C120" s="92" t="s">
        <v>423</v>
      </c>
      <c r="D120" s="92" t="s">
        <v>424</v>
      </c>
      <c r="E120" s="85" t="s">
        <v>21</v>
      </c>
      <c r="F120" s="85" t="s">
        <v>7</v>
      </c>
      <c r="G120" s="85" t="s">
        <v>57</v>
      </c>
      <c r="H120" s="85" t="s">
        <v>427</v>
      </c>
      <c r="I120" s="85"/>
      <c r="J120" s="15" t="str">
        <f>IF(E120="Invalid_Segment","Invalid",IFERROR(INDEX(Severity_Matrix!$C$3:$M$10,MATCH('Error Log'!$F120,Severity_Matrix!$B$3:$B$10,0),MATCH('Error Log'!$G120,Severity_Matrix!$C$2:$M$2,0)),"No errors"))</f>
        <v>Critical</v>
      </c>
      <c r="K120" s="80"/>
    </row>
    <row r="121" spans="1:11">
      <c r="A121" s="80" t="s">
        <v>422</v>
      </c>
      <c r="B121" s="106">
        <v>4</v>
      </c>
      <c r="C121" s="92" t="s">
        <v>423</v>
      </c>
      <c r="D121" s="92" t="s">
        <v>424</v>
      </c>
      <c r="E121" s="85" t="s">
        <v>21</v>
      </c>
      <c r="F121" s="85" t="s">
        <v>22</v>
      </c>
      <c r="G121" s="85" t="s">
        <v>57</v>
      </c>
      <c r="H121" s="85" t="s">
        <v>428</v>
      </c>
      <c r="I121" s="85"/>
      <c r="J121" s="15" t="str">
        <f>IF(E121="Invalid_Segment","Invalid",IFERROR(INDEX(Severity_Matrix!$C$3:$M$10,MATCH('Error Log'!$F121,Severity_Matrix!$B$3:$B$10,0),MATCH('Error Log'!$G121,Severity_Matrix!$C$2:$M$2,0)),"No errors"))</f>
        <v>Major</v>
      </c>
      <c r="K121" s="80"/>
    </row>
    <row r="122" spans="1:11">
      <c r="A122" s="80" t="s">
        <v>422</v>
      </c>
      <c r="B122" s="106">
        <v>5</v>
      </c>
      <c r="C122" s="92" t="s">
        <v>423</v>
      </c>
      <c r="D122" s="92" t="s">
        <v>424</v>
      </c>
      <c r="E122" s="85" t="s">
        <v>21</v>
      </c>
      <c r="F122" s="85" t="s">
        <v>22</v>
      </c>
      <c r="G122" s="85" t="s">
        <v>57</v>
      </c>
      <c r="H122" s="85" t="s">
        <v>429</v>
      </c>
      <c r="I122" s="85"/>
      <c r="J122" s="15" t="str">
        <f>IF(E122="Invalid_Segment","Invalid",IFERROR(INDEX(Severity_Matrix!$C$3:$M$10,MATCH('Error Log'!$F122,Severity_Matrix!$B$3:$B$10,0),MATCH('Error Log'!$G122,Severity_Matrix!$C$2:$M$2,0)),"No errors"))</f>
        <v>Major</v>
      </c>
      <c r="K122" s="80"/>
    </row>
    <row r="123" spans="1:11" ht="15.6">
      <c r="A123" s="107" t="s">
        <v>430</v>
      </c>
      <c r="B123" s="18">
        <v>1</v>
      </c>
      <c r="C123" s="92" t="s">
        <v>431</v>
      </c>
      <c r="D123" s="92" t="s">
        <v>432</v>
      </c>
      <c r="E123" s="85" t="s">
        <v>21</v>
      </c>
      <c r="F123" s="85" t="s">
        <v>22</v>
      </c>
      <c r="G123" s="85" t="s">
        <v>57</v>
      </c>
      <c r="H123" s="85" t="s">
        <v>433</v>
      </c>
      <c r="I123" s="85"/>
      <c r="J123" s="15" t="str">
        <f>IF(E123="Invalid_Segment","Invalid",IFERROR(INDEX(Severity_Matrix!$C$3:$M$10,MATCH('Error Log'!$F123,Severity_Matrix!$B$3:$B$10,0),MATCH('Error Log'!$G123,Severity_Matrix!$C$2:$M$2,0)),"No errors"))</f>
        <v>Major</v>
      </c>
      <c r="K123" s="80"/>
    </row>
    <row r="124" spans="1:11" ht="15.6">
      <c r="A124" s="107" t="s">
        <v>430</v>
      </c>
      <c r="B124" s="18">
        <v>2</v>
      </c>
      <c r="C124" s="92" t="s">
        <v>431</v>
      </c>
      <c r="D124" s="92" t="s">
        <v>432</v>
      </c>
      <c r="E124" s="85" t="s">
        <v>21</v>
      </c>
      <c r="F124" s="85" t="s">
        <v>22</v>
      </c>
      <c r="G124" s="85" t="s">
        <v>57</v>
      </c>
      <c r="H124" s="85" t="s">
        <v>434</v>
      </c>
      <c r="I124" s="85"/>
      <c r="J124" s="15" t="str">
        <f>IF(E124="Invalid_Segment","Invalid",IFERROR(INDEX(Severity_Matrix!$C$3:$M$10,MATCH('Error Log'!$F124,Severity_Matrix!$B$3:$B$10,0),MATCH('Error Log'!$G124,Severity_Matrix!$C$2:$M$2,0)),"No errors"))</f>
        <v>Major</v>
      </c>
      <c r="K124" s="80"/>
    </row>
    <row r="125" spans="1:11" ht="15.6">
      <c r="A125" s="107" t="s">
        <v>430</v>
      </c>
      <c r="B125" s="18">
        <v>3</v>
      </c>
      <c r="C125" s="92" t="s">
        <v>431</v>
      </c>
      <c r="D125" s="92" t="s">
        <v>432</v>
      </c>
      <c r="E125" s="85" t="s">
        <v>21</v>
      </c>
      <c r="F125" s="85" t="s">
        <v>22</v>
      </c>
      <c r="G125" s="85" t="s">
        <v>57</v>
      </c>
      <c r="H125" s="85" t="s">
        <v>435</v>
      </c>
      <c r="I125" s="85"/>
      <c r="J125" s="15" t="str">
        <f>IF(E125="Invalid_Segment","Invalid",IFERROR(INDEX(Severity_Matrix!$C$3:$M$10,MATCH('Error Log'!$F125,Severity_Matrix!$B$3:$B$10,0),MATCH('Error Log'!$G125,Severity_Matrix!$C$2:$M$2,0)),"No errors"))</f>
        <v>Major</v>
      </c>
      <c r="K125" s="80"/>
    </row>
    <row r="126" spans="1:11" ht="15.6">
      <c r="A126" s="107" t="s">
        <v>430</v>
      </c>
      <c r="B126" s="18">
        <v>4</v>
      </c>
      <c r="C126" s="92" t="s">
        <v>431</v>
      </c>
      <c r="D126" s="92" t="s">
        <v>432</v>
      </c>
      <c r="E126" s="85" t="s">
        <v>21</v>
      </c>
      <c r="F126" s="85" t="s">
        <v>7</v>
      </c>
      <c r="G126" s="85" t="s">
        <v>57</v>
      </c>
      <c r="H126" s="85" t="s">
        <v>436</v>
      </c>
      <c r="I126" s="85"/>
      <c r="J126" s="15" t="str">
        <f>IF(E126="Invalid_Segment","Invalid",IFERROR(INDEX(Severity_Matrix!$C$3:$M$10,MATCH('Error Log'!$F126,Severity_Matrix!$B$3:$B$10,0),MATCH('Error Log'!$G126,Severity_Matrix!$C$2:$M$2,0)),"No errors"))</f>
        <v>Critical</v>
      </c>
      <c r="K126" s="80"/>
    </row>
    <row r="127" spans="1:11" ht="15.6">
      <c r="A127" s="107" t="s">
        <v>430</v>
      </c>
      <c r="B127" s="18">
        <v>5</v>
      </c>
      <c r="C127" s="92" t="s">
        <v>431</v>
      </c>
      <c r="D127" s="92" t="s">
        <v>432</v>
      </c>
      <c r="E127" s="85" t="s">
        <v>21</v>
      </c>
      <c r="F127" s="85" t="s">
        <v>7</v>
      </c>
      <c r="G127" s="85" t="s">
        <v>57</v>
      </c>
      <c r="H127" s="85" t="s">
        <v>437</v>
      </c>
      <c r="I127" s="85"/>
      <c r="J127" s="15" t="str">
        <f>IF(E127="Invalid_Segment","Invalid",IFERROR(INDEX(Severity_Matrix!$C$3:$M$10,MATCH('Error Log'!$F127,Severity_Matrix!$B$3:$B$10,0),MATCH('Error Log'!$G127,Severity_Matrix!$C$2:$M$2,0)),"No errors"))</f>
        <v>Critical</v>
      </c>
      <c r="K127" s="80"/>
    </row>
    <row r="128" spans="1:11">
      <c r="A128" s="95" t="s">
        <v>438</v>
      </c>
      <c r="B128" s="18"/>
      <c r="C128" s="92" t="s">
        <v>439</v>
      </c>
      <c r="D128" s="92" t="s">
        <v>440</v>
      </c>
      <c r="E128" s="85"/>
      <c r="F128" s="85"/>
      <c r="G128" s="85"/>
      <c r="H128" s="85"/>
      <c r="I128" s="85"/>
      <c r="J128" s="15" t="str">
        <f>IF(E128="Invalid_Segment","Invalid",IFERROR(INDEX(Severity_Matrix!$C$3:$M$10,MATCH('Error Log'!$F128,Severity_Matrix!$B$3:$B$10,0),MATCH('Error Log'!$G128,Severity_Matrix!$C$2:$M$2,0)),"No errors"))</f>
        <v>No errors</v>
      </c>
      <c r="K128" s="80"/>
    </row>
    <row r="129" spans="1:11">
      <c r="A129" s="108" t="s">
        <v>441</v>
      </c>
      <c r="B129" s="18">
        <v>1</v>
      </c>
      <c r="C129" s="94" t="s">
        <v>442</v>
      </c>
      <c r="D129" s="92" t="s">
        <v>443</v>
      </c>
      <c r="E129" s="85" t="s">
        <v>21</v>
      </c>
      <c r="F129" s="85" t="s">
        <v>22</v>
      </c>
      <c r="G129" s="85" t="s">
        <v>57</v>
      </c>
      <c r="H129" s="85" t="s">
        <v>444</v>
      </c>
      <c r="I129" s="85"/>
      <c r="J129" s="15" t="str">
        <f>IF(E129="Invalid_Segment","Invalid",IFERROR(INDEX(Severity_Matrix!$C$3:$M$10,MATCH('Error Log'!$F129,Severity_Matrix!$B$3:$B$10,0),MATCH('Error Log'!$G129,Severity_Matrix!$C$2:$M$2,0)),"No errors"))</f>
        <v>Major</v>
      </c>
      <c r="K129" s="80"/>
    </row>
    <row r="130" spans="1:11">
      <c r="A130" s="108" t="s">
        <v>441</v>
      </c>
      <c r="B130" s="18">
        <v>2</v>
      </c>
      <c r="C130" s="94" t="s">
        <v>442</v>
      </c>
      <c r="D130" s="92" t="s">
        <v>443</v>
      </c>
      <c r="E130" s="85" t="s">
        <v>21</v>
      </c>
      <c r="F130" s="85" t="s">
        <v>22</v>
      </c>
      <c r="G130" s="85" t="s">
        <v>57</v>
      </c>
      <c r="H130" s="85" t="s">
        <v>445</v>
      </c>
      <c r="I130" s="85"/>
      <c r="J130" s="15" t="str">
        <f>IF(E130="Invalid_Segment","Invalid",IFERROR(INDEX(Severity_Matrix!$C$3:$M$10,MATCH('Error Log'!$F130,Severity_Matrix!$B$3:$B$10,0),MATCH('Error Log'!$G130,Severity_Matrix!$C$2:$M$2,0)),"No errors"))</f>
        <v>Major</v>
      </c>
      <c r="K130" s="80"/>
    </row>
    <row r="131" spans="1:11">
      <c r="A131" s="108" t="s">
        <v>441</v>
      </c>
      <c r="B131" s="18">
        <v>3</v>
      </c>
      <c r="C131" s="94" t="s">
        <v>442</v>
      </c>
      <c r="D131" s="92" t="s">
        <v>443</v>
      </c>
      <c r="E131" s="85" t="s">
        <v>21</v>
      </c>
      <c r="F131" s="85" t="s">
        <v>7</v>
      </c>
      <c r="G131" s="85" t="s">
        <v>57</v>
      </c>
      <c r="H131" s="85" t="s">
        <v>446</v>
      </c>
      <c r="I131" s="85"/>
      <c r="J131" s="15" t="str">
        <f>IF(E131="Invalid_Segment","Invalid",IFERROR(INDEX(Severity_Matrix!$C$3:$M$10,MATCH('Error Log'!$F131,Severity_Matrix!$B$3:$B$10,0),MATCH('Error Log'!$G131,Severity_Matrix!$C$2:$M$2,0)),"No errors"))</f>
        <v>Critical</v>
      </c>
      <c r="K131" s="80"/>
    </row>
    <row r="132" spans="1:11">
      <c r="A132" s="108" t="s">
        <v>447</v>
      </c>
      <c r="B132" s="18">
        <v>1</v>
      </c>
      <c r="C132" s="94" t="s">
        <v>448</v>
      </c>
      <c r="D132" s="92" t="s">
        <v>449</v>
      </c>
      <c r="E132" s="85" t="s">
        <v>21</v>
      </c>
      <c r="F132" s="85" t="s">
        <v>22</v>
      </c>
      <c r="G132" s="85" t="s">
        <v>57</v>
      </c>
      <c r="H132" s="85" t="s">
        <v>450</v>
      </c>
      <c r="I132" s="85"/>
      <c r="J132" s="15" t="str">
        <f>IF(E132="Invalid_Segment","Invalid",IFERROR(INDEX(Severity_Matrix!$C$3:$M$10,MATCH('Error Log'!$F132,Severity_Matrix!$B$3:$B$10,0),MATCH('Error Log'!$G132,Severity_Matrix!$C$2:$M$2,0)),"No errors"))</f>
        <v>Major</v>
      </c>
      <c r="K132" s="80"/>
    </row>
    <row r="133" spans="1:11">
      <c r="A133" s="108" t="s">
        <v>447</v>
      </c>
      <c r="B133" s="18">
        <v>2</v>
      </c>
      <c r="C133" s="94" t="s">
        <v>448</v>
      </c>
      <c r="D133" s="92" t="s">
        <v>449</v>
      </c>
      <c r="E133" s="85" t="s">
        <v>21</v>
      </c>
      <c r="F133" s="85" t="s">
        <v>22</v>
      </c>
      <c r="G133" s="85" t="s">
        <v>57</v>
      </c>
      <c r="H133" s="85" t="s">
        <v>451</v>
      </c>
      <c r="I133" s="85"/>
      <c r="J133" s="15" t="str">
        <f>IF(E133="Invalid_Segment","Invalid",IFERROR(INDEX(Severity_Matrix!$C$3:$M$10,MATCH('Error Log'!$F133,Severity_Matrix!$B$3:$B$10,0),MATCH('Error Log'!$G133,Severity_Matrix!$C$2:$M$2,0)),"No errors"))</f>
        <v>Major</v>
      </c>
      <c r="K133" s="80"/>
    </row>
    <row r="134" spans="1:11">
      <c r="A134" s="108" t="s">
        <v>447</v>
      </c>
      <c r="B134" s="18">
        <v>3</v>
      </c>
      <c r="C134" s="94" t="s">
        <v>448</v>
      </c>
      <c r="D134" s="92" t="s">
        <v>449</v>
      </c>
      <c r="E134" s="85" t="s">
        <v>21</v>
      </c>
      <c r="F134" s="85" t="s">
        <v>7</v>
      </c>
      <c r="G134" s="85" t="s">
        <v>57</v>
      </c>
      <c r="H134" s="85" t="s">
        <v>452</v>
      </c>
      <c r="I134" s="85"/>
      <c r="J134" s="15" t="str">
        <f>IF(E134="Invalid_Segment","Invalid",IFERROR(INDEX(Severity_Matrix!$C$3:$M$10,MATCH('Error Log'!$F134,Severity_Matrix!$B$3:$B$10,0),MATCH('Error Log'!$G134,Severity_Matrix!$C$2:$M$2,0)),"No errors"))</f>
        <v>Critical</v>
      </c>
      <c r="K134" s="80"/>
    </row>
    <row r="135" spans="1:11">
      <c r="A135" s="109" t="s">
        <v>453</v>
      </c>
      <c r="B135" s="18"/>
      <c r="C135" s="92" t="s">
        <v>454</v>
      </c>
      <c r="D135" s="92" t="s">
        <v>455</v>
      </c>
      <c r="E135" s="85"/>
      <c r="F135" s="85"/>
      <c r="G135" s="85"/>
      <c r="H135" s="85"/>
      <c r="I135" s="85"/>
      <c r="J135" s="15" t="str">
        <f>IF(E135="Invalid_Segment","Invalid",IFERROR(INDEX(Severity_Matrix!$C$3:$M$10,MATCH('Error Log'!$F135,Severity_Matrix!$B$3:$B$10,0),MATCH('Error Log'!$G135,Severity_Matrix!$C$2:$M$2,0)),"No errors"))</f>
        <v>No errors</v>
      </c>
      <c r="K135" s="80"/>
    </row>
    <row r="136" spans="1:11">
      <c r="A136" s="109" t="s">
        <v>456</v>
      </c>
      <c r="B136" s="18">
        <v>1</v>
      </c>
      <c r="C136" s="92" t="s">
        <v>457</v>
      </c>
      <c r="D136" s="92" t="s">
        <v>458</v>
      </c>
      <c r="E136" s="85" t="s">
        <v>21</v>
      </c>
      <c r="F136" s="85" t="s">
        <v>22</v>
      </c>
      <c r="G136" s="85" t="s">
        <v>57</v>
      </c>
      <c r="H136" s="85" t="s">
        <v>459</v>
      </c>
      <c r="I136" s="85"/>
      <c r="J136" s="15" t="str">
        <f>IF(E136="Invalid_Segment","Invalid",IFERROR(INDEX(Severity_Matrix!$C$3:$M$10,MATCH('Error Log'!$F136,Severity_Matrix!$B$3:$B$10,0),MATCH('Error Log'!$G136,Severity_Matrix!$C$2:$M$2,0)),"No errors"))</f>
        <v>Major</v>
      </c>
      <c r="K136" s="80"/>
    </row>
    <row r="137" spans="1:11">
      <c r="A137" s="109" t="s">
        <v>460</v>
      </c>
      <c r="B137" s="18">
        <v>1</v>
      </c>
      <c r="C137" s="92" t="s">
        <v>461</v>
      </c>
      <c r="D137" s="92" t="s">
        <v>462</v>
      </c>
      <c r="E137" s="85" t="s">
        <v>21</v>
      </c>
      <c r="F137" s="85" t="s">
        <v>22</v>
      </c>
      <c r="G137" s="85" t="s">
        <v>57</v>
      </c>
      <c r="H137" s="85" t="s">
        <v>463</v>
      </c>
      <c r="I137" s="85"/>
      <c r="J137" s="15" t="str">
        <f>IF(E137="Invalid_Segment","Invalid",IFERROR(INDEX(Severity_Matrix!$C$3:$M$10,MATCH('Error Log'!$F137,Severity_Matrix!$B$3:$B$10,0),MATCH('Error Log'!$G137,Severity_Matrix!$C$2:$M$2,0)),"No errors"))</f>
        <v>Major</v>
      </c>
      <c r="K137" s="80"/>
    </row>
    <row r="138" spans="1:11">
      <c r="A138" s="109" t="s">
        <v>464</v>
      </c>
      <c r="B138" s="18">
        <v>1</v>
      </c>
      <c r="C138" s="92" t="s">
        <v>465</v>
      </c>
      <c r="D138" s="92" t="s">
        <v>466</v>
      </c>
      <c r="E138" s="85" t="s">
        <v>21</v>
      </c>
      <c r="F138" s="85" t="s">
        <v>7</v>
      </c>
      <c r="G138" s="85" t="s">
        <v>57</v>
      </c>
      <c r="H138" s="95" t="s">
        <v>467</v>
      </c>
      <c r="I138" s="85"/>
      <c r="J138" s="15" t="str">
        <f>IF(E138="Invalid_Segment","Invalid",IFERROR(INDEX(Severity_Matrix!$C$3:$M$10,MATCH('Error Log'!$F138,Severity_Matrix!$B$3:$B$10,0),MATCH('Error Log'!$G138,Severity_Matrix!$C$2:$M$2,0)),"No errors"))</f>
        <v>Critical</v>
      </c>
      <c r="K138" s="80"/>
    </row>
    <row r="139" spans="1:11">
      <c r="A139" s="108" t="s">
        <v>468</v>
      </c>
      <c r="B139" s="18">
        <v>1</v>
      </c>
      <c r="C139" s="94" t="s">
        <v>469</v>
      </c>
      <c r="D139" s="92" t="s">
        <v>470</v>
      </c>
      <c r="E139" s="85" t="s">
        <v>21</v>
      </c>
      <c r="F139" s="85" t="s">
        <v>7</v>
      </c>
      <c r="G139" s="85" t="s">
        <v>57</v>
      </c>
      <c r="H139" s="85" t="s">
        <v>471</v>
      </c>
      <c r="I139" s="85"/>
      <c r="J139" s="15" t="str">
        <f>IF(E139="Invalid_Segment","Invalid",IFERROR(INDEX(Severity_Matrix!$C$3:$M$10,MATCH('Error Log'!$F139,Severity_Matrix!$B$3:$B$10,0),MATCH('Error Log'!$G139,Severity_Matrix!$C$2:$M$2,0)),"No errors"))</f>
        <v>Critical</v>
      </c>
      <c r="K139" s="80"/>
    </row>
    <row r="140" spans="1:11">
      <c r="A140" s="108" t="s">
        <v>472</v>
      </c>
      <c r="B140" s="18">
        <v>1</v>
      </c>
      <c r="C140" s="94" t="s">
        <v>473</v>
      </c>
      <c r="D140" s="92" t="s">
        <v>474</v>
      </c>
      <c r="E140" s="85"/>
      <c r="F140" s="85"/>
      <c r="G140" s="85"/>
      <c r="H140" s="85"/>
      <c r="I140" s="85"/>
      <c r="J140" s="15" t="str">
        <f>IF(E140="Invalid_Segment","Invalid",IFERROR(INDEX(Severity_Matrix!$C$3:$M$10,MATCH('Error Log'!$F140,Severity_Matrix!$B$3:$B$10,0),MATCH('Error Log'!$G140,Severity_Matrix!$C$2:$M$2,0)),"No errors"))</f>
        <v>No errors</v>
      </c>
      <c r="K140" s="80"/>
    </row>
    <row r="141" spans="1:11">
      <c r="A141" s="108" t="s">
        <v>475</v>
      </c>
      <c r="B141" s="18">
        <v>1</v>
      </c>
      <c r="C141" s="94" t="s">
        <v>476</v>
      </c>
      <c r="D141" s="92" t="s">
        <v>477</v>
      </c>
      <c r="E141" s="85" t="s">
        <v>21</v>
      </c>
      <c r="F141" s="85" t="s">
        <v>7</v>
      </c>
      <c r="G141" s="85" t="s">
        <v>57</v>
      </c>
      <c r="H141" s="85" t="s">
        <v>478</v>
      </c>
      <c r="I141" s="85"/>
      <c r="J141" s="15" t="str">
        <f>IF(E141="Invalid_Segment","Invalid",IFERROR(INDEX(Severity_Matrix!$C$3:$M$10,MATCH('Error Log'!$F141,Severity_Matrix!$B$3:$B$10,0),MATCH('Error Log'!$G141,Severity_Matrix!$C$2:$M$2,0)),"No errors"))</f>
        <v>Critical</v>
      </c>
      <c r="K141" s="80"/>
    </row>
    <row r="142" spans="1:11">
      <c r="A142" s="80"/>
      <c r="B142" s="18"/>
      <c r="C142" s="94"/>
      <c r="D142" s="94"/>
      <c r="E142" s="85"/>
      <c r="F142" s="85"/>
      <c r="G142" s="85"/>
      <c r="H142" s="85"/>
      <c r="I142" s="14"/>
      <c r="J142" s="15" t="str">
        <f>IF(E142="Invalid_Segment","Invalid",IFERROR(INDEX(Severity_Matrix!$C$3:$M$10,MATCH('Error Log'!$F142,Severity_Matrix!$B$3:$B$10,0),MATCH('Error Log'!$G142,Severity_Matrix!$C$2:$M$2,0)),"No errors"))</f>
        <v>No errors</v>
      </c>
      <c r="K142" s="80"/>
    </row>
    <row r="143" spans="1:11">
      <c r="A143" s="80"/>
      <c r="B143" s="18"/>
      <c r="C143" s="94"/>
      <c r="D143" s="94"/>
      <c r="E143" s="91"/>
      <c r="F143" s="91"/>
      <c r="G143" s="85"/>
      <c r="H143" s="85"/>
      <c r="I143" s="14"/>
      <c r="J143" s="15" t="str">
        <f>IF(E143="Invalid_Segment","Invalid",IFERROR(INDEX(Severity_Matrix!$C$3:$M$10,MATCH('Error Log'!$F143,Severity_Matrix!$B$3:$B$10,0),MATCH('Error Log'!$G143,Severity_Matrix!$C$2:$M$2,0)),"No errors"))</f>
        <v>No errors</v>
      </c>
      <c r="K143" s="80"/>
    </row>
    <row r="144" spans="1:11">
      <c r="A144" s="80"/>
      <c r="B144" s="18"/>
      <c r="C144" s="94"/>
      <c r="D144" s="94"/>
      <c r="E144" s="91"/>
      <c r="F144" s="91"/>
      <c r="G144" s="85"/>
      <c r="H144" s="85"/>
      <c r="I144" s="14"/>
      <c r="J144" s="15" t="str">
        <f>IF(E144="Invalid_Segment","Invalid",IFERROR(INDEX(Severity_Matrix!$C$3:$M$10,MATCH('Error Log'!$F144,Severity_Matrix!$B$3:$B$10,0),MATCH('Error Log'!$G144,Severity_Matrix!$C$2:$M$2,0)),"No errors"))</f>
        <v>No errors</v>
      </c>
      <c r="K144" s="80"/>
    </row>
    <row r="145" spans="1:11">
      <c r="A145" s="80"/>
      <c r="B145" s="18"/>
      <c r="C145" s="94"/>
      <c r="D145" s="94"/>
      <c r="E145" s="85"/>
      <c r="F145" s="85"/>
      <c r="G145" s="85"/>
      <c r="H145" s="85"/>
      <c r="I145" s="14"/>
      <c r="J145" s="15" t="str">
        <f>IF(E145="Invalid_Segment","Invalid",IFERROR(INDEX(Severity_Matrix!$C$3:$M$10,MATCH('Error Log'!$F145,Severity_Matrix!$B$3:$B$10,0),MATCH('Error Log'!$G145,Severity_Matrix!$C$2:$M$2,0)),"No errors"))</f>
        <v>No errors</v>
      </c>
      <c r="K145" s="80"/>
    </row>
    <row r="146" spans="1:11">
      <c r="A146" s="80"/>
      <c r="B146" s="18"/>
      <c r="C146" s="94"/>
      <c r="D146" s="94"/>
      <c r="E146" s="91"/>
      <c r="F146" s="91"/>
      <c r="G146" s="85"/>
      <c r="H146" s="85"/>
      <c r="I146" s="14"/>
      <c r="J146" s="15" t="str">
        <f>IF(E146="Invalid_Segment","Invalid",IFERROR(INDEX(Severity_Matrix!$C$3:$M$10,MATCH('Error Log'!$F146,Severity_Matrix!$B$3:$B$10,0),MATCH('Error Log'!$G146,Severity_Matrix!$C$2:$M$2,0)),"No errors"))</f>
        <v>No errors</v>
      </c>
      <c r="K146" s="80"/>
    </row>
    <row r="147" spans="1:11">
      <c r="A147" s="80"/>
      <c r="B147" s="18"/>
      <c r="C147" s="94"/>
      <c r="D147" s="94"/>
      <c r="E147" s="91"/>
      <c r="F147" s="91"/>
      <c r="G147" s="85"/>
      <c r="H147" s="85"/>
      <c r="I147" s="14"/>
      <c r="J147" s="15" t="str">
        <f>IF(E147="Invalid_Segment","Invalid",IFERROR(INDEX(Severity_Matrix!$C$3:$M$10,MATCH('Error Log'!$F147,Severity_Matrix!$B$3:$B$10,0),MATCH('Error Log'!$G147,Severity_Matrix!$C$2:$M$2,0)),"No errors"))</f>
        <v>No errors</v>
      </c>
      <c r="K147" s="80"/>
    </row>
    <row r="148" spans="1:11">
      <c r="A148" s="80"/>
      <c r="B148" s="18"/>
      <c r="C148" s="94"/>
      <c r="D148" s="94"/>
      <c r="E148" s="91"/>
      <c r="F148" s="91"/>
      <c r="G148" s="85"/>
      <c r="H148" s="85"/>
      <c r="I148" s="14"/>
      <c r="J148" s="15" t="str">
        <f>IF(E148="Invalid_Segment","Invalid",IFERROR(INDEX(Severity_Matrix!$C$3:$M$10,MATCH('Error Log'!$F148,Severity_Matrix!$B$3:$B$10,0),MATCH('Error Log'!$G148,Severity_Matrix!$C$2:$M$2,0)),"No errors"))</f>
        <v>No errors</v>
      </c>
      <c r="K148" s="80"/>
    </row>
    <row r="149" spans="1:11">
      <c r="A149" s="80"/>
      <c r="B149" s="18"/>
      <c r="C149" s="94"/>
      <c r="D149" s="94"/>
      <c r="E149" s="91"/>
      <c r="F149" s="91"/>
      <c r="G149" s="85"/>
      <c r="H149" s="85"/>
      <c r="I149" s="14"/>
      <c r="J149" s="15" t="str">
        <f>IF(E149="Invalid_Segment","Invalid",IFERROR(INDEX(Severity_Matrix!$C$3:$M$10,MATCH('Error Log'!$F149,Severity_Matrix!$B$3:$B$10,0),MATCH('Error Log'!$G149,Severity_Matrix!$C$2:$M$2,0)),"No errors"))</f>
        <v>No errors</v>
      </c>
      <c r="K149" s="80"/>
    </row>
    <row r="150" spans="1:11">
      <c r="A150" s="80"/>
      <c r="B150" s="18"/>
      <c r="C150" s="94"/>
      <c r="D150" s="94"/>
      <c r="E150" s="91"/>
      <c r="F150" s="91"/>
      <c r="G150" s="85"/>
      <c r="H150" s="85"/>
      <c r="I150" s="14"/>
      <c r="J150" s="15" t="str">
        <f>IF(E150="Invalid_Segment","Invalid",IFERROR(INDEX(Severity_Matrix!$C$3:$M$10,MATCH('Error Log'!$F150,Severity_Matrix!$B$3:$B$10,0),MATCH('Error Log'!$G150,Severity_Matrix!$C$2:$M$2,0)),"No errors"))</f>
        <v>No errors</v>
      </c>
      <c r="K150" s="80"/>
    </row>
    <row r="151" spans="1:11">
      <c r="A151" s="80"/>
      <c r="B151" s="18"/>
      <c r="C151" s="94"/>
      <c r="D151" s="94"/>
      <c r="E151" s="91"/>
      <c r="F151" s="91"/>
      <c r="G151" s="85"/>
      <c r="H151" s="85"/>
      <c r="I151" s="14"/>
      <c r="J151" s="15" t="str">
        <f>IF(E151="Invalid_Segment","Invalid",IFERROR(INDEX(Severity_Matrix!$C$3:$M$10,MATCH('Error Log'!$F151,Severity_Matrix!$B$3:$B$10,0),MATCH('Error Log'!$G151,Severity_Matrix!$C$2:$M$2,0)),"No errors"))</f>
        <v>No errors</v>
      </c>
      <c r="K151" s="80"/>
    </row>
    <row r="152" spans="1:11">
      <c r="A152" s="80"/>
      <c r="B152" s="18"/>
      <c r="C152" s="94"/>
      <c r="D152" s="94"/>
      <c r="E152" s="85"/>
      <c r="F152" s="85"/>
      <c r="G152" s="85"/>
      <c r="H152" s="85"/>
      <c r="I152" s="14"/>
      <c r="J152" s="15" t="str">
        <f>IF(E152="Invalid_Segment","Invalid",IFERROR(INDEX(Severity_Matrix!$C$3:$M$10,MATCH('Error Log'!$F152,Severity_Matrix!$B$3:$B$10,0),MATCH('Error Log'!$G152,Severity_Matrix!$C$2:$M$2,0)),"No errors"))</f>
        <v>No errors</v>
      </c>
      <c r="K152" s="80"/>
    </row>
    <row r="153" spans="1:11">
      <c r="A153" s="80"/>
      <c r="B153" s="18"/>
      <c r="C153" s="94"/>
      <c r="D153" s="94"/>
      <c r="E153" s="91"/>
      <c r="F153" s="91"/>
      <c r="G153" s="85"/>
      <c r="H153" s="85"/>
      <c r="I153" s="14"/>
      <c r="J153" s="15" t="str">
        <f>IF(E153="Invalid_Segment","Invalid",IFERROR(INDEX(Severity_Matrix!$C$3:$M$10,MATCH('Error Log'!$F153,Severity_Matrix!$B$3:$B$10,0),MATCH('Error Log'!$G153,Severity_Matrix!$C$2:$M$2,0)),"No errors"))</f>
        <v>No errors</v>
      </c>
      <c r="K153" s="80"/>
    </row>
    <row r="154" spans="1:11">
      <c r="A154" s="80"/>
      <c r="B154" s="18"/>
      <c r="C154" s="94"/>
      <c r="D154" s="94"/>
      <c r="E154" s="91"/>
      <c r="F154" s="91"/>
      <c r="G154" s="85"/>
      <c r="H154" s="85"/>
      <c r="I154" s="14"/>
      <c r="J154" s="15" t="str">
        <f>IF(E154="Invalid_Segment","Invalid",IFERROR(INDEX(Severity_Matrix!$C$3:$M$10,MATCH('Error Log'!$F154,Severity_Matrix!$B$3:$B$10,0),MATCH('Error Log'!$G154,Severity_Matrix!$C$2:$M$2,0)),"No errors"))</f>
        <v>No errors</v>
      </c>
      <c r="K154" s="80"/>
    </row>
    <row r="155" spans="1:11">
      <c r="A155" s="80"/>
      <c r="B155" s="18"/>
      <c r="C155" s="94"/>
      <c r="D155" s="94"/>
      <c r="E155" s="85"/>
      <c r="F155" s="85"/>
      <c r="G155" s="85"/>
      <c r="H155" s="85"/>
      <c r="I155" s="14"/>
      <c r="J155" s="15" t="str">
        <f>IF(E155="Invalid_Segment","Invalid",IFERROR(INDEX(Severity_Matrix!$C$3:$M$10,MATCH('Error Log'!$F155,Severity_Matrix!$B$3:$B$10,0),MATCH('Error Log'!$G155,Severity_Matrix!$C$2:$M$2,0)),"No errors"))</f>
        <v>No errors</v>
      </c>
      <c r="K155" s="80"/>
    </row>
    <row r="156" spans="1:11">
      <c r="A156" s="80"/>
      <c r="B156" s="18"/>
      <c r="C156" s="94"/>
      <c r="D156" s="94"/>
      <c r="E156" s="91"/>
      <c r="F156" s="91"/>
      <c r="G156" s="89"/>
      <c r="H156" s="85"/>
      <c r="I156" s="14"/>
      <c r="J156" s="15" t="str">
        <f>IF(E156="Invalid_Segment","Invalid",IFERROR(INDEX(Severity_Matrix!$C$3:$M$10,MATCH('Error Log'!$F156,Severity_Matrix!$B$3:$B$10,0),MATCH('Error Log'!$G156,Severity_Matrix!$C$2:$M$2,0)),"No errors"))</f>
        <v>No errors</v>
      </c>
      <c r="K156" s="80"/>
    </row>
    <row r="157" spans="1:11">
      <c r="A157" s="80"/>
      <c r="B157" s="18"/>
      <c r="C157" s="94"/>
      <c r="D157" s="94"/>
      <c r="E157" s="91"/>
      <c r="F157" s="91"/>
      <c r="G157" s="89"/>
      <c r="H157" s="85"/>
      <c r="I157" s="14"/>
      <c r="J157" s="15" t="str">
        <f>IF(E157="Invalid_Segment","Invalid",IFERROR(INDEX(Severity_Matrix!$C$3:$M$10,MATCH('Error Log'!$F157,Severity_Matrix!$B$3:$B$10,0),MATCH('Error Log'!$G157,Severity_Matrix!$C$2:$M$2,0)),"No errors"))</f>
        <v>No errors</v>
      </c>
      <c r="K157" s="80"/>
    </row>
    <row r="158" spans="1:11">
      <c r="A158" s="80"/>
      <c r="B158" s="18"/>
      <c r="C158" s="94"/>
      <c r="D158" s="94"/>
      <c r="E158" s="85"/>
      <c r="F158" s="85"/>
      <c r="G158" s="85"/>
      <c r="H158" s="85"/>
      <c r="I158" s="14"/>
      <c r="J158" s="15" t="str">
        <f>IF(E158="Invalid_Segment","Invalid",IFERROR(INDEX(Severity_Matrix!$C$3:$M$10,MATCH('Error Log'!$F158,Severity_Matrix!$B$3:$B$10,0),MATCH('Error Log'!$G158,Severity_Matrix!$C$2:$M$2,0)),"No errors"))</f>
        <v>No errors</v>
      </c>
      <c r="K158" s="80"/>
    </row>
    <row r="159" spans="1:11">
      <c r="A159" s="80"/>
      <c r="B159" s="18"/>
      <c r="C159" s="94"/>
      <c r="D159" s="94"/>
      <c r="E159" s="85"/>
      <c r="F159" s="85"/>
      <c r="G159" s="85"/>
      <c r="H159" s="85"/>
      <c r="I159" s="14"/>
      <c r="J159" s="15" t="str">
        <f>IF(E159="Invalid_Segment","Invalid",IFERROR(INDEX(Severity_Matrix!$C$3:$M$10,MATCH('Error Log'!$F159,Severity_Matrix!$B$3:$B$10,0),MATCH('Error Log'!$G159,Severity_Matrix!$C$2:$M$2,0)),"No errors"))</f>
        <v>No errors</v>
      </c>
      <c r="K159" s="80"/>
    </row>
    <row r="160" spans="1:11">
      <c r="A160" s="80"/>
      <c r="B160" s="18"/>
      <c r="C160" s="94"/>
      <c r="D160" s="94"/>
      <c r="E160" s="91"/>
      <c r="F160" s="91"/>
      <c r="G160" s="85"/>
      <c r="H160" s="85"/>
      <c r="I160" s="14"/>
      <c r="J160" s="15" t="str">
        <f>IF(E160="Invalid_Segment","Invalid",IFERROR(INDEX(Severity_Matrix!$C$3:$M$10,MATCH('Error Log'!$F160,Severity_Matrix!$B$3:$B$10,0),MATCH('Error Log'!$G160,Severity_Matrix!$C$2:$M$2,0)),"No errors"))</f>
        <v>No errors</v>
      </c>
      <c r="K160" s="80"/>
    </row>
    <row r="161" spans="1:11">
      <c r="A161" s="80"/>
      <c r="B161" s="18"/>
      <c r="C161" s="94"/>
      <c r="D161" s="94"/>
      <c r="E161" s="91"/>
      <c r="F161" s="91"/>
      <c r="G161" s="85"/>
      <c r="H161" s="85"/>
      <c r="I161" s="14"/>
      <c r="J161" s="15" t="str">
        <f>IF(E161="Invalid_Segment","Invalid",IFERROR(INDEX(Severity_Matrix!$C$3:$M$10,MATCH('Error Log'!$F161,Severity_Matrix!$B$3:$B$10,0),MATCH('Error Log'!$G161,Severity_Matrix!$C$2:$M$2,0)),"No errors"))</f>
        <v>No errors</v>
      </c>
      <c r="K161" s="80"/>
    </row>
    <row r="162" spans="1:11">
      <c r="A162" s="80"/>
      <c r="B162" s="18"/>
      <c r="C162" s="94"/>
      <c r="D162" s="94"/>
      <c r="E162" s="85"/>
      <c r="F162" s="85"/>
      <c r="G162" s="85"/>
      <c r="H162" s="85"/>
      <c r="I162" s="14"/>
      <c r="J162" s="15" t="str">
        <f>IF(E162="Invalid_Segment","Invalid",IFERROR(INDEX(Severity_Matrix!$C$3:$M$10,MATCH('Error Log'!$F162,Severity_Matrix!$B$3:$B$10,0),MATCH('Error Log'!$G162,Severity_Matrix!$C$2:$M$2,0)),"No errors"))</f>
        <v>No errors</v>
      </c>
      <c r="K162" s="80"/>
    </row>
    <row r="163" spans="1:11">
      <c r="A163" s="80"/>
      <c r="B163" s="18"/>
      <c r="C163" s="94"/>
      <c r="D163" s="94"/>
      <c r="E163" s="85"/>
      <c r="F163" s="85"/>
      <c r="G163" s="85"/>
      <c r="H163" s="85"/>
      <c r="I163" s="14"/>
      <c r="J163" s="15" t="str">
        <f>IF(E163="Invalid_Segment","Invalid",IFERROR(INDEX(Severity_Matrix!$C$3:$M$10,MATCH('Error Log'!$F163,Severity_Matrix!$B$3:$B$10,0),MATCH('Error Log'!$G163,Severity_Matrix!$C$2:$M$2,0)),"No errors"))</f>
        <v>No errors</v>
      </c>
      <c r="K163" s="80"/>
    </row>
    <row r="164" spans="1:11">
      <c r="A164" s="80"/>
      <c r="B164" s="18"/>
      <c r="C164" s="94"/>
      <c r="D164" s="94"/>
      <c r="E164" s="85"/>
      <c r="F164" s="85"/>
      <c r="G164" s="85"/>
      <c r="H164" s="85"/>
      <c r="I164" s="14"/>
      <c r="J164" s="15" t="str">
        <f>IF(E164="Invalid_Segment","Invalid",IFERROR(INDEX(Severity_Matrix!$C$3:$M$10,MATCH('Error Log'!$F164,Severity_Matrix!$B$3:$B$10,0),MATCH('Error Log'!$G164,Severity_Matrix!$C$2:$M$2,0)),"No errors"))</f>
        <v>No errors</v>
      </c>
      <c r="K164" s="80"/>
    </row>
    <row r="165" spans="1:11">
      <c r="A165" s="80"/>
      <c r="B165" s="18"/>
      <c r="C165" s="94"/>
      <c r="D165" s="94"/>
      <c r="E165" s="91"/>
      <c r="F165" s="91"/>
      <c r="G165" s="85"/>
      <c r="H165" s="88"/>
      <c r="I165" s="14"/>
      <c r="J165" s="15" t="str">
        <f>IF(E165="Invalid_Segment","Invalid",IFERROR(INDEX(Severity_Matrix!$C$3:$M$10,MATCH('Error Log'!$F165,Severity_Matrix!$B$3:$B$10,0),MATCH('Error Log'!$G165,Severity_Matrix!$C$2:$M$2,0)),"No errors"))</f>
        <v>No errors</v>
      </c>
      <c r="K165" s="80"/>
    </row>
    <row r="166" spans="1:11">
      <c r="A166" s="95"/>
      <c r="B166" s="18"/>
      <c r="C166" s="92"/>
      <c r="D166" s="92"/>
      <c r="E166" s="85"/>
      <c r="F166" s="85"/>
      <c r="G166" s="85"/>
      <c r="H166" s="93"/>
      <c r="I166" s="14"/>
      <c r="J166" s="15" t="str">
        <f>IF(E166="Invalid_Segment","Invalid",IFERROR(INDEX(Severity_Matrix!$C$3:$M$10,MATCH('Error Log'!$F166,Severity_Matrix!$B$3:$B$10,0),MATCH('Error Log'!$G166,Severity_Matrix!$C$2:$M$2,0)),"No errors"))</f>
        <v>No errors</v>
      </c>
      <c r="K166" s="80"/>
    </row>
    <row r="167" spans="1:11">
      <c r="A167" s="95"/>
      <c r="B167" s="18"/>
      <c r="C167" s="92"/>
      <c r="D167" s="92"/>
      <c r="E167" s="85"/>
      <c r="F167" s="85"/>
      <c r="G167" s="85"/>
      <c r="H167" s="85"/>
      <c r="I167" s="14"/>
      <c r="J167" s="15" t="str">
        <f>IF(E167="Invalid_Segment","Invalid",IFERROR(INDEX(Severity_Matrix!$C$3:$M$10,MATCH('Error Log'!$F167,Severity_Matrix!$B$3:$B$10,0),MATCH('Error Log'!$G167,Severity_Matrix!$C$2:$M$2,0)),"No errors"))</f>
        <v>No errors</v>
      </c>
      <c r="K167" s="80"/>
    </row>
    <row r="168" spans="1:11">
      <c r="A168" s="95"/>
      <c r="B168" s="18"/>
      <c r="C168" s="92"/>
      <c r="D168" s="92"/>
      <c r="E168" s="91"/>
      <c r="F168" s="91"/>
      <c r="G168" s="85"/>
      <c r="H168" s="85"/>
      <c r="I168" s="14"/>
      <c r="J168" s="15" t="str">
        <f>IF(E168="Invalid_Segment","Invalid",IFERROR(INDEX(Severity_Matrix!$C$3:$M$10,MATCH('Error Log'!$F168,Severity_Matrix!$B$3:$B$10,0),MATCH('Error Log'!$G168,Severity_Matrix!$C$2:$M$2,0)),"No errors"))</f>
        <v>No errors</v>
      </c>
      <c r="K168" s="80"/>
    </row>
    <row r="169" spans="1:11">
      <c r="A169" s="95"/>
      <c r="B169" s="18"/>
      <c r="C169" s="92"/>
      <c r="D169" s="92"/>
      <c r="E169" s="85"/>
      <c r="F169" s="85"/>
      <c r="G169" s="85"/>
      <c r="H169" s="85"/>
      <c r="I169" s="14"/>
      <c r="J169" s="15" t="str">
        <f>IF(E169="Invalid_Segment","Invalid",IFERROR(INDEX(Severity_Matrix!$C$3:$M$10,MATCH('Error Log'!$F169,Severity_Matrix!$B$3:$B$10,0),MATCH('Error Log'!$G169,Severity_Matrix!$C$2:$M$2,0)),"No errors"))</f>
        <v>No errors</v>
      </c>
      <c r="K169" s="80"/>
    </row>
    <row r="170" spans="1:11">
      <c r="A170" s="95"/>
      <c r="B170" s="18"/>
      <c r="C170" s="92"/>
      <c r="D170" s="92"/>
      <c r="E170" s="91"/>
      <c r="F170" s="91"/>
      <c r="G170" s="85"/>
      <c r="H170" s="85"/>
      <c r="I170" s="14"/>
      <c r="J170" s="15" t="str">
        <f>IF(E170="Invalid_Segment","Invalid",IFERROR(INDEX(Severity_Matrix!$C$3:$M$10,MATCH('Error Log'!$F170,Severity_Matrix!$B$3:$B$10,0),MATCH('Error Log'!$G170,Severity_Matrix!$C$2:$M$2,0)),"No errors"))</f>
        <v>No errors</v>
      </c>
      <c r="K170" s="80"/>
    </row>
    <row r="171" spans="1:11">
      <c r="A171" s="95"/>
      <c r="B171" s="18"/>
      <c r="C171" s="92"/>
      <c r="D171" s="92"/>
      <c r="E171" s="85"/>
      <c r="F171" s="85"/>
      <c r="G171" s="85"/>
      <c r="H171" s="85"/>
      <c r="I171" s="14"/>
      <c r="J171" s="15" t="str">
        <f>IF(E171="Invalid_Segment","Invalid",IFERROR(INDEX(Severity_Matrix!$C$3:$M$10,MATCH('Error Log'!$F171,Severity_Matrix!$B$3:$B$10,0),MATCH('Error Log'!$G171,Severity_Matrix!$C$2:$M$2,0)),"No errors"))</f>
        <v>No errors</v>
      </c>
      <c r="K171" s="80"/>
    </row>
    <row r="172" spans="1:11">
      <c r="A172" s="95"/>
      <c r="B172" s="18"/>
      <c r="C172" s="92"/>
      <c r="D172" s="92"/>
      <c r="E172" s="91"/>
      <c r="F172" s="91"/>
      <c r="G172" s="85"/>
      <c r="H172" s="85"/>
      <c r="I172" s="14"/>
      <c r="J172" s="15" t="str">
        <f>IF(E172="Invalid_Segment","Invalid",IFERROR(INDEX(Severity_Matrix!$C$3:$M$10,MATCH('Error Log'!$F172,Severity_Matrix!$B$3:$B$10,0),MATCH('Error Log'!$G172,Severity_Matrix!$C$2:$M$2,0)),"No errors"))</f>
        <v>No errors</v>
      </c>
      <c r="K172" s="80"/>
    </row>
    <row r="173" spans="1:11">
      <c r="A173" s="95"/>
      <c r="B173" s="18"/>
      <c r="C173" s="92"/>
      <c r="D173" s="92"/>
      <c r="E173" s="85"/>
      <c r="F173" s="85"/>
      <c r="G173" s="85"/>
      <c r="H173" s="85"/>
      <c r="I173" s="14"/>
      <c r="J173" s="15" t="str">
        <f>IF(E173="Invalid_Segment","Invalid",IFERROR(INDEX(Severity_Matrix!$C$3:$M$10,MATCH('Error Log'!$F173,Severity_Matrix!$B$3:$B$10,0),MATCH('Error Log'!$G173,Severity_Matrix!$C$2:$M$2,0)),"No errors"))</f>
        <v>No errors</v>
      </c>
      <c r="K173" s="80"/>
    </row>
    <row r="174" spans="1:11">
      <c r="A174" s="95"/>
      <c r="B174" s="18"/>
      <c r="C174" s="92"/>
      <c r="D174" s="1"/>
      <c r="E174" s="85"/>
      <c r="F174" s="85"/>
      <c r="G174" s="85"/>
      <c r="H174" s="85"/>
      <c r="I174" s="14"/>
      <c r="J174" s="15" t="str">
        <f>IF(E174="Invalid_Segment","Invalid",IFERROR(INDEX(Severity_Matrix!$C$3:$M$10,MATCH('Error Log'!$F174,Severity_Matrix!$B$3:$B$10,0),MATCH('Error Log'!$G174,Severity_Matrix!$C$2:$M$2,0)),"No errors"))</f>
        <v>No errors</v>
      </c>
      <c r="K174" s="80"/>
    </row>
    <row r="175" spans="1:11">
      <c r="A175" s="95"/>
      <c r="B175" s="18"/>
      <c r="C175" s="92"/>
      <c r="D175" s="92"/>
      <c r="E175" s="91"/>
      <c r="F175" s="91"/>
      <c r="G175" s="85"/>
      <c r="H175" s="85"/>
      <c r="I175" s="14"/>
      <c r="J175" s="15" t="str">
        <f>IF(E175="Invalid_Segment","Invalid",IFERROR(INDEX(Severity_Matrix!$C$3:$M$10,MATCH('Error Log'!$F175,Severity_Matrix!$B$3:$B$10,0),MATCH('Error Log'!$G175,Severity_Matrix!$C$2:$M$2,0)),"No errors"))</f>
        <v>No errors</v>
      </c>
    </row>
    <row r="176" spans="1:11">
      <c r="A176" s="95"/>
      <c r="B176" s="18"/>
      <c r="C176" s="92"/>
      <c r="D176" s="92"/>
      <c r="E176" s="91"/>
      <c r="F176" s="91"/>
      <c r="G176" s="85"/>
      <c r="H176" s="85"/>
      <c r="I176" s="14"/>
      <c r="J176" s="15" t="str">
        <f>IF(E176="Invalid_Segment","Invalid",IFERROR(INDEX(Severity_Matrix!$C$3:$M$10,MATCH('Error Log'!$F176,Severity_Matrix!$B$3:$B$10,0),MATCH('Error Log'!$G176,Severity_Matrix!$C$2:$M$2,0)),"No errors"))</f>
        <v>No errors</v>
      </c>
    </row>
    <row r="177" spans="1:10">
      <c r="A177" s="95"/>
      <c r="B177" s="18"/>
      <c r="C177" s="92"/>
      <c r="D177" s="92"/>
      <c r="E177" s="91"/>
      <c r="F177" s="91"/>
      <c r="G177" s="85"/>
      <c r="H177" s="85"/>
      <c r="I177" s="14"/>
      <c r="J177" s="15" t="str">
        <f>IF(E177="Invalid_Segment","Invalid",IFERROR(INDEX(Severity_Matrix!$C$3:$M$10,MATCH('Error Log'!$F177,Severity_Matrix!$B$3:$B$10,0),MATCH('Error Log'!$G177,Severity_Matrix!$C$2:$M$2,0)),"No errors"))</f>
        <v>No errors</v>
      </c>
    </row>
    <row r="178" spans="1:10">
      <c r="A178" s="95"/>
      <c r="B178" s="18"/>
      <c r="C178" s="92"/>
      <c r="D178" s="92"/>
      <c r="E178" s="85"/>
      <c r="F178" s="85"/>
      <c r="G178" s="85"/>
      <c r="H178" s="85"/>
      <c r="I178" s="14"/>
      <c r="J178" s="15" t="str">
        <f>IF(E178="Invalid_Segment","Invalid",IFERROR(INDEX(Severity_Matrix!$C$3:$M$10,MATCH('Error Log'!$F178,Severity_Matrix!$B$3:$B$10,0),MATCH('Error Log'!$G178,Severity_Matrix!$C$2:$M$2,0)),"No errors"))</f>
        <v>No errors</v>
      </c>
    </row>
    <row r="179" spans="1:10">
      <c r="A179" s="95"/>
      <c r="B179" s="18"/>
      <c r="C179" s="92"/>
      <c r="D179" s="92"/>
      <c r="E179" s="85"/>
      <c r="F179" s="85"/>
      <c r="G179" s="85"/>
      <c r="H179" s="85"/>
      <c r="I179" s="14"/>
      <c r="J179" s="15" t="str">
        <f>IF(E179="Invalid_Segment","Invalid",IFERROR(INDEX(Severity_Matrix!$C$3:$M$10,MATCH('Error Log'!$F179,Severity_Matrix!$B$3:$B$10,0),MATCH('Error Log'!$G179,Severity_Matrix!$C$2:$M$2,0)),"No errors"))</f>
        <v>No errors</v>
      </c>
    </row>
    <row r="180" spans="1:10">
      <c r="A180" s="95"/>
      <c r="B180" s="18"/>
      <c r="C180" s="92"/>
      <c r="D180" s="92"/>
      <c r="E180" s="85"/>
      <c r="F180" s="85"/>
      <c r="G180" s="85"/>
      <c r="H180" s="85"/>
      <c r="I180" s="14"/>
      <c r="J180" s="15" t="str">
        <f>IF(E180="Invalid_Segment","Invalid",IFERROR(INDEX(Severity_Matrix!$C$3:$M$10,MATCH('Error Log'!$F180,Severity_Matrix!$B$3:$B$10,0),MATCH('Error Log'!$G180,Severity_Matrix!$C$2:$M$2,0)),"No errors"))</f>
        <v>No errors</v>
      </c>
    </row>
    <row r="181" spans="1:10">
      <c r="A181" s="95"/>
      <c r="B181" s="18"/>
      <c r="C181" s="92"/>
      <c r="D181" s="92"/>
      <c r="E181" s="91"/>
      <c r="F181" s="91"/>
      <c r="G181" s="85"/>
      <c r="H181" s="85"/>
      <c r="I181" s="14"/>
      <c r="J181" s="15" t="str">
        <f>IF(E181="Invalid_Segment","Invalid",IFERROR(INDEX(Severity_Matrix!$C$3:$M$10,MATCH('Error Log'!$F181,Severity_Matrix!$B$3:$B$10,0),MATCH('Error Log'!$G181,Severity_Matrix!$C$2:$M$2,0)),"No errors"))</f>
        <v>No errors</v>
      </c>
    </row>
    <row r="182" spans="1:10">
      <c r="A182" s="95"/>
      <c r="B182" s="18"/>
      <c r="C182" s="92"/>
      <c r="D182" s="92"/>
      <c r="E182" s="85"/>
      <c r="F182" s="85"/>
      <c r="G182" s="85"/>
      <c r="H182" s="85"/>
      <c r="I182" s="14"/>
      <c r="J182" s="15" t="str">
        <f>IF(E182="Invalid_Segment","Invalid",IFERROR(INDEX(Severity_Matrix!$C$3:$M$10,MATCH('Error Log'!$F182,Severity_Matrix!$B$3:$B$10,0),MATCH('Error Log'!$G182,Severity_Matrix!$C$2:$M$2,0)),"No errors"))</f>
        <v>No errors</v>
      </c>
    </row>
    <row r="183" spans="1:10">
      <c r="A183" s="95"/>
      <c r="B183" s="18"/>
      <c r="C183" s="92"/>
      <c r="D183" s="92"/>
      <c r="E183" s="85"/>
      <c r="F183" s="85"/>
      <c r="G183" s="85"/>
      <c r="H183" s="85"/>
      <c r="I183" s="14"/>
      <c r="J183" s="15" t="str">
        <f>IF(E183="Invalid_Segment","Invalid",IFERROR(INDEX(Severity_Matrix!$C$3:$M$10,MATCH('Error Log'!$F183,Severity_Matrix!$B$3:$B$10,0),MATCH('Error Log'!$G183,Severity_Matrix!$C$2:$M$2,0)),"No errors"))</f>
        <v>No errors</v>
      </c>
    </row>
    <row r="184" spans="1:10">
      <c r="A184" s="95"/>
      <c r="B184" s="18"/>
      <c r="C184" s="92"/>
      <c r="D184" s="92"/>
      <c r="E184" s="85"/>
      <c r="F184" s="85"/>
      <c r="G184" s="85"/>
      <c r="H184" s="85"/>
      <c r="I184" s="14"/>
      <c r="J184" s="15" t="str">
        <f>IF(E184="Invalid_Segment","Invalid",IFERROR(INDEX(Severity_Matrix!$C$3:$M$10,MATCH('Error Log'!$F184,Severity_Matrix!$B$3:$B$10,0),MATCH('Error Log'!$G184,Severity_Matrix!$C$2:$M$2,0)),"No errors"))</f>
        <v>No errors</v>
      </c>
    </row>
    <row r="185" spans="1:10">
      <c r="A185" s="95"/>
      <c r="B185" s="18"/>
      <c r="C185" s="92"/>
      <c r="D185" s="92"/>
      <c r="E185" s="85"/>
      <c r="F185" s="85"/>
      <c r="G185" s="85"/>
      <c r="H185" s="85"/>
      <c r="I185" s="14"/>
      <c r="J185" s="15" t="str">
        <f>IF(E185="Invalid_Segment","Invalid",IFERROR(INDEX(Severity_Matrix!$C$3:$M$10,MATCH('Error Log'!$F185,Severity_Matrix!$B$3:$B$10,0),MATCH('Error Log'!$G185,Severity_Matrix!$C$2:$M$2,0)),"No errors"))</f>
        <v>No errors</v>
      </c>
    </row>
    <row r="186" spans="1:10">
      <c r="A186" s="95"/>
      <c r="B186" s="18"/>
      <c r="C186" s="92"/>
      <c r="D186" s="92"/>
      <c r="E186" s="85"/>
      <c r="F186" s="85"/>
      <c r="G186" s="85"/>
      <c r="H186" s="85"/>
      <c r="I186" s="14"/>
      <c r="J186" s="15" t="str">
        <f>IF(E186="Invalid_Segment","Invalid",IFERROR(INDEX(Severity_Matrix!$C$3:$M$10,MATCH('Error Log'!$F186,Severity_Matrix!$B$3:$B$10,0),MATCH('Error Log'!$G186,Severity_Matrix!$C$2:$M$2,0)),"No errors"))</f>
        <v>No errors</v>
      </c>
    </row>
    <row r="187" spans="1:10">
      <c r="A187" s="95"/>
      <c r="B187" s="18"/>
      <c r="C187" s="92"/>
      <c r="D187" s="92"/>
      <c r="E187" s="91"/>
      <c r="F187" s="91"/>
      <c r="G187" s="85"/>
      <c r="H187" s="85"/>
      <c r="I187" s="14"/>
      <c r="J187" s="15" t="str">
        <f>IF(E187="Invalid_Segment","Invalid",IFERROR(INDEX(Severity_Matrix!$C$3:$M$10,MATCH('Error Log'!$F187,Severity_Matrix!$B$3:$B$10,0),MATCH('Error Log'!$G187,Severity_Matrix!$C$2:$M$2,0)),"No errors"))</f>
        <v>No errors</v>
      </c>
    </row>
    <row r="188" spans="1:10">
      <c r="A188" s="95"/>
      <c r="B188" s="18"/>
      <c r="C188" s="92"/>
      <c r="D188" s="92"/>
      <c r="E188" s="85"/>
      <c r="F188" s="85"/>
      <c r="G188" s="85"/>
      <c r="H188" s="85"/>
      <c r="I188" s="14"/>
      <c r="J188" s="15" t="str">
        <f>IF(E188="Invalid_Segment","Invalid",IFERROR(INDEX(Severity_Matrix!$C$3:$M$10,MATCH('Error Log'!$F188,Severity_Matrix!$B$3:$B$10,0),MATCH('Error Log'!$G188,Severity_Matrix!$C$2:$M$2,0)),"No errors"))</f>
        <v>No errors</v>
      </c>
    </row>
    <row r="189" spans="1:10">
      <c r="A189" s="95"/>
      <c r="B189" s="18"/>
      <c r="C189" s="92"/>
      <c r="D189" s="92"/>
      <c r="E189" s="85"/>
      <c r="F189" s="85"/>
      <c r="G189" s="85"/>
      <c r="H189" s="85"/>
      <c r="I189" s="14"/>
      <c r="J189" s="15" t="str">
        <f>IF(E189="Invalid_Segment","Invalid",IFERROR(INDEX(Severity_Matrix!$C$3:$M$10,MATCH('Error Log'!$F189,Severity_Matrix!$B$3:$B$10,0),MATCH('Error Log'!$G189,Severity_Matrix!$C$2:$M$2,0)),"No errors"))</f>
        <v>No errors</v>
      </c>
    </row>
    <row r="190" spans="1:10">
      <c r="A190" s="95"/>
      <c r="B190" s="18"/>
      <c r="C190" s="92"/>
      <c r="D190" s="92"/>
      <c r="E190" s="91"/>
      <c r="F190" s="91"/>
      <c r="G190" s="85"/>
      <c r="H190" s="85"/>
      <c r="I190" s="14"/>
      <c r="J190" s="15" t="str">
        <f>IF(E190="Invalid_Segment","Invalid",IFERROR(INDEX(Severity_Matrix!$C$3:$M$10,MATCH('Error Log'!$F190,Severity_Matrix!$B$3:$B$10,0),MATCH('Error Log'!$G190,Severity_Matrix!$C$2:$M$2,0)),"No errors"))</f>
        <v>No errors</v>
      </c>
    </row>
    <row r="191" spans="1:10">
      <c r="A191" s="95"/>
      <c r="B191" s="18"/>
      <c r="C191" s="92"/>
      <c r="D191" s="92"/>
      <c r="E191" s="91"/>
      <c r="F191" s="91"/>
      <c r="G191" s="85"/>
      <c r="H191" s="85"/>
      <c r="I191" s="14"/>
      <c r="J191" s="15" t="str">
        <f>IF(E191="Invalid_Segment","Invalid",IFERROR(INDEX(Severity_Matrix!$C$3:$M$10,MATCH('Error Log'!$F191,Severity_Matrix!$B$3:$B$10,0),MATCH('Error Log'!$G191,Severity_Matrix!$C$2:$M$2,0)),"No errors"))</f>
        <v>No errors</v>
      </c>
    </row>
    <row r="192" spans="1:10">
      <c r="A192" s="95"/>
      <c r="B192" s="18"/>
      <c r="C192" s="92"/>
      <c r="D192" s="92"/>
      <c r="E192" s="85"/>
      <c r="F192" s="85"/>
      <c r="G192" s="85"/>
      <c r="H192" s="85"/>
      <c r="I192" s="14"/>
      <c r="J192" s="15" t="str">
        <f>IF(E192="Invalid_Segment","Invalid",IFERROR(INDEX(Severity_Matrix!$C$3:$M$10,MATCH('Error Log'!$F192,Severity_Matrix!$B$3:$B$10,0),MATCH('Error Log'!$G192,Severity_Matrix!$C$2:$M$2,0)),"No errors"))</f>
        <v>No errors</v>
      </c>
    </row>
    <row r="193" spans="1:10">
      <c r="A193" s="95"/>
      <c r="B193" s="18"/>
      <c r="C193" s="92"/>
      <c r="D193" s="92"/>
      <c r="E193" s="85"/>
      <c r="F193" s="85"/>
      <c r="G193" s="85"/>
      <c r="H193" s="85"/>
      <c r="I193" s="14"/>
      <c r="J193" s="15" t="str">
        <f>IF(E193="Invalid_Segment","Invalid",IFERROR(INDEX(Severity_Matrix!$C$3:$M$10,MATCH('Error Log'!$F193,Severity_Matrix!$B$3:$B$10,0),MATCH('Error Log'!$G193,Severity_Matrix!$C$2:$M$2,0)),"No errors"))</f>
        <v>No errors</v>
      </c>
    </row>
    <row r="194" spans="1:10">
      <c r="A194" s="95"/>
      <c r="B194" s="18"/>
      <c r="C194" s="92"/>
      <c r="D194" s="92"/>
      <c r="E194" s="91"/>
      <c r="F194" s="91"/>
      <c r="G194" s="85"/>
      <c r="H194" s="85"/>
      <c r="I194" s="14"/>
      <c r="J194" s="15" t="str">
        <f>IF(E194="Invalid_Segment","Invalid",IFERROR(INDEX(Severity_Matrix!$C$3:$M$10,MATCH('Error Log'!$F194,Severity_Matrix!$B$3:$B$10,0),MATCH('Error Log'!$G194,Severity_Matrix!$C$2:$M$2,0)),"No errors"))</f>
        <v>No errors</v>
      </c>
    </row>
    <row r="195" spans="1:10">
      <c r="A195" s="95"/>
      <c r="B195" s="18"/>
      <c r="C195" s="92"/>
      <c r="D195" s="92"/>
      <c r="E195" s="85"/>
      <c r="F195" s="85"/>
      <c r="G195" s="85"/>
      <c r="H195" s="85"/>
      <c r="I195" s="14"/>
      <c r="J195" s="15" t="str">
        <f>IF(E195="Invalid_Segment","Invalid",IFERROR(INDEX(Severity_Matrix!$C$3:$M$10,MATCH('Error Log'!$F195,Severity_Matrix!$B$3:$B$10,0),MATCH('Error Log'!$G195,Severity_Matrix!$C$2:$M$2,0)),"No errors"))</f>
        <v>No errors</v>
      </c>
    </row>
    <row r="196" spans="1:10">
      <c r="A196" s="95"/>
      <c r="B196" s="18"/>
      <c r="C196" s="92"/>
      <c r="D196" s="92"/>
      <c r="E196" s="91"/>
      <c r="F196" s="91"/>
      <c r="G196" s="85"/>
      <c r="H196" s="85"/>
      <c r="I196" s="14"/>
      <c r="J196" s="15" t="str">
        <f>IF(E196="Invalid_Segment","Invalid",IFERROR(INDEX(Severity_Matrix!$C$3:$M$10,MATCH('Error Log'!$F196,Severity_Matrix!$B$3:$B$10,0),MATCH('Error Log'!$G196,Severity_Matrix!$C$2:$M$2,0)),"No errors"))</f>
        <v>No errors</v>
      </c>
    </row>
    <row r="197" spans="1:10">
      <c r="A197" s="95"/>
      <c r="B197" s="18"/>
      <c r="C197" s="92"/>
      <c r="D197" s="92"/>
      <c r="E197" s="91"/>
      <c r="F197" s="91"/>
      <c r="G197" s="85"/>
      <c r="H197" s="85"/>
      <c r="I197" s="14"/>
      <c r="J197" s="15" t="str">
        <f>IF(E197="Invalid_Segment","Invalid",IFERROR(INDEX(Severity_Matrix!$C$3:$M$10,MATCH('Error Log'!$F197,Severity_Matrix!$B$3:$B$10,0),MATCH('Error Log'!$G197,Severity_Matrix!$C$2:$M$2,0)),"No errors"))</f>
        <v>No errors</v>
      </c>
    </row>
    <row r="198" spans="1:10">
      <c r="A198" s="95"/>
      <c r="B198" s="18"/>
      <c r="C198" s="92"/>
      <c r="D198" s="92"/>
      <c r="E198" s="85"/>
      <c r="F198" s="85"/>
      <c r="G198" s="85"/>
      <c r="H198" s="85"/>
      <c r="I198" s="14"/>
      <c r="J198" s="15" t="str">
        <f>IF(E198="Invalid_Segment","Invalid",IFERROR(INDEX(Severity_Matrix!$C$3:$M$10,MATCH('Error Log'!$F198,Severity_Matrix!$B$3:$B$10,0),MATCH('Error Log'!$G198,Severity_Matrix!$C$2:$M$2,0)),"No errors"))</f>
        <v>No errors</v>
      </c>
    </row>
    <row r="199" spans="1:10">
      <c r="A199" s="95"/>
      <c r="B199" s="18"/>
      <c r="C199" s="92"/>
      <c r="D199" s="92"/>
      <c r="E199" s="85"/>
      <c r="F199" s="85"/>
      <c r="G199" s="85"/>
      <c r="H199" s="85"/>
      <c r="I199" s="14"/>
      <c r="J199" s="15" t="str">
        <f>IF(E199="Invalid_Segment","Invalid",IFERROR(INDEX(Severity_Matrix!$C$3:$M$10,MATCH('Error Log'!$F199,Severity_Matrix!$B$3:$B$10,0),MATCH('Error Log'!$G199,Severity_Matrix!$C$2:$M$2,0)),"No errors"))</f>
        <v>No errors</v>
      </c>
    </row>
    <row r="200" spans="1:10">
      <c r="A200" s="95"/>
      <c r="B200" s="18"/>
      <c r="C200" s="92"/>
      <c r="D200" s="92"/>
      <c r="E200" s="85"/>
      <c r="F200" s="85"/>
      <c r="G200" s="85"/>
      <c r="H200" s="85"/>
      <c r="I200" s="14"/>
      <c r="J200" s="15" t="str">
        <f>IF(E200="Invalid_Segment","Invalid",IFERROR(INDEX(Severity_Matrix!$C$3:$M$10,MATCH('Error Log'!$F200,Severity_Matrix!$B$3:$B$10,0),MATCH('Error Log'!$G200,Severity_Matrix!$C$2:$M$2,0)),"No errors"))</f>
        <v>No errors</v>
      </c>
    </row>
    <row r="201" spans="1:10">
      <c r="A201" s="95"/>
      <c r="B201" s="18"/>
      <c r="C201" s="92"/>
      <c r="D201" s="94"/>
      <c r="E201" s="86"/>
      <c r="F201" s="86"/>
      <c r="G201" s="86"/>
      <c r="H201" s="87"/>
      <c r="I201" s="14"/>
      <c r="J201" s="15" t="str">
        <f>IF(E201="Invalid_Segment","Invalid",IFERROR(INDEX(Severity_Matrix!$C$3:$M$10,MATCH('Error Log'!$F201,Severity_Matrix!$B$3:$B$10,0),MATCH('Error Log'!$G201,Severity_Matrix!$C$2:$M$2,0)),"No errors"))</f>
        <v>No errors</v>
      </c>
    </row>
    <row r="202" spans="1:10">
      <c r="A202" s="95"/>
      <c r="B202" s="18"/>
      <c r="C202" s="92"/>
      <c r="D202" s="94"/>
      <c r="E202" s="86"/>
      <c r="F202" s="86"/>
      <c r="G202" s="86"/>
      <c r="H202" s="87"/>
      <c r="I202" s="14"/>
      <c r="J202" s="15" t="str">
        <f>IF(E202="Invalid_Segment","Invalid",IFERROR(INDEX(Severity_Matrix!$C$3:$M$10,MATCH('Error Log'!$F202,Severity_Matrix!$B$3:$B$10,0),MATCH('Error Log'!$G202,Severity_Matrix!$C$2:$M$2,0)),"No errors"))</f>
        <v>No errors</v>
      </c>
    </row>
    <row r="203" spans="1:10">
      <c r="A203" s="95"/>
      <c r="B203" s="18"/>
      <c r="C203" s="92"/>
      <c r="D203" s="94"/>
      <c r="E203" s="91"/>
      <c r="F203" s="91"/>
      <c r="G203" s="86"/>
      <c r="H203" s="87"/>
      <c r="I203" s="14"/>
      <c r="J203" s="15" t="str">
        <f>IF(E203="Invalid_Segment","Invalid",IFERROR(INDEX(Severity_Matrix!$C$3:$M$10,MATCH('Error Log'!$F203,Severity_Matrix!$B$3:$B$10,0),MATCH('Error Log'!$G203,Severity_Matrix!$C$2:$M$2,0)),"No errors"))</f>
        <v>No errors</v>
      </c>
    </row>
    <row r="204" spans="1:10">
      <c r="A204" s="95"/>
      <c r="B204" s="18"/>
      <c r="C204" s="92"/>
      <c r="D204" s="94"/>
      <c r="E204" s="91"/>
      <c r="F204" s="91"/>
      <c r="G204" s="86"/>
      <c r="H204" s="87"/>
      <c r="I204" s="14"/>
      <c r="J204" s="15" t="str">
        <f>IF(E204="Invalid_Segment","Invalid",IFERROR(INDEX(Severity_Matrix!$C$3:$M$10,MATCH('Error Log'!$F204,Severity_Matrix!$B$3:$B$10,0),MATCH('Error Log'!$G204,Severity_Matrix!$C$2:$M$2,0)),"No errors"))</f>
        <v>No errors</v>
      </c>
    </row>
    <row r="205" spans="1:10">
      <c r="A205" s="95"/>
      <c r="B205" s="18"/>
      <c r="C205" s="92"/>
      <c r="D205" s="94"/>
      <c r="E205" s="91"/>
      <c r="F205" s="91"/>
      <c r="G205" s="86"/>
      <c r="H205" s="87"/>
      <c r="I205" s="14"/>
      <c r="J205" s="15" t="str">
        <f>IF(E205="Invalid_Segment","Invalid",IFERROR(INDEX(Severity_Matrix!$C$3:$M$10,MATCH('Error Log'!$F205,Severity_Matrix!$B$3:$B$10,0),MATCH('Error Log'!$G205,Severity_Matrix!$C$2:$M$2,0)),"No errors"))</f>
        <v>No errors</v>
      </c>
    </row>
    <row r="206" spans="1:10">
      <c r="A206" s="95"/>
      <c r="B206" s="18"/>
      <c r="C206" s="92"/>
      <c r="D206" s="94"/>
      <c r="E206" s="91"/>
      <c r="F206" s="91"/>
      <c r="G206" s="85"/>
      <c r="H206" s="87"/>
      <c r="I206" s="14"/>
      <c r="J206" s="15" t="str">
        <f>IF(E206="Invalid_Segment","Invalid",IFERROR(INDEX(Severity_Matrix!$C$3:$M$10,MATCH('Error Log'!$F206,Severity_Matrix!$B$3:$B$10,0),MATCH('Error Log'!$G206,Severity_Matrix!$C$2:$M$2,0)),"No errors"))</f>
        <v>No errors</v>
      </c>
    </row>
    <row r="207" spans="1:10">
      <c r="A207" s="95"/>
      <c r="B207" s="18"/>
      <c r="C207" s="92"/>
      <c r="D207" s="94"/>
      <c r="E207" s="91"/>
      <c r="F207" s="91"/>
      <c r="G207" s="85"/>
      <c r="H207" s="87"/>
      <c r="I207" s="14"/>
      <c r="J207" s="15" t="str">
        <f>IF(E207="Invalid_Segment","Invalid",IFERROR(INDEX(Severity_Matrix!$C$3:$M$10,MATCH('Error Log'!$F207,Severity_Matrix!$B$3:$B$10,0),MATCH('Error Log'!$G207,Severity_Matrix!$C$2:$M$2,0)),"No errors"))</f>
        <v>No errors</v>
      </c>
    </row>
    <row r="208" spans="1:10">
      <c r="A208" s="95"/>
      <c r="B208" s="18"/>
      <c r="C208" s="92"/>
      <c r="D208" s="94"/>
      <c r="E208" s="91"/>
      <c r="F208" s="91"/>
      <c r="G208" s="85"/>
      <c r="H208" s="87"/>
      <c r="I208" s="14"/>
      <c r="J208" s="15" t="str">
        <f>IF(E208="Invalid_Segment","Invalid",IFERROR(INDEX(Severity_Matrix!$C$3:$M$10,MATCH('Error Log'!$F208,Severity_Matrix!$B$3:$B$10,0),MATCH('Error Log'!$G208,Severity_Matrix!$C$2:$M$2,0)),"No errors"))</f>
        <v>No errors</v>
      </c>
    </row>
    <row r="209" spans="1:10">
      <c r="A209" s="95"/>
      <c r="B209" s="18"/>
      <c r="C209" s="92"/>
      <c r="D209" s="94"/>
      <c r="E209" s="91"/>
      <c r="F209" s="91"/>
      <c r="G209" s="86"/>
      <c r="H209" s="87"/>
      <c r="I209" s="14"/>
      <c r="J209" s="15" t="str">
        <f>IF(E209="Invalid_Segment","Invalid",IFERROR(INDEX(Severity_Matrix!$C$3:$M$10,MATCH('Error Log'!$F209,Severity_Matrix!$B$3:$B$10,0),MATCH('Error Log'!$G209,Severity_Matrix!$C$2:$M$2,0)),"No errors"))</f>
        <v>No errors</v>
      </c>
    </row>
    <row r="210" spans="1:10">
      <c r="A210" s="95"/>
      <c r="B210" s="18"/>
      <c r="C210" s="92"/>
      <c r="D210" s="94"/>
      <c r="E210" s="91"/>
      <c r="F210" s="91"/>
      <c r="G210" s="86"/>
      <c r="H210" s="96"/>
      <c r="I210" s="14"/>
      <c r="J210" s="15" t="str">
        <f>IF(E210="Invalid_Segment","Invalid",IFERROR(INDEX(Severity_Matrix!$C$3:$M$10,MATCH('Error Log'!$F210,Severity_Matrix!$B$3:$B$10,0),MATCH('Error Log'!$G210,Severity_Matrix!$C$2:$M$2,0)),"No errors"))</f>
        <v>No errors</v>
      </c>
    </row>
    <row r="211" spans="1:10">
      <c r="A211" s="95"/>
      <c r="B211" s="18"/>
      <c r="C211" s="92"/>
      <c r="D211" s="94"/>
      <c r="E211" s="91"/>
      <c r="F211" s="91"/>
      <c r="G211" s="86"/>
      <c r="H211" s="21"/>
      <c r="I211" s="14"/>
      <c r="J211" s="15" t="str">
        <f>IF(E211="Invalid_Segment","Invalid",IFERROR(INDEX(Severity_Matrix!$C$3:$M$10,MATCH('Error Log'!$F211,Severity_Matrix!$B$3:$B$10,0),MATCH('Error Log'!$G211,Severity_Matrix!$C$2:$M$2,0)),"No errors"))</f>
        <v>No errors</v>
      </c>
    </row>
    <row r="212" spans="1:10">
      <c r="A212" s="95"/>
      <c r="B212" s="18"/>
      <c r="C212" s="92"/>
      <c r="D212" s="94"/>
      <c r="E212" s="91"/>
      <c r="F212" s="91"/>
      <c r="G212" s="86"/>
      <c r="H212" s="21"/>
      <c r="I212" s="14"/>
      <c r="J212" s="15" t="str">
        <f>IF(E212="Invalid_Segment","Invalid",IFERROR(INDEX(Severity_Matrix!$C$3:$M$10,MATCH('Error Log'!$F212,Severity_Matrix!$B$3:$B$10,0),MATCH('Error Log'!$G212,Severity_Matrix!$C$2:$M$2,0)),"No errors"))</f>
        <v>No errors</v>
      </c>
    </row>
    <row r="213" spans="1:10">
      <c r="A213" s="95"/>
      <c r="B213" s="18"/>
      <c r="C213" s="92"/>
      <c r="D213" s="94"/>
      <c r="E213" s="91"/>
      <c r="F213" s="91"/>
      <c r="G213" s="85"/>
      <c r="H213" s="85"/>
      <c r="I213" s="14"/>
      <c r="J213" s="15" t="str">
        <f>IF(E213="Invalid_Segment","Invalid",IFERROR(INDEX(Severity_Matrix!$C$3:$M$10,MATCH('Error Log'!$F213,Severity_Matrix!$B$3:$B$10,0),MATCH('Error Log'!$G213,Severity_Matrix!$C$2:$M$2,0)),"No errors"))</f>
        <v>No errors</v>
      </c>
    </row>
    <row r="214" spans="1:10">
      <c r="A214" s="95"/>
      <c r="B214" s="18"/>
      <c r="C214" s="92"/>
      <c r="D214" s="94"/>
      <c r="E214" s="91"/>
      <c r="F214" s="91"/>
      <c r="G214" s="85"/>
      <c r="H214" s="85"/>
      <c r="I214" s="14"/>
      <c r="J214" s="15" t="str">
        <f>IF(E214="Invalid_Segment","Invalid",IFERROR(INDEX(Severity_Matrix!$C$3:$M$10,MATCH('Error Log'!$F214,Severity_Matrix!$B$3:$B$10,0),MATCH('Error Log'!$G214,Severity_Matrix!$C$2:$M$2,0)),"No errors"))</f>
        <v>No errors</v>
      </c>
    </row>
    <row r="215" spans="1:10">
      <c r="A215" s="95"/>
      <c r="B215" s="18"/>
      <c r="C215" s="92"/>
      <c r="D215" s="94"/>
      <c r="E215" s="85"/>
      <c r="F215" s="85"/>
      <c r="G215" s="85"/>
      <c r="H215" s="85"/>
      <c r="I215" s="14"/>
      <c r="J215" s="15" t="str">
        <f>IF(E215="Invalid_Segment","Invalid",IFERROR(INDEX(Severity_Matrix!$C$3:$M$10,MATCH('Error Log'!$F215,Severity_Matrix!$B$3:$B$10,0),MATCH('Error Log'!$G215,Severity_Matrix!$C$2:$M$2,0)),"No errors"))</f>
        <v>No errors</v>
      </c>
    </row>
    <row r="216" spans="1:10">
      <c r="A216" s="95"/>
      <c r="B216" s="18"/>
      <c r="C216" s="92"/>
      <c r="D216" s="94"/>
      <c r="E216" s="85"/>
      <c r="F216" s="85"/>
      <c r="G216" s="85"/>
      <c r="H216" s="85"/>
      <c r="I216" s="14"/>
      <c r="J216" s="15" t="str">
        <f>IF(E216="Invalid_Segment","Invalid",IFERROR(INDEX(Severity_Matrix!$C$3:$M$10,MATCH('Error Log'!$F216,Severity_Matrix!$B$3:$B$10,0),MATCH('Error Log'!$G216,Severity_Matrix!$C$2:$M$2,0)),"No errors"))</f>
        <v>No errors</v>
      </c>
    </row>
    <row r="217" spans="1:10">
      <c r="A217" s="95"/>
      <c r="B217" s="18"/>
      <c r="C217" s="94"/>
      <c r="D217" s="94"/>
      <c r="E217" s="91"/>
      <c r="F217" s="91"/>
      <c r="G217" s="85"/>
      <c r="H217" s="85"/>
      <c r="I217" s="14"/>
      <c r="J217" s="15" t="str">
        <f>IF(E217="Invalid_Segment","Invalid",IFERROR(INDEX(Severity_Matrix!$C$3:$M$10,MATCH('Error Log'!$F217,Severity_Matrix!$B$3:$B$10,0),MATCH('Error Log'!$G217,Severity_Matrix!$C$2:$M$2,0)),"No errors"))</f>
        <v>No errors</v>
      </c>
    </row>
    <row r="218" spans="1:10">
      <c r="A218" s="95"/>
      <c r="B218" s="18"/>
      <c r="C218" s="94"/>
      <c r="D218" s="94"/>
      <c r="E218" s="91"/>
      <c r="F218" s="91"/>
      <c r="G218" s="85"/>
      <c r="H218" s="85"/>
      <c r="I218" s="14"/>
      <c r="J218" s="15" t="str">
        <f>IF(E218="Invalid_Segment","Invalid",IFERROR(INDEX(Severity_Matrix!$C$3:$M$10,MATCH('Error Log'!$F218,Severity_Matrix!$B$3:$B$10,0),MATCH('Error Log'!$G218,Severity_Matrix!$C$2:$M$2,0)),"No errors"))</f>
        <v>No errors</v>
      </c>
    </row>
    <row r="219" spans="1:10">
      <c r="A219" s="95"/>
      <c r="B219" s="18"/>
      <c r="C219" s="94"/>
      <c r="D219" s="94"/>
      <c r="E219" s="85"/>
      <c r="F219" s="85"/>
      <c r="G219" s="85"/>
      <c r="H219" s="93"/>
      <c r="I219" s="14"/>
      <c r="J219" s="15" t="str">
        <f>IF(E219="Invalid_Segment","Invalid",IFERROR(INDEX(Severity_Matrix!$C$3:$M$10,MATCH('Error Log'!$F219,Severity_Matrix!$B$3:$B$10,0),MATCH('Error Log'!$G219,Severity_Matrix!$C$2:$M$2,0)),"No errors"))</f>
        <v>No errors</v>
      </c>
    </row>
    <row r="220" spans="1:10">
      <c r="A220" s="95"/>
      <c r="B220" s="18"/>
      <c r="C220" s="94"/>
      <c r="D220" s="94"/>
      <c r="E220" s="85"/>
      <c r="F220" s="85"/>
      <c r="G220" s="85"/>
      <c r="H220" s="85"/>
      <c r="I220" s="14"/>
      <c r="J220" s="15" t="str">
        <f>IF(E220="Invalid_Segment","Invalid",IFERROR(INDEX(Severity_Matrix!$C$3:$M$10,MATCH('Error Log'!$F220,Severity_Matrix!$B$3:$B$10,0),MATCH('Error Log'!$G220,Severity_Matrix!$C$2:$M$2,0)),"No errors"))</f>
        <v>No errors</v>
      </c>
    </row>
    <row r="221" spans="1:10">
      <c r="A221" s="95"/>
      <c r="B221" s="18"/>
      <c r="C221" s="94"/>
      <c r="D221" s="94"/>
      <c r="E221" s="85"/>
      <c r="F221" s="85"/>
      <c r="G221" s="85"/>
      <c r="H221" s="85"/>
      <c r="I221" s="14"/>
      <c r="J221" s="15" t="str">
        <f>IF(E221="Invalid_Segment","Invalid",IFERROR(INDEX(Severity_Matrix!$C$3:$M$10,MATCH('Error Log'!$F221,Severity_Matrix!$B$3:$B$10,0),MATCH('Error Log'!$G221,Severity_Matrix!$C$2:$M$2,0)),"No errors"))</f>
        <v>No errors</v>
      </c>
    </row>
    <row r="222" spans="1:10">
      <c r="A222" s="95"/>
      <c r="B222" s="18"/>
      <c r="C222" s="94"/>
      <c r="D222" s="94"/>
      <c r="E222" s="85"/>
      <c r="F222" s="85"/>
      <c r="G222" s="85"/>
      <c r="H222" s="85"/>
      <c r="I222" s="14"/>
      <c r="J222" s="15" t="str">
        <f>IF(E222="Invalid_Segment","Invalid",IFERROR(INDEX(Severity_Matrix!$C$3:$M$10,MATCH('Error Log'!$F222,Severity_Matrix!$B$3:$B$10,0),MATCH('Error Log'!$G222,Severity_Matrix!$C$2:$M$2,0)),"No errors"))</f>
        <v>No errors</v>
      </c>
    </row>
    <row r="223" spans="1:10" ht="14.4">
      <c r="A223" s="80"/>
      <c r="B223" s="18"/>
      <c r="C223" s="97"/>
      <c r="D223" s="84"/>
      <c r="E223" s="91"/>
      <c r="F223" s="91"/>
      <c r="G223" s="85"/>
      <c r="H223" s="85"/>
      <c r="I223" s="85"/>
      <c r="J223" s="15" t="str">
        <f>IF(E223="Invalid_Segment","Invalid",IFERROR(INDEX(Severity_Matrix!$C$3:$M$10,MATCH('Error Log'!$F223,Severity_Matrix!$B$3:$B$10,0),MATCH('Error Log'!$G223,Severity_Matrix!$C$2:$M$2,0)),"No errors"))</f>
        <v>No errors</v>
      </c>
    </row>
    <row r="224" spans="1:10" ht="14.4">
      <c r="A224" s="80"/>
      <c r="B224" s="18"/>
      <c r="C224" s="97"/>
      <c r="D224" s="84"/>
      <c r="E224" s="85"/>
      <c r="F224" s="85"/>
      <c r="G224" s="85"/>
      <c r="H224" s="85"/>
      <c r="I224" s="85"/>
      <c r="J224" s="15" t="str">
        <f>IF(E224="Invalid_Segment","Invalid",IFERROR(INDEX(Severity_Matrix!$C$3:$M$10,MATCH('Error Log'!$F224,Severity_Matrix!$B$3:$B$10,0),MATCH('Error Log'!$G224,Severity_Matrix!$C$2:$M$2,0)),"No errors"))</f>
        <v>No errors</v>
      </c>
    </row>
    <row r="225" spans="1:10" ht="14.4">
      <c r="A225" s="80"/>
      <c r="B225" s="18"/>
      <c r="C225" s="97"/>
      <c r="D225" s="84"/>
      <c r="E225" s="85"/>
      <c r="F225" s="85"/>
      <c r="G225" s="85"/>
      <c r="H225" s="14"/>
      <c r="I225" s="14"/>
      <c r="J225" s="15" t="str">
        <f>IF(E225="Invalid_Segment","Invalid",IFERROR(INDEX(Severity_Matrix!$C$3:$M$10,MATCH('Error Log'!$F225,Severity_Matrix!$B$3:$B$10,0),MATCH('Error Log'!$G225,Severity_Matrix!$C$2:$M$2,0)),"No errors"))</f>
        <v>No errors</v>
      </c>
    </row>
    <row r="226" spans="1:10" ht="14.4">
      <c r="A226" s="80"/>
      <c r="B226" s="18"/>
      <c r="C226" s="97"/>
      <c r="D226" s="84"/>
      <c r="E226" s="85"/>
      <c r="F226" s="85"/>
      <c r="G226" s="85"/>
      <c r="H226" s="85"/>
      <c r="I226" s="14"/>
      <c r="J226" s="15" t="str">
        <f>IF(E226="Invalid_Segment","Invalid",IFERROR(INDEX(Severity_Matrix!$C$3:$M$10,MATCH('Error Log'!$F226,Severity_Matrix!$B$3:$B$10,0),MATCH('Error Log'!$G226,Severity_Matrix!$C$2:$M$2,0)),"No errors"))</f>
        <v>No errors</v>
      </c>
    </row>
    <row r="227" spans="1:10" ht="14.4">
      <c r="A227" s="80"/>
      <c r="B227" s="18"/>
      <c r="C227" s="97"/>
      <c r="D227" s="84"/>
      <c r="E227" s="85"/>
      <c r="F227" s="85"/>
      <c r="G227" s="85"/>
      <c r="H227" s="85"/>
      <c r="I227" s="14"/>
      <c r="J227" s="15" t="str">
        <f>IF(E227="Invalid_Segment","Invalid",IFERROR(INDEX(Severity_Matrix!$C$3:$M$10,MATCH('Error Log'!$F227,Severity_Matrix!$B$3:$B$10,0),MATCH('Error Log'!$G227,Severity_Matrix!$C$2:$M$2,0)),"No errors"))</f>
        <v>No errors</v>
      </c>
    </row>
    <row r="228" spans="1:10" ht="14.4">
      <c r="A228" s="80"/>
      <c r="B228" s="18"/>
      <c r="C228" s="97"/>
      <c r="D228" s="84"/>
      <c r="E228" s="85"/>
      <c r="F228" s="85"/>
      <c r="G228" s="85"/>
      <c r="H228" s="85"/>
      <c r="I228" s="14"/>
      <c r="J228" s="15" t="str">
        <f>IF(E228="Invalid_Segment","Invalid",IFERROR(INDEX(Severity_Matrix!$C$3:$M$10,MATCH('Error Log'!$F228,Severity_Matrix!$B$3:$B$10,0),MATCH('Error Log'!$G228,Severity_Matrix!$C$2:$M$2,0)),"No errors"))</f>
        <v>No errors</v>
      </c>
    </row>
    <row r="229" spans="1:10" ht="14.4">
      <c r="A229" s="80"/>
      <c r="B229" s="18"/>
      <c r="C229" s="97"/>
      <c r="D229" s="84"/>
      <c r="E229" s="85"/>
      <c r="F229" s="85"/>
      <c r="G229" s="85"/>
      <c r="H229" s="85"/>
      <c r="I229" s="14"/>
      <c r="J229" s="15" t="str">
        <f>IF(E229="Invalid_Segment","Invalid",IFERROR(INDEX(Severity_Matrix!$C$3:$M$10,MATCH('Error Log'!$F229,Severity_Matrix!$B$3:$B$10,0),MATCH('Error Log'!$G229,Severity_Matrix!$C$2:$M$2,0)),"No errors"))</f>
        <v>No errors</v>
      </c>
    </row>
    <row r="230" spans="1:10" ht="14.4">
      <c r="A230" s="80"/>
      <c r="B230" s="18"/>
      <c r="C230" s="97"/>
      <c r="D230" s="84"/>
      <c r="E230" s="91"/>
      <c r="F230" s="91"/>
      <c r="G230" s="85"/>
      <c r="H230" s="85"/>
      <c r="I230" s="85"/>
      <c r="J230" s="15" t="str">
        <f>IF(E230="Invalid_Segment","Invalid",IFERROR(INDEX(Severity_Matrix!$C$3:$M$10,MATCH('Error Log'!$F230,Severity_Matrix!$B$3:$B$10,0),MATCH('Error Log'!$G230,Severity_Matrix!$C$2:$M$2,0)),"No errors"))</f>
        <v>No errors</v>
      </c>
    </row>
    <row r="231" spans="1:10" ht="14.4">
      <c r="A231" s="80"/>
      <c r="B231" s="18"/>
      <c r="C231" s="97"/>
      <c r="D231" s="84"/>
      <c r="E231" s="91"/>
      <c r="F231" s="91"/>
      <c r="G231" s="85"/>
      <c r="H231" s="85"/>
      <c r="I231" s="14"/>
      <c r="J231" s="15" t="str">
        <f>IF(E231="Invalid_Segment","Invalid",IFERROR(INDEX(Severity_Matrix!$C$3:$M$10,MATCH('Error Log'!$F231,Severity_Matrix!$B$3:$B$10,0),MATCH('Error Log'!$G231,Severity_Matrix!$C$2:$M$2,0)),"No errors"))</f>
        <v>No errors</v>
      </c>
    </row>
    <row r="232" spans="1:10" ht="14.4">
      <c r="A232" s="80"/>
      <c r="B232" s="18"/>
      <c r="C232" s="97"/>
      <c r="D232" s="84"/>
      <c r="E232" s="85"/>
      <c r="F232" s="85"/>
      <c r="G232" s="85"/>
      <c r="H232" s="85"/>
      <c r="I232" s="14"/>
      <c r="J232" s="15" t="str">
        <f>IF(E232="Invalid_Segment","Invalid",IFERROR(INDEX(Severity_Matrix!$C$3:$M$10,MATCH('Error Log'!$F232,Severity_Matrix!$B$3:$B$10,0),MATCH('Error Log'!$G232,Severity_Matrix!$C$2:$M$2,0)),"No errors"))</f>
        <v>No errors</v>
      </c>
    </row>
    <row r="233" spans="1:10" ht="14.4">
      <c r="A233" s="80"/>
      <c r="B233" s="18"/>
      <c r="C233" s="97"/>
      <c r="D233" s="84"/>
      <c r="E233" s="85"/>
      <c r="F233" s="85"/>
      <c r="G233" s="85"/>
      <c r="H233" s="85"/>
      <c r="I233" s="14"/>
      <c r="J233" s="15" t="str">
        <f>IF(E233="Invalid_Segment","Invalid",IFERROR(INDEX(Severity_Matrix!$C$3:$M$10,MATCH('Error Log'!$F233,Severity_Matrix!$B$3:$B$10,0),MATCH('Error Log'!$G233,Severity_Matrix!$C$2:$M$2,0)),"No errors"))</f>
        <v>No errors</v>
      </c>
    </row>
    <row r="234" spans="1:10" ht="14.4">
      <c r="A234" s="80"/>
      <c r="B234" s="18"/>
      <c r="C234" s="97"/>
      <c r="D234" s="84"/>
      <c r="E234" s="85"/>
      <c r="F234" s="85"/>
      <c r="G234" s="85"/>
      <c r="H234" s="85"/>
      <c r="I234" s="14"/>
      <c r="J234" s="15" t="str">
        <f>IF(E234="Invalid_Segment","Invalid",IFERROR(INDEX(Severity_Matrix!$C$3:$M$10,MATCH('Error Log'!$F234,Severity_Matrix!$B$3:$B$10,0),MATCH('Error Log'!$G234,Severity_Matrix!$C$2:$M$2,0)),"No errors"))</f>
        <v>No errors</v>
      </c>
    </row>
    <row r="235" spans="1:10" ht="14.4">
      <c r="A235" s="80"/>
      <c r="B235" s="18"/>
      <c r="C235" s="97"/>
      <c r="D235" s="84"/>
      <c r="E235" s="85"/>
      <c r="F235" s="85"/>
      <c r="G235" s="85"/>
      <c r="H235" s="85"/>
      <c r="I235" s="85"/>
      <c r="J235" s="15" t="str">
        <f>IF(E235="Invalid_Segment","Invalid",IFERROR(INDEX(Severity_Matrix!$C$3:$M$10,MATCH('Error Log'!$F235,Severity_Matrix!$B$3:$B$10,0),MATCH('Error Log'!$G235,Severity_Matrix!$C$2:$M$2,0)),"No errors"))</f>
        <v>No errors</v>
      </c>
    </row>
    <row r="236" spans="1:10" ht="14.4">
      <c r="A236" s="80"/>
      <c r="B236" s="18"/>
      <c r="C236" s="97"/>
      <c r="D236" s="84"/>
      <c r="E236" s="91"/>
      <c r="F236" s="91"/>
      <c r="G236" s="86"/>
      <c r="H236" s="85"/>
      <c r="I236" s="14"/>
      <c r="J236" s="15" t="str">
        <f>IF(E236="Invalid_Segment","Invalid",IFERROR(INDEX(Severity_Matrix!$C$3:$M$10,MATCH('Error Log'!$F236,Severity_Matrix!$B$3:$B$10,0),MATCH('Error Log'!$G236,Severity_Matrix!$C$2:$M$2,0)),"No errors"))</f>
        <v>No errors</v>
      </c>
    </row>
    <row r="237" spans="1:10" ht="14.4">
      <c r="A237" s="80"/>
      <c r="B237" s="18"/>
      <c r="C237" s="97"/>
      <c r="D237" s="84"/>
      <c r="E237" s="91"/>
      <c r="F237" s="91"/>
      <c r="G237" s="85"/>
      <c r="H237" s="85"/>
      <c r="I237" s="14"/>
      <c r="J237" s="15" t="str">
        <f>IF(E237="Invalid_Segment","Invalid",IFERROR(INDEX(Severity_Matrix!$C$3:$M$10,MATCH('Error Log'!$F237,Severity_Matrix!$B$3:$B$10,0),MATCH('Error Log'!$G237,Severity_Matrix!$C$2:$M$2,0)),"No errors"))</f>
        <v>No errors</v>
      </c>
    </row>
    <row r="238" spans="1:10" ht="14.4">
      <c r="A238" s="80"/>
      <c r="B238" s="18"/>
      <c r="C238" s="97"/>
      <c r="D238" s="84"/>
      <c r="E238" s="85"/>
      <c r="F238" s="85"/>
      <c r="G238" s="85"/>
      <c r="H238" s="85"/>
      <c r="I238" s="14"/>
      <c r="J238" s="15" t="str">
        <f>IF(E238="Invalid_Segment","Invalid",IFERROR(INDEX(Severity_Matrix!$C$3:$M$10,MATCH('Error Log'!$F238,Severity_Matrix!$B$3:$B$10,0),MATCH('Error Log'!$G238,Severity_Matrix!$C$2:$M$2,0)),"No errors"))</f>
        <v>No errors</v>
      </c>
    </row>
    <row r="239" spans="1:10">
      <c r="A239" s="80"/>
      <c r="B239" s="18"/>
      <c r="C239" s="84"/>
      <c r="D239" s="84"/>
      <c r="E239" s="85"/>
      <c r="F239" s="85"/>
      <c r="G239" s="85"/>
      <c r="H239" s="85"/>
      <c r="I239" s="85"/>
      <c r="J239" s="15" t="str">
        <f>IF(E239="Invalid_Segment","Invalid",IFERROR(INDEX(Severity_Matrix!$C$3:$M$10,MATCH('Error Log'!$F239,Severity_Matrix!$B$3:$B$10,0),MATCH('Error Log'!$G239,Severity_Matrix!$C$2:$M$2,0)),"No errors"))</f>
        <v>No errors</v>
      </c>
    </row>
    <row r="240" spans="1:10">
      <c r="A240" s="80"/>
      <c r="B240" s="18"/>
      <c r="C240" s="84"/>
      <c r="D240" s="84"/>
      <c r="E240" s="85"/>
      <c r="F240" s="85"/>
      <c r="G240" s="85"/>
      <c r="H240" s="85"/>
      <c r="I240" s="14"/>
      <c r="J240" s="15" t="str">
        <f>IF(E240="Invalid_Segment","Invalid",IFERROR(INDEX(Severity_Matrix!$C$3:$M$10,MATCH('Error Log'!$F240,Severity_Matrix!$B$3:$B$10,0),MATCH('Error Log'!$G240,Severity_Matrix!$C$2:$M$2,0)),"No errors"))</f>
        <v>No errors</v>
      </c>
    </row>
    <row r="241" spans="1:10">
      <c r="A241" s="80"/>
      <c r="B241" s="18"/>
      <c r="C241" s="84"/>
      <c r="D241" s="84"/>
      <c r="E241" s="91"/>
      <c r="F241" s="91"/>
      <c r="G241" s="85"/>
      <c r="H241" s="85"/>
      <c r="I241" s="14"/>
      <c r="J241" s="15" t="str">
        <f>IF(E241="Invalid_Segment","Invalid",IFERROR(INDEX(Severity_Matrix!$C$3:$M$10,MATCH('Error Log'!$F241,Severity_Matrix!$B$3:$B$10,0),MATCH('Error Log'!$G241,Severity_Matrix!$C$2:$M$2,0)),"No errors"))</f>
        <v>No errors</v>
      </c>
    </row>
    <row r="242" spans="1:10">
      <c r="A242" s="80"/>
      <c r="B242" s="18"/>
      <c r="C242" s="84"/>
      <c r="D242" s="84"/>
      <c r="E242" s="91"/>
      <c r="F242" s="91"/>
      <c r="G242" s="85"/>
      <c r="H242" s="85"/>
      <c r="I242" s="14"/>
      <c r="J242" s="15" t="str">
        <f>IF(E242="Invalid_Segment","Invalid",IFERROR(INDEX(Severity_Matrix!$C$3:$M$10,MATCH('Error Log'!$F242,Severity_Matrix!$B$3:$B$10,0),MATCH('Error Log'!$G242,Severity_Matrix!$C$2:$M$2,0)),"No errors"))</f>
        <v>No errors</v>
      </c>
    </row>
    <row r="243" spans="1:10">
      <c r="A243" s="80"/>
      <c r="B243" s="18"/>
      <c r="C243" s="84"/>
      <c r="D243" s="84"/>
      <c r="E243" s="85"/>
      <c r="F243" s="85"/>
      <c r="G243" s="85"/>
      <c r="H243" s="85"/>
      <c r="I243" s="14"/>
      <c r="J243" s="15" t="str">
        <f>IF(E243="Invalid_Segment","Invalid",IFERROR(INDEX(Severity_Matrix!$C$3:$M$10,MATCH('Error Log'!$F243,Severity_Matrix!$B$3:$B$10,0),MATCH('Error Log'!$G243,Severity_Matrix!$C$2:$M$2,0)),"No errors"))</f>
        <v>No errors</v>
      </c>
    </row>
    <row r="244" spans="1:10">
      <c r="A244" s="80"/>
      <c r="B244" s="18"/>
      <c r="C244" s="84"/>
      <c r="D244" s="84"/>
      <c r="E244" s="85"/>
      <c r="F244" s="85"/>
      <c r="G244" s="85"/>
      <c r="H244" s="85"/>
      <c r="I244" s="14"/>
      <c r="J244" s="15" t="str">
        <f>IF(E244="Invalid_Segment","Invalid",IFERROR(INDEX(Severity_Matrix!$C$3:$M$10,MATCH('Error Log'!$F244,Severity_Matrix!$B$3:$B$10,0),MATCH('Error Log'!$G244,Severity_Matrix!$C$2:$M$2,0)),"No errors"))</f>
        <v>No errors</v>
      </c>
    </row>
    <row r="245" spans="1:10">
      <c r="A245" s="80"/>
      <c r="B245" s="18"/>
      <c r="C245" s="84"/>
      <c r="D245" s="84"/>
      <c r="E245" s="85"/>
      <c r="F245" s="85"/>
      <c r="G245" s="85"/>
      <c r="H245" s="85"/>
      <c r="I245" s="14"/>
      <c r="J245" s="15" t="str">
        <f>IF(E245="Invalid_Segment","Invalid",IFERROR(INDEX(Severity_Matrix!$C$3:$M$10,MATCH('Error Log'!$F245,Severity_Matrix!$B$3:$B$10,0),MATCH('Error Log'!$G245,Severity_Matrix!$C$2:$M$2,0)),"No errors"))</f>
        <v>No errors</v>
      </c>
    </row>
    <row r="246" spans="1:10">
      <c r="A246" s="80"/>
      <c r="B246" s="18"/>
      <c r="C246" s="84"/>
      <c r="D246" s="84"/>
      <c r="E246" s="85"/>
      <c r="F246" s="85"/>
      <c r="G246" s="85"/>
      <c r="H246" s="85"/>
      <c r="I246" s="14"/>
      <c r="J246" s="15" t="str">
        <f>IF(E246="Invalid_Segment","Invalid",IFERROR(INDEX(Severity_Matrix!$C$3:$M$10,MATCH('Error Log'!$F246,Severity_Matrix!$B$3:$B$10,0),MATCH('Error Log'!$G246,Severity_Matrix!$C$2:$M$2,0)),"No errors"))</f>
        <v>No errors</v>
      </c>
    </row>
    <row r="247" spans="1:10">
      <c r="A247" s="80"/>
      <c r="B247" s="18"/>
      <c r="C247" s="84"/>
      <c r="D247" s="84"/>
      <c r="E247" s="85"/>
      <c r="F247" s="85"/>
      <c r="G247" s="85"/>
      <c r="H247" s="85"/>
      <c r="I247" s="14"/>
      <c r="J247" s="15" t="str">
        <f>IF(E247="Invalid_Segment","Invalid",IFERROR(INDEX(Severity_Matrix!$C$3:$M$10,MATCH('Error Log'!$F247,Severity_Matrix!$B$3:$B$10,0),MATCH('Error Log'!$G247,Severity_Matrix!$C$2:$M$2,0)),"No errors"))</f>
        <v>No errors</v>
      </c>
    </row>
    <row r="248" spans="1:10">
      <c r="A248" s="80"/>
      <c r="B248" s="18"/>
      <c r="C248" s="84"/>
      <c r="D248" s="84"/>
      <c r="E248" s="85"/>
      <c r="F248" s="85"/>
      <c r="G248" s="85"/>
      <c r="H248" s="85"/>
      <c r="I248" s="14"/>
      <c r="J248" s="15" t="str">
        <f>IF(E248="Invalid_Segment","Invalid",IFERROR(INDEX(Severity_Matrix!$C$3:$M$10,MATCH('Error Log'!$F248,Severity_Matrix!$B$3:$B$10,0),MATCH('Error Log'!$G248,Severity_Matrix!$C$2:$M$2,0)),"No errors"))</f>
        <v>No errors</v>
      </c>
    </row>
    <row r="249" spans="1:10">
      <c r="A249" s="80"/>
      <c r="B249" s="18"/>
      <c r="C249" s="84"/>
      <c r="D249" s="84"/>
      <c r="E249" s="85"/>
      <c r="F249" s="85"/>
      <c r="G249" s="85"/>
      <c r="H249" s="85"/>
      <c r="I249" s="14"/>
      <c r="J249" s="15" t="str">
        <f>IF(E249="Invalid_Segment","Invalid",IFERROR(INDEX(Severity_Matrix!$C$3:$M$10,MATCH('Error Log'!$F249,Severity_Matrix!$B$3:$B$10,0),MATCH('Error Log'!$G249,Severity_Matrix!$C$2:$M$2,0)),"No errors"))</f>
        <v>No errors</v>
      </c>
    </row>
    <row r="250" spans="1:10">
      <c r="A250" s="80"/>
      <c r="B250" s="18"/>
      <c r="C250" s="84"/>
      <c r="D250" s="84"/>
      <c r="E250" s="85"/>
      <c r="F250" s="85"/>
      <c r="G250" s="85"/>
      <c r="H250" s="88"/>
      <c r="I250" s="14"/>
      <c r="J250" s="15" t="str">
        <f>IF(E250="Invalid_Segment","Invalid",IFERROR(INDEX(Severity_Matrix!$C$3:$M$10,MATCH('Error Log'!$F250,Severity_Matrix!$B$3:$B$10,0),MATCH('Error Log'!$G250,Severity_Matrix!$C$2:$M$2,0)),"No errors"))</f>
        <v>No errors</v>
      </c>
    </row>
    <row r="251" spans="1:10">
      <c r="A251" s="80"/>
      <c r="B251" s="18"/>
      <c r="C251" s="84"/>
      <c r="D251" s="84"/>
      <c r="E251" s="85"/>
      <c r="F251" s="85"/>
      <c r="G251" s="85"/>
      <c r="H251" s="85"/>
      <c r="I251" s="14"/>
      <c r="J251" s="15" t="str">
        <f>IF(E251="Invalid_Segment","Invalid",IFERROR(INDEX(Severity_Matrix!$C$3:$M$10,MATCH('Error Log'!$F251,Severity_Matrix!$B$3:$B$10,0),MATCH('Error Log'!$G251,Severity_Matrix!$C$2:$M$2,0)),"No errors"))</f>
        <v>No errors</v>
      </c>
    </row>
    <row r="252" spans="1:10">
      <c r="A252" s="80"/>
      <c r="B252" s="18"/>
      <c r="C252" s="84"/>
      <c r="D252" s="84"/>
      <c r="E252" s="85"/>
      <c r="F252" s="85"/>
      <c r="G252" s="85"/>
      <c r="H252" s="85"/>
      <c r="I252" s="14"/>
      <c r="J252" s="15" t="str">
        <f>IF(E252="Invalid_Segment","Invalid",IFERROR(INDEX(Severity_Matrix!$C$3:$M$10,MATCH('Error Log'!$F252,Severity_Matrix!$B$3:$B$10,0),MATCH('Error Log'!$G252,Severity_Matrix!$C$2:$M$2,0)),"No errors"))</f>
        <v>No errors</v>
      </c>
    </row>
    <row r="253" spans="1:10">
      <c r="A253" s="80"/>
      <c r="B253" s="18"/>
      <c r="C253" s="84"/>
      <c r="D253" s="84"/>
      <c r="E253" s="85"/>
      <c r="F253" s="85"/>
      <c r="G253" s="85"/>
      <c r="H253" s="85"/>
      <c r="I253" s="14"/>
      <c r="J253" s="15" t="str">
        <f>IF(E253="Invalid_Segment","Invalid",IFERROR(INDEX(Severity_Matrix!$C$3:$M$10,MATCH('Error Log'!$F253,Severity_Matrix!$B$3:$B$10,0),MATCH('Error Log'!$G253,Severity_Matrix!$C$2:$M$2,0)),"No errors"))</f>
        <v>No errors</v>
      </c>
    </row>
    <row r="254" spans="1:10">
      <c r="A254" s="80"/>
      <c r="B254" s="18"/>
      <c r="C254" s="84"/>
      <c r="D254" s="84"/>
      <c r="E254" s="85"/>
      <c r="F254" s="85"/>
      <c r="G254" s="85"/>
      <c r="H254" s="85"/>
      <c r="I254" s="14"/>
      <c r="J254" s="15" t="str">
        <f>IF(E254="Invalid_Segment","Invalid",IFERROR(INDEX(Severity_Matrix!$C$3:$M$10,MATCH('Error Log'!$F254,Severity_Matrix!$B$3:$B$10,0),MATCH('Error Log'!$G254,Severity_Matrix!$C$2:$M$2,0)),"No errors"))</f>
        <v>No errors</v>
      </c>
    </row>
    <row r="255" spans="1:10">
      <c r="A255" s="80"/>
      <c r="B255" s="18"/>
      <c r="C255" s="84"/>
      <c r="D255" s="84"/>
      <c r="E255" s="85"/>
      <c r="F255" s="85"/>
      <c r="G255" s="85"/>
      <c r="H255" s="85"/>
      <c r="I255" s="14"/>
      <c r="J255" s="15" t="str">
        <f>IF(E255="Invalid_Segment","Invalid",IFERROR(INDEX(Severity_Matrix!$C$3:$M$10,MATCH('Error Log'!$F255,Severity_Matrix!$B$3:$B$10,0),MATCH('Error Log'!$G255,Severity_Matrix!$C$2:$M$2,0)),"No errors"))</f>
        <v>No errors</v>
      </c>
    </row>
    <row r="256" spans="1:10">
      <c r="A256" s="80"/>
      <c r="B256" s="18"/>
      <c r="C256" s="84"/>
      <c r="D256" s="84"/>
      <c r="E256" s="85"/>
      <c r="F256" s="85"/>
      <c r="G256" s="85"/>
      <c r="H256" s="85"/>
      <c r="I256" s="14"/>
      <c r="J256" s="15" t="str">
        <f>IF(E256="Invalid_Segment","Invalid",IFERROR(INDEX(Severity_Matrix!$C$3:$M$10,MATCH('Error Log'!$F256,Severity_Matrix!$B$3:$B$10,0),MATCH('Error Log'!$G256,Severity_Matrix!$C$2:$M$2,0)),"No errors"))</f>
        <v>No errors</v>
      </c>
    </row>
    <row r="257" spans="1:10">
      <c r="A257" s="80"/>
      <c r="B257" s="18"/>
      <c r="C257" s="84"/>
      <c r="D257" s="84"/>
      <c r="E257" s="85"/>
      <c r="F257" s="85"/>
      <c r="G257" s="85"/>
      <c r="H257" s="85"/>
      <c r="I257" s="14"/>
      <c r="J257" s="15" t="str">
        <f>IF(E257="Invalid_Segment","Invalid",IFERROR(INDEX(Severity_Matrix!$C$3:$M$10,MATCH('Error Log'!$F257,Severity_Matrix!$B$3:$B$10,0),MATCH('Error Log'!$G257,Severity_Matrix!$C$2:$M$2,0)),"No errors"))</f>
        <v>No errors</v>
      </c>
    </row>
    <row r="258" spans="1:10">
      <c r="A258" s="80"/>
      <c r="B258" s="18"/>
      <c r="C258" s="84"/>
      <c r="D258" s="84"/>
      <c r="E258" s="85"/>
      <c r="F258" s="85"/>
      <c r="G258" s="85"/>
      <c r="H258" s="88"/>
      <c r="I258" s="14"/>
      <c r="J258" s="15" t="str">
        <f>IF(E258="Invalid_Segment","Invalid",IFERROR(INDEX(Severity_Matrix!$C$3:$M$10,MATCH('Error Log'!$F258,Severity_Matrix!$B$3:$B$10,0),MATCH('Error Log'!$G258,Severity_Matrix!$C$2:$M$2,0)),"No errors"))</f>
        <v>No errors</v>
      </c>
    </row>
    <row r="259" spans="1:10">
      <c r="A259" s="80"/>
      <c r="B259" s="18"/>
      <c r="C259" s="84"/>
      <c r="D259" s="84"/>
      <c r="E259" s="85"/>
      <c r="F259" s="85"/>
      <c r="G259" s="85"/>
      <c r="H259" s="85"/>
      <c r="I259" s="14"/>
      <c r="J259" s="15" t="str">
        <f>IF(E259="Invalid_Segment","Invalid",IFERROR(INDEX(Severity_Matrix!$C$3:$M$10,MATCH('Error Log'!$F259,Severity_Matrix!$B$3:$B$10,0),MATCH('Error Log'!$G259,Severity_Matrix!$C$2:$M$2,0)),"No errors"))</f>
        <v>No errors</v>
      </c>
    </row>
    <row r="260" spans="1:10">
      <c r="A260" s="80"/>
      <c r="B260" s="18"/>
      <c r="C260" s="84"/>
      <c r="D260" s="84"/>
      <c r="E260" s="85"/>
      <c r="F260" s="85"/>
      <c r="G260" s="85"/>
      <c r="H260" s="85"/>
      <c r="I260" s="14"/>
      <c r="J260" s="15" t="str">
        <f>IF(E260="Invalid_Segment","Invalid",IFERROR(INDEX(Severity_Matrix!$C$3:$M$10,MATCH('Error Log'!$F260,Severity_Matrix!$B$3:$B$10,0),MATCH('Error Log'!$G260,Severity_Matrix!$C$2:$M$2,0)),"No errors"))</f>
        <v>No errors</v>
      </c>
    </row>
    <row r="261" spans="1:10">
      <c r="A261" s="80"/>
      <c r="B261" s="18"/>
      <c r="C261" s="84"/>
      <c r="D261" s="84"/>
      <c r="E261" s="85"/>
      <c r="F261" s="85"/>
      <c r="G261" s="85"/>
      <c r="H261" s="85"/>
      <c r="I261" s="14"/>
      <c r="J261" s="15" t="str">
        <f>IF(E261="Invalid_Segment","Invalid",IFERROR(INDEX(Severity_Matrix!$C$3:$M$10,MATCH('Error Log'!$F261,Severity_Matrix!$B$3:$B$10,0),MATCH('Error Log'!$G261,Severity_Matrix!$C$2:$M$2,0)),"No errors"))</f>
        <v>No errors</v>
      </c>
    </row>
    <row r="262" spans="1:10">
      <c r="A262" s="80"/>
      <c r="B262" s="18"/>
      <c r="C262" s="84"/>
      <c r="D262" s="84"/>
      <c r="E262" s="85"/>
      <c r="F262" s="85"/>
      <c r="G262" s="85"/>
      <c r="H262" s="85"/>
      <c r="I262" s="14"/>
      <c r="J262" s="15" t="str">
        <f>IF(E262="Invalid_Segment","Invalid",IFERROR(INDEX(Severity_Matrix!$C$3:$M$10,MATCH('Error Log'!$F262,Severity_Matrix!$B$3:$B$10,0),MATCH('Error Log'!$G262,Severity_Matrix!$C$2:$M$2,0)),"No errors"))</f>
        <v>No errors</v>
      </c>
    </row>
    <row r="263" spans="1:10">
      <c r="A263" s="80"/>
      <c r="B263" s="18"/>
      <c r="C263" s="84"/>
      <c r="D263" s="84"/>
      <c r="E263" s="85"/>
      <c r="F263" s="85"/>
      <c r="G263" s="85"/>
      <c r="H263" s="85"/>
      <c r="I263" s="14"/>
      <c r="J263" s="15" t="str">
        <f>IF(E263="Invalid_Segment","Invalid",IFERROR(INDEX(Severity_Matrix!$C$3:$M$10,MATCH('Error Log'!$F263,Severity_Matrix!$B$3:$B$10,0),MATCH('Error Log'!$G263,Severity_Matrix!$C$2:$M$2,0)),"No errors"))</f>
        <v>No errors</v>
      </c>
    </row>
    <row r="264" spans="1:10">
      <c r="A264" s="80"/>
      <c r="B264" s="18"/>
      <c r="C264" s="84"/>
      <c r="D264" s="84"/>
      <c r="E264" s="85"/>
      <c r="F264" s="85"/>
      <c r="G264" s="85"/>
      <c r="H264" s="85"/>
      <c r="I264" s="14"/>
      <c r="J264" s="15" t="str">
        <f>IF(E264="Invalid_Segment","Invalid",IFERROR(INDEX(Severity_Matrix!$C$3:$M$10,MATCH('Error Log'!$F264,Severity_Matrix!$B$3:$B$10,0),MATCH('Error Log'!$G264,Severity_Matrix!$C$2:$M$2,0)),"No errors"))</f>
        <v>No errors</v>
      </c>
    </row>
    <row r="265" spans="1:10">
      <c r="A265" s="80"/>
      <c r="B265" s="18"/>
      <c r="C265" s="84"/>
      <c r="D265" s="84"/>
      <c r="E265" s="85"/>
      <c r="F265" s="85"/>
      <c r="G265" s="85"/>
      <c r="H265" s="88"/>
      <c r="I265" s="14"/>
      <c r="J265" s="15" t="str">
        <f>IF(E265="Invalid_Segment","Invalid",IFERROR(INDEX(Severity_Matrix!$C$3:$M$10,MATCH('Error Log'!$F265,Severity_Matrix!$B$3:$B$10,0),MATCH('Error Log'!$G265,Severity_Matrix!$C$2:$M$2,0)),"No errors"))</f>
        <v>No errors</v>
      </c>
    </row>
    <row r="266" spans="1:10">
      <c r="A266" s="80"/>
      <c r="B266" s="18"/>
      <c r="C266" s="84"/>
      <c r="D266" s="84"/>
      <c r="E266" s="85"/>
      <c r="F266" s="85"/>
      <c r="G266" s="85"/>
      <c r="H266" s="85"/>
      <c r="I266" s="14"/>
      <c r="J266" s="15" t="str">
        <f>IF(E266="Invalid_Segment","Invalid",IFERROR(INDEX(Severity_Matrix!$C$3:$M$10,MATCH('Error Log'!$F266,Severity_Matrix!$B$3:$B$10,0),MATCH('Error Log'!$G266,Severity_Matrix!$C$2:$M$2,0)),"No errors"))</f>
        <v>No errors</v>
      </c>
    </row>
    <row r="267" spans="1:10">
      <c r="A267" s="80"/>
      <c r="B267" s="18"/>
      <c r="C267" s="84"/>
      <c r="D267" s="84"/>
      <c r="E267" s="85"/>
      <c r="F267" s="85"/>
      <c r="G267" s="85"/>
      <c r="H267" s="88"/>
      <c r="I267" s="14"/>
      <c r="J267" s="15" t="str">
        <f>IF(E267="Invalid_Segment","Invalid",IFERROR(INDEX(Severity_Matrix!$C$3:$M$10,MATCH('Error Log'!$F267,Severity_Matrix!$B$3:$B$10,0),MATCH('Error Log'!$G267,Severity_Matrix!$C$2:$M$2,0)),"No errors"))</f>
        <v>No errors</v>
      </c>
    </row>
    <row r="268" spans="1:10">
      <c r="A268" s="80"/>
      <c r="B268" s="18"/>
      <c r="C268" s="84"/>
      <c r="D268" s="84"/>
      <c r="E268" s="85"/>
      <c r="F268" s="85"/>
      <c r="G268" s="85"/>
      <c r="H268" s="85"/>
      <c r="I268" s="14"/>
      <c r="J268" s="15" t="str">
        <f>IF(E268="Invalid_Segment","Invalid",IFERROR(INDEX(Severity_Matrix!$C$3:$M$10,MATCH('Error Log'!$F268,Severity_Matrix!$B$3:$B$10,0),MATCH('Error Log'!$G268,Severity_Matrix!$C$2:$M$2,0)),"No errors"))</f>
        <v>No errors</v>
      </c>
    </row>
    <row r="269" spans="1:10">
      <c r="A269" s="80"/>
      <c r="B269" s="18"/>
      <c r="C269" s="84"/>
      <c r="D269" s="84"/>
      <c r="E269" s="85"/>
      <c r="F269" s="85"/>
      <c r="G269" s="85"/>
      <c r="H269" s="85"/>
      <c r="I269" s="14"/>
      <c r="J269" s="15" t="str">
        <f>IF(E269="Invalid_Segment","Invalid",IFERROR(INDEX(Severity_Matrix!$C$3:$M$10,MATCH('Error Log'!$F269,Severity_Matrix!$B$3:$B$10,0),MATCH('Error Log'!$G269,Severity_Matrix!$C$2:$M$2,0)),"No errors"))</f>
        <v>No errors</v>
      </c>
    </row>
    <row r="270" spans="1:10">
      <c r="A270" s="80"/>
      <c r="B270" s="18"/>
      <c r="C270" s="84"/>
      <c r="D270" s="84"/>
      <c r="E270" s="85"/>
      <c r="F270" s="85"/>
      <c r="G270" s="85"/>
      <c r="H270" s="85"/>
      <c r="I270" s="14"/>
      <c r="J270" s="15" t="str">
        <f>IF(E270="Invalid_Segment","Invalid",IFERROR(INDEX(Severity_Matrix!$C$3:$M$10,MATCH('Error Log'!$F270,Severity_Matrix!$B$3:$B$10,0),MATCH('Error Log'!$G270,Severity_Matrix!$C$2:$M$2,0)),"No errors"))</f>
        <v>No errors</v>
      </c>
    </row>
    <row r="271" spans="1:10">
      <c r="A271" s="80"/>
      <c r="B271" s="18"/>
      <c r="C271" s="84"/>
      <c r="D271" s="84"/>
      <c r="E271" s="85"/>
      <c r="F271" s="85"/>
      <c r="G271" s="85"/>
      <c r="H271" s="85"/>
      <c r="I271" s="14"/>
      <c r="J271" s="15" t="str">
        <f>IF(E271="Invalid_Segment","Invalid",IFERROR(INDEX(Severity_Matrix!$C$3:$M$10,MATCH('Error Log'!$F271,Severity_Matrix!$B$3:$B$10,0),MATCH('Error Log'!$G271,Severity_Matrix!$C$2:$M$2,0)),"No errors"))</f>
        <v>No errors</v>
      </c>
    </row>
    <row r="272" spans="1:10">
      <c r="A272" s="80"/>
      <c r="B272" s="18"/>
      <c r="C272" s="84"/>
      <c r="D272" s="84"/>
      <c r="E272" s="85"/>
      <c r="F272" s="85"/>
      <c r="G272" s="85"/>
      <c r="H272" s="85"/>
      <c r="I272" s="14"/>
      <c r="J272" s="15" t="str">
        <f>IF(E272="Invalid_Segment","Invalid",IFERROR(INDEX(Severity_Matrix!$C$3:$M$10,MATCH('Error Log'!$F272,Severity_Matrix!$B$3:$B$10,0),MATCH('Error Log'!$G272,Severity_Matrix!$C$2:$M$2,0)),"No errors"))</f>
        <v>No errors</v>
      </c>
    </row>
    <row r="273" spans="1:10">
      <c r="A273" s="80"/>
      <c r="B273" s="18"/>
      <c r="C273" s="84"/>
      <c r="D273" s="84"/>
      <c r="E273" s="85"/>
      <c r="F273" s="85"/>
      <c r="G273" s="85"/>
      <c r="H273" s="85"/>
      <c r="I273" s="14"/>
      <c r="J273" s="15" t="str">
        <f>IF(E273="Invalid_Segment","Invalid",IFERROR(INDEX(Severity_Matrix!$C$3:$M$10,MATCH('Error Log'!$F273,Severity_Matrix!$B$3:$B$10,0),MATCH('Error Log'!$G273,Severity_Matrix!$C$2:$M$2,0)),"No errors"))</f>
        <v>No errors</v>
      </c>
    </row>
    <row r="274" spans="1:10">
      <c r="A274" s="80"/>
      <c r="B274" s="18"/>
      <c r="C274" s="84"/>
      <c r="D274" s="84"/>
      <c r="E274" s="85"/>
      <c r="F274" s="85"/>
      <c r="G274" s="85"/>
      <c r="H274" s="85"/>
      <c r="I274" s="14"/>
      <c r="J274" s="15" t="str">
        <f>IF(E274="Invalid_Segment","Invalid",IFERROR(INDEX(Severity_Matrix!$C$3:$M$10,MATCH('Error Log'!$F274,Severity_Matrix!$B$3:$B$10,0),MATCH('Error Log'!$G274,Severity_Matrix!$C$2:$M$2,0)),"No errors"))</f>
        <v>No errors</v>
      </c>
    </row>
    <row r="275" spans="1:10">
      <c r="A275" s="80"/>
      <c r="B275" s="18"/>
      <c r="C275" s="84"/>
      <c r="D275" s="84"/>
      <c r="E275" s="85"/>
      <c r="F275" s="85"/>
      <c r="G275" s="85"/>
      <c r="H275" s="85"/>
      <c r="I275" s="14"/>
      <c r="J275" s="15" t="str">
        <f>IF(E275="Invalid_Segment","Invalid",IFERROR(INDEX(Severity_Matrix!$C$3:$M$10,MATCH('Error Log'!$F275,Severity_Matrix!$B$3:$B$10,0),MATCH('Error Log'!$G275,Severity_Matrix!$C$2:$M$2,0)),"No errors"))</f>
        <v>No errors</v>
      </c>
    </row>
    <row r="276" spans="1:10">
      <c r="A276" s="80"/>
      <c r="B276" s="18"/>
      <c r="C276" s="84"/>
      <c r="D276" s="84"/>
      <c r="E276" s="85"/>
      <c r="F276" s="85"/>
      <c r="G276" s="85"/>
      <c r="H276" s="85"/>
      <c r="I276" s="14"/>
      <c r="J276" s="15" t="str">
        <f>IF(E276="Invalid_Segment","Invalid",IFERROR(INDEX(Severity_Matrix!$C$3:$M$10,MATCH('Error Log'!$F276,Severity_Matrix!$B$3:$B$10,0),MATCH('Error Log'!$G276,Severity_Matrix!$C$2:$M$2,0)),"No errors"))</f>
        <v>No errors</v>
      </c>
    </row>
    <row r="277" spans="1:10">
      <c r="A277" s="80"/>
      <c r="B277" s="18"/>
      <c r="C277" s="84"/>
      <c r="D277" s="84"/>
      <c r="E277" s="85"/>
      <c r="F277" s="85"/>
      <c r="G277" s="85"/>
      <c r="H277" s="85"/>
      <c r="I277" s="14"/>
      <c r="J277" s="15" t="str">
        <f>IF(E277="Invalid_Segment","Invalid",IFERROR(INDEX(Severity_Matrix!$C$3:$M$10,MATCH('Error Log'!$F277,Severity_Matrix!$B$3:$B$10,0),MATCH('Error Log'!$G277,Severity_Matrix!$C$2:$M$2,0)),"No errors"))</f>
        <v>No errors</v>
      </c>
    </row>
    <row r="278" spans="1:10">
      <c r="A278" s="80"/>
      <c r="B278" s="18"/>
      <c r="C278" s="84"/>
      <c r="D278" s="84"/>
      <c r="E278" s="85"/>
      <c r="F278" s="85"/>
      <c r="G278" s="85"/>
      <c r="H278" s="85"/>
      <c r="I278" s="14"/>
      <c r="J278" s="15" t="str">
        <f>IF(E278="Invalid_Segment","Invalid",IFERROR(INDEX(Severity_Matrix!$C$3:$M$10,MATCH('Error Log'!$F278,Severity_Matrix!$B$3:$B$10,0),MATCH('Error Log'!$G278,Severity_Matrix!$C$2:$M$2,0)),"No errors"))</f>
        <v>No errors</v>
      </c>
    </row>
    <row r="279" spans="1:10">
      <c r="A279" s="80"/>
      <c r="B279" s="18"/>
      <c r="C279" s="84"/>
      <c r="D279" s="84"/>
      <c r="E279" s="85"/>
      <c r="F279" s="85"/>
      <c r="G279" s="85"/>
      <c r="H279" s="85"/>
      <c r="I279" s="14"/>
      <c r="J279" s="15" t="str">
        <f>IF(E279="Invalid_Segment","Invalid",IFERROR(INDEX(Severity_Matrix!$C$3:$M$10,MATCH('Error Log'!$F279,Severity_Matrix!$B$3:$B$10,0),MATCH('Error Log'!$G279,Severity_Matrix!$C$2:$M$2,0)),"No errors"))</f>
        <v>No errors</v>
      </c>
    </row>
    <row r="280" spans="1:10">
      <c r="A280" s="80"/>
      <c r="B280" s="18"/>
      <c r="C280" s="84"/>
      <c r="D280" s="84"/>
      <c r="E280" s="85"/>
      <c r="F280" s="85"/>
      <c r="G280" s="85"/>
      <c r="H280" s="85"/>
      <c r="I280" s="14"/>
      <c r="J280" s="15" t="str">
        <f>IF(E280="Invalid_Segment","Invalid",IFERROR(INDEX(Severity_Matrix!$C$3:$M$10,MATCH('Error Log'!$F280,Severity_Matrix!$B$3:$B$10,0),MATCH('Error Log'!$G280,Severity_Matrix!$C$2:$M$2,0)),"No errors"))</f>
        <v>No errors</v>
      </c>
    </row>
    <row r="281" spans="1:10">
      <c r="A281" s="80"/>
      <c r="B281" s="18"/>
      <c r="C281" s="84"/>
      <c r="D281" s="84"/>
      <c r="E281" s="14"/>
      <c r="F281" s="14"/>
      <c r="G281" s="14"/>
      <c r="H281" s="14"/>
      <c r="I281" s="14"/>
      <c r="J281" s="15" t="str">
        <f>IF(E281="Invalid_Segment","Invalid",IFERROR(INDEX(Severity_Matrix!$C$3:$M$10,MATCH('Error Log'!$F281,Severity_Matrix!$B$3:$B$10,0),MATCH('Error Log'!$G281,Severity_Matrix!$C$2:$M$2,0)),"No errors"))</f>
        <v>No errors</v>
      </c>
    </row>
    <row r="282" spans="1:10">
      <c r="A282" s="80"/>
      <c r="B282" s="18"/>
      <c r="C282" s="84"/>
      <c r="D282" s="84"/>
      <c r="E282" s="14"/>
      <c r="F282" s="14"/>
      <c r="G282" s="14"/>
      <c r="H282" s="14"/>
      <c r="I282" s="14"/>
      <c r="J282" s="15" t="str">
        <f>IF(E282="Invalid_Segment","Invalid",IFERROR(INDEX(Severity_Matrix!$C$3:$M$10,MATCH('Error Log'!$F282,Severity_Matrix!$B$3:$B$10,0),MATCH('Error Log'!$G282,Severity_Matrix!$C$2:$M$2,0)),"No errors"))</f>
        <v>No errors</v>
      </c>
    </row>
    <row r="283" spans="1:10">
      <c r="A283" s="80"/>
      <c r="B283" s="18"/>
      <c r="C283" s="84"/>
      <c r="D283" s="84"/>
      <c r="E283" s="85"/>
      <c r="F283" s="85"/>
      <c r="G283" s="85"/>
      <c r="H283" s="85"/>
      <c r="I283" s="14"/>
      <c r="J283" s="15" t="str">
        <f>IF(E283="Invalid_Segment","Invalid",IFERROR(INDEX(Severity_Matrix!$C$3:$M$10,MATCH('Error Log'!$F283,Severity_Matrix!$B$3:$B$10,0),MATCH('Error Log'!$G283,Severity_Matrix!$C$2:$M$2,0)),"No errors"))</f>
        <v>No errors</v>
      </c>
    </row>
    <row r="284" spans="1:10">
      <c r="A284" s="80"/>
      <c r="B284" s="18"/>
      <c r="C284" s="84"/>
      <c r="D284" s="84"/>
      <c r="E284" s="85"/>
      <c r="F284" s="85"/>
      <c r="G284" s="85"/>
      <c r="H284" s="85"/>
      <c r="I284" s="14"/>
      <c r="J284" s="15" t="str">
        <f>IF(E284="Invalid_Segment","Invalid",IFERROR(INDEX(Severity_Matrix!$C$3:$M$10,MATCH('Error Log'!$F284,Severity_Matrix!$B$3:$B$10,0),MATCH('Error Log'!$G284,Severity_Matrix!$C$2:$M$2,0)),"No errors"))</f>
        <v>No errors</v>
      </c>
    </row>
    <row r="285" spans="1:10">
      <c r="A285" s="80"/>
      <c r="B285" s="18"/>
      <c r="C285" s="84"/>
      <c r="D285" s="84"/>
      <c r="E285" s="85"/>
      <c r="F285" s="85"/>
      <c r="G285" s="85"/>
      <c r="H285" s="85"/>
      <c r="I285" s="14"/>
      <c r="J285" s="15" t="str">
        <f>IF(E285="Invalid_Segment","Invalid",IFERROR(INDEX(Severity_Matrix!$C$3:$M$10,MATCH('Error Log'!$F285,Severity_Matrix!$B$3:$B$10,0),MATCH('Error Log'!$G285,Severity_Matrix!$C$2:$M$2,0)),"No errors"))</f>
        <v>No errors</v>
      </c>
    </row>
    <row r="286" spans="1:10">
      <c r="A286" s="80"/>
      <c r="B286" s="18"/>
      <c r="C286" s="84"/>
      <c r="D286" s="84"/>
      <c r="E286" s="14"/>
      <c r="F286" s="14"/>
      <c r="G286" s="14"/>
      <c r="H286" s="14"/>
      <c r="I286" s="14"/>
      <c r="J286" s="15" t="str">
        <f>IF(E286="Invalid_Segment","Invalid",IFERROR(INDEX(Severity_Matrix!$C$3:$M$10,MATCH('Error Log'!$F286,Severity_Matrix!$B$3:$B$10,0),MATCH('Error Log'!$G286,Severity_Matrix!$C$2:$M$2,0)),"No errors"))</f>
        <v>No errors</v>
      </c>
    </row>
    <row r="287" spans="1:10">
      <c r="A287" s="80"/>
      <c r="B287" s="18"/>
      <c r="C287" s="84"/>
      <c r="D287" s="84"/>
      <c r="E287" s="14"/>
      <c r="F287" s="14"/>
      <c r="G287" s="14"/>
      <c r="H287" s="14"/>
      <c r="I287" s="14"/>
      <c r="J287" s="15" t="str">
        <f>IF(E287="Invalid_Segment","Invalid",IFERROR(INDEX(Severity_Matrix!$C$3:$M$10,MATCH('Error Log'!$F287,Severity_Matrix!$B$3:$B$10,0),MATCH('Error Log'!$G287,Severity_Matrix!$C$2:$M$2,0)),"No errors"))</f>
        <v>No errors</v>
      </c>
    </row>
    <row r="288" spans="1:10">
      <c r="A288" s="80"/>
      <c r="B288" s="18"/>
      <c r="C288" s="84"/>
      <c r="D288" s="84"/>
      <c r="E288" s="14"/>
      <c r="F288" s="14"/>
      <c r="G288" s="14"/>
      <c r="H288" s="14"/>
      <c r="I288" s="14"/>
      <c r="J288" s="15" t="str">
        <f>IF(E288="Invalid_Segment","Invalid",IFERROR(INDEX(Severity_Matrix!$C$3:$M$10,MATCH('Error Log'!$F288,Severity_Matrix!$B$3:$B$10,0),MATCH('Error Log'!$G288,Severity_Matrix!$C$2:$M$2,0)),"No errors"))</f>
        <v>No errors</v>
      </c>
    </row>
    <row r="289" spans="1:10">
      <c r="A289" s="80"/>
      <c r="B289" s="18"/>
      <c r="C289" s="84"/>
      <c r="D289" s="84"/>
      <c r="E289" s="14"/>
      <c r="F289" s="14"/>
      <c r="G289" s="14"/>
      <c r="H289" s="14"/>
      <c r="I289" s="14"/>
      <c r="J289" s="15" t="str">
        <f>IF(E289="Invalid_Segment","Invalid",IFERROR(INDEX(Severity_Matrix!$C$3:$M$10,MATCH('Error Log'!$F289,Severity_Matrix!$B$3:$B$10,0),MATCH('Error Log'!$G289,Severity_Matrix!$C$2:$M$2,0)),"No errors"))</f>
        <v>No errors</v>
      </c>
    </row>
    <row r="290" spans="1:10">
      <c r="A290" s="80"/>
      <c r="B290" s="18"/>
      <c r="C290" s="84"/>
      <c r="D290" s="20"/>
      <c r="E290" s="14"/>
      <c r="F290" s="14"/>
      <c r="G290" s="14"/>
      <c r="H290" s="14"/>
      <c r="I290" s="14"/>
      <c r="J290" s="15" t="str">
        <f>IF(E290="Invalid_Segment","Invalid",IFERROR(INDEX(Severity_Matrix!$C$3:$M$10,MATCH('Error Log'!$F290,Severity_Matrix!$B$3:$B$10,0),MATCH('Error Log'!$G290,Severity_Matrix!$C$2:$M$2,0)),"No errors"))</f>
        <v>No errors</v>
      </c>
    </row>
    <row r="291" spans="1:10">
      <c r="A291" s="80"/>
      <c r="B291" s="18"/>
      <c r="C291" s="84"/>
      <c r="D291" s="20"/>
      <c r="E291" s="14"/>
      <c r="F291" s="14"/>
      <c r="G291" s="14"/>
      <c r="H291" s="14"/>
      <c r="I291" s="14"/>
      <c r="J291" s="15" t="str">
        <f>IF(E291="Invalid_Segment","Invalid",IFERROR(INDEX(Severity_Matrix!$C$3:$M$10,MATCH('Error Log'!$F291,Severity_Matrix!$B$3:$B$10,0),MATCH('Error Log'!$G291,Severity_Matrix!$C$2:$M$2,0)),"No errors"))</f>
        <v>No errors</v>
      </c>
    </row>
    <row r="292" spans="1:10">
      <c r="A292" s="80"/>
      <c r="B292" s="18"/>
      <c r="C292" s="84"/>
      <c r="D292" s="20"/>
      <c r="E292" s="14"/>
      <c r="F292" s="14"/>
      <c r="G292" s="14"/>
      <c r="H292" s="14"/>
      <c r="I292" s="14"/>
      <c r="J292" s="15" t="str">
        <f>IF(E292="Invalid_Segment","Invalid",IFERROR(INDEX(Severity_Matrix!$C$3:$M$10,MATCH('Error Log'!$F292,Severity_Matrix!$B$3:$B$10,0),MATCH('Error Log'!$G292,Severity_Matrix!$C$2:$M$2,0)),"No errors"))</f>
        <v>No errors</v>
      </c>
    </row>
    <row r="293" spans="1:10">
      <c r="A293" s="80"/>
      <c r="B293" s="18"/>
      <c r="C293" s="84"/>
      <c r="D293" s="20"/>
      <c r="E293" s="14"/>
      <c r="F293" s="14"/>
      <c r="G293" s="14"/>
      <c r="H293" s="14"/>
      <c r="I293" s="14"/>
      <c r="J293" s="15" t="str">
        <f>IF(E293="Invalid_Segment","Invalid",IFERROR(INDEX(Severity_Matrix!$C$3:$M$10,MATCH('Error Log'!$F293,Severity_Matrix!$B$3:$B$10,0),MATCH('Error Log'!$G293,Severity_Matrix!$C$2:$M$2,0)),"No errors"))</f>
        <v>No errors</v>
      </c>
    </row>
    <row r="294" spans="1:10">
      <c r="A294" s="80"/>
      <c r="B294" s="18"/>
      <c r="C294" s="84"/>
      <c r="D294" s="20"/>
      <c r="E294" s="14"/>
      <c r="F294" s="14"/>
      <c r="G294" s="14"/>
      <c r="H294" s="14"/>
      <c r="I294" s="14"/>
      <c r="J294" s="15" t="str">
        <f>IF(E294="Invalid_Segment","Invalid",IFERROR(INDEX(Severity_Matrix!$C$3:$M$10,MATCH('Error Log'!$F294,Severity_Matrix!$B$3:$B$10,0),MATCH('Error Log'!$G294,Severity_Matrix!$C$2:$M$2,0)),"No errors"))</f>
        <v>No errors</v>
      </c>
    </row>
    <row r="295" spans="1:10">
      <c r="A295" s="80"/>
      <c r="B295" s="18"/>
      <c r="C295" s="84"/>
      <c r="D295" s="20"/>
      <c r="E295" s="14"/>
      <c r="F295" s="14"/>
      <c r="G295" s="14"/>
      <c r="H295" s="14"/>
      <c r="I295" s="14"/>
      <c r="J295" s="15" t="str">
        <f>IF(E295="Invalid_Segment","Invalid",IFERROR(INDEX(Severity_Matrix!$C$3:$M$10,MATCH('Error Log'!$F295,Severity_Matrix!$B$3:$B$10,0),MATCH('Error Log'!$G295,Severity_Matrix!$C$2:$M$2,0)),"No errors"))</f>
        <v>No errors</v>
      </c>
    </row>
    <row r="296" spans="1:10">
      <c r="A296" s="80"/>
      <c r="B296" s="18"/>
      <c r="C296" s="84"/>
      <c r="D296" s="20"/>
      <c r="E296" s="14"/>
      <c r="F296" s="14"/>
      <c r="G296" s="14"/>
      <c r="H296" s="14"/>
      <c r="I296" s="14"/>
      <c r="J296" s="15" t="str">
        <f>IF(E296="Invalid_Segment","Invalid",IFERROR(INDEX(Severity_Matrix!$C$3:$M$10,MATCH('Error Log'!$F296,Severity_Matrix!$B$3:$B$10,0),MATCH('Error Log'!$G296,Severity_Matrix!$C$2:$M$2,0)),"No errors"))</f>
        <v>No errors</v>
      </c>
    </row>
    <row r="297" spans="1:10">
      <c r="A297" s="80"/>
      <c r="B297" s="18"/>
      <c r="C297" s="84"/>
      <c r="D297" s="84"/>
      <c r="E297" s="85"/>
      <c r="F297" s="85"/>
      <c r="G297" s="85"/>
      <c r="H297" s="85"/>
      <c r="I297" s="14"/>
      <c r="J297" s="15" t="str">
        <f>IF(E297="Invalid_Segment","Invalid",IFERROR(INDEX(Severity_Matrix!$C$3:$M$10,MATCH('Error Log'!$F297,Severity_Matrix!$B$3:$B$10,0),MATCH('Error Log'!$G297,Severity_Matrix!$C$2:$M$2,0)),"No errors"))</f>
        <v>No errors</v>
      </c>
    </row>
    <row r="298" spans="1:10">
      <c r="A298" s="80"/>
      <c r="B298" s="18"/>
      <c r="C298" s="84"/>
      <c r="D298" s="20"/>
      <c r="E298" s="14"/>
      <c r="F298" s="14"/>
      <c r="G298" s="14"/>
      <c r="H298" s="14"/>
      <c r="I298" s="14"/>
      <c r="J298" s="15" t="str">
        <f>IF(E298="Invalid_Segment","Invalid",IFERROR(INDEX(Severity_Matrix!$C$3:$M$10,MATCH('Error Log'!$F298,Severity_Matrix!$B$3:$B$10,0),MATCH('Error Log'!$G298,Severity_Matrix!$C$2:$M$2,0)),"No errors"))</f>
        <v>No errors</v>
      </c>
    </row>
    <row r="299" spans="1:10">
      <c r="A299" s="80"/>
      <c r="B299" s="18"/>
      <c r="C299" s="84"/>
      <c r="D299" s="20"/>
      <c r="E299" s="14"/>
      <c r="F299" s="14"/>
      <c r="G299" s="14"/>
      <c r="H299" s="14"/>
      <c r="I299" s="14"/>
      <c r="J299" s="15" t="str">
        <f>IF(E299="Invalid_Segment","Invalid",IFERROR(INDEX(Severity_Matrix!$C$3:$M$10,MATCH('Error Log'!$F299,Severity_Matrix!$B$3:$B$10,0),MATCH('Error Log'!$G299,Severity_Matrix!$C$2:$M$2,0)),"No errors"))</f>
        <v>No errors</v>
      </c>
    </row>
    <row r="300" spans="1:10">
      <c r="A300" s="80"/>
      <c r="B300" s="18"/>
      <c r="C300" s="84"/>
      <c r="D300" s="20"/>
      <c r="E300" s="14"/>
      <c r="F300" s="14"/>
      <c r="G300" s="14"/>
      <c r="H300" s="14"/>
      <c r="I300" s="14"/>
      <c r="J300" s="15" t="str">
        <f>IF(E300="Invalid_Segment","Invalid",IFERROR(INDEX(Severity_Matrix!$C$3:$M$10,MATCH('Error Log'!$F300,Severity_Matrix!$B$3:$B$10,0),MATCH('Error Log'!$G300,Severity_Matrix!$C$2:$M$2,0)),"No errors"))</f>
        <v>No errors</v>
      </c>
    </row>
    <row r="301" spans="1:10">
      <c r="A301" s="80"/>
      <c r="B301" s="18"/>
      <c r="C301" s="84"/>
      <c r="D301" s="20"/>
      <c r="E301" s="14"/>
      <c r="F301" s="14"/>
      <c r="G301" s="14"/>
      <c r="H301" s="14"/>
      <c r="I301" s="14"/>
      <c r="J301" s="15" t="str">
        <f>IF(E301="Invalid_Segment","Invalid",IFERROR(INDEX(Severity_Matrix!$C$3:$M$10,MATCH('Error Log'!$F301,Severity_Matrix!$B$3:$B$10,0),MATCH('Error Log'!$G301,Severity_Matrix!$C$2:$M$2,0)),"No errors"))</f>
        <v>No errors</v>
      </c>
    </row>
    <row r="302" spans="1:10">
      <c r="A302" s="80"/>
      <c r="B302" s="18"/>
      <c r="C302" s="84"/>
      <c r="D302" s="20"/>
      <c r="E302" s="14"/>
      <c r="F302" s="14"/>
      <c r="G302" s="14"/>
      <c r="H302" s="14"/>
      <c r="I302" s="14"/>
      <c r="J302" s="15" t="str">
        <f>IF(E302="Invalid_Segment","Invalid",IFERROR(INDEX(Severity_Matrix!$C$3:$M$10,MATCH('Error Log'!$F302,Severity_Matrix!$B$3:$B$10,0),MATCH('Error Log'!$G302,Severity_Matrix!$C$2:$M$2,0)),"No errors"))</f>
        <v>No errors</v>
      </c>
    </row>
    <row r="303" spans="1:10">
      <c r="A303" s="80"/>
      <c r="B303" s="18"/>
      <c r="C303" s="84"/>
      <c r="D303" s="84"/>
      <c r="E303" s="85"/>
      <c r="F303" s="85"/>
      <c r="G303" s="85"/>
      <c r="H303" s="85"/>
      <c r="I303" s="14"/>
      <c r="J303" s="15" t="str">
        <f>IF(E303="Invalid_Segment","Invalid",IFERROR(INDEX(Severity_Matrix!$C$3:$M$10,MATCH('Error Log'!$F303,Severity_Matrix!$B$3:$B$10,0),MATCH('Error Log'!$G303,Severity_Matrix!$C$2:$M$2,0)),"No errors"))</f>
        <v>No errors</v>
      </c>
    </row>
    <row r="304" spans="1:10">
      <c r="A304" s="80"/>
      <c r="B304" s="18"/>
      <c r="C304" s="84"/>
      <c r="D304" s="84"/>
      <c r="E304" s="85"/>
      <c r="F304" s="85"/>
      <c r="G304" s="85"/>
      <c r="H304" s="85"/>
      <c r="I304" s="14"/>
      <c r="J304" s="15" t="str">
        <f>IF(E304="Invalid_Segment","Invalid",IFERROR(INDEX(Severity_Matrix!$C$3:$M$10,MATCH('Error Log'!$F304,Severity_Matrix!$B$3:$B$10,0),MATCH('Error Log'!$G304,Severity_Matrix!$C$2:$M$2,0)),"No errors"))</f>
        <v>No errors</v>
      </c>
    </row>
    <row r="305" spans="1:10">
      <c r="A305" s="80"/>
      <c r="B305" s="18"/>
      <c r="C305" s="84"/>
      <c r="D305" s="84"/>
      <c r="E305" s="85"/>
      <c r="F305" s="85"/>
      <c r="G305" s="85"/>
      <c r="H305" s="85"/>
      <c r="I305" s="14"/>
      <c r="J305" s="15" t="str">
        <f>IF(E305="Invalid_Segment","Invalid",IFERROR(INDEX(Severity_Matrix!$C$3:$M$10,MATCH('Error Log'!$F305,Severity_Matrix!$B$3:$B$10,0),MATCH('Error Log'!$G305,Severity_Matrix!$C$2:$M$2,0)),"No errors"))</f>
        <v>No errors</v>
      </c>
    </row>
    <row r="306" spans="1:10">
      <c r="A306" s="80"/>
      <c r="B306" s="18"/>
      <c r="C306" s="84"/>
      <c r="D306" s="84"/>
      <c r="E306" s="85"/>
      <c r="F306" s="85"/>
      <c r="G306" s="85"/>
      <c r="H306" s="85"/>
      <c r="I306" s="14"/>
      <c r="J306" s="15" t="str">
        <f>IF(E306="Invalid_Segment","Invalid",IFERROR(INDEX(Severity_Matrix!$C$3:$M$10,MATCH('Error Log'!$F306,Severity_Matrix!$B$3:$B$10,0),MATCH('Error Log'!$G306,Severity_Matrix!$C$2:$M$2,0)),"No errors"))</f>
        <v>No errors</v>
      </c>
    </row>
    <row r="307" spans="1:10">
      <c r="A307" s="80"/>
      <c r="B307" s="18"/>
      <c r="C307" s="84"/>
      <c r="D307" s="84"/>
      <c r="E307" s="85"/>
      <c r="F307" s="85"/>
      <c r="G307" s="85"/>
      <c r="H307" s="85"/>
      <c r="I307" s="14"/>
      <c r="J307" s="15" t="str">
        <f>IF(E307="Invalid_Segment","Invalid",IFERROR(INDEX(Severity_Matrix!$C$3:$M$10,MATCH('Error Log'!$F307,Severity_Matrix!$B$3:$B$10,0),MATCH('Error Log'!$G307,Severity_Matrix!$C$2:$M$2,0)),"No errors"))</f>
        <v>No errors</v>
      </c>
    </row>
    <row r="308" spans="1:10">
      <c r="A308" s="80"/>
      <c r="B308" s="18"/>
      <c r="C308" s="84"/>
      <c r="D308" s="84"/>
      <c r="E308" s="85"/>
      <c r="F308" s="85"/>
      <c r="G308" s="85"/>
      <c r="H308" s="85"/>
      <c r="I308" s="14"/>
      <c r="J308" s="15" t="str">
        <f>IF(E308="Invalid_Segment","Invalid",IFERROR(INDEX(Severity_Matrix!$C$3:$M$10,MATCH('Error Log'!$F308,Severity_Matrix!$B$3:$B$10,0),MATCH('Error Log'!$G308,Severity_Matrix!$C$2:$M$2,0)),"No errors"))</f>
        <v>No errors</v>
      </c>
    </row>
    <row r="309" spans="1:10">
      <c r="A309" s="80"/>
      <c r="B309" s="18"/>
      <c r="C309" s="84"/>
      <c r="D309" s="20"/>
      <c r="E309" s="14"/>
      <c r="F309" s="14"/>
      <c r="G309" s="14"/>
      <c r="H309" s="14"/>
      <c r="I309" s="14"/>
      <c r="J309" s="15" t="str">
        <f>IF(E309="Invalid_Segment","Invalid",IFERROR(INDEX(Severity_Matrix!$C$3:$M$10,MATCH('Error Log'!$F309,Severity_Matrix!$B$3:$B$10,0),MATCH('Error Log'!$G309,Severity_Matrix!$C$2:$M$2,0)),"No errors"))</f>
        <v>No errors</v>
      </c>
    </row>
    <row r="310" spans="1:10">
      <c r="A310" s="80"/>
      <c r="B310" s="18"/>
      <c r="C310" s="84"/>
      <c r="D310" s="20"/>
      <c r="E310" s="85"/>
      <c r="F310" s="85"/>
      <c r="G310" s="85"/>
      <c r="H310" s="14"/>
      <c r="I310" s="14"/>
      <c r="J310" s="15" t="str">
        <f>IF(E310="Invalid_Segment","Invalid",IFERROR(INDEX(Severity_Matrix!$C$3:$M$10,MATCH('Error Log'!$F310,Severity_Matrix!$B$3:$B$10,0),MATCH('Error Log'!$G310,Severity_Matrix!$C$2:$M$2,0)),"No errors"))</f>
        <v>No errors</v>
      </c>
    </row>
    <row r="311" spans="1:10">
      <c r="A311" s="80"/>
      <c r="B311" s="18"/>
      <c r="C311" s="84"/>
      <c r="D311" s="20"/>
      <c r="E311" s="85"/>
      <c r="F311" s="85"/>
      <c r="G311" s="85"/>
      <c r="H311" s="14"/>
      <c r="I311" s="14"/>
      <c r="J311" s="15" t="str">
        <f>IF(E311="Invalid_Segment","Invalid",IFERROR(INDEX(Severity_Matrix!$C$3:$M$10,MATCH('Error Log'!$F311,Severity_Matrix!$B$3:$B$10,0),MATCH('Error Log'!$G311,Severity_Matrix!$C$2:$M$2,0)),"No errors"))</f>
        <v>No errors</v>
      </c>
    </row>
    <row r="312" spans="1:10">
      <c r="A312" s="80"/>
      <c r="B312" s="18"/>
      <c r="C312" s="84"/>
      <c r="D312" s="20"/>
      <c r="E312" s="85"/>
      <c r="F312" s="85"/>
      <c r="G312" s="85"/>
      <c r="H312" s="14"/>
      <c r="I312" s="14"/>
      <c r="J312" s="15" t="str">
        <f>IF(E312="Invalid_Segment","Invalid",IFERROR(INDEX(Severity_Matrix!$C$3:$M$10,MATCH('Error Log'!$F312,Severity_Matrix!$B$3:$B$10,0),MATCH('Error Log'!$G312,Severity_Matrix!$C$2:$M$2,0)),"No errors"))</f>
        <v>No errors</v>
      </c>
    </row>
    <row r="313" spans="1:10">
      <c r="A313" s="80"/>
      <c r="B313" s="18"/>
      <c r="C313" s="84"/>
      <c r="D313" s="20"/>
      <c r="E313" s="14"/>
      <c r="F313" s="14"/>
      <c r="G313" s="14"/>
      <c r="H313" s="14"/>
      <c r="I313" s="14"/>
      <c r="J313" s="15" t="str">
        <f>IF(E313="Invalid_Segment","Invalid",IFERROR(INDEX(Severity_Matrix!$C$3:$M$10,MATCH('Error Log'!$F313,Severity_Matrix!$B$3:$B$10,0),MATCH('Error Log'!$G313,Severity_Matrix!$C$2:$M$2,0)),"No errors"))</f>
        <v>No errors</v>
      </c>
    </row>
    <row r="314" spans="1:10">
      <c r="A314" s="80"/>
      <c r="B314" s="18"/>
      <c r="C314" s="84"/>
      <c r="D314" s="20"/>
      <c r="E314" s="14"/>
      <c r="F314" s="14"/>
      <c r="G314" s="14"/>
      <c r="H314" s="14"/>
      <c r="I314" s="14"/>
      <c r="J314" s="15" t="str">
        <f>IF(E314="Invalid_Segment","Invalid",IFERROR(INDEX(Severity_Matrix!$C$3:$M$10,MATCH('Error Log'!$F314,Severity_Matrix!$B$3:$B$10,0),MATCH('Error Log'!$G314,Severity_Matrix!$C$2:$M$2,0)),"No errors"))</f>
        <v>No errors</v>
      </c>
    </row>
    <row r="315" spans="1:10">
      <c r="A315" s="80"/>
      <c r="B315" s="18"/>
      <c r="C315" s="84"/>
      <c r="D315" s="20"/>
      <c r="E315" s="14"/>
      <c r="F315" s="14"/>
      <c r="G315" s="14"/>
      <c r="H315" s="14"/>
      <c r="I315" s="14"/>
      <c r="J315" s="15" t="str">
        <f>IF(E315="Invalid_Segment","Invalid",IFERROR(INDEX(Severity_Matrix!$C$3:$M$10,MATCH('Error Log'!$F315,Severity_Matrix!$B$3:$B$10,0),MATCH('Error Log'!$G315,Severity_Matrix!$C$2:$M$2,0)),"No errors"))</f>
        <v>No errors</v>
      </c>
    </row>
    <row r="316" spans="1:10">
      <c r="A316" s="80"/>
      <c r="B316" s="18"/>
      <c r="C316" s="84"/>
      <c r="D316" s="20"/>
      <c r="E316" s="85"/>
      <c r="F316" s="85"/>
      <c r="G316" s="85"/>
      <c r="H316" s="85"/>
      <c r="I316" s="14"/>
      <c r="J316" s="15" t="str">
        <f>IF(E316="Invalid_Segment","Invalid",IFERROR(INDEX(Severity_Matrix!$C$3:$M$10,MATCH('Error Log'!$F316,Severity_Matrix!$B$3:$B$10,0),MATCH('Error Log'!$G316,Severity_Matrix!$C$2:$M$2,0)),"No errors"))</f>
        <v>No errors</v>
      </c>
    </row>
    <row r="317" spans="1:10">
      <c r="A317" s="79"/>
      <c r="B317" s="18"/>
      <c r="C317" s="79"/>
      <c r="D317" s="79"/>
      <c r="E317" s="85"/>
      <c r="F317" s="85"/>
      <c r="G317" s="85"/>
      <c r="H317" s="85"/>
      <c r="I317" s="14"/>
      <c r="J317" s="15" t="str">
        <f>IF(E317="Invalid_Segment","Invalid",IFERROR(INDEX(Severity_Matrix!$C$3:$M$10,MATCH('Error Log'!$F317,Severity_Matrix!$B$3:$B$10,0),MATCH('Error Log'!$G317,Severity_Matrix!$C$2:$M$2,0)),"No errors"))</f>
        <v>No errors</v>
      </c>
    </row>
    <row r="318" spans="1:10">
      <c r="A318" s="79"/>
      <c r="B318" s="18"/>
      <c r="C318" s="79"/>
      <c r="D318" s="79"/>
      <c r="E318" s="85"/>
      <c r="F318" s="85"/>
      <c r="G318" s="85"/>
      <c r="H318" s="85"/>
      <c r="I318" s="14"/>
      <c r="J318" s="15" t="str">
        <f>IF(E318="Invalid_Segment","Invalid",IFERROR(INDEX(Severity_Matrix!$C$3:$M$10,MATCH('Error Log'!$F318,Severity_Matrix!$B$3:$B$10,0),MATCH('Error Log'!$G318,Severity_Matrix!$C$2:$M$2,0)),"No errors"))</f>
        <v>No errors</v>
      </c>
    </row>
    <row r="319" spans="1:10">
      <c r="A319" s="79"/>
      <c r="B319" s="18"/>
      <c r="C319" s="79"/>
      <c r="D319" s="79"/>
      <c r="E319" s="85"/>
      <c r="F319" s="85"/>
      <c r="G319" s="85"/>
      <c r="H319" s="85"/>
      <c r="I319" s="14"/>
      <c r="J319" s="15" t="str">
        <f>IF(E319="Invalid_Segment","Invalid",IFERROR(INDEX(Severity_Matrix!$C$3:$M$10,MATCH('Error Log'!$F319,Severity_Matrix!$B$3:$B$10,0),MATCH('Error Log'!$G319,Severity_Matrix!$C$2:$M$2,0)),"No errors"))</f>
        <v>No errors</v>
      </c>
    </row>
    <row r="320" spans="1:10">
      <c r="A320" s="79"/>
      <c r="B320" s="18"/>
      <c r="C320" s="79"/>
      <c r="D320" s="79"/>
      <c r="E320" s="85"/>
      <c r="F320" s="85"/>
      <c r="G320" s="85"/>
      <c r="H320" s="85"/>
      <c r="I320" s="14"/>
      <c r="J320" s="15" t="str">
        <f>IF(E320="Invalid_Segment","Invalid",IFERROR(INDEX(Severity_Matrix!$C$3:$M$10,MATCH('Error Log'!$F320,Severity_Matrix!$B$3:$B$10,0),MATCH('Error Log'!$G320,Severity_Matrix!$C$2:$M$2,0)),"No errors"))</f>
        <v>No errors</v>
      </c>
    </row>
    <row r="321" spans="1:10">
      <c r="A321" s="79"/>
      <c r="B321" s="18"/>
      <c r="C321" s="79"/>
      <c r="D321" s="79"/>
      <c r="E321" s="85"/>
      <c r="F321" s="85"/>
      <c r="G321" s="85"/>
      <c r="H321" s="85"/>
      <c r="I321" s="14"/>
      <c r="J321" s="15" t="str">
        <f>IF(E321="Invalid_Segment","Invalid",IFERROR(INDEX(Severity_Matrix!$C$3:$M$10,MATCH('Error Log'!$F321,Severity_Matrix!$B$3:$B$10,0),MATCH('Error Log'!$G321,Severity_Matrix!$C$2:$M$2,0)),"No errors"))</f>
        <v>No errors</v>
      </c>
    </row>
    <row r="322" spans="1:10">
      <c r="A322" s="79"/>
      <c r="B322" s="18"/>
      <c r="C322" s="79"/>
      <c r="D322" s="79"/>
      <c r="E322" s="85"/>
      <c r="F322" s="85"/>
      <c r="G322" s="85"/>
      <c r="H322" s="85"/>
      <c r="I322" s="14"/>
      <c r="J322" s="15" t="str">
        <f>IF(E322="Invalid_Segment","Invalid",IFERROR(INDEX(Severity_Matrix!$C$3:$M$10,MATCH('Error Log'!$F322,Severity_Matrix!$B$3:$B$10,0),MATCH('Error Log'!$G322,Severity_Matrix!$C$2:$M$2,0)),"No errors"))</f>
        <v>No errors</v>
      </c>
    </row>
    <row r="323" spans="1:10">
      <c r="A323" s="79"/>
      <c r="B323" s="18"/>
      <c r="C323" s="79"/>
      <c r="D323" s="79"/>
      <c r="E323" s="85"/>
      <c r="F323" s="85"/>
      <c r="G323" s="85"/>
      <c r="H323" s="85"/>
      <c r="I323" s="14"/>
      <c r="J323" s="15" t="str">
        <f>IF(E323="Invalid_Segment","Invalid",IFERROR(INDEX(Severity_Matrix!$C$3:$M$10,MATCH('Error Log'!$F323,Severity_Matrix!$B$3:$B$10,0),MATCH('Error Log'!$G323,Severity_Matrix!$C$2:$M$2,0)),"No errors"))</f>
        <v>No errors</v>
      </c>
    </row>
    <row r="324" spans="1:10">
      <c r="A324" s="79"/>
      <c r="B324" s="18"/>
      <c r="C324" s="79"/>
      <c r="D324" s="79"/>
      <c r="E324" s="85"/>
      <c r="F324" s="85"/>
      <c r="G324" s="85"/>
      <c r="H324" s="85"/>
      <c r="I324" s="14"/>
      <c r="J324" s="15" t="str">
        <f>IF(E324="Invalid_Segment","Invalid",IFERROR(INDEX(Severity_Matrix!$C$3:$M$10,MATCH('Error Log'!$F324,Severity_Matrix!$B$3:$B$10,0),MATCH('Error Log'!$G324,Severity_Matrix!$C$2:$M$2,0)),"No errors"))</f>
        <v>No errors</v>
      </c>
    </row>
    <row r="325" spans="1:10">
      <c r="A325" s="79"/>
      <c r="B325" s="18"/>
      <c r="C325" s="79"/>
      <c r="D325" s="79"/>
      <c r="E325" s="85"/>
      <c r="F325" s="85"/>
      <c r="G325" s="85"/>
      <c r="H325" s="85"/>
      <c r="I325" s="14"/>
      <c r="J325" s="15" t="str">
        <f>IF(E325="Invalid_Segment","Invalid",IFERROR(INDEX(Severity_Matrix!$C$3:$M$10,MATCH('Error Log'!$F325,Severity_Matrix!$B$3:$B$10,0),MATCH('Error Log'!$G325,Severity_Matrix!$C$2:$M$2,0)),"No errors"))</f>
        <v>No errors</v>
      </c>
    </row>
    <row r="326" spans="1:10">
      <c r="A326" s="79"/>
      <c r="B326" s="18"/>
      <c r="C326" s="79"/>
      <c r="D326" s="79"/>
      <c r="E326" s="85"/>
      <c r="F326" s="85"/>
      <c r="G326" s="85"/>
      <c r="H326" s="85"/>
      <c r="I326" s="14"/>
      <c r="J326" s="15" t="str">
        <f>IF(E326="Invalid_Segment","Invalid",IFERROR(INDEX(Severity_Matrix!$C$3:$M$10,MATCH('Error Log'!$F326,Severity_Matrix!$B$3:$B$10,0),MATCH('Error Log'!$G326,Severity_Matrix!$C$2:$M$2,0)),"No errors"))</f>
        <v>No errors</v>
      </c>
    </row>
    <row r="327" spans="1:10">
      <c r="A327" s="79"/>
      <c r="B327" s="18"/>
      <c r="C327" s="79"/>
      <c r="D327" s="79"/>
      <c r="E327" s="85"/>
      <c r="F327" s="85"/>
      <c r="G327" s="85"/>
      <c r="H327" s="85"/>
      <c r="I327" s="14"/>
      <c r="J327" s="15" t="str">
        <f>IF(E327="Invalid_Segment","Invalid",IFERROR(INDEX(Severity_Matrix!$C$3:$M$10,MATCH('Error Log'!$F327,Severity_Matrix!$B$3:$B$10,0),MATCH('Error Log'!$G327,Severity_Matrix!$C$2:$M$2,0)),"No errors"))</f>
        <v>No errors</v>
      </c>
    </row>
    <row r="328" spans="1:10">
      <c r="A328" s="79"/>
      <c r="B328" s="18"/>
      <c r="C328" s="79"/>
      <c r="D328" s="79"/>
      <c r="E328" s="85"/>
      <c r="F328" s="85"/>
      <c r="G328" s="85"/>
      <c r="H328" s="85"/>
      <c r="I328" s="14"/>
      <c r="J328" s="15" t="str">
        <f>IF(E328="Invalid_Segment","Invalid",IFERROR(INDEX(Severity_Matrix!$C$3:$M$10,MATCH('Error Log'!$F328,Severity_Matrix!$B$3:$B$10,0),MATCH('Error Log'!$G328,Severity_Matrix!$C$2:$M$2,0)),"No errors"))</f>
        <v>No errors</v>
      </c>
    </row>
    <row r="329" spans="1:10">
      <c r="A329" s="79"/>
      <c r="B329" s="18"/>
      <c r="C329" s="79"/>
      <c r="D329" s="79"/>
      <c r="E329" s="85"/>
      <c r="F329" s="85"/>
      <c r="G329" s="85"/>
      <c r="H329" s="85"/>
      <c r="I329" s="14"/>
      <c r="J329" s="15" t="str">
        <f>IF(E329="Invalid_Segment","Invalid",IFERROR(INDEX(Severity_Matrix!$C$3:$M$10,MATCH('Error Log'!$F329,Severity_Matrix!$B$3:$B$10,0),MATCH('Error Log'!$G329,Severity_Matrix!$C$2:$M$2,0)),"No errors"))</f>
        <v>No errors</v>
      </c>
    </row>
    <row r="330" spans="1:10">
      <c r="A330" s="79"/>
      <c r="B330" s="18"/>
      <c r="C330" s="79"/>
      <c r="D330" s="79"/>
      <c r="E330" s="85"/>
      <c r="F330" s="85"/>
      <c r="G330" s="85"/>
      <c r="H330" s="85"/>
      <c r="I330" s="14"/>
      <c r="J330" s="15" t="str">
        <f>IF(E330="Invalid_Segment","Invalid",IFERROR(INDEX(Severity_Matrix!$C$3:$M$10,MATCH('Error Log'!$F330,Severity_Matrix!$B$3:$B$10,0),MATCH('Error Log'!$G330,Severity_Matrix!$C$2:$M$2,0)),"No errors"))</f>
        <v>No errors</v>
      </c>
    </row>
    <row r="331" spans="1:10">
      <c r="A331" s="79"/>
      <c r="B331" s="18"/>
      <c r="C331" s="79"/>
      <c r="D331" s="79"/>
      <c r="E331" s="85"/>
      <c r="F331" s="85"/>
      <c r="G331" s="85"/>
      <c r="H331" s="85"/>
      <c r="I331" s="14"/>
      <c r="J331" s="15" t="str">
        <f>IF(E331="Invalid_Segment","Invalid",IFERROR(INDEX(Severity_Matrix!$C$3:$M$10,MATCH('Error Log'!$F331,Severity_Matrix!$B$3:$B$10,0),MATCH('Error Log'!$G331,Severity_Matrix!$C$2:$M$2,0)),"No errors"))</f>
        <v>No errors</v>
      </c>
    </row>
    <row r="332" spans="1:10">
      <c r="A332" s="79"/>
      <c r="B332" s="18"/>
      <c r="C332" s="79"/>
      <c r="D332" s="79"/>
      <c r="E332" s="85"/>
      <c r="F332" s="85"/>
      <c r="G332" s="85"/>
      <c r="H332" s="85"/>
      <c r="I332" s="14"/>
      <c r="J332" s="15" t="str">
        <f>IF(E332="Invalid_Segment","Invalid",IFERROR(INDEX(Severity_Matrix!$C$3:$M$10,MATCH('Error Log'!$F332,Severity_Matrix!$B$3:$B$10,0),MATCH('Error Log'!$G332,Severity_Matrix!$C$2:$M$2,0)),"No errors"))</f>
        <v>No errors</v>
      </c>
    </row>
    <row r="333" spans="1:10">
      <c r="A333" s="79"/>
      <c r="B333" s="18"/>
      <c r="C333" s="79"/>
      <c r="D333" s="79"/>
      <c r="E333" s="85"/>
      <c r="F333" s="85"/>
      <c r="G333" s="85"/>
      <c r="H333" s="85"/>
      <c r="I333" s="14"/>
      <c r="J333" s="15" t="str">
        <f>IF(E333="Invalid_Segment","Invalid",IFERROR(INDEX(Severity_Matrix!$C$3:$M$10,MATCH('Error Log'!$F333,Severity_Matrix!$B$3:$B$10,0),MATCH('Error Log'!$G333,Severity_Matrix!$C$2:$M$2,0)),"No errors"))</f>
        <v>No errors</v>
      </c>
    </row>
    <row r="334" spans="1:10">
      <c r="A334" s="79"/>
      <c r="B334" s="18"/>
      <c r="C334" s="79"/>
      <c r="D334" s="79"/>
      <c r="E334" s="85"/>
      <c r="F334" s="85"/>
      <c r="G334" s="85"/>
      <c r="H334" s="85"/>
      <c r="I334" s="14"/>
      <c r="J334" s="15" t="str">
        <f>IF(E334="Invalid_Segment","Invalid",IFERROR(INDEX(Severity_Matrix!$C$3:$M$10,MATCH('Error Log'!$F334,Severity_Matrix!$B$3:$B$10,0),MATCH('Error Log'!$G334,Severity_Matrix!$C$2:$M$2,0)),"No errors"))</f>
        <v>No errors</v>
      </c>
    </row>
    <row r="335" spans="1:10">
      <c r="A335" s="79"/>
      <c r="B335" s="18"/>
      <c r="C335" s="79"/>
      <c r="D335" s="79"/>
      <c r="E335" s="85"/>
      <c r="F335" s="85"/>
      <c r="G335" s="85"/>
      <c r="H335" s="85"/>
      <c r="I335" s="14"/>
      <c r="J335" s="15" t="str">
        <f>IF(E335="Invalid_Segment","Invalid",IFERROR(INDEX(Severity_Matrix!$C$3:$M$10,MATCH('Error Log'!$F335,Severity_Matrix!$B$3:$B$10,0),MATCH('Error Log'!$G335,Severity_Matrix!$C$2:$M$2,0)),"No errors"))</f>
        <v>No errors</v>
      </c>
    </row>
    <row r="336" spans="1:10">
      <c r="A336" s="79"/>
      <c r="B336" s="18"/>
      <c r="C336" s="79"/>
      <c r="D336" s="79"/>
      <c r="E336" s="85"/>
      <c r="F336" s="85"/>
      <c r="G336" s="85"/>
      <c r="H336" s="85"/>
      <c r="I336" s="14"/>
      <c r="J336" s="15" t="str">
        <f>IF(E336="Invalid_Segment","Invalid",IFERROR(INDEX(Severity_Matrix!$C$3:$M$10,MATCH('Error Log'!$F336,Severity_Matrix!$B$3:$B$10,0),MATCH('Error Log'!$G336,Severity_Matrix!$C$2:$M$2,0)),"No errors"))</f>
        <v>No errors</v>
      </c>
    </row>
    <row r="337" spans="1:10">
      <c r="A337" s="79"/>
      <c r="B337" s="18"/>
      <c r="C337" s="79"/>
      <c r="D337" s="79"/>
      <c r="E337" s="85"/>
      <c r="F337" s="85"/>
      <c r="G337" s="85"/>
      <c r="H337" s="85"/>
      <c r="I337" s="14"/>
      <c r="J337" s="15" t="str">
        <f>IF(E337="Invalid_Segment","Invalid",IFERROR(INDEX(Severity_Matrix!$C$3:$M$10,MATCH('Error Log'!$F337,Severity_Matrix!$B$3:$B$10,0),MATCH('Error Log'!$G337,Severity_Matrix!$C$2:$M$2,0)),"No errors"))</f>
        <v>No errors</v>
      </c>
    </row>
    <row r="338" spans="1:10">
      <c r="A338" s="79"/>
      <c r="B338" s="18"/>
      <c r="C338" s="79"/>
      <c r="D338" s="79"/>
      <c r="E338" s="85"/>
      <c r="F338" s="85"/>
      <c r="G338" s="85"/>
      <c r="H338" s="85"/>
      <c r="I338" s="14"/>
      <c r="J338" s="15" t="str">
        <f>IF(E338="Invalid_Segment","Invalid",IFERROR(INDEX(Severity_Matrix!$C$3:$M$10,MATCH('Error Log'!$F338,Severity_Matrix!$B$3:$B$10,0),MATCH('Error Log'!$G338,Severity_Matrix!$C$2:$M$2,0)),"No errors"))</f>
        <v>No errors</v>
      </c>
    </row>
    <row r="339" spans="1:10">
      <c r="A339" s="79"/>
      <c r="B339" s="18"/>
      <c r="C339" s="79"/>
      <c r="D339" s="79"/>
      <c r="E339" s="85"/>
      <c r="F339" s="85"/>
      <c r="G339" s="85"/>
      <c r="H339" s="85"/>
      <c r="I339" s="14"/>
      <c r="J339" s="15" t="str">
        <f>IF(E339="Invalid_Segment","Invalid",IFERROR(INDEX(Severity_Matrix!$C$3:$M$10,MATCH('Error Log'!$F339,Severity_Matrix!$B$3:$B$10,0),MATCH('Error Log'!$G339,Severity_Matrix!$C$2:$M$2,0)),"No errors"))</f>
        <v>No errors</v>
      </c>
    </row>
    <row r="340" spans="1:10">
      <c r="A340" s="79"/>
      <c r="B340" s="18"/>
      <c r="C340" s="79"/>
      <c r="D340" s="79"/>
      <c r="E340" s="85"/>
      <c r="F340" s="85"/>
      <c r="G340" s="85"/>
      <c r="H340" s="85"/>
      <c r="I340" s="14"/>
      <c r="J340" s="15" t="str">
        <f>IF(E340="Invalid_Segment","Invalid",IFERROR(INDEX(Severity_Matrix!$C$3:$M$10,MATCH('Error Log'!$F340,Severity_Matrix!$B$3:$B$10,0),MATCH('Error Log'!$G340,Severity_Matrix!$C$2:$M$2,0)),"No errors"))</f>
        <v>No errors</v>
      </c>
    </row>
    <row r="341" spans="1:10">
      <c r="A341" s="79"/>
      <c r="B341" s="18"/>
      <c r="C341" s="79"/>
      <c r="D341" s="79"/>
      <c r="E341" s="85"/>
      <c r="F341" s="85"/>
      <c r="G341" s="85"/>
      <c r="H341" s="85"/>
      <c r="I341" s="14"/>
      <c r="J341" s="15" t="str">
        <f>IF(E341="Invalid_Segment","Invalid",IFERROR(INDEX(Severity_Matrix!$C$3:$M$10,MATCH('Error Log'!$F341,Severity_Matrix!$B$3:$B$10,0),MATCH('Error Log'!$G341,Severity_Matrix!$C$2:$M$2,0)),"No errors"))</f>
        <v>No errors</v>
      </c>
    </row>
    <row r="342" spans="1:10">
      <c r="A342" s="79"/>
      <c r="B342" s="18"/>
      <c r="C342" s="79"/>
      <c r="D342" s="79"/>
      <c r="E342" s="85"/>
      <c r="F342" s="85"/>
      <c r="G342" s="85"/>
      <c r="H342" s="85"/>
      <c r="I342" s="14"/>
      <c r="J342" s="15" t="str">
        <f>IF(E342="Invalid_Segment","Invalid",IFERROR(INDEX(Severity_Matrix!$C$3:$M$10,MATCH('Error Log'!$F342,Severity_Matrix!$B$3:$B$10,0),MATCH('Error Log'!$G342,Severity_Matrix!$C$2:$M$2,0)),"No errors"))</f>
        <v>No errors</v>
      </c>
    </row>
    <row r="343" spans="1:10">
      <c r="A343" s="79"/>
      <c r="B343" s="18"/>
      <c r="C343" s="79"/>
      <c r="D343" s="79"/>
      <c r="E343" s="85"/>
      <c r="F343" s="85"/>
      <c r="G343" s="85"/>
      <c r="H343" s="85"/>
      <c r="I343" s="14"/>
      <c r="J343" s="15" t="str">
        <f>IF(E343="Invalid_Segment","Invalid",IFERROR(INDEX(Severity_Matrix!$C$3:$M$10,MATCH('Error Log'!$F343,Severity_Matrix!$B$3:$B$10,0),MATCH('Error Log'!$G343,Severity_Matrix!$C$2:$M$2,0)),"No errors"))</f>
        <v>No errors</v>
      </c>
    </row>
    <row r="344" spans="1:10">
      <c r="A344" s="79"/>
      <c r="B344" s="18"/>
      <c r="C344" s="79"/>
      <c r="D344" s="79"/>
      <c r="E344" s="85"/>
      <c r="F344" s="85"/>
      <c r="G344" s="85"/>
      <c r="H344" s="85"/>
      <c r="I344" s="14"/>
      <c r="J344" s="15" t="str">
        <f>IF(E344="Invalid_Segment","Invalid",IFERROR(INDEX(Severity_Matrix!$C$3:$M$10,MATCH('Error Log'!$F344,Severity_Matrix!$B$3:$B$10,0),MATCH('Error Log'!$G344,Severity_Matrix!$C$2:$M$2,0)),"No errors"))</f>
        <v>No errors</v>
      </c>
    </row>
    <row r="345" spans="1:10">
      <c r="A345" s="79"/>
      <c r="B345" s="18"/>
      <c r="C345" s="79"/>
      <c r="D345" s="79"/>
      <c r="E345" s="85"/>
      <c r="F345" s="85"/>
      <c r="G345" s="85"/>
      <c r="H345" s="85"/>
      <c r="I345" s="14"/>
      <c r="J345" s="15" t="str">
        <f>IF(E345="Invalid_Segment","Invalid",IFERROR(INDEX(Severity_Matrix!$C$3:$M$10,MATCH('Error Log'!$F345,Severity_Matrix!$B$3:$B$10,0),MATCH('Error Log'!$G345,Severity_Matrix!$C$2:$M$2,0)),"No errors"))</f>
        <v>No errors</v>
      </c>
    </row>
    <row r="346" spans="1:10">
      <c r="A346" s="79"/>
      <c r="B346" s="18"/>
      <c r="C346" s="79"/>
      <c r="D346" s="79"/>
      <c r="E346" s="85"/>
      <c r="F346" s="85"/>
      <c r="G346" s="85"/>
      <c r="H346" s="85"/>
      <c r="I346" s="14"/>
      <c r="J346" s="15" t="str">
        <f>IF(E346="Invalid_Segment","Invalid",IFERROR(INDEX(Severity_Matrix!$C$3:$M$10,MATCH('Error Log'!$F346,Severity_Matrix!$B$3:$B$10,0),MATCH('Error Log'!$G346,Severity_Matrix!$C$2:$M$2,0)),"No errors"))</f>
        <v>No errors</v>
      </c>
    </row>
    <row r="347" spans="1:10">
      <c r="A347" s="79"/>
      <c r="B347" s="18"/>
      <c r="C347" s="79"/>
      <c r="D347" s="79"/>
      <c r="E347" s="85"/>
      <c r="F347" s="85"/>
      <c r="G347" s="85"/>
      <c r="H347" s="85"/>
      <c r="I347" s="14"/>
      <c r="J347" s="15" t="str">
        <f>IF(E347="Invalid_Segment","Invalid",IFERROR(INDEX(Severity_Matrix!$C$3:$M$10,MATCH('Error Log'!$F347,Severity_Matrix!$B$3:$B$10,0),MATCH('Error Log'!$G347,Severity_Matrix!$C$2:$M$2,0)),"No errors"))</f>
        <v>No errors</v>
      </c>
    </row>
    <row r="348" spans="1:10">
      <c r="A348" s="79"/>
      <c r="B348" s="18"/>
      <c r="C348" s="79"/>
      <c r="D348" s="79"/>
      <c r="E348" s="85"/>
      <c r="F348" s="85"/>
      <c r="G348" s="85"/>
      <c r="H348" s="85"/>
      <c r="I348" s="14"/>
      <c r="J348" s="15" t="str">
        <f>IF(E348="Invalid_Segment","Invalid",IFERROR(INDEX(Severity_Matrix!$C$3:$M$10,MATCH('Error Log'!$F348,Severity_Matrix!$B$3:$B$10,0),MATCH('Error Log'!$G348,Severity_Matrix!$C$2:$M$2,0)),"No errors"))</f>
        <v>No errors</v>
      </c>
    </row>
    <row r="349" spans="1:10">
      <c r="A349" s="80"/>
      <c r="B349" s="18"/>
      <c r="C349" s="79"/>
      <c r="D349" s="84"/>
      <c r="E349" s="85"/>
      <c r="F349" s="85"/>
      <c r="G349" s="85"/>
      <c r="H349" s="85"/>
      <c r="I349" s="14"/>
      <c r="J349" s="15" t="str">
        <f>IF(E349="Invalid_Segment","Invalid",IFERROR(INDEX(Severity_Matrix!$C$3:$M$10,MATCH('Error Log'!$F349,Severity_Matrix!$B$3:$B$10,0),MATCH('Error Log'!$G349,Severity_Matrix!$C$2:$M$2,0)),"No errors"))</f>
        <v>No errors</v>
      </c>
    </row>
    <row r="350" spans="1:10">
      <c r="A350" s="80"/>
      <c r="B350" s="18"/>
      <c r="C350" s="79"/>
      <c r="D350" s="84"/>
      <c r="E350" s="85"/>
      <c r="F350" s="85"/>
      <c r="G350" s="85"/>
      <c r="H350" s="85"/>
      <c r="I350" s="14"/>
      <c r="J350" s="15" t="str">
        <f>IF(E350="Invalid_Segment","Invalid",IFERROR(INDEX(Severity_Matrix!$C$3:$M$10,MATCH('Error Log'!$F350,Severity_Matrix!$B$3:$B$10,0),MATCH('Error Log'!$G350,Severity_Matrix!$C$2:$M$2,0)),"No errors"))</f>
        <v>No errors</v>
      </c>
    </row>
    <row r="351" spans="1:10">
      <c r="A351" s="80"/>
      <c r="B351" s="18"/>
      <c r="C351" s="79"/>
      <c r="D351" s="84"/>
      <c r="E351" s="85"/>
      <c r="F351" s="85"/>
      <c r="G351" s="85"/>
      <c r="H351" s="85"/>
      <c r="I351" s="14"/>
      <c r="J351" s="15" t="str">
        <f>IF(E351="Invalid_Segment","Invalid",IFERROR(INDEX(Severity_Matrix!$C$3:$M$10,MATCH('Error Log'!$F351,Severity_Matrix!$B$3:$B$10,0),MATCH('Error Log'!$G351,Severity_Matrix!$C$2:$M$2,0)),"No errors"))</f>
        <v>No errors</v>
      </c>
    </row>
    <row r="352" spans="1:10">
      <c r="A352" s="80"/>
      <c r="B352" s="18"/>
      <c r="C352" s="84"/>
      <c r="D352" s="84"/>
      <c r="E352" s="85"/>
      <c r="F352" s="85"/>
      <c r="G352" s="85"/>
      <c r="H352" s="85"/>
      <c r="I352" s="14"/>
      <c r="J352" s="15" t="str">
        <f>IF(E352="Invalid_Segment","Invalid",IFERROR(INDEX(Severity_Matrix!$C$3:$M$10,MATCH('Error Log'!$F352,Severity_Matrix!$B$3:$B$10,0),MATCH('Error Log'!$G352,Severity_Matrix!$C$2:$M$2,0)),"No errors"))</f>
        <v>No errors</v>
      </c>
    </row>
    <row r="353" spans="1:10">
      <c r="A353" s="80"/>
      <c r="B353" s="18"/>
      <c r="C353" s="84"/>
      <c r="D353" s="84"/>
      <c r="E353" s="85"/>
      <c r="F353" s="85"/>
      <c r="G353" s="85"/>
      <c r="H353" s="85"/>
      <c r="I353" s="14"/>
      <c r="J353" s="15" t="str">
        <f>IF(E353="Invalid_Segment","Invalid",IFERROR(INDEX(Severity_Matrix!$C$3:$M$10,MATCH('Error Log'!$F353,Severity_Matrix!$B$3:$B$10,0),MATCH('Error Log'!$G353,Severity_Matrix!$C$2:$M$2,0)),"No errors"))</f>
        <v>No errors</v>
      </c>
    </row>
    <row r="354" spans="1:10">
      <c r="A354" s="80"/>
      <c r="B354" s="18"/>
      <c r="C354" s="84"/>
      <c r="D354" s="84"/>
      <c r="E354" s="85"/>
      <c r="F354" s="85"/>
      <c r="G354" s="85"/>
      <c r="H354" s="85"/>
      <c r="I354" s="14"/>
      <c r="J354" s="15" t="str">
        <f>IF(E354="Invalid_Segment","Invalid",IFERROR(INDEX(Severity_Matrix!$C$3:$M$10,MATCH('Error Log'!$F354,Severity_Matrix!$B$3:$B$10,0),MATCH('Error Log'!$G354,Severity_Matrix!$C$2:$M$2,0)),"No errors"))</f>
        <v>No errors</v>
      </c>
    </row>
    <row r="355" spans="1:10">
      <c r="A355" s="80"/>
      <c r="B355" s="18"/>
      <c r="C355" s="84"/>
      <c r="D355" s="84"/>
      <c r="E355" s="85"/>
      <c r="F355" s="85"/>
      <c r="G355" s="85"/>
      <c r="H355" s="85"/>
      <c r="I355" s="14"/>
      <c r="J355" s="15" t="str">
        <f>IF(E355="Invalid_Segment","Invalid",IFERROR(INDEX(Severity_Matrix!$C$3:$M$10,MATCH('Error Log'!$F355,Severity_Matrix!$B$3:$B$10,0),MATCH('Error Log'!$G355,Severity_Matrix!$C$2:$M$2,0)),"No errors"))</f>
        <v>No errors</v>
      </c>
    </row>
    <row r="356" spans="1:10">
      <c r="A356" s="80"/>
      <c r="B356" s="18"/>
      <c r="C356" s="84"/>
      <c r="D356" s="84"/>
      <c r="E356" s="85"/>
      <c r="F356" s="85"/>
      <c r="G356" s="85"/>
      <c r="H356" s="85"/>
      <c r="I356" s="14"/>
      <c r="J356" s="15" t="str">
        <f>IF(E356="Invalid_Segment","Invalid",IFERROR(INDEX(Severity_Matrix!$C$3:$M$10,MATCH('Error Log'!$F356,Severity_Matrix!$B$3:$B$10,0),MATCH('Error Log'!$G356,Severity_Matrix!$C$2:$M$2,0)),"No errors"))</f>
        <v>No errors</v>
      </c>
    </row>
    <row r="357" spans="1:10">
      <c r="A357" s="80"/>
      <c r="B357" s="18"/>
      <c r="C357" s="84"/>
      <c r="D357" s="84"/>
      <c r="E357" s="85"/>
      <c r="F357" s="85"/>
      <c r="G357" s="85"/>
      <c r="H357" s="85"/>
      <c r="I357" s="14"/>
      <c r="J357" s="15" t="str">
        <f>IF(E357="Invalid_Segment","Invalid",IFERROR(INDEX(Severity_Matrix!$C$3:$M$10,MATCH('Error Log'!$F357,Severity_Matrix!$B$3:$B$10,0),MATCH('Error Log'!$G357,Severity_Matrix!$C$2:$M$2,0)),"No errors"))</f>
        <v>No errors</v>
      </c>
    </row>
    <row r="358" spans="1:10">
      <c r="A358" s="80"/>
      <c r="B358" s="18"/>
      <c r="C358" s="84"/>
      <c r="D358" s="84"/>
      <c r="E358" s="85"/>
      <c r="F358" s="85"/>
      <c r="G358" s="85"/>
      <c r="H358" s="85"/>
      <c r="I358" s="14"/>
      <c r="J358" s="15" t="str">
        <f>IF(E358="Invalid_Segment","Invalid",IFERROR(INDEX(Severity_Matrix!$C$3:$M$10,MATCH('Error Log'!$F358,Severity_Matrix!$B$3:$B$10,0),MATCH('Error Log'!$G358,Severity_Matrix!$C$2:$M$2,0)),"No errors"))</f>
        <v>No errors</v>
      </c>
    </row>
    <row r="359" spans="1:10">
      <c r="A359" s="80"/>
      <c r="B359" s="18"/>
      <c r="C359" s="84"/>
      <c r="D359" s="84"/>
      <c r="E359" s="85"/>
      <c r="F359" s="85"/>
      <c r="G359" s="85"/>
      <c r="H359" s="85"/>
      <c r="I359" s="14"/>
      <c r="J359" s="15" t="str">
        <f>IF(E359="Invalid_Segment","Invalid",IFERROR(INDEX(Severity_Matrix!$C$3:$M$10,MATCH('Error Log'!$F359,Severity_Matrix!$B$3:$B$10,0),MATCH('Error Log'!$G359,Severity_Matrix!$C$2:$M$2,0)),"No errors"))</f>
        <v>No errors</v>
      </c>
    </row>
    <row r="360" spans="1:10">
      <c r="A360" s="80"/>
      <c r="B360" s="18"/>
      <c r="C360" s="84"/>
      <c r="D360" s="84"/>
      <c r="E360" s="85"/>
      <c r="F360" s="85"/>
      <c r="G360" s="85"/>
      <c r="H360" s="85"/>
      <c r="I360" s="14"/>
      <c r="J360" s="15" t="str">
        <f>IF(E360="Invalid_Segment","Invalid",IFERROR(INDEX(Severity_Matrix!$C$3:$M$10,MATCH('Error Log'!$F360,Severity_Matrix!$B$3:$B$10,0),MATCH('Error Log'!$G360,Severity_Matrix!$C$2:$M$2,0)),"No errors"))</f>
        <v>No errors</v>
      </c>
    </row>
    <row r="361" spans="1:10">
      <c r="A361" s="80"/>
      <c r="B361" s="18"/>
      <c r="C361" s="84"/>
      <c r="D361" s="84"/>
      <c r="E361" s="85"/>
      <c r="F361" s="85"/>
      <c r="G361" s="85"/>
      <c r="H361" s="85"/>
      <c r="I361" s="14"/>
      <c r="J361" s="15" t="str">
        <f>IF(E361="Invalid_Segment","Invalid",IFERROR(INDEX(Severity_Matrix!$C$3:$M$10,MATCH('Error Log'!$F361,Severity_Matrix!$B$3:$B$10,0),MATCH('Error Log'!$G361,Severity_Matrix!$C$2:$M$2,0)),"No errors"))</f>
        <v>No errors</v>
      </c>
    </row>
    <row r="362" spans="1:10">
      <c r="A362" s="80"/>
      <c r="B362" s="18"/>
      <c r="C362" s="84"/>
      <c r="D362" s="84"/>
      <c r="E362" s="85"/>
      <c r="F362" s="85"/>
      <c r="G362" s="85"/>
      <c r="H362" s="85"/>
      <c r="I362" s="14"/>
      <c r="J362" s="15" t="str">
        <f>IF(E362="Invalid_Segment","Invalid",IFERROR(INDEX(Severity_Matrix!$C$3:$M$10,MATCH('Error Log'!$F362,Severity_Matrix!$B$3:$B$10,0),MATCH('Error Log'!$G362,Severity_Matrix!$C$2:$M$2,0)),"No errors"))</f>
        <v>No errors</v>
      </c>
    </row>
    <row r="363" spans="1:10">
      <c r="A363" s="80"/>
      <c r="B363" s="18"/>
      <c r="C363" s="84"/>
      <c r="D363" s="84"/>
      <c r="E363" s="85"/>
      <c r="F363" s="85"/>
      <c r="G363" s="85"/>
      <c r="H363" s="85"/>
      <c r="I363" s="14"/>
      <c r="J363" s="15" t="str">
        <f>IF(E363="Invalid_Segment","Invalid",IFERROR(INDEX(Severity_Matrix!$C$3:$M$10,MATCH('Error Log'!$F363,Severity_Matrix!$B$3:$B$10,0),MATCH('Error Log'!$G363,Severity_Matrix!$C$2:$M$2,0)),"No errors"))</f>
        <v>No errors</v>
      </c>
    </row>
    <row r="364" spans="1:10">
      <c r="A364" s="80"/>
      <c r="B364" s="18"/>
      <c r="C364" s="84"/>
      <c r="D364" s="84"/>
      <c r="E364" s="85"/>
      <c r="F364" s="85"/>
      <c r="G364" s="85"/>
      <c r="H364" s="85"/>
      <c r="I364" s="14"/>
      <c r="J364" s="15" t="str">
        <f>IF(E364="Invalid_Segment","Invalid",IFERROR(INDEX(Severity_Matrix!$C$3:$M$10,MATCH('Error Log'!$F364,Severity_Matrix!$B$3:$B$10,0),MATCH('Error Log'!$G364,Severity_Matrix!$C$2:$M$2,0)),"No errors"))</f>
        <v>No errors</v>
      </c>
    </row>
    <row r="365" spans="1:10">
      <c r="A365" s="80"/>
      <c r="B365" s="18"/>
      <c r="C365" s="84"/>
      <c r="D365" s="84"/>
      <c r="E365" s="85"/>
      <c r="F365" s="85"/>
      <c r="G365" s="85"/>
      <c r="H365" s="85"/>
      <c r="I365" s="14"/>
      <c r="J365" s="15" t="str">
        <f>IF(E365="Invalid_Segment","Invalid",IFERROR(INDEX(Severity_Matrix!$C$3:$M$10,MATCH('Error Log'!$F365,Severity_Matrix!$B$3:$B$10,0),MATCH('Error Log'!$G365,Severity_Matrix!$C$2:$M$2,0)),"No errors"))</f>
        <v>No errors</v>
      </c>
    </row>
    <row r="366" spans="1:10">
      <c r="A366" s="80"/>
      <c r="B366" s="18"/>
      <c r="C366" s="84"/>
      <c r="D366" s="84"/>
      <c r="E366" s="85"/>
      <c r="F366" s="85"/>
      <c r="G366" s="85"/>
      <c r="H366" s="85"/>
      <c r="I366" s="14"/>
      <c r="J366" s="15" t="str">
        <f>IF(E366="Invalid_Segment","Invalid",IFERROR(INDEX(Severity_Matrix!$C$3:$M$10,MATCH('Error Log'!$F366,Severity_Matrix!$B$3:$B$10,0),MATCH('Error Log'!$G366,Severity_Matrix!$C$2:$M$2,0)),"No errors"))</f>
        <v>No errors</v>
      </c>
    </row>
    <row r="367" spans="1:10">
      <c r="A367" s="80"/>
      <c r="B367" s="18"/>
      <c r="C367" s="84"/>
      <c r="D367" s="84"/>
      <c r="E367" s="85"/>
      <c r="F367" s="85"/>
      <c r="G367" s="85"/>
      <c r="H367" s="85"/>
      <c r="I367" s="14"/>
      <c r="J367" s="15" t="str">
        <f>IF(E367="Invalid_Segment","Invalid",IFERROR(INDEX(Severity_Matrix!$C$3:$M$10,MATCH('Error Log'!$F367,Severity_Matrix!$B$3:$B$10,0),MATCH('Error Log'!$G367,Severity_Matrix!$C$2:$M$2,0)),"No errors"))</f>
        <v>No errors</v>
      </c>
    </row>
    <row r="368" spans="1:10">
      <c r="A368" s="80"/>
      <c r="B368" s="18"/>
      <c r="C368" s="84"/>
      <c r="D368" s="84"/>
      <c r="E368" s="85"/>
      <c r="F368" s="85"/>
      <c r="G368" s="85"/>
      <c r="H368" s="85"/>
      <c r="I368" s="14"/>
      <c r="J368" s="15" t="str">
        <f>IF(E368="Invalid_Segment","Invalid",IFERROR(INDEX(Severity_Matrix!$C$3:$M$10,MATCH('Error Log'!$F368,Severity_Matrix!$B$3:$B$10,0),MATCH('Error Log'!$G368,Severity_Matrix!$C$2:$M$2,0)),"No errors"))</f>
        <v>No errors</v>
      </c>
    </row>
    <row r="369" spans="1:10">
      <c r="A369" s="80"/>
      <c r="B369" s="18"/>
      <c r="C369" s="84"/>
      <c r="D369" s="84"/>
      <c r="E369" s="85"/>
      <c r="F369" s="85"/>
      <c r="G369" s="85"/>
      <c r="H369" s="85"/>
      <c r="I369" s="14"/>
      <c r="J369" s="15" t="str">
        <f>IF(E369="Invalid_Segment","Invalid",IFERROR(INDEX(Severity_Matrix!$C$3:$M$10,MATCH('Error Log'!$F369,Severity_Matrix!$B$3:$B$10,0),MATCH('Error Log'!$G369,Severity_Matrix!$C$2:$M$2,0)),"No errors"))</f>
        <v>No errors</v>
      </c>
    </row>
    <row r="370" spans="1:10">
      <c r="A370" s="80"/>
      <c r="B370" s="18"/>
      <c r="C370" s="84"/>
      <c r="D370" s="84"/>
      <c r="E370" s="85"/>
      <c r="F370" s="85"/>
      <c r="G370" s="85"/>
      <c r="H370" s="85"/>
      <c r="I370" s="14"/>
      <c r="J370" s="15" t="str">
        <f>IF(E370="Invalid_Segment","Invalid",IFERROR(INDEX(Severity_Matrix!$C$3:$M$10,MATCH('Error Log'!$F370,Severity_Matrix!$B$3:$B$10,0),MATCH('Error Log'!$G370,Severity_Matrix!$C$2:$M$2,0)),"No errors"))</f>
        <v>No errors</v>
      </c>
    </row>
    <row r="371" spans="1:10">
      <c r="A371" s="80"/>
      <c r="B371" s="18"/>
      <c r="C371" s="84"/>
      <c r="D371" s="84"/>
      <c r="E371" s="85"/>
      <c r="F371" s="85"/>
      <c r="G371" s="85"/>
      <c r="H371" s="85"/>
      <c r="I371" s="14"/>
      <c r="J371" s="15" t="str">
        <f>IF(E371="Invalid_Segment","Invalid",IFERROR(INDEX(Severity_Matrix!$C$3:$M$10,MATCH('Error Log'!$F371,Severity_Matrix!$B$3:$B$10,0),MATCH('Error Log'!$G371,Severity_Matrix!$C$2:$M$2,0)),"No errors"))</f>
        <v>No errors</v>
      </c>
    </row>
    <row r="372" spans="1:10">
      <c r="A372" s="80"/>
      <c r="B372" s="18"/>
      <c r="C372" s="84"/>
      <c r="D372" s="84"/>
      <c r="E372" s="85"/>
      <c r="F372" s="85"/>
      <c r="G372" s="85"/>
      <c r="H372" s="85"/>
      <c r="I372" s="14"/>
      <c r="J372" s="15" t="str">
        <f>IF(E372="Invalid_Segment","Invalid",IFERROR(INDEX(Severity_Matrix!$C$3:$M$10,MATCH('Error Log'!$F372,Severity_Matrix!$B$3:$B$10,0),MATCH('Error Log'!$G372,Severity_Matrix!$C$2:$M$2,0)),"No errors"))</f>
        <v>No errors</v>
      </c>
    </row>
    <row r="373" spans="1:10">
      <c r="A373" s="80"/>
      <c r="B373" s="18"/>
      <c r="C373" s="84"/>
      <c r="D373" s="84"/>
      <c r="E373" s="85"/>
      <c r="F373" s="85"/>
      <c r="G373" s="85"/>
      <c r="H373" s="85"/>
      <c r="I373" s="14"/>
      <c r="J373" s="15" t="str">
        <f>IF(E373="Invalid_Segment","Invalid",IFERROR(INDEX(Severity_Matrix!$C$3:$M$10,MATCH('Error Log'!$F373,Severity_Matrix!$B$3:$B$10,0),MATCH('Error Log'!$G373,Severity_Matrix!$C$2:$M$2,0)),"No errors"))</f>
        <v>No errors</v>
      </c>
    </row>
    <row r="374" spans="1:10">
      <c r="A374" s="80"/>
      <c r="B374" s="18"/>
      <c r="C374" s="84"/>
      <c r="D374" s="84"/>
      <c r="E374" s="85"/>
      <c r="F374" s="85"/>
      <c r="G374" s="85"/>
      <c r="H374" s="85"/>
      <c r="I374" s="14"/>
      <c r="J374" s="15" t="str">
        <f>IF(E374="Invalid_Segment","Invalid",IFERROR(INDEX(Severity_Matrix!$C$3:$M$10,MATCH('Error Log'!$F374,Severity_Matrix!$B$3:$B$10,0),MATCH('Error Log'!$G374,Severity_Matrix!$C$2:$M$2,0)),"No errors"))</f>
        <v>No errors</v>
      </c>
    </row>
    <row r="375" spans="1:10">
      <c r="A375" s="80"/>
      <c r="B375" s="18"/>
      <c r="C375" s="84"/>
      <c r="D375" s="84"/>
      <c r="E375" s="85"/>
      <c r="F375" s="85"/>
      <c r="G375" s="85"/>
      <c r="H375" s="85"/>
      <c r="I375" s="14"/>
      <c r="J375" s="15" t="str">
        <f>IF(E375="Invalid_Segment","Invalid",IFERROR(INDEX(Severity_Matrix!$C$3:$M$10,MATCH('Error Log'!$F375,Severity_Matrix!$B$3:$B$10,0),MATCH('Error Log'!$G375,Severity_Matrix!$C$2:$M$2,0)),"No errors"))</f>
        <v>No errors</v>
      </c>
    </row>
    <row r="376" spans="1:10">
      <c r="A376" s="80"/>
      <c r="B376" s="18"/>
      <c r="C376" s="84"/>
      <c r="D376" s="84"/>
      <c r="E376" s="85"/>
      <c r="F376" s="85"/>
      <c r="G376" s="85"/>
      <c r="H376" s="88"/>
      <c r="I376" s="14"/>
      <c r="J376" s="15" t="str">
        <f>IF(E376="Invalid_Segment","Invalid",IFERROR(INDEX(Severity_Matrix!$C$3:$M$10,MATCH('Error Log'!$F376,Severity_Matrix!$B$3:$B$10,0),MATCH('Error Log'!$G376,Severity_Matrix!$C$2:$M$2,0)),"No errors"))</f>
        <v>No errors</v>
      </c>
    </row>
    <row r="377" spans="1:10">
      <c r="A377" s="80"/>
      <c r="B377" s="18"/>
      <c r="C377" s="84"/>
      <c r="D377" s="84"/>
      <c r="E377" s="85"/>
      <c r="F377" s="85"/>
      <c r="G377" s="85"/>
      <c r="H377" s="85"/>
      <c r="I377" s="14"/>
      <c r="J377" s="15" t="str">
        <f>IF(E377="Invalid_Segment","Invalid",IFERROR(INDEX(Severity_Matrix!$C$3:$M$10,MATCH('Error Log'!$F377,Severity_Matrix!$B$3:$B$10,0),MATCH('Error Log'!$G377,Severity_Matrix!$C$2:$M$2,0)),"No errors"))</f>
        <v>No errors</v>
      </c>
    </row>
    <row r="378" spans="1:10">
      <c r="A378" s="80"/>
      <c r="B378" s="18"/>
      <c r="C378" s="84"/>
      <c r="D378" s="84"/>
      <c r="E378" s="85"/>
      <c r="F378" s="85"/>
      <c r="G378" s="85"/>
      <c r="H378" s="85"/>
      <c r="I378" s="14"/>
      <c r="J378" s="15" t="str">
        <f>IF(E378="Invalid_Segment","Invalid",IFERROR(INDEX(Severity_Matrix!$C$3:$M$10,MATCH('Error Log'!$F378,Severity_Matrix!$B$3:$B$10,0),MATCH('Error Log'!$G378,Severity_Matrix!$C$2:$M$2,0)),"No errors"))</f>
        <v>No errors</v>
      </c>
    </row>
    <row r="379" spans="1:10">
      <c r="A379" s="80"/>
      <c r="B379" s="18"/>
      <c r="C379" s="84"/>
      <c r="D379" s="84"/>
      <c r="E379" s="85"/>
      <c r="F379" s="85"/>
      <c r="G379" s="85"/>
      <c r="H379" s="88"/>
      <c r="I379" s="14"/>
      <c r="J379" s="15" t="str">
        <f>IF(E379="Invalid_Segment","Invalid",IFERROR(INDEX(Severity_Matrix!$C$3:$M$10,MATCH('Error Log'!$F379,Severity_Matrix!$B$3:$B$10,0),MATCH('Error Log'!$G379,Severity_Matrix!$C$2:$M$2,0)),"No errors"))</f>
        <v>No errors</v>
      </c>
    </row>
    <row r="380" spans="1:10">
      <c r="A380" s="80"/>
      <c r="B380" s="18"/>
      <c r="C380" s="84"/>
      <c r="D380" s="84"/>
      <c r="E380" s="85"/>
      <c r="F380" s="85"/>
      <c r="G380" s="85"/>
      <c r="H380" s="85"/>
      <c r="I380" s="14"/>
      <c r="J380" s="15" t="str">
        <f>IF(E380="Invalid_Segment","Invalid",IFERROR(INDEX(Severity_Matrix!$C$3:$M$10,MATCH('Error Log'!$F380,Severity_Matrix!$B$3:$B$10,0),MATCH('Error Log'!$G380,Severity_Matrix!$C$2:$M$2,0)),"No errors"))</f>
        <v>No errors</v>
      </c>
    </row>
    <row r="381" spans="1:10">
      <c r="A381" s="80"/>
      <c r="B381" s="18"/>
      <c r="C381" s="84"/>
      <c r="D381" s="84"/>
      <c r="E381" s="85"/>
      <c r="F381" s="85"/>
      <c r="G381" s="85"/>
      <c r="H381" s="85"/>
      <c r="I381" s="14"/>
      <c r="J381" s="15" t="str">
        <f>IF(E381="Invalid_Segment","Invalid",IFERROR(INDEX(Severity_Matrix!$C$3:$M$10,MATCH('Error Log'!$F381,Severity_Matrix!$B$3:$B$10,0),MATCH('Error Log'!$G381,Severity_Matrix!$C$2:$M$2,0)),"No errors"))</f>
        <v>No errors</v>
      </c>
    </row>
    <row r="382" spans="1:10">
      <c r="A382" s="80"/>
      <c r="B382" s="18"/>
      <c r="C382" s="84"/>
      <c r="D382" s="84"/>
      <c r="E382" s="85"/>
      <c r="F382" s="85"/>
      <c r="G382" s="85"/>
      <c r="H382" s="85"/>
      <c r="I382" s="14"/>
      <c r="J382" s="15" t="str">
        <f>IF(E382="Invalid_Segment","Invalid",IFERROR(INDEX(Severity_Matrix!$C$3:$M$10,MATCH('Error Log'!$F382,Severity_Matrix!$B$3:$B$10,0),MATCH('Error Log'!$G382,Severity_Matrix!$C$2:$M$2,0)),"No errors"))</f>
        <v>No errors</v>
      </c>
    </row>
    <row r="383" spans="1:10">
      <c r="A383" s="80"/>
      <c r="B383" s="18"/>
      <c r="C383" s="84"/>
      <c r="D383" s="84"/>
      <c r="E383" s="85"/>
      <c r="F383" s="85"/>
      <c r="G383" s="85"/>
      <c r="H383" s="85"/>
      <c r="I383" s="14"/>
      <c r="J383" s="15" t="str">
        <f>IF(E383="Invalid_Segment","Invalid",IFERROR(INDEX(Severity_Matrix!$C$3:$M$10,MATCH('Error Log'!$F383,Severity_Matrix!$B$3:$B$10,0),MATCH('Error Log'!$G383,Severity_Matrix!$C$2:$M$2,0)),"No errors"))</f>
        <v>No errors</v>
      </c>
    </row>
    <row r="384" spans="1:10">
      <c r="A384" s="80"/>
      <c r="B384" s="18"/>
      <c r="C384" s="84"/>
      <c r="D384" s="84"/>
      <c r="E384" s="85"/>
      <c r="F384" s="85"/>
      <c r="G384" s="85"/>
      <c r="H384" s="85"/>
      <c r="I384" s="14"/>
      <c r="J384" s="15" t="str">
        <f>IF(E384="Invalid_Segment","Invalid",IFERROR(INDEX(Severity_Matrix!$C$3:$M$10,MATCH('Error Log'!$F384,Severity_Matrix!$B$3:$B$10,0),MATCH('Error Log'!$G384,Severity_Matrix!$C$2:$M$2,0)),"No errors"))</f>
        <v>No errors</v>
      </c>
    </row>
    <row r="385" spans="1:10">
      <c r="A385" s="80"/>
      <c r="B385" s="18"/>
      <c r="C385" s="84"/>
      <c r="D385" s="84"/>
      <c r="E385" s="85"/>
      <c r="F385" s="85"/>
      <c r="G385" s="85"/>
      <c r="H385" s="85"/>
      <c r="I385" s="14"/>
      <c r="J385" s="15" t="str">
        <f>IF(E385="Invalid_Segment","Invalid",IFERROR(INDEX(Severity_Matrix!$C$3:$M$10,MATCH('Error Log'!$F385,Severity_Matrix!$B$3:$B$10,0),MATCH('Error Log'!$G385,Severity_Matrix!$C$2:$M$2,0)),"No errors"))</f>
        <v>No errors</v>
      </c>
    </row>
    <row r="386" spans="1:10">
      <c r="A386" s="80"/>
      <c r="B386" s="18"/>
      <c r="C386" s="84"/>
      <c r="D386" s="84"/>
      <c r="E386" s="85"/>
      <c r="F386" s="85"/>
      <c r="G386" s="85"/>
      <c r="H386" s="85"/>
      <c r="I386" s="14"/>
      <c r="J386" s="15" t="str">
        <f>IF(E386="Invalid_Segment","Invalid",IFERROR(INDEX(Severity_Matrix!$C$3:$M$10,MATCH('Error Log'!$F386,Severity_Matrix!$B$3:$B$10,0),MATCH('Error Log'!$G386,Severity_Matrix!$C$2:$M$2,0)),"No errors"))</f>
        <v>No errors</v>
      </c>
    </row>
    <row r="387" spans="1:10">
      <c r="A387" s="80"/>
      <c r="B387" s="18"/>
      <c r="C387" s="84"/>
      <c r="D387" s="84"/>
      <c r="E387" s="85"/>
      <c r="F387" s="85"/>
      <c r="G387" s="85"/>
      <c r="H387" s="85"/>
      <c r="I387" s="14"/>
      <c r="J387" s="15" t="str">
        <f>IF(E387="Invalid_Segment","Invalid",IFERROR(INDEX(Severity_Matrix!$C$3:$M$10,MATCH('Error Log'!$F387,Severity_Matrix!$B$3:$B$10,0),MATCH('Error Log'!$G387,Severity_Matrix!$C$2:$M$2,0)),"No errors"))</f>
        <v>No errors</v>
      </c>
    </row>
    <row r="388" spans="1:10">
      <c r="A388" s="80"/>
      <c r="B388" s="18"/>
      <c r="C388" s="84"/>
      <c r="D388" s="84"/>
      <c r="E388" s="85"/>
      <c r="F388" s="85"/>
      <c r="G388" s="85"/>
      <c r="H388" s="85"/>
      <c r="I388" s="14"/>
      <c r="J388" s="15" t="str">
        <f>IF(E388="Invalid_Segment","Invalid",IFERROR(INDEX(Severity_Matrix!$C$3:$M$10,MATCH('Error Log'!$F388,Severity_Matrix!$B$3:$B$10,0),MATCH('Error Log'!$G388,Severity_Matrix!$C$2:$M$2,0)),"No errors"))</f>
        <v>No errors</v>
      </c>
    </row>
    <row r="389" spans="1:10">
      <c r="A389" s="80"/>
      <c r="B389" s="18"/>
      <c r="C389" s="84"/>
      <c r="D389" s="84"/>
      <c r="E389" s="85"/>
      <c r="F389" s="85"/>
      <c r="G389" s="85"/>
      <c r="H389" s="85"/>
      <c r="I389" s="14"/>
      <c r="J389" s="15" t="str">
        <f>IF(E389="Invalid_Segment","Invalid",IFERROR(INDEX(Severity_Matrix!$C$3:$M$10,MATCH('Error Log'!$F389,Severity_Matrix!$B$3:$B$10,0),MATCH('Error Log'!$G389,Severity_Matrix!$C$2:$M$2,0)),"No errors"))</f>
        <v>No errors</v>
      </c>
    </row>
    <row r="390" spans="1:10">
      <c r="A390" s="80"/>
      <c r="B390" s="18"/>
      <c r="C390" s="84"/>
      <c r="D390" s="84"/>
      <c r="E390" s="85"/>
      <c r="F390" s="85"/>
      <c r="G390" s="85"/>
      <c r="H390" s="85"/>
      <c r="I390" s="14"/>
      <c r="J390" s="15" t="str">
        <f>IF(E390="Invalid_Segment","Invalid",IFERROR(INDEX(Severity_Matrix!$C$3:$M$10,MATCH('Error Log'!$F390,Severity_Matrix!$B$3:$B$10,0),MATCH('Error Log'!$G390,Severity_Matrix!$C$2:$M$2,0)),"No errors"))</f>
        <v>No errors</v>
      </c>
    </row>
    <row r="391" spans="1:10">
      <c r="A391" s="80"/>
      <c r="B391" s="18"/>
      <c r="C391" s="84"/>
      <c r="D391" s="84"/>
      <c r="E391" s="85"/>
      <c r="F391" s="85"/>
      <c r="G391" s="85"/>
      <c r="H391" s="85"/>
      <c r="I391" s="14"/>
      <c r="J391" s="15" t="str">
        <f>IF(E391="Invalid_Segment","Invalid",IFERROR(INDEX(Severity_Matrix!$C$3:$M$10,MATCH('Error Log'!$F391,Severity_Matrix!$B$3:$B$10,0),MATCH('Error Log'!$G391,Severity_Matrix!$C$2:$M$2,0)),"No errors"))</f>
        <v>No errors</v>
      </c>
    </row>
    <row r="392" spans="1:10">
      <c r="A392" s="80"/>
      <c r="B392" s="18"/>
      <c r="C392" s="84"/>
      <c r="D392" s="84"/>
      <c r="E392" s="85"/>
      <c r="F392" s="85"/>
      <c r="G392" s="85"/>
      <c r="H392" s="85"/>
      <c r="I392" s="14"/>
      <c r="J392" s="15" t="str">
        <f>IF(E392="Invalid_Segment","Invalid",IFERROR(INDEX(Severity_Matrix!$C$3:$M$10,MATCH('Error Log'!$F392,Severity_Matrix!$B$3:$B$10,0),MATCH('Error Log'!$G392,Severity_Matrix!$C$2:$M$2,0)),"No errors"))</f>
        <v>No errors</v>
      </c>
    </row>
    <row r="393" spans="1:10">
      <c r="A393" s="80"/>
      <c r="B393" s="18"/>
      <c r="C393" s="84"/>
      <c r="D393" s="84"/>
      <c r="E393" s="85"/>
      <c r="F393" s="85"/>
      <c r="G393" s="85"/>
      <c r="H393" s="85"/>
      <c r="I393" s="14"/>
      <c r="J393" s="15" t="str">
        <f>IF(E393="Invalid_Segment","Invalid",IFERROR(INDEX(Severity_Matrix!$C$3:$M$10,MATCH('Error Log'!$F393,Severity_Matrix!$B$3:$B$10,0),MATCH('Error Log'!$G393,Severity_Matrix!$C$2:$M$2,0)),"No errors"))</f>
        <v>No errors</v>
      </c>
    </row>
    <row r="394" spans="1:10">
      <c r="A394" s="80"/>
      <c r="B394" s="18"/>
      <c r="C394" s="84"/>
      <c r="D394" s="84"/>
      <c r="E394" s="85"/>
      <c r="F394" s="85"/>
      <c r="G394" s="85"/>
      <c r="H394" s="85"/>
      <c r="I394" s="14"/>
      <c r="J394" s="15" t="str">
        <f>IF(E394="Invalid_Segment","Invalid",IFERROR(INDEX(Severity_Matrix!$C$3:$M$10,MATCH('Error Log'!$F394,Severity_Matrix!$B$3:$B$10,0),MATCH('Error Log'!$G394,Severity_Matrix!$C$2:$M$2,0)),"No errors"))</f>
        <v>No errors</v>
      </c>
    </row>
    <row r="395" spans="1:10">
      <c r="A395" s="80"/>
      <c r="B395" s="18"/>
      <c r="C395" s="84"/>
      <c r="D395" s="84"/>
      <c r="E395" s="85"/>
      <c r="F395" s="85"/>
      <c r="G395" s="85"/>
      <c r="H395" s="85"/>
      <c r="I395" s="14"/>
      <c r="J395" s="15" t="str">
        <f>IF(E395="Invalid_Segment","Invalid",IFERROR(INDEX(Severity_Matrix!$C$3:$M$10,MATCH('Error Log'!$F395,Severity_Matrix!$B$3:$B$10,0),MATCH('Error Log'!$G395,Severity_Matrix!$C$2:$M$2,0)),"No errors"))</f>
        <v>No errors</v>
      </c>
    </row>
    <row r="396" spans="1:10">
      <c r="A396" s="80"/>
      <c r="B396" s="18"/>
      <c r="C396" s="84"/>
      <c r="D396" s="84"/>
      <c r="E396" s="85"/>
      <c r="F396" s="85"/>
      <c r="G396" s="85"/>
      <c r="H396" s="85"/>
      <c r="I396" s="14"/>
      <c r="J396" s="15" t="str">
        <f>IF(E396="Invalid_Segment","Invalid",IFERROR(INDEX(Severity_Matrix!$C$3:$M$10,MATCH('Error Log'!$F396,Severity_Matrix!$B$3:$B$10,0),MATCH('Error Log'!$G396,Severity_Matrix!$C$2:$M$2,0)),"No errors"))</f>
        <v>No errors</v>
      </c>
    </row>
    <row r="397" spans="1:10">
      <c r="A397" s="80"/>
      <c r="B397" s="18"/>
      <c r="C397" s="84"/>
      <c r="D397" s="84"/>
      <c r="E397" s="85"/>
      <c r="F397" s="85"/>
      <c r="G397" s="85"/>
      <c r="H397" s="85"/>
      <c r="I397" s="14"/>
      <c r="J397" s="15" t="str">
        <f>IF(E397="Invalid_Segment","Invalid",IFERROR(INDEX(Severity_Matrix!$C$3:$M$10,MATCH('Error Log'!$F397,Severity_Matrix!$B$3:$B$10,0),MATCH('Error Log'!$G397,Severity_Matrix!$C$2:$M$2,0)),"No errors"))</f>
        <v>No errors</v>
      </c>
    </row>
    <row r="398" spans="1:10">
      <c r="A398" s="80"/>
      <c r="B398" s="18"/>
      <c r="C398" s="84"/>
      <c r="D398" s="84"/>
      <c r="E398" s="85"/>
      <c r="F398" s="85"/>
      <c r="G398" s="85"/>
      <c r="H398" s="85"/>
      <c r="I398" s="14"/>
      <c r="J398" s="15" t="str">
        <f>IF(E398="Invalid_Segment","Invalid",IFERROR(INDEX(Severity_Matrix!$C$3:$M$10,MATCH('Error Log'!$F398,Severity_Matrix!$B$3:$B$10,0),MATCH('Error Log'!$G398,Severity_Matrix!$C$2:$M$2,0)),"No errors"))</f>
        <v>No errors</v>
      </c>
    </row>
    <row r="399" spans="1:10">
      <c r="A399" s="80"/>
      <c r="B399" s="18"/>
      <c r="C399" s="84"/>
      <c r="D399" s="84"/>
      <c r="E399" s="85"/>
      <c r="F399" s="85"/>
      <c r="G399" s="85"/>
      <c r="H399" s="85"/>
      <c r="I399" s="14"/>
      <c r="J399" s="15" t="str">
        <f>IF(E399="Invalid_Segment","Invalid",IFERROR(INDEX(Severity_Matrix!$C$3:$M$10,MATCH('Error Log'!$F399,Severity_Matrix!$B$3:$B$10,0),MATCH('Error Log'!$G399,Severity_Matrix!$C$2:$M$2,0)),"No errors"))</f>
        <v>No errors</v>
      </c>
    </row>
    <row r="400" spans="1:10">
      <c r="A400" s="80"/>
      <c r="B400" s="18"/>
      <c r="C400" s="84"/>
      <c r="D400" s="84"/>
      <c r="E400" s="85"/>
      <c r="F400" s="85"/>
      <c r="G400" s="85"/>
      <c r="H400" s="85"/>
      <c r="I400" s="14"/>
      <c r="J400" s="15" t="str">
        <f>IF(E400="Invalid_Segment","Invalid",IFERROR(INDEX(Severity_Matrix!$C$3:$M$10,MATCH('Error Log'!$F400,Severity_Matrix!$B$3:$B$10,0),MATCH('Error Log'!$G400,Severity_Matrix!$C$2:$M$2,0)),"No errors"))</f>
        <v>No errors</v>
      </c>
    </row>
    <row r="401" spans="1:10">
      <c r="A401" s="80"/>
      <c r="B401" s="18"/>
      <c r="C401" s="84"/>
      <c r="D401" s="84"/>
      <c r="E401" s="85"/>
      <c r="F401" s="85"/>
      <c r="G401" s="85"/>
      <c r="H401" s="85"/>
      <c r="I401" s="14"/>
      <c r="J401" s="15" t="str">
        <f>IF(E401="Invalid_Segment","Invalid",IFERROR(INDEX(Severity_Matrix!$C$3:$M$10,MATCH('Error Log'!$F401,Severity_Matrix!$B$3:$B$10,0),MATCH('Error Log'!$G401,Severity_Matrix!$C$2:$M$2,0)),"No errors"))</f>
        <v>No errors</v>
      </c>
    </row>
    <row r="402" spans="1:10">
      <c r="A402" s="80"/>
      <c r="B402" s="18"/>
      <c r="C402" s="84"/>
      <c r="D402" s="84"/>
      <c r="E402" s="85"/>
      <c r="F402" s="85"/>
      <c r="G402" s="85"/>
      <c r="H402" s="85"/>
      <c r="I402" s="14"/>
      <c r="J402" s="15" t="str">
        <f>IF(E402="Invalid_Segment","Invalid",IFERROR(INDEX(Severity_Matrix!$C$3:$M$10,MATCH('Error Log'!$F402,Severity_Matrix!$B$3:$B$10,0),MATCH('Error Log'!$G402,Severity_Matrix!$C$2:$M$2,0)),"No errors"))</f>
        <v>No errors</v>
      </c>
    </row>
    <row r="403" spans="1:10">
      <c r="A403" s="80"/>
      <c r="B403" s="18"/>
      <c r="C403" s="84"/>
      <c r="D403" s="84"/>
      <c r="E403" s="85"/>
      <c r="F403" s="85"/>
      <c r="G403" s="85"/>
      <c r="H403" s="85"/>
      <c r="I403" s="14"/>
      <c r="J403" s="15" t="str">
        <f>IF(E403="Invalid_Segment","Invalid",IFERROR(INDEX(Severity_Matrix!$C$3:$M$10,MATCH('Error Log'!$F403,Severity_Matrix!$B$3:$B$10,0),MATCH('Error Log'!$G403,Severity_Matrix!$C$2:$M$2,0)),"No errors"))</f>
        <v>No errors</v>
      </c>
    </row>
    <row r="404" spans="1:10">
      <c r="A404" s="80"/>
      <c r="B404" s="18"/>
      <c r="C404" s="84"/>
      <c r="D404" s="84"/>
      <c r="E404" s="85"/>
      <c r="F404" s="85"/>
      <c r="G404" s="85"/>
      <c r="H404" s="85"/>
      <c r="I404" s="14"/>
      <c r="J404" s="15" t="str">
        <f>IF(E404="Invalid_Segment","Invalid",IFERROR(INDEX(Severity_Matrix!$C$3:$M$10,MATCH('Error Log'!$F404,Severity_Matrix!$B$3:$B$10,0),MATCH('Error Log'!$G404,Severity_Matrix!$C$2:$M$2,0)),"No errors"))</f>
        <v>No errors</v>
      </c>
    </row>
    <row r="405" spans="1:10">
      <c r="A405" s="19"/>
      <c r="B405" s="18"/>
      <c r="C405" s="20"/>
      <c r="D405" s="20"/>
      <c r="E405" s="14"/>
      <c r="F405" s="14"/>
      <c r="G405" s="14"/>
      <c r="H405" s="14"/>
      <c r="I405" s="14"/>
      <c r="J405" s="15"/>
    </row>
    <row r="406" spans="1:10">
      <c r="A406" s="19"/>
      <c r="B406" s="18"/>
      <c r="C406" s="20"/>
      <c r="D406" s="20"/>
      <c r="E406" s="14"/>
      <c r="F406" s="14"/>
      <c r="G406" s="14"/>
      <c r="H406" s="14"/>
      <c r="I406" s="14"/>
      <c r="J406" s="15"/>
    </row>
    <row r="407" spans="1:10">
      <c r="A407" s="19"/>
      <c r="B407" s="18"/>
      <c r="C407" s="20"/>
      <c r="D407" s="20"/>
      <c r="E407" s="14"/>
      <c r="F407" s="14"/>
      <c r="G407" s="14"/>
      <c r="H407" s="14"/>
      <c r="I407" s="14"/>
      <c r="J407" s="15"/>
    </row>
    <row r="408" spans="1:10">
      <c r="A408" s="19"/>
      <c r="B408" s="18"/>
      <c r="C408" s="20"/>
      <c r="D408" s="20"/>
      <c r="E408" s="14"/>
      <c r="F408" s="14"/>
      <c r="G408" s="14"/>
      <c r="H408" s="14"/>
      <c r="I408" s="14"/>
      <c r="J408" s="15"/>
    </row>
    <row r="409" spans="1:10">
      <c r="A409" s="19"/>
      <c r="B409" s="18"/>
      <c r="C409" s="20"/>
      <c r="D409" s="20"/>
      <c r="E409" s="14"/>
      <c r="F409" s="14"/>
      <c r="G409" s="14"/>
      <c r="H409" s="14"/>
      <c r="I409" s="14"/>
      <c r="J409" s="15"/>
    </row>
    <row r="410" spans="1:10">
      <c r="A410" s="19"/>
      <c r="B410" s="18"/>
      <c r="C410" s="20"/>
      <c r="D410" s="20"/>
      <c r="E410" s="14"/>
      <c r="F410" s="14"/>
      <c r="G410" s="14"/>
      <c r="H410" s="14"/>
      <c r="I410" s="14"/>
      <c r="J410" s="15"/>
    </row>
    <row r="411" spans="1:10">
      <c r="A411" s="19"/>
      <c r="B411" s="18"/>
      <c r="C411" s="20"/>
      <c r="D411" s="20"/>
      <c r="E411" s="14"/>
      <c r="F411" s="14"/>
      <c r="G411" s="14"/>
      <c r="H411" s="14"/>
      <c r="I411" s="14"/>
      <c r="J411" s="15"/>
    </row>
    <row r="412" spans="1:10">
      <c r="A412" s="19"/>
      <c r="B412" s="18"/>
      <c r="C412" s="20"/>
      <c r="D412" s="20"/>
      <c r="E412" s="14"/>
      <c r="F412" s="14"/>
      <c r="G412" s="14"/>
      <c r="H412" s="14"/>
      <c r="I412" s="14"/>
      <c r="J412" s="15"/>
    </row>
    <row r="413" spans="1:10">
      <c r="A413" s="19"/>
      <c r="B413" s="18"/>
      <c r="C413" s="20"/>
      <c r="D413" s="20"/>
      <c r="E413" s="14"/>
      <c r="F413" s="14"/>
      <c r="G413" s="14"/>
      <c r="H413" s="14"/>
      <c r="I413" s="14"/>
      <c r="J413" s="15"/>
    </row>
    <row r="414" spans="1:10">
      <c r="A414" s="19"/>
      <c r="B414" s="18"/>
      <c r="C414" s="20"/>
      <c r="D414" s="20"/>
      <c r="E414" s="14"/>
      <c r="F414" s="14"/>
      <c r="G414" s="14"/>
      <c r="H414" s="14"/>
      <c r="I414" s="14"/>
      <c r="J414" s="15"/>
    </row>
    <row r="415" spans="1:10">
      <c r="A415" s="19"/>
      <c r="B415" s="18"/>
      <c r="C415" s="20"/>
      <c r="D415" s="20"/>
      <c r="E415" s="14"/>
      <c r="F415" s="14"/>
      <c r="G415" s="14"/>
      <c r="H415" s="14"/>
      <c r="I415" s="14"/>
      <c r="J415" s="15"/>
    </row>
    <row r="416" spans="1:10">
      <c r="A416" s="19"/>
      <c r="B416" s="18"/>
      <c r="C416" s="20"/>
      <c r="D416" s="20"/>
      <c r="E416" s="14"/>
      <c r="F416" s="14"/>
      <c r="G416" s="14"/>
      <c r="H416" s="14"/>
      <c r="I416" s="14"/>
      <c r="J416" s="15"/>
    </row>
    <row r="417" spans="1:10">
      <c r="A417" s="19"/>
      <c r="B417" s="18"/>
      <c r="C417" s="20"/>
      <c r="D417" s="20"/>
      <c r="E417" s="14"/>
      <c r="F417" s="14"/>
      <c r="G417" s="14"/>
      <c r="H417" s="14"/>
      <c r="I417" s="14"/>
      <c r="J417" s="15"/>
    </row>
    <row r="418" spans="1:10">
      <c r="A418" s="19"/>
      <c r="B418" s="18"/>
      <c r="C418" s="20"/>
      <c r="D418" s="20"/>
      <c r="E418" s="14"/>
      <c r="F418" s="14"/>
      <c r="G418" s="14"/>
      <c r="H418" s="14"/>
      <c r="I418" s="14"/>
      <c r="J418" s="15"/>
    </row>
    <row r="419" spans="1:10">
      <c r="A419" s="19"/>
      <c r="B419" s="18"/>
      <c r="C419" s="20"/>
      <c r="D419" s="20"/>
      <c r="E419" s="14"/>
      <c r="F419" s="14"/>
      <c r="G419" s="14"/>
      <c r="H419" s="14"/>
      <c r="I419" s="14"/>
      <c r="J419" s="15"/>
    </row>
    <row r="420" spans="1:10">
      <c r="A420" s="19"/>
      <c r="B420" s="18"/>
      <c r="C420" s="20"/>
      <c r="D420" s="20"/>
      <c r="E420" s="14"/>
      <c r="F420" s="14"/>
      <c r="G420" s="14"/>
      <c r="H420" s="14"/>
      <c r="I420" s="14"/>
      <c r="J420" s="15"/>
    </row>
    <row r="421" spans="1:10">
      <c r="A421" s="19"/>
      <c r="B421" s="18"/>
      <c r="C421" s="20"/>
      <c r="D421" s="20"/>
      <c r="E421" s="14"/>
      <c r="F421" s="14"/>
      <c r="G421" s="14"/>
      <c r="H421" s="14"/>
      <c r="I421" s="14"/>
      <c r="J421" s="15"/>
    </row>
    <row r="422" spans="1:10">
      <c r="A422" s="19"/>
      <c r="B422" s="18"/>
      <c r="C422" s="20"/>
      <c r="D422" s="20"/>
      <c r="E422" s="14"/>
      <c r="F422" s="14"/>
      <c r="G422" s="14"/>
      <c r="H422" s="14"/>
      <c r="I422" s="14"/>
      <c r="J422" s="15"/>
    </row>
    <row r="423" spans="1:10">
      <c r="A423" s="19"/>
      <c r="B423" s="18"/>
      <c r="C423" s="20"/>
      <c r="D423" s="20"/>
      <c r="E423" s="14"/>
      <c r="F423" s="14"/>
      <c r="G423" s="14"/>
      <c r="H423" s="14"/>
      <c r="I423" s="14"/>
      <c r="J423" s="15"/>
    </row>
    <row r="424" spans="1:10">
      <c r="A424" s="19"/>
      <c r="B424" s="18"/>
      <c r="C424" s="20"/>
      <c r="D424" s="20"/>
      <c r="E424" s="14"/>
      <c r="F424" s="14"/>
      <c r="G424" s="14"/>
      <c r="H424" s="14"/>
      <c r="I424" s="14"/>
      <c r="J424" s="15"/>
    </row>
    <row r="425" spans="1:10">
      <c r="A425" s="19"/>
      <c r="B425" s="18"/>
      <c r="C425" s="20"/>
      <c r="D425" s="20"/>
      <c r="E425" s="14"/>
      <c r="F425" s="14"/>
      <c r="G425" s="14"/>
      <c r="H425" s="14"/>
      <c r="I425" s="14"/>
      <c r="J425" s="15"/>
    </row>
    <row r="426" spans="1:10">
      <c r="A426" s="19"/>
      <c r="B426" s="18"/>
      <c r="C426" s="20"/>
      <c r="D426" s="20"/>
      <c r="E426" s="14"/>
      <c r="F426" s="14"/>
      <c r="G426" s="14"/>
      <c r="H426" s="14"/>
      <c r="I426" s="14"/>
      <c r="J426" s="15"/>
    </row>
    <row r="427" spans="1:10">
      <c r="A427" s="19"/>
      <c r="B427" s="18"/>
      <c r="C427" s="20"/>
      <c r="D427" s="20"/>
      <c r="E427" s="14"/>
      <c r="F427" s="14"/>
      <c r="G427" s="14"/>
      <c r="H427" s="14"/>
      <c r="I427" s="14"/>
      <c r="J427" s="15"/>
    </row>
    <row r="428" spans="1:10">
      <c r="A428" s="19"/>
      <c r="B428" s="18"/>
      <c r="C428" s="20"/>
      <c r="D428" s="20"/>
      <c r="E428" s="14"/>
      <c r="F428" s="14"/>
      <c r="G428" s="14"/>
      <c r="H428" s="14"/>
      <c r="I428" s="14"/>
      <c r="J428" s="15"/>
    </row>
    <row r="429" spans="1:10">
      <c r="A429" s="19"/>
      <c r="B429" s="18"/>
      <c r="C429" s="20"/>
      <c r="D429" s="20"/>
      <c r="E429" s="14"/>
      <c r="F429" s="14"/>
      <c r="G429" s="14"/>
      <c r="H429" s="14"/>
      <c r="I429" s="14"/>
      <c r="J429" s="15"/>
    </row>
    <row r="430" spans="1:10">
      <c r="A430" s="19"/>
      <c r="B430" s="18"/>
      <c r="C430" s="20"/>
      <c r="D430" s="20"/>
      <c r="E430" s="14"/>
      <c r="F430" s="14"/>
      <c r="G430" s="14"/>
      <c r="H430" s="14"/>
      <c r="I430" s="14"/>
      <c r="J430" s="15"/>
    </row>
    <row r="431" spans="1:10">
      <c r="A431" s="19"/>
      <c r="B431" s="18"/>
      <c r="C431" s="20"/>
      <c r="D431" s="20"/>
      <c r="E431" s="14"/>
      <c r="F431" s="14"/>
      <c r="G431" s="14"/>
      <c r="H431" s="14"/>
      <c r="I431" s="14"/>
      <c r="J431" s="15"/>
    </row>
    <row r="432" spans="1:10">
      <c r="A432" s="19"/>
      <c r="B432" s="18"/>
      <c r="C432" s="20"/>
      <c r="D432" s="20"/>
      <c r="E432" s="14"/>
      <c r="F432" s="14"/>
      <c r="G432" s="14"/>
      <c r="H432" s="14"/>
      <c r="I432" s="14"/>
      <c r="J432" s="15"/>
    </row>
    <row r="433" spans="1:10">
      <c r="A433" s="19"/>
      <c r="B433" s="18"/>
      <c r="C433" s="20"/>
      <c r="D433" s="20"/>
      <c r="E433" s="14"/>
      <c r="F433" s="14"/>
      <c r="G433" s="14"/>
      <c r="H433" s="14"/>
      <c r="I433" s="14"/>
      <c r="J433" s="15"/>
    </row>
    <row r="434" spans="1:10">
      <c r="A434" s="19"/>
      <c r="B434" s="18"/>
      <c r="C434" s="20"/>
      <c r="D434" s="20"/>
      <c r="E434" s="14"/>
      <c r="F434" s="14"/>
      <c r="G434" s="14"/>
      <c r="H434" s="14"/>
      <c r="I434" s="14"/>
      <c r="J434" s="15"/>
    </row>
    <row r="435" spans="1:10">
      <c r="A435" s="19"/>
      <c r="B435" s="18"/>
      <c r="C435" s="20"/>
      <c r="D435" s="20"/>
      <c r="E435" s="14"/>
      <c r="F435" s="14"/>
      <c r="G435" s="14"/>
      <c r="H435" s="14"/>
      <c r="I435" s="14"/>
      <c r="J435" s="15"/>
    </row>
    <row r="436" spans="1:10">
      <c r="A436" s="19"/>
      <c r="B436" s="18"/>
      <c r="C436" s="20"/>
      <c r="D436" s="20"/>
      <c r="E436" s="14"/>
      <c r="F436" s="14"/>
      <c r="G436" s="14"/>
      <c r="H436" s="14"/>
      <c r="I436" s="14"/>
      <c r="J436" s="15"/>
    </row>
    <row r="437" spans="1:10">
      <c r="A437" s="19"/>
      <c r="B437" s="18"/>
      <c r="C437" s="20"/>
      <c r="D437" s="20"/>
      <c r="E437" s="14"/>
      <c r="F437" s="14"/>
      <c r="G437" s="14"/>
      <c r="H437" s="14"/>
      <c r="I437" s="14"/>
      <c r="J437" s="15"/>
    </row>
    <row r="438" spans="1:10">
      <c r="A438" s="19"/>
      <c r="B438" s="18"/>
      <c r="C438" s="20"/>
      <c r="D438" s="20"/>
      <c r="E438" s="14"/>
      <c r="F438" s="14"/>
      <c r="G438" s="14"/>
      <c r="H438" s="14"/>
      <c r="I438" s="14"/>
      <c r="J438" s="15"/>
    </row>
    <row r="439" spans="1:10">
      <c r="A439" s="19"/>
      <c r="B439" s="18"/>
      <c r="C439" s="20"/>
      <c r="D439" s="20"/>
      <c r="E439" s="14"/>
      <c r="F439" s="14"/>
      <c r="G439" s="14"/>
      <c r="H439" s="14"/>
      <c r="I439" s="14"/>
      <c r="J439" s="15"/>
    </row>
    <row r="440" spans="1:10">
      <c r="A440" s="19"/>
      <c r="B440" s="18"/>
      <c r="C440" s="20"/>
      <c r="D440" s="20"/>
      <c r="E440" s="14"/>
      <c r="F440" s="14"/>
      <c r="G440" s="14"/>
      <c r="H440" s="14"/>
      <c r="I440" s="14"/>
      <c r="J440" s="15"/>
    </row>
    <row r="441" spans="1:10">
      <c r="A441" s="19"/>
      <c r="B441" s="18"/>
      <c r="C441" s="20"/>
      <c r="D441" s="20"/>
      <c r="E441" s="14"/>
      <c r="F441" s="14"/>
      <c r="G441" s="14"/>
      <c r="H441" s="14"/>
      <c r="I441" s="14"/>
      <c r="J441" s="15"/>
    </row>
    <row r="442" spans="1:10">
      <c r="A442" s="19"/>
      <c r="B442" s="18"/>
      <c r="C442" s="20"/>
      <c r="D442" s="20"/>
      <c r="E442" s="14"/>
      <c r="F442" s="14"/>
      <c r="G442" s="14"/>
      <c r="H442" s="14"/>
      <c r="I442" s="14"/>
      <c r="J442" s="15"/>
    </row>
    <row r="443" spans="1:10">
      <c r="A443" s="19"/>
      <c r="B443" s="18"/>
      <c r="C443" s="20"/>
      <c r="D443" s="20"/>
      <c r="E443" s="14"/>
      <c r="F443" s="14"/>
      <c r="G443" s="14"/>
      <c r="H443" s="14"/>
      <c r="I443" s="14"/>
      <c r="J443" s="15"/>
    </row>
    <row r="444" spans="1:10">
      <c r="A444" s="19"/>
      <c r="B444" s="18"/>
      <c r="C444" s="20"/>
      <c r="D444" s="20"/>
      <c r="E444" s="14"/>
      <c r="F444" s="14"/>
      <c r="G444" s="14"/>
      <c r="H444" s="14"/>
      <c r="I444" s="14"/>
      <c r="J444" s="15"/>
    </row>
    <row r="445" spans="1:10">
      <c r="A445" s="19"/>
      <c r="B445" s="18"/>
      <c r="C445" s="20"/>
      <c r="D445" s="20"/>
      <c r="E445" s="14"/>
      <c r="F445" s="14"/>
      <c r="G445" s="14"/>
      <c r="H445" s="14"/>
      <c r="I445" s="14"/>
      <c r="J445" s="15"/>
    </row>
    <row r="446" spans="1:10">
      <c r="A446" s="19"/>
      <c r="B446" s="18"/>
      <c r="C446" s="20"/>
      <c r="D446" s="20"/>
      <c r="E446" s="14"/>
      <c r="F446" s="14"/>
      <c r="G446" s="14"/>
      <c r="H446" s="14"/>
      <c r="I446" s="14"/>
      <c r="J446" s="15"/>
    </row>
    <row r="447" spans="1:10">
      <c r="A447" s="19"/>
      <c r="B447" s="18"/>
      <c r="C447" s="20"/>
      <c r="D447" s="20"/>
      <c r="E447" s="14"/>
      <c r="F447" s="14"/>
      <c r="G447" s="14"/>
      <c r="H447" s="14"/>
      <c r="I447" s="14"/>
      <c r="J447" s="15"/>
    </row>
    <row r="448" spans="1:10">
      <c r="A448" s="19"/>
      <c r="B448" s="18"/>
      <c r="C448" s="20"/>
      <c r="D448" s="20"/>
      <c r="E448" s="14"/>
      <c r="F448" s="14"/>
      <c r="G448" s="14"/>
      <c r="H448" s="14"/>
      <c r="I448" s="14"/>
      <c r="J448" s="15"/>
    </row>
    <row r="449" spans="1:10">
      <c r="A449" s="19"/>
      <c r="B449" s="18"/>
      <c r="C449" s="20"/>
      <c r="D449" s="20"/>
      <c r="E449" s="14"/>
      <c r="F449" s="14"/>
      <c r="G449" s="14"/>
      <c r="H449" s="14"/>
      <c r="I449" s="14"/>
      <c r="J449" s="15"/>
    </row>
    <row r="450" spans="1:10">
      <c r="A450" s="19"/>
      <c r="B450" s="18"/>
      <c r="C450" s="20"/>
      <c r="D450" s="20"/>
      <c r="E450" s="14"/>
      <c r="F450" s="14"/>
      <c r="G450" s="14"/>
      <c r="H450" s="14"/>
      <c r="I450" s="14"/>
      <c r="J450" s="15"/>
    </row>
    <row r="451" spans="1:10">
      <c r="A451" s="19"/>
      <c r="B451" s="18"/>
      <c r="C451" s="20"/>
      <c r="D451" s="20"/>
      <c r="E451" s="14"/>
      <c r="F451" s="14"/>
      <c r="G451" s="14"/>
      <c r="H451" s="14"/>
      <c r="I451" s="14"/>
      <c r="J451" s="15"/>
    </row>
    <row r="452" spans="1:10">
      <c r="A452" s="19"/>
      <c r="B452" s="18"/>
      <c r="C452" s="20"/>
      <c r="D452" s="20"/>
      <c r="E452" s="14"/>
      <c r="F452" s="14"/>
      <c r="G452" s="14"/>
      <c r="H452" s="14"/>
      <c r="I452" s="14"/>
      <c r="J452" s="15"/>
    </row>
    <row r="453" spans="1:10">
      <c r="A453" s="19"/>
      <c r="B453" s="18"/>
      <c r="C453" s="20"/>
      <c r="D453" s="20"/>
      <c r="E453" s="14"/>
      <c r="F453" s="14"/>
      <c r="G453" s="14"/>
      <c r="H453" s="14"/>
      <c r="I453" s="14"/>
      <c r="J453" s="15"/>
    </row>
    <row r="454" spans="1:10">
      <c r="A454" s="19"/>
      <c r="B454" s="18"/>
      <c r="C454" s="20"/>
      <c r="D454" s="20"/>
      <c r="E454" s="14"/>
      <c r="F454" s="14"/>
      <c r="G454" s="14"/>
      <c r="H454" s="14"/>
      <c r="I454" s="14"/>
      <c r="J454" s="15"/>
    </row>
    <row r="455" spans="1:10">
      <c r="A455" s="19"/>
      <c r="B455" s="18"/>
      <c r="C455" s="20"/>
      <c r="D455" s="20"/>
      <c r="E455" s="14"/>
      <c r="F455" s="14"/>
      <c r="G455" s="14"/>
      <c r="H455" s="14"/>
      <c r="I455" s="14"/>
      <c r="J455" s="15"/>
    </row>
    <row r="456" spans="1:10">
      <c r="A456" s="19"/>
      <c r="B456" s="18"/>
      <c r="C456" s="20"/>
      <c r="D456" s="20"/>
      <c r="E456" s="14"/>
      <c r="F456" s="14"/>
      <c r="G456" s="14"/>
      <c r="H456" s="14"/>
      <c r="I456" s="14"/>
      <c r="J456" s="15"/>
    </row>
    <row r="457" spans="1:10">
      <c r="A457" s="19"/>
      <c r="B457" s="18"/>
      <c r="C457" s="20"/>
      <c r="D457" s="20"/>
      <c r="E457" s="14"/>
      <c r="F457" s="14"/>
      <c r="G457" s="14"/>
      <c r="H457" s="14"/>
      <c r="I457" s="14"/>
      <c r="J457" s="15"/>
    </row>
    <row r="458" spans="1:10">
      <c r="A458" s="19"/>
      <c r="B458" s="18"/>
      <c r="C458" s="20"/>
      <c r="D458" s="20"/>
      <c r="E458" s="14"/>
      <c r="F458" s="14"/>
      <c r="G458" s="14"/>
      <c r="H458" s="14"/>
      <c r="I458" s="14"/>
      <c r="J458" s="15"/>
    </row>
    <row r="459" spans="1:10">
      <c r="A459" s="19"/>
      <c r="B459" s="18"/>
      <c r="C459" s="20"/>
      <c r="D459" s="20"/>
      <c r="E459" s="14"/>
      <c r="F459" s="14"/>
      <c r="G459" s="14"/>
      <c r="H459" s="14"/>
      <c r="I459" s="14"/>
      <c r="J459" s="15"/>
    </row>
    <row r="460" spans="1:10">
      <c r="A460" s="19"/>
      <c r="B460" s="18"/>
      <c r="C460" s="20"/>
      <c r="D460" s="20"/>
      <c r="E460" s="14"/>
      <c r="F460" s="14"/>
      <c r="G460" s="14"/>
      <c r="H460" s="14"/>
      <c r="I460" s="14"/>
      <c r="J460" s="15"/>
    </row>
    <row r="461" spans="1:10">
      <c r="A461" s="19"/>
      <c r="B461" s="18"/>
      <c r="C461" s="20"/>
      <c r="D461" s="20"/>
      <c r="E461" s="14"/>
      <c r="F461" s="14"/>
      <c r="G461" s="14"/>
      <c r="H461" s="14"/>
      <c r="I461" s="14"/>
      <c r="J461" s="15"/>
    </row>
    <row r="462" spans="1:10">
      <c r="A462" s="19"/>
      <c r="B462" s="18"/>
      <c r="C462" s="20"/>
      <c r="D462" s="20"/>
      <c r="E462" s="14"/>
      <c r="F462" s="14"/>
      <c r="G462" s="14"/>
      <c r="H462" s="14"/>
      <c r="I462" s="14"/>
      <c r="J462" s="15"/>
    </row>
    <row r="463" spans="1:10">
      <c r="A463" s="19"/>
      <c r="B463" s="18"/>
      <c r="C463" s="20"/>
      <c r="D463" s="20"/>
      <c r="E463" s="14"/>
      <c r="F463" s="14"/>
      <c r="G463" s="14"/>
      <c r="H463" s="14"/>
      <c r="I463" s="14"/>
      <c r="J463" s="15"/>
    </row>
    <row r="464" spans="1:10">
      <c r="A464" s="19"/>
      <c r="B464" s="18"/>
      <c r="C464" s="20"/>
      <c r="D464" s="20"/>
      <c r="E464" s="14"/>
      <c r="F464" s="14"/>
      <c r="G464" s="14"/>
      <c r="H464" s="14"/>
      <c r="I464" s="14"/>
      <c r="J464" s="15"/>
    </row>
    <row r="465" spans="1:10">
      <c r="A465" s="19"/>
      <c r="B465" s="18"/>
      <c r="C465" s="20"/>
      <c r="D465" s="20"/>
      <c r="E465" s="14"/>
      <c r="F465" s="14"/>
      <c r="G465" s="14"/>
      <c r="H465" s="14"/>
      <c r="I465" s="14"/>
      <c r="J465" s="15"/>
    </row>
    <row r="466" spans="1:10">
      <c r="A466" s="19"/>
      <c r="B466" s="18"/>
      <c r="C466" s="20"/>
      <c r="D466" s="20"/>
      <c r="E466" s="14"/>
      <c r="F466" s="14"/>
      <c r="G466" s="14"/>
      <c r="H466" s="14"/>
      <c r="I466" s="14"/>
      <c r="J466" s="15"/>
    </row>
    <row r="467" spans="1:10">
      <c r="A467" s="19"/>
      <c r="B467" s="18"/>
      <c r="C467" s="20"/>
      <c r="D467" s="20"/>
      <c r="E467" s="14"/>
      <c r="F467" s="14"/>
      <c r="G467" s="14"/>
      <c r="H467" s="14"/>
      <c r="I467" s="14"/>
      <c r="J467" s="15"/>
    </row>
    <row r="468" spans="1:10">
      <c r="A468" s="19"/>
      <c r="B468" s="18"/>
      <c r="C468" s="20"/>
      <c r="D468" s="20"/>
      <c r="E468" s="14"/>
      <c r="F468" s="14"/>
      <c r="G468" s="14"/>
      <c r="H468" s="14"/>
      <c r="I468" s="14"/>
      <c r="J468" s="15"/>
    </row>
    <row r="469" spans="1:10">
      <c r="A469" s="19"/>
      <c r="B469" s="18"/>
      <c r="C469" s="20"/>
      <c r="D469" s="20"/>
      <c r="E469" s="14"/>
      <c r="F469" s="14"/>
      <c r="G469" s="14"/>
      <c r="H469" s="14"/>
      <c r="I469" s="14"/>
      <c r="J469" s="15"/>
    </row>
    <row r="470" spans="1:10">
      <c r="A470" s="19"/>
      <c r="B470" s="18"/>
      <c r="C470" s="20"/>
      <c r="D470" s="20"/>
      <c r="E470" s="14"/>
      <c r="F470" s="14"/>
      <c r="G470" s="14"/>
      <c r="H470" s="14"/>
      <c r="I470" s="14"/>
      <c r="J470" s="15"/>
    </row>
    <row r="471" spans="1:10">
      <c r="A471" s="19"/>
      <c r="B471" s="18"/>
      <c r="C471" s="20"/>
      <c r="D471" s="20"/>
      <c r="E471" s="14"/>
      <c r="F471" s="14"/>
      <c r="G471" s="14"/>
      <c r="H471" s="14"/>
      <c r="I471" s="14"/>
      <c r="J471" s="15"/>
    </row>
    <row r="472" spans="1:10">
      <c r="A472" s="19"/>
      <c r="B472" s="18"/>
      <c r="C472" s="20"/>
      <c r="D472" s="20"/>
      <c r="E472" s="14"/>
      <c r="F472" s="14"/>
      <c r="G472" s="14"/>
      <c r="H472" s="14"/>
      <c r="I472" s="14"/>
      <c r="J472" s="15"/>
    </row>
    <row r="473" spans="1:10">
      <c r="A473" s="19"/>
      <c r="B473" s="18"/>
      <c r="C473" s="20"/>
      <c r="D473" s="20"/>
      <c r="E473" s="14"/>
      <c r="F473" s="14"/>
      <c r="G473" s="14"/>
      <c r="H473" s="14"/>
      <c r="I473" s="14"/>
      <c r="J473" s="15"/>
    </row>
    <row r="474" spans="1:10">
      <c r="A474" s="19"/>
      <c r="B474" s="18"/>
      <c r="C474" s="20"/>
      <c r="D474" s="20"/>
      <c r="E474" s="14"/>
      <c r="F474" s="14"/>
      <c r="G474" s="14"/>
      <c r="H474" s="14"/>
      <c r="I474" s="14"/>
      <c r="J474" s="15"/>
    </row>
    <row r="475" spans="1:10">
      <c r="A475" s="19"/>
      <c r="B475" s="18"/>
      <c r="C475" s="20"/>
      <c r="D475" s="20"/>
      <c r="E475" s="14"/>
      <c r="F475" s="14"/>
      <c r="G475" s="14"/>
      <c r="H475" s="14"/>
      <c r="I475" s="14"/>
      <c r="J475" s="15"/>
    </row>
    <row r="476" spans="1:10">
      <c r="A476" s="19"/>
      <c r="B476" s="18"/>
      <c r="C476" s="20"/>
      <c r="D476" s="20"/>
      <c r="E476" s="14"/>
      <c r="F476" s="14"/>
      <c r="G476" s="14"/>
      <c r="H476" s="14"/>
      <c r="I476" s="14"/>
      <c r="J476" s="15"/>
    </row>
    <row r="477" spans="1:10">
      <c r="A477" s="19"/>
      <c r="B477" s="18"/>
      <c r="C477" s="20"/>
      <c r="D477" s="20"/>
      <c r="E477" s="14"/>
      <c r="F477" s="14"/>
      <c r="G477" s="14"/>
      <c r="H477" s="14"/>
      <c r="I477" s="14"/>
      <c r="J477" s="15"/>
    </row>
    <row r="478" spans="1:10">
      <c r="A478" s="19"/>
      <c r="B478" s="18"/>
      <c r="C478" s="20"/>
      <c r="D478" s="20"/>
      <c r="E478" s="14"/>
      <c r="F478" s="14"/>
      <c r="G478" s="14"/>
      <c r="H478" s="14"/>
      <c r="I478" s="14"/>
      <c r="J478" s="15"/>
    </row>
    <row r="479" spans="1:10">
      <c r="A479" s="19"/>
      <c r="B479" s="18"/>
      <c r="C479" s="20"/>
      <c r="D479" s="20"/>
      <c r="E479" s="14"/>
      <c r="F479" s="14"/>
      <c r="G479" s="14"/>
      <c r="H479" s="14"/>
      <c r="I479" s="14"/>
      <c r="J479" s="15"/>
    </row>
    <row r="480" spans="1:10">
      <c r="A480" s="19"/>
      <c r="B480" s="18"/>
      <c r="C480" s="20"/>
      <c r="D480" s="20"/>
      <c r="E480" s="14"/>
      <c r="F480" s="14"/>
      <c r="G480" s="14"/>
      <c r="H480" s="14"/>
      <c r="I480" s="14"/>
      <c r="J480" s="15"/>
    </row>
    <row r="481" spans="1:10">
      <c r="A481" s="19"/>
      <c r="B481" s="18"/>
      <c r="C481" s="20"/>
      <c r="D481" s="20"/>
      <c r="E481" s="14"/>
      <c r="F481" s="14"/>
      <c r="G481" s="14"/>
      <c r="H481" s="14"/>
      <c r="I481" s="14"/>
      <c r="J481" s="15"/>
    </row>
    <row r="482" spans="1:10">
      <c r="A482" s="19"/>
      <c r="B482" s="18"/>
      <c r="C482" s="20"/>
      <c r="D482" s="20"/>
      <c r="E482" s="14"/>
      <c r="F482" s="14"/>
      <c r="G482" s="14"/>
      <c r="H482" s="14"/>
      <c r="I482" s="14"/>
      <c r="J482" s="15"/>
    </row>
    <row r="483" spans="1:10">
      <c r="A483" s="19"/>
      <c r="B483" s="18"/>
      <c r="C483" s="20"/>
      <c r="D483" s="20"/>
      <c r="E483" s="14"/>
      <c r="F483" s="14"/>
      <c r="G483" s="14"/>
      <c r="H483" s="14"/>
      <c r="I483" s="14"/>
      <c r="J483" s="15"/>
    </row>
    <row r="484" spans="1:10">
      <c r="A484" s="19"/>
      <c r="B484" s="18"/>
      <c r="C484" s="20"/>
      <c r="D484" s="20"/>
      <c r="E484" s="14"/>
      <c r="F484" s="14"/>
      <c r="G484" s="14"/>
      <c r="H484" s="14"/>
      <c r="I484" s="14"/>
      <c r="J484" s="15"/>
    </row>
    <row r="485" spans="1:10">
      <c r="A485" s="19"/>
      <c r="B485" s="18"/>
      <c r="C485" s="20"/>
      <c r="D485" s="20"/>
      <c r="E485" s="14"/>
      <c r="F485" s="14"/>
      <c r="G485" s="14"/>
      <c r="H485" s="14"/>
      <c r="I485" s="14"/>
      <c r="J485" s="15"/>
    </row>
    <row r="486" spans="1:10">
      <c r="A486" s="19"/>
      <c r="B486" s="18"/>
      <c r="C486" s="20"/>
      <c r="D486" s="20"/>
      <c r="E486" s="14"/>
      <c r="F486" s="14"/>
      <c r="G486" s="14"/>
      <c r="H486" s="14"/>
      <c r="I486" s="14"/>
      <c r="J486" s="15"/>
    </row>
    <row r="487" spans="1:10">
      <c r="A487" s="19"/>
      <c r="B487" s="18"/>
      <c r="C487" s="20"/>
      <c r="D487" s="20"/>
      <c r="E487" s="14"/>
      <c r="F487" s="14"/>
      <c r="G487" s="14"/>
      <c r="H487" s="14"/>
      <c r="I487" s="14"/>
      <c r="J487" s="15"/>
    </row>
    <row r="488" spans="1:10">
      <c r="A488" s="19"/>
      <c r="B488" s="18"/>
      <c r="C488" s="20"/>
      <c r="D488" s="20"/>
      <c r="E488" s="14"/>
      <c r="F488" s="14"/>
      <c r="G488" s="14"/>
      <c r="H488" s="14"/>
      <c r="I488" s="14"/>
      <c r="J488" s="15"/>
    </row>
    <row r="489" spans="1:10">
      <c r="A489" s="19"/>
      <c r="B489" s="18"/>
      <c r="C489" s="20"/>
      <c r="D489" s="20"/>
      <c r="E489" s="14"/>
      <c r="F489" s="14"/>
      <c r="G489" s="14"/>
      <c r="H489" s="14"/>
      <c r="I489" s="14"/>
      <c r="J489" s="15"/>
    </row>
    <row r="490" spans="1:10">
      <c r="A490" s="19"/>
      <c r="B490" s="18"/>
      <c r="C490" s="20"/>
      <c r="D490" s="20"/>
      <c r="E490" s="14"/>
      <c r="F490" s="14"/>
      <c r="G490" s="14"/>
      <c r="H490" s="14"/>
      <c r="I490" s="14"/>
      <c r="J490" s="15"/>
    </row>
    <row r="491" spans="1:10">
      <c r="A491" s="19"/>
      <c r="B491" s="18"/>
      <c r="C491" s="20"/>
      <c r="D491" s="20"/>
      <c r="E491" s="14"/>
      <c r="F491" s="14"/>
      <c r="G491" s="14"/>
      <c r="H491" s="14"/>
      <c r="I491" s="14"/>
      <c r="J491" s="15"/>
    </row>
    <row r="492" spans="1:10">
      <c r="A492" s="19"/>
      <c r="B492" s="18"/>
      <c r="C492" s="20"/>
      <c r="D492" s="20"/>
      <c r="E492" s="14"/>
      <c r="F492" s="14"/>
      <c r="G492" s="14"/>
      <c r="H492" s="14"/>
      <c r="I492" s="14"/>
      <c r="J492" s="15"/>
    </row>
    <row r="493" spans="1:10">
      <c r="A493" s="19"/>
      <c r="B493" s="18"/>
      <c r="C493" s="20"/>
      <c r="D493" s="20"/>
      <c r="E493" s="14"/>
      <c r="F493" s="14"/>
      <c r="G493" s="14"/>
      <c r="H493" s="14"/>
      <c r="I493" s="14"/>
      <c r="J493" s="15"/>
    </row>
    <row r="494" spans="1:10">
      <c r="A494" s="19"/>
      <c r="B494" s="18"/>
      <c r="C494" s="20"/>
      <c r="D494" s="20"/>
      <c r="E494" s="14"/>
      <c r="F494" s="14"/>
      <c r="G494" s="14"/>
      <c r="H494" s="14"/>
      <c r="I494" s="14"/>
      <c r="J494" s="15"/>
    </row>
    <row r="495" spans="1:10">
      <c r="A495" s="19"/>
      <c r="B495" s="18"/>
      <c r="C495" s="20"/>
      <c r="D495" s="20"/>
      <c r="E495" s="14"/>
      <c r="F495" s="14"/>
      <c r="G495" s="14"/>
      <c r="H495" s="14"/>
      <c r="I495" s="14"/>
      <c r="J495" s="15"/>
    </row>
    <row r="496" spans="1:10">
      <c r="A496" s="19"/>
      <c r="B496" s="18"/>
      <c r="C496" s="20"/>
      <c r="D496" s="20"/>
      <c r="E496" s="14"/>
      <c r="F496" s="14"/>
      <c r="G496" s="14"/>
      <c r="H496" s="14"/>
      <c r="I496" s="14"/>
      <c r="J496" s="15"/>
    </row>
    <row r="497" spans="1:10">
      <c r="A497" s="19"/>
      <c r="B497" s="18"/>
      <c r="C497" s="20"/>
      <c r="D497" s="20"/>
      <c r="E497" s="14"/>
      <c r="F497" s="14"/>
      <c r="G497" s="14"/>
      <c r="H497" s="14"/>
      <c r="I497" s="14"/>
      <c r="J497" s="15"/>
    </row>
    <row r="498" spans="1:10">
      <c r="A498" s="19"/>
      <c r="B498" s="18"/>
      <c r="C498" s="20"/>
      <c r="D498" s="20"/>
      <c r="E498" s="14"/>
      <c r="F498" s="14"/>
      <c r="G498" s="14"/>
      <c r="H498" s="14"/>
      <c r="I498" s="14"/>
      <c r="J498" s="15"/>
    </row>
    <row r="499" spans="1:10">
      <c r="A499" s="19"/>
      <c r="B499" s="18"/>
      <c r="C499" s="20"/>
      <c r="D499" s="20"/>
      <c r="E499" s="14"/>
      <c r="F499" s="14"/>
      <c r="G499" s="14"/>
      <c r="H499" s="14"/>
      <c r="I499" s="14"/>
      <c r="J499" s="15"/>
    </row>
    <row r="500" spans="1:10">
      <c r="A500" s="19"/>
      <c r="B500" s="18"/>
      <c r="C500" s="20"/>
      <c r="D500" s="20"/>
      <c r="E500" s="14"/>
      <c r="F500" s="14"/>
      <c r="G500" s="14"/>
      <c r="H500" s="14"/>
      <c r="I500" s="14"/>
      <c r="J500" s="15"/>
    </row>
    <row r="501" spans="1:10">
      <c r="A501" s="19"/>
      <c r="B501" s="18"/>
      <c r="C501" s="20"/>
      <c r="D501" s="20"/>
      <c r="E501" s="14"/>
      <c r="F501" s="14"/>
      <c r="G501" s="14"/>
      <c r="H501" s="14"/>
      <c r="I501" s="14"/>
      <c r="J501" s="15"/>
    </row>
    <row r="502" spans="1:10">
      <c r="A502" s="19"/>
      <c r="B502" s="18"/>
      <c r="C502" s="20"/>
      <c r="D502" s="20"/>
      <c r="E502" s="14"/>
      <c r="F502" s="14"/>
      <c r="G502" s="14"/>
      <c r="H502" s="14"/>
      <c r="I502" s="14"/>
      <c r="J502" s="15"/>
    </row>
    <row r="503" spans="1:10">
      <c r="A503" s="19"/>
      <c r="B503" s="18"/>
      <c r="C503" s="20"/>
      <c r="D503" s="20"/>
      <c r="E503" s="14"/>
      <c r="F503" s="14"/>
      <c r="G503" s="14"/>
      <c r="H503" s="14"/>
      <c r="I503" s="14"/>
      <c r="J503" s="15"/>
    </row>
    <row r="504" spans="1:10">
      <c r="A504" s="19"/>
      <c r="B504" s="18"/>
      <c r="C504" s="20"/>
      <c r="D504" s="20"/>
      <c r="E504" s="14"/>
      <c r="F504" s="14"/>
      <c r="G504" s="14"/>
      <c r="H504" s="14"/>
      <c r="I504" s="14"/>
      <c r="J504" s="15"/>
    </row>
    <row r="505" spans="1:10">
      <c r="A505" s="19"/>
      <c r="B505" s="18"/>
      <c r="C505" s="20"/>
      <c r="D505" s="20"/>
      <c r="E505" s="14"/>
      <c r="F505" s="14"/>
      <c r="G505" s="14"/>
      <c r="H505" s="14"/>
      <c r="I505" s="14"/>
      <c r="J505" s="15"/>
    </row>
    <row r="506" spans="1:10">
      <c r="A506" s="19"/>
      <c r="B506" s="18"/>
      <c r="C506" s="20"/>
      <c r="D506" s="20"/>
      <c r="E506" s="14"/>
      <c r="F506" s="14"/>
      <c r="G506" s="14"/>
      <c r="H506" s="14"/>
      <c r="I506" s="14"/>
      <c r="J506" s="15"/>
    </row>
    <row r="507" spans="1:10">
      <c r="A507" s="19"/>
      <c r="B507" s="18"/>
      <c r="C507" s="20"/>
      <c r="D507" s="20"/>
      <c r="E507" s="14"/>
      <c r="F507" s="14"/>
      <c r="G507" s="14"/>
      <c r="H507" s="14"/>
      <c r="I507" s="14"/>
      <c r="J507" s="15"/>
    </row>
    <row r="508" spans="1:10">
      <c r="A508" s="19"/>
      <c r="B508" s="18"/>
      <c r="C508" s="20"/>
      <c r="D508" s="20"/>
      <c r="E508" s="14"/>
      <c r="F508" s="14"/>
      <c r="G508" s="14"/>
      <c r="H508" s="14"/>
      <c r="I508" s="14"/>
      <c r="J508" s="15"/>
    </row>
    <row r="509" spans="1:10">
      <c r="A509" s="19"/>
      <c r="B509" s="18"/>
      <c r="C509" s="20"/>
      <c r="D509" s="20"/>
      <c r="E509" s="14"/>
      <c r="F509" s="14"/>
      <c r="G509" s="14"/>
      <c r="H509" s="14"/>
      <c r="I509" s="14"/>
      <c r="J509" s="15"/>
    </row>
    <row r="510" spans="1:10">
      <c r="A510" s="19"/>
      <c r="B510" s="18"/>
      <c r="C510" s="20"/>
      <c r="D510" s="20"/>
      <c r="E510" s="14"/>
      <c r="F510" s="14"/>
      <c r="G510" s="14"/>
      <c r="H510" s="14"/>
      <c r="I510" s="14"/>
      <c r="J510" s="15"/>
    </row>
    <row r="511" spans="1:10">
      <c r="A511" s="19"/>
      <c r="B511" s="18"/>
      <c r="C511" s="20"/>
      <c r="D511" s="20"/>
      <c r="E511" s="14"/>
      <c r="F511" s="14"/>
      <c r="G511" s="14"/>
      <c r="H511" s="14"/>
      <c r="I511" s="14"/>
      <c r="J511" s="15"/>
    </row>
    <row r="512" spans="1:10">
      <c r="A512" s="19"/>
      <c r="B512" s="18"/>
      <c r="C512" s="20"/>
      <c r="D512" s="20"/>
      <c r="E512" s="14"/>
      <c r="F512" s="14"/>
      <c r="G512" s="14"/>
      <c r="H512" s="14"/>
      <c r="I512" s="14"/>
      <c r="J512" s="15"/>
    </row>
    <row r="513" spans="1:10">
      <c r="A513" s="19"/>
      <c r="B513" s="18"/>
      <c r="C513" s="20"/>
      <c r="D513" s="20"/>
      <c r="E513" s="14"/>
      <c r="F513" s="14"/>
      <c r="G513" s="14"/>
      <c r="H513" s="14"/>
      <c r="I513" s="14"/>
      <c r="J513" s="15"/>
    </row>
    <row r="514" spans="1:10">
      <c r="A514" s="19"/>
      <c r="B514" s="18"/>
      <c r="C514" s="20"/>
      <c r="D514" s="20"/>
      <c r="E514" s="14"/>
      <c r="F514" s="14"/>
      <c r="G514" s="14"/>
      <c r="H514" s="14"/>
      <c r="I514" s="14"/>
      <c r="J514" s="15"/>
    </row>
    <row r="515" spans="1:10">
      <c r="A515" s="19"/>
      <c r="B515" s="18"/>
      <c r="C515" s="20"/>
      <c r="D515" s="20"/>
      <c r="E515" s="14"/>
      <c r="F515" s="14"/>
      <c r="G515" s="14"/>
      <c r="H515" s="14"/>
      <c r="I515" s="14"/>
      <c r="J515" s="15"/>
    </row>
    <row r="516" spans="1:10">
      <c r="A516" s="19"/>
      <c r="B516" s="18"/>
      <c r="C516" s="20"/>
      <c r="D516" s="20"/>
      <c r="E516" s="14"/>
      <c r="F516" s="14"/>
      <c r="G516" s="14"/>
      <c r="H516" s="14"/>
      <c r="I516" s="14"/>
      <c r="J516" s="15"/>
    </row>
    <row r="517" spans="1:10">
      <c r="A517" s="19"/>
      <c r="B517" s="18"/>
      <c r="C517" s="20"/>
      <c r="D517" s="20"/>
      <c r="E517" s="14"/>
      <c r="F517" s="14"/>
      <c r="G517" s="14"/>
      <c r="H517" s="14"/>
      <c r="I517" s="14"/>
      <c r="J517" s="15"/>
    </row>
    <row r="518" spans="1:10">
      <c r="A518" s="19"/>
      <c r="B518" s="18"/>
      <c r="C518" s="20"/>
      <c r="D518" s="20"/>
      <c r="E518" s="14"/>
      <c r="F518" s="14"/>
      <c r="G518" s="14"/>
      <c r="H518" s="14"/>
      <c r="I518" s="14"/>
      <c r="J518" s="15"/>
    </row>
    <row r="519" spans="1:10">
      <c r="A519" s="19"/>
      <c r="B519" s="18"/>
      <c r="C519" s="20"/>
      <c r="D519" s="20"/>
      <c r="E519" s="14"/>
      <c r="F519" s="14"/>
      <c r="G519" s="14"/>
      <c r="H519" s="14"/>
      <c r="I519" s="14"/>
      <c r="J519" s="15"/>
    </row>
    <row r="520" spans="1:10">
      <c r="A520" s="19"/>
      <c r="B520" s="18"/>
      <c r="C520" s="20"/>
      <c r="D520" s="20"/>
      <c r="E520" s="14"/>
      <c r="F520" s="14"/>
      <c r="G520" s="14"/>
      <c r="H520" s="14"/>
      <c r="I520" s="14"/>
      <c r="J520" s="15"/>
    </row>
    <row r="521" spans="1:10">
      <c r="A521" s="19"/>
      <c r="B521" s="18"/>
      <c r="C521" s="20"/>
      <c r="D521" s="20"/>
      <c r="E521" s="14"/>
      <c r="F521" s="14"/>
      <c r="G521" s="14"/>
      <c r="H521" s="14"/>
      <c r="I521" s="14"/>
      <c r="J521" s="15"/>
    </row>
    <row r="522" spans="1:10">
      <c r="A522" s="19"/>
      <c r="B522" s="18"/>
      <c r="C522" s="20"/>
      <c r="D522" s="20"/>
      <c r="E522" s="14"/>
      <c r="F522" s="14"/>
      <c r="G522" s="14"/>
      <c r="H522" s="14"/>
      <c r="I522" s="14"/>
      <c r="J522" s="15"/>
    </row>
    <row r="523" spans="1:10">
      <c r="A523" s="19"/>
      <c r="B523" s="18"/>
      <c r="C523" s="20"/>
      <c r="D523" s="20"/>
      <c r="E523" s="14"/>
      <c r="F523" s="14"/>
      <c r="G523" s="14"/>
      <c r="H523" s="14"/>
      <c r="I523" s="14"/>
      <c r="J523" s="15"/>
    </row>
    <row r="524" spans="1:10">
      <c r="A524" s="19"/>
      <c r="B524" s="18"/>
      <c r="C524" s="20"/>
      <c r="D524" s="20"/>
      <c r="E524" s="14"/>
      <c r="F524" s="14"/>
      <c r="G524" s="14"/>
      <c r="H524" s="14"/>
      <c r="I524" s="14"/>
      <c r="J524" s="15"/>
    </row>
    <row r="525" spans="1:10">
      <c r="A525" s="19"/>
      <c r="B525" s="18"/>
      <c r="C525" s="20"/>
      <c r="D525" s="20"/>
      <c r="E525" s="14"/>
      <c r="F525" s="14"/>
      <c r="G525" s="14"/>
      <c r="H525" s="14"/>
      <c r="I525" s="14"/>
      <c r="J525" s="15"/>
    </row>
    <row r="526" spans="1:10">
      <c r="A526" s="19"/>
      <c r="B526" s="18"/>
      <c r="C526" s="20"/>
      <c r="D526" s="20"/>
      <c r="E526" s="14"/>
      <c r="F526" s="14"/>
      <c r="G526" s="14"/>
      <c r="H526" s="14"/>
      <c r="I526" s="14"/>
      <c r="J526" s="15"/>
    </row>
    <row r="527" spans="1:10">
      <c r="A527" s="19"/>
      <c r="B527" s="18"/>
      <c r="C527" s="20"/>
      <c r="D527" s="20"/>
      <c r="E527" s="14"/>
      <c r="F527" s="14"/>
      <c r="G527" s="14"/>
      <c r="H527" s="14"/>
      <c r="I527" s="14"/>
      <c r="J527" s="15"/>
    </row>
    <row r="528" spans="1:10">
      <c r="A528" s="19"/>
      <c r="B528" s="18"/>
      <c r="C528" s="20"/>
      <c r="D528" s="20"/>
      <c r="E528" s="14"/>
      <c r="F528" s="14"/>
      <c r="G528" s="14"/>
      <c r="H528" s="14"/>
      <c r="I528" s="14"/>
      <c r="J528" s="15"/>
    </row>
    <row r="529" spans="1:10">
      <c r="A529" s="19"/>
      <c r="B529" s="18"/>
      <c r="C529" s="20"/>
      <c r="D529" s="20"/>
      <c r="E529" s="14"/>
      <c r="F529" s="14"/>
      <c r="G529" s="14"/>
      <c r="H529" s="14"/>
      <c r="I529" s="14"/>
      <c r="J529" s="15"/>
    </row>
    <row r="530" spans="1:10">
      <c r="A530" s="19"/>
      <c r="B530" s="18"/>
      <c r="C530" s="20"/>
      <c r="D530" s="20"/>
      <c r="E530" s="14"/>
      <c r="F530" s="14"/>
      <c r="G530" s="14"/>
      <c r="H530" s="14"/>
      <c r="I530" s="14"/>
      <c r="J530" s="15"/>
    </row>
    <row r="531" spans="1:10">
      <c r="A531" s="19"/>
      <c r="B531" s="18"/>
      <c r="C531" s="20"/>
      <c r="D531" s="20"/>
      <c r="E531" s="14"/>
      <c r="F531" s="14"/>
      <c r="G531" s="14"/>
      <c r="H531" s="14"/>
      <c r="I531" s="14"/>
      <c r="J531" s="15"/>
    </row>
    <row r="532" spans="1:10">
      <c r="A532" s="19"/>
      <c r="B532" s="18"/>
      <c r="C532" s="20"/>
      <c r="D532" s="20"/>
      <c r="E532" s="14"/>
      <c r="F532" s="14"/>
      <c r="G532" s="14"/>
      <c r="H532" s="14"/>
      <c r="I532" s="14"/>
      <c r="J532" s="15"/>
    </row>
    <row r="533" spans="1:10">
      <c r="A533" s="19"/>
      <c r="B533" s="18"/>
      <c r="C533" s="20"/>
      <c r="D533" s="20"/>
      <c r="E533" s="14"/>
      <c r="F533" s="14"/>
      <c r="G533" s="14"/>
      <c r="H533" s="14"/>
      <c r="I533" s="14"/>
      <c r="J533" s="15"/>
    </row>
    <row r="534" spans="1:10">
      <c r="A534" s="19"/>
      <c r="B534" s="18"/>
      <c r="C534" s="20"/>
      <c r="D534" s="20"/>
      <c r="E534" s="14"/>
      <c r="F534" s="14"/>
      <c r="G534" s="14"/>
      <c r="H534" s="14"/>
      <c r="I534" s="14"/>
      <c r="J534" s="15"/>
    </row>
    <row r="535" spans="1:10">
      <c r="A535" s="19"/>
      <c r="B535" s="18"/>
      <c r="C535" s="20"/>
      <c r="D535" s="20"/>
      <c r="E535" s="14"/>
      <c r="F535" s="14"/>
      <c r="G535" s="14"/>
      <c r="H535" s="14"/>
      <c r="I535" s="14"/>
      <c r="J535" s="15"/>
    </row>
    <row r="536" spans="1:10">
      <c r="A536" s="19"/>
      <c r="B536" s="18"/>
      <c r="C536" s="20"/>
      <c r="D536" s="20"/>
      <c r="E536" s="14"/>
      <c r="F536" s="14"/>
      <c r="G536" s="14"/>
      <c r="H536" s="14"/>
      <c r="I536" s="14"/>
      <c r="J536" s="15"/>
    </row>
    <row r="537" spans="1:10">
      <c r="A537" s="19"/>
      <c r="B537" s="18"/>
      <c r="C537" s="20"/>
      <c r="D537" s="20"/>
      <c r="E537" s="14"/>
      <c r="F537" s="14"/>
      <c r="G537" s="14"/>
      <c r="H537" s="14"/>
      <c r="I537" s="14"/>
      <c r="J537" s="15"/>
    </row>
    <row r="538" spans="1:10">
      <c r="A538" s="19"/>
      <c r="B538" s="18"/>
      <c r="C538" s="20"/>
      <c r="D538" s="20"/>
      <c r="E538" s="14"/>
      <c r="F538" s="14"/>
      <c r="G538" s="14"/>
      <c r="H538" s="14"/>
      <c r="I538" s="14"/>
      <c r="J538" s="15"/>
    </row>
    <row r="539" spans="1:10">
      <c r="A539" s="19"/>
      <c r="B539" s="18"/>
      <c r="C539" s="20"/>
      <c r="D539" s="20"/>
      <c r="E539" s="14"/>
      <c r="F539" s="14"/>
      <c r="G539" s="14"/>
      <c r="H539" s="14"/>
      <c r="I539" s="14"/>
      <c r="J539" s="15"/>
    </row>
    <row r="540" spans="1:10">
      <c r="A540" s="19"/>
      <c r="B540" s="18"/>
      <c r="C540" s="20"/>
      <c r="D540" s="20"/>
      <c r="E540" s="14"/>
      <c r="F540" s="14"/>
      <c r="G540" s="14"/>
      <c r="H540" s="14"/>
      <c r="I540" s="14"/>
      <c r="J540" s="15"/>
    </row>
    <row r="541" spans="1:10">
      <c r="A541" s="19"/>
      <c r="B541" s="18"/>
      <c r="C541" s="20"/>
      <c r="D541" s="20"/>
      <c r="E541" s="14"/>
      <c r="F541" s="14"/>
      <c r="G541" s="14"/>
      <c r="H541" s="14"/>
      <c r="I541" s="14"/>
      <c r="J541" s="15"/>
    </row>
    <row r="542" spans="1:10">
      <c r="A542" s="19"/>
      <c r="B542" s="18"/>
      <c r="C542" s="20"/>
      <c r="D542" s="20"/>
      <c r="E542" s="14"/>
      <c r="F542" s="14"/>
      <c r="G542" s="14"/>
      <c r="H542" s="14"/>
      <c r="I542" s="14"/>
      <c r="J542" s="15"/>
    </row>
    <row r="543" spans="1:10">
      <c r="A543" s="19"/>
      <c r="B543" s="18"/>
      <c r="C543" s="20"/>
      <c r="D543" s="20"/>
      <c r="E543" s="14"/>
      <c r="F543" s="14"/>
      <c r="G543" s="14"/>
      <c r="H543" s="14"/>
      <c r="I543" s="14"/>
      <c r="J543" s="15"/>
    </row>
    <row r="544" spans="1:10">
      <c r="A544" s="19"/>
      <c r="B544" s="18"/>
      <c r="C544" s="20"/>
      <c r="D544" s="20"/>
      <c r="E544" s="14"/>
      <c r="F544" s="14"/>
      <c r="G544" s="14"/>
      <c r="H544" s="14"/>
      <c r="I544" s="14"/>
      <c r="J544" s="15"/>
    </row>
    <row r="545" spans="1:10">
      <c r="A545" s="19"/>
      <c r="B545" s="18"/>
      <c r="C545" s="20"/>
      <c r="D545" s="20"/>
      <c r="E545" s="14"/>
      <c r="F545" s="14"/>
      <c r="G545" s="14"/>
      <c r="H545" s="14"/>
      <c r="I545" s="14"/>
      <c r="J545" s="15"/>
    </row>
    <row r="546" spans="1:10">
      <c r="A546" s="19"/>
      <c r="B546" s="18"/>
      <c r="C546" s="20"/>
      <c r="D546" s="20"/>
      <c r="E546" s="14"/>
      <c r="F546" s="14"/>
      <c r="G546" s="14"/>
      <c r="H546" s="14"/>
      <c r="I546" s="14"/>
      <c r="J546" s="15"/>
    </row>
    <row r="547" spans="1:10">
      <c r="A547" s="19"/>
      <c r="B547" s="18"/>
      <c r="C547" s="20"/>
      <c r="D547" s="20"/>
      <c r="E547" s="14"/>
      <c r="F547" s="14"/>
      <c r="G547" s="14"/>
      <c r="H547" s="14"/>
      <c r="I547" s="14"/>
      <c r="J547" s="15"/>
    </row>
    <row r="548" spans="1:10">
      <c r="A548" s="19"/>
      <c r="B548" s="18"/>
      <c r="C548" s="20"/>
      <c r="D548" s="20"/>
      <c r="E548" s="14"/>
      <c r="F548" s="14"/>
      <c r="G548" s="14"/>
      <c r="H548" s="14"/>
      <c r="I548" s="14"/>
      <c r="J548" s="15"/>
    </row>
    <row r="549" spans="1:10">
      <c r="A549" s="19"/>
      <c r="B549" s="18"/>
      <c r="C549" s="20"/>
      <c r="D549" s="20"/>
      <c r="E549" s="14"/>
      <c r="F549" s="14"/>
      <c r="G549" s="14"/>
      <c r="H549" s="14"/>
      <c r="I549" s="14"/>
      <c r="J549" s="15"/>
    </row>
    <row r="550" spans="1:10">
      <c r="A550" s="19"/>
      <c r="B550" s="18"/>
      <c r="C550" s="20"/>
      <c r="D550" s="20"/>
      <c r="E550" s="14"/>
      <c r="F550" s="14"/>
      <c r="G550" s="14"/>
      <c r="H550" s="14"/>
      <c r="I550" s="14"/>
      <c r="J550" s="15"/>
    </row>
    <row r="551" spans="1:10">
      <c r="A551" s="19"/>
      <c r="B551" s="18"/>
      <c r="C551" s="20"/>
      <c r="D551" s="20"/>
      <c r="E551" s="14"/>
      <c r="F551" s="14"/>
      <c r="G551" s="14"/>
      <c r="H551" s="14"/>
      <c r="I551" s="14"/>
      <c r="J551" s="15"/>
    </row>
    <row r="552" spans="1:10">
      <c r="A552" s="19"/>
      <c r="B552" s="18"/>
      <c r="C552" s="20"/>
      <c r="D552" s="20"/>
      <c r="E552" s="14"/>
      <c r="F552" s="14"/>
      <c r="G552" s="14"/>
      <c r="H552" s="14"/>
      <c r="I552" s="14"/>
      <c r="J552" s="15"/>
    </row>
    <row r="553" spans="1:10">
      <c r="A553" s="19"/>
      <c r="B553" s="18"/>
      <c r="C553" s="20"/>
      <c r="D553" s="20"/>
      <c r="E553" s="14"/>
      <c r="F553" s="14"/>
      <c r="G553" s="14"/>
      <c r="H553" s="14"/>
      <c r="I553" s="14"/>
      <c r="J553" s="15"/>
    </row>
    <row r="554" spans="1:10">
      <c r="A554" s="19"/>
      <c r="B554" s="18"/>
      <c r="C554" s="20"/>
      <c r="D554" s="20"/>
      <c r="E554" s="14"/>
      <c r="F554" s="14"/>
      <c r="G554" s="14"/>
      <c r="H554" s="14"/>
      <c r="I554" s="14"/>
      <c r="J554" s="15"/>
    </row>
    <row r="555" spans="1:10">
      <c r="A555" s="19"/>
      <c r="B555" s="18"/>
      <c r="C555" s="20"/>
      <c r="D555" s="20"/>
      <c r="E555" s="14"/>
      <c r="F555" s="14"/>
      <c r="G555" s="14"/>
      <c r="H555" s="14"/>
      <c r="I555" s="14"/>
      <c r="J555" s="15"/>
    </row>
    <row r="556" spans="1:10">
      <c r="A556" s="19"/>
      <c r="B556" s="18"/>
      <c r="C556" s="20"/>
      <c r="D556" s="20"/>
      <c r="E556" s="14"/>
      <c r="F556" s="14"/>
      <c r="G556" s="14"/>
      <c r="H556" s="14"/>
      <c r="I556" s="14"/>
      <c r="J556" s="15"/>
    </row>
    <row r="557" spans="1:10">
      <c r="A557" s="19"/>
      <c r="B557" s="18"/>
      <c r="C557" s="20"/>
      <c r="D557" s="20"/>
      <c r="E557" s="14"/>
      <c r="F557" s="14"/>
      <c r="G557" s="14"/>
      <c r="H557" s="14"/>
      <c r="I557" s="14"/>
      <c r="J557" s="15"/>
    </row>
    <row r="558" spans="1:10">
      <c r="A558" s="19"/>
      <c r="B558" s="18"/>
      <c r="C558" s="20"/>
      <c r="D558" s="20"/>
      <c r="E558" s="14"/>
      <c r="F558" s="14"/>
      <c r="G558" s="14"/>
      <c r="H558" s="14"/>
      <c r="I558" s="14"/>
      <c r="J558" s="15"/>
    </row>
    <row r="559" spans="1:10">
      <c r="A559" s="19"/>
      <c r="B559" s="18"/>
      <c r="C559" s="20"/>
      <c r="D559" s="20"/>
      <c r="E559" s="14"/>
      <c r="F559" s="14"/>
      <c r="G559" s="14"/>
      <c r="H559" s="14"/>
      <c r="I559" s="14"/>
      <c r="J559" s="15"/>
    </row>
    <row r="560" spans="1:10">
      <c r="A560" s="19"/>
      <c r="B560" s="18"/>
      <c r="C560" s="20"/>
      <c r="D560" s="20"/>
      <c r="E560" s="14"/>
      <c r="F560" s="14"/>
      <c r="G560" s="14"/>
      <c r="H560" s="14"/>
      <c r="I560" s="14"/>
      <c r="J560" s="15"/>
    </row>
    <row r="561" spans="1:10">
      <c r="A561" s="19"/>
      <c r="B561" s="18"/>
      <c r="C561" s="20"/>
      <c r="D561" s="20"/>
      <c r="E561" s="14"/>
      <c r="F561" s="14"/>
      <c r="G561" s="14"/>
      <c r="H561" s="14"/>
      <c r="I561" s="14"/>
      <c r="J561" s="15"/>
    </row>
    <row r="562" spans="1:10">
      <c r="A562" s="19"/>
      <c r="B562" s="18"/>
      <c r="C562" s="20"/>
      <c r="D562" s="20"/>
      <c r="E562" s="14"/>
      <c r="F562" s="14"/>
      <c r="G562" s="14"/>
      <c r="H562" s="14"/>
      <c r="I562" s="14"/>
      <c r="J562" s="15"/>
    </row>
    <row r="563" spans="1:10">
      <c r="A563" s="19"/>
      <c r="B563" s="18"/>
      <c r="C563" s="20"/>
      <c r="D563" s="20"/>
      <c r="E563" s="14"/>
      <c r="F563" s="14"/>
      <c r="G563" s="14"/>
      <c r="H563" s="14"/>
      <c r="I563" s="14"/>
      <c r="J563" s="15"/>
    </row>
    <row r="564" spans="1:10">
      <c r="A564" s="19"/>
      <c r="B564" s="18"/>
      <c r="C564" s="20"/>
      <c r="D564" s="20"/>
      <c r="E564" s="14"/>
      <c r="F564" s="14"/>
      <c r="G564" s="14"/>
      <c r="H564" s="14"/>
      <c r="I564" s="14"/>
      <c r="J564" s="15"/>
    </row>
    <row r="565" spans="1:10">
      <c r="A565" s="19"/>
      <c r="B565" s="18"/>
      <c r="C565" s="20"/>
      <c r="D565" s="20"/>
      <c r="E565" s="14"/>
      <c r="F565" s="14"/>
      <c r="G565" s="14"/>
      <c r="H565" s="14"/>
      <c r="I565" s="14"/>
      <c r="J565" s="15"/>
    </row>
    <row r="566" spans="1:10">
      <c r="A566" s="19"/>
      <c r="B566" s="18"/>
      <c r="C566" s="20"/>
      <c r="D566" s="20"/>
      <c r="E566" s="14"/>
      <c r="F566" s="14"/>
      <c r="G566" s="14"/>
      <c r="H566" s="14"/>
      <c r="I566" s="14"/>
      <c r="J566" s="15"/>
    </row>
    <row r="567" spans="1:10">
      <c r="A567" s="19"/>
      <c r="B567" s="18"/>
      <c r="C567" s="20"/>
      <c r="D567" s="20"/>
      <c r="E567" s="14"/>
      <c r="F567" s="14"/>
      <c r="G567" s="14"/>
      <c r="H567" s="14"/>
      <c r="I567" s="14"/>
      <c r="J567" s="15"/>
    </row>
    <row r="568" spans="1:10">
      <c r="A568" s="19"/>
      <c r="B568" s="18"/>
      <c r="C568" s="20"/>
      <c r="D568" s="20"/>
      <c r="E568" s="14"/>
      <c r="F568" s="14"/>
      <c r="G568" s="14"/>
      <c r="H568" s="14"/>
      <c r="I568" s="14"/>
      <c r="J568" s="15"/>
    </row>
    <row r="569" spans="1:10">
      <c r="A569" s="19"/>
      <c r="B569" s="18"/>
      <c r="C569" s="20"/>
      <c r="D569" s="20"/>
      <c r="E569" s="14"/>
      <c r="F569" s="14"/>
      <c r="G569" s="14"/>
      <c r="H569" s="14"/>
      <c r="I569" s="14"/>
      <c r="J569" s="15"/>
    </row>
    <row r="570" spans="1:10">
      <c r="A570" s="19"/>
      <c r="B570" s="18"/>
      <c r="C570" s="20"/>
      <c r="D570" s="20"/>
      <c r="E570" s="14"/>
      <c r="F570" s="14"/>
      <c r="G570" s="14"/>
      <c r="H570" s="14"/>
      <c r="I570" s="14"/>
      <c r="J570" s="15"/>
    </row>
    <row r="571" spans="1:10">
      <c r="A571" s="19"/>
      <c r="B571" s="18"/>
      <c r="C571" s="20"/>
      <c r="D571" s="20"/>
      <c r="E571" s="14"/>
      <c r="F571" s="14"/>
      <c r="G571" s="14"/>
      <c r="H571" s="14"/>
      <c r="I571" s="14"/>
      <c r="J571" s="15"/>
    </row>
    <row r="572" spans="1:10">
      <c r="A572" s="19"/>
      <c r="B572" s="18"/>
      <c r="C572" s="20"/>
      <c r="D572" s="20"/>
      <c r="E572" s="14"/>
      <c r="F572" s="14"/>
      <c r="G572" s="14"/>
      <c r="H572" s="14"/>
      <c r="I572" s="14"/>
      <c r="J572" s="15"/>
    </row>
    <row r="573" spans="1:10">
      <c r="A573" s="19"/>
      <c r="B573" s="18"/>
      <c r="C573" s="20"/>
      <c r="D573" s="20"/>
      <c r="E573" s="14"/>
      <c r="F573" s="14"/>
      <c r="G573" s="14"/>
      <c r="H573" s="14"/>
      <c r="I573" s="14"/>
      <c r="J573" s="15"/>
    </row>
    <row r="574" spans="1:10">
      <c r="A574" s="19"/>
      <c r="B574" s="18"/>
      <c r="C574" s="20"/>
      <c r="D574" s="20"/>
      <c r="E574" s="14"/>
      <c r="F574" s="14"/>
      <c r="G574" s="14"/>
      <c r="H574" s="14"/>
      <c r="I574" s="14"/>
      <c r="J574" s="15"/>
    </row>
    <row r="575" spans="1:10">
      <c r="A575" s="19"/>
      <c r="B575" s="18"/>
      <c r="C575" s="20"/>
      <c r="D575" s="20"/>
      <c r="E575" s="14"/>
      <c r="F575" s="14"/>
      <c r="G575" s="14"/>
      <c r="H575" s="14"/>
      <c r="I575" s="14"/>
      <c r="J575" s="15"/>
    </row>
    <row r="576" spans="1:10">
      <c r="A576" s="19"/>
      <c r="B576" s="18"/>
      <c r="C576" s="20"/>
      <c r="D576" s="20"/>
      <c r="E576" s="14"/>
      <c r="F576" s="14"/>
      <c r="G576" s="14"/>
      <c r="H576" s="14"/>
      <c r="I576" s="14"/>
      <c r="J576" s="15"/>
    </row>
    <row r="577" spans="1:10">
      <c r="A577" s="19"/>
      <c r="B577" s="18"/>
      <c r="C577" s="20"/>
      <c r="D577" s="20"/>
      <c r="E577" s="14"/>
      <c r="F577" s="14"/>
      <c r="G577" s="14"/>
      <c r="H577" s="14"/>
      <c r="I577" s="14"/>
      <c r="J577" s="15"/>
    </row>
    <row r="578" spans="1:10">
      <c r="A578" s="19"/>
      <c r="B578" s="18"/>
      <c r="C578" s="20"/>
      <c r="D578" s="20"/>
      <c r="E578" s="14"/>
      <c r="F578" s="14"/>
      <c r="G578" s="14"/>
      <c r="H578" s="14"/>
      <c r="I578" s="14"/>
      <c r="J578" s="15"/>
    </row>
    <row r="579" spans="1:10">
      <c r="A579" s="19"/>
      <c r="B579" s="18"/>
      <c r="C579" s="20"/>
      <c r="D579" s="20"/>
      <c r="E579" s="14"/>
      <c r="F579" s="14"/>
      <c r="G579" s="14"/>
      <c r="H579" s="14"/>
      <c r="I579" s="14"/>
      <c r="J579" s="15"/>
    </row>
    <row r="580" spans="1:10">
      <c r="A580" s="19"/>
      <c r="B580" s="18"/>
      <c r="C580" s="20"/>
      <c r="D580" s="20"/>
      <c r="E580" s="14"/>
      <c r="F580" s="14"/>
      <c r="G580" s="14"/>
      <c r="H580" s="14"/>
      <c r="I580" s="14"/>
      <c r="J580" s="15"/>
    </row>
    <row r="581" spans="1:10">
      <c r="A581" s="19"/>
      <c r="B581" s="18"/>
      <c r="C581" s="20"/>
      <c r="D581" s="20"/>
      <c r="E581" s="14"/>
      <c r="F581" s="14"/>
      <c r="G581" s="14"/>
      <c r="H581" s="14"/>
      <c r="I581" s="14"/>
      <c r="J581" s="15"/>
    </row>
    <row r="582" spans="1:10">
      <c r="A582" s="19"/>
      <c r="B582" s="18"/>
      <c r="C582" s="20"/>
      <c r="D582" s="20"/>
      <c r="E582" s="14"/>
      <c r="F582" s="14"/>
      <c r="G582" s="14"/>
      <c r="H582" s="14"/>
      <c r="I582" s="14"/>
      <c r="J582" s="15"/>
    </row>
    <row r="583" spans="1:10">
      <c r="A583" s="19"/>
      <c r="B583" s="18"/>
      <c r="C583" s="20"/>
      <c r="D583" s="20"/>
      <c r="E583" s="14"/>
      <c r="F583" s="14"/>
      <c r="G583" s="14"/>
      <c r="H583" s="14"/>
      <c r="I583" s="14"/>
      <c r="J583" s="15"/>
    </row>
    <row r="584" spans="1:10">
      <c r="A584" s="19"/>
      <c r="B584" s="18"/>
      <c r="C584" s="20"/>
      <c r="D584" s="20"/>
      <c r="E584" s="14"/>
      <c r="F584" s="14"/>
      <c r="G584" s="14"/>
      <c r="H584" s="14"/>
      <c r="I584" s="14"/>
      <c r="J584" s="15"/>
    </row>
    <row r="585" spans="1:10">
      <c r="A585" s="19"/>
      <c r="B585" s="18"/>
      <c r="C585" s="20"/>
      <c r="D585" s="20"/>
      <c r="E585" s="14"/>
      <c r="F585" s="14"/>
      <c r="G585" s="14"/>
      <c r="H585" s="14"/>
      <c r="I585" s="14"/>
      <c r="J585" s="15"/>
    </row>
    <row r="586" spans="1:10">
      <c r="A586" s="19"/>
      <c r="B586" s="18"/>
      <c r="C586" s="20"/>
      <c r="D586" s="20"/>
      <c r="E586" s="14"/>
      <c r="F586" s="14"/>
      <c r="G586" s="14"/>
      <c r="H586" s="14"/>
      <c r="I586" s="14"/>
      <c r="J586" s="15"/>
    </row>
    <row r="587" spans="1:10">
      <c r="A587" s="19"/>
      <c r="B587" s="18"/>
      <c r="C587" s="20"/>
      <c r="D587" s="20"/>
      <c r="E587" s="14"/>
      <c r="F587" s="14"/>
      <c r="G587" s="14"/>
      <c r="H587" s="14"/>
      <c r="I587" s="14"/>
      <c r="J587" s="15"/>
    </row>
    <row r="588" spans="1:10">
      <c r="A588" s="19"/>
      <c r="B588" s="18"/>
      <c r="C588" s="20"/>
      <c r="D588" s="20"/>
      <c r="E588" s="14"/>
      <c r="F588" s="14"/>
      <c r="G588" s="14"/>
      <c r="H588" s="14"/>
      <c r="I588" s="14"/>
      <c r="J588" s="15"/>
    </row>
    <row r="589" spans="1:10">
      <c r="A589" s="19"/>
      <c r="B589" s="18"/>
      <c r="C589" s="20"/>
      <c r="D589" s="20"/>
      <c r="E589" s="14"/>
      <c r="F589" s="14"/>
      <c r="G589" s="14"/>
      <c r="H589" s="14"/>
      <c r="I589" s="14"/>
      <c r="J589" s="15"/>
    </row>
    <row r="590" spans="1:10">
      <c r="A590" s="19"/>
      <c r="B590" s="18"/>
      <c r="C590" s="20"/>
      <c r="D590" s="20"/>
      <c r="E590" s="14"/>
      <c r="F590" s="14"/>
      <c r="G590" s="14"/>
      <c r="H590" s="14"/>
      <c r="I590" s="14"/>
      <c r="J590" s="15"/>
    </row>
    <row r="591" spans="1:10">
      <c r="A591" s="19"/>
      <c r="B591" s="18"/>
      <c r="C591" s="20"/>
      <c r="D591" s="20"/>
      <c r="E591" s="14"/>
      <c r="F591" s="14"/>
      <c r="G591" s="14"/>
      <c r="H591" s="14"/>
      <c r="I591" s="14"/>
      <c r="J591" s="15"/>
    </row>
    <row r="592" spans="1:10">
      <c r="A592" s="19"/>
      <c r="B592" s="18"/>
      <c r="C592" s="20"/>
      <c r="D592" s="20"/>
      <c r="E592" s="14"/>
      <c r="F592" s="14"/>
      <c r="G592" s="14"/>
      <c r="H592" s="14"/>
      <c r="I592" s="14"/>
      <c r="J592" s="15"/>
    </row>
    <row r="593" spans="1:10">
      <c r="A593" s="19"/>
      <c r="B593" s="18"/>
      <c r="C593" s="20"/>
      <c r="D593" s="20"/>
      <c r="E593" s="14"/>
      <c r="F593" s="14"/>
      <c r="G593" s="14"/>
      <c r="H593" s="14"/>
      <c r="I593" s="14"/>
      <c r="J593" s="15"/>
    </row>
    <row r="594" spans="1:10">
      <c r="A594" s="19"/>
      <c r="B594" s="18"/>
      <c r="C594" s="20"/>
      <c r="D594" s="20"/>
      <c r="E594" s="14"/>
      <c r="F594" s="14"/>
      <c r="G594" s="14"/>
      <c r="H594" s="14"/>
      <c r="I594" s="14"/>
      <c r="J594" s="15"/>
    </row>
    <row r="595" spans="1:10">
      <c r="A595" s="19"/>
      <c r="B595" s="18"/>
      <c r="C595" s="20"/>
      <c r="D595" s="20"/>
      <c r="E595" s="14"/>
      <c r="F595" s="14"/>
      <c r="G595" s="14"/>
      <c r="H595" s="14"/>
      <c r="I595" s="14"/>
      <c r="J595" s="15"/>
    </row>
    <row r="596" spans="1:10">
      <c r="A596" s="19"/>
      <c r="B596" s="18"/>
      <c r="C596" s="20"/>
      <c r="D596" s="20"/>
      <c r="E596" s="14"/>
      <c r="F596" s="14"/>
      <c r="G596" s="14"/>
      <c r="H596" s="14"/>
      <c r="I596" s="14"/>
      <c r="J596" s="15"/>
    </row>
    <row r="597" spans="1:10">
      <c r="A597" s="19"/>
      <c r="B597" s="18"/>
      <c r="C597" s="20"/>
      <c r="D597" s="20"/>
      <c r="E597" s="14"/>
      <c r="F597" s="14"/>
      <c r="G597" s="14"/>
      <c r="H597" s="14"/>
      <c r="I597" s="14"/>
      <c r="J597" s="15"/>
    </row>
    <row r="598" spans="1:10">
      <c r="A598" s="19"/>
      <c r="B598" s="18"/>
      <c r="C598" s="20"/>
      <c r="D598" s="20"/>
      <c r="E598" s="14"/>
      <c r="F598" s="14"/>
      <c r="G598" s="14"/>
      <c r="H598" s="14"/>
      <c r="I598" s="14"/>
      <c r="J598" s="15"/>
    </row>
    <row r="599" spans="1:10">
      <c r="A599" s="19"/>
      <c r="B599" s="18"/>
      <c r="C599" s="20"/>
      <c r="D599" s="20"/>
      <c r="E599" s="14"/>
      <c r="F599" s="14"/>
      <c r="G599" s="14"/>
      <c r="H599" s="14"/>
      <c r="I599" s="14"/>
      <c r="J599" s="15"/>
    </row>
    <row r="600" spans="1:10">
      <c r="A600" s="19"/>
      <c r="B600" s="18"/>
      <c r="C600" s="20"/>
      <c r="D600" s="20"/>
      <c r="E600" s="14"/>
      <c r="F600" s="14"/>
      <c r="G600" s="14"/>
      <c r="H600" s="14"/>
      <c r="I600" s="14"/>
      <c r="J600" s="15"/>
    </row>
    <row r="601" spans="1:10">
      <c r="A601" s="19"/>
      <c r="B601" s="18"/>
      <c r="C601" s="20"/>
      <c r="D601" s="20"/>
      <c r="E601" s="14"/>
      <c r="F601" s="14"/>
      <c r="G601" s="14"/>
      <c r="H601" s="14"/>
      <c r="I601" s="14"/>
      <c r="J601" s="15"/>
    </row>
    <row r="602" spans="1:10">
      <c r="A602" s="19"/>
      <c r="B602" s="18"/>
      <c r="C602" s="20"/>
      <c r="D602" s="20"/>
      <c r="E602" s="14"/>
      <c r="F602" s="14"/>
      <c r="G602" s="14"/>
      <c r="H602" s="14"/>
      <c r="I602" s="14"/>
      <c r="J602" s="15"/>
    </row>
    <row r="603" spans="1:10">
      <c r="A603" s="19"/>
      <c r="B603" s="18"/>
      <c r="C603" s="20"/>
      <c r="D603" s="20"/>
      <c r="E603" s="14"/>
      <c r="F603" s="14"/>
      <c r="G603" s="14"/>
      <c r="H603" s="14"/>
      <c r="I603" s="14"/>
      <c r="J603" s="15"/>
    </row>
    <row r="604" spans="1:10">
      <c r="A604" s="19"/>
      <c r="B604" s="18"/>
      <c r="C604" s="20"/>
      <c r="D604" s="20"/>
      <c r="E604" s="14"/>
      <c r="F604" s="14"/>
      <c r="G604" s="14"/>
      <c r="H604" s="14"/>
      <c r="I604" s="14"/>
      <c r="J604" s="15"/>
    </row>
    <row r="605" spans="1:10">
      <c r="A605" s="19"/>
      <c r="B605" s="18"/>
      <c r="C605" s="20"/>
      <c r="D605" s="20"/>
      <c r="E605" s="14"/>
      <c r="F605" s="14"/>
      <c r="G605" s="14"/>
      <c r="H605" s="14"/>
      <c r="I605" s="14"/>
      <c r="J605" s="15"/>
    </row>
    <row r="606" spans="1:10">
      <c r="A606" s="19"/>
      <c r="B606" s="18"/>
      <c r="C606" s="20"/>
      <c r="D606" s="20"/>
      <c r="E606" s="14"/>
      <c r="F606" s="14"/>
      <c r="G606" s="14"/>
      <c r="H606" s="14"/>
      <c r="I606" s="14"/>
      <c r="J606" s="15"/>
    </row>
    <row r="607" spans="1:10">
      <c r="A607" s="19"/>
      <c r="B607" s="18"/>
      <c r="C607" s="20"/>
      <c r="D607" s="20"/>
      <c r="E607" s="14"/>
      <c r="F607" s="14"/>
      <c r="G607" s="14"/>
      <c r="H607" s="14"/>
      <c r="I607" s="14"/>
      <c r="J607" s="15"/>
    </row>
    <row r="608" spans="1:10">
      <c r="A608" s="19"/>
      <c r="B608" s="18"/>
      <c r="C608" s="20"/>
      <c r="D608" s="20"/>
      <c r="E608" s="14"/>
      <c r="F608" s="14"/>
      <c r="G608" s="14"/>
      <c r="H608" s="14"/>
      <c r="I608" s="14"/>
      <c r="J608" s="15"/>
    </row>
    <row r="609" spans="1:10">
      <c r="A609" s="19"/>
      <c r="B609" s="18"/>
      <c r="C609" s="20"/>
      <c r="D609" s="20"/>
      <c r="E609" s="14"/>
      <c r="F609" s="14"/>
      <c r="G609" s="14"/>
      <c r="H609" s="14"/>
      <c r="I609" s="14"/>
      <c r="J609" s="15"/>
    </row>
    <row r="610" spans="1:10">
      <c r="A610" s="19"/>
      <c r="B610" s="18"/>
      <c r="C610" s="20"/>
      <c r="D610" s="20"/>
      <c r="E610" s="14"/>
      <c r="F610" s="14"/>
      <c r="G610" s="14"/>
      <c r="H610" s="14"/>
      <c r="I610" s="14"/>
      <c r="J610" s="15"/>
    </row>
    <row r="611" spans="1:10">
      <c r="A611" s="19"/>
      <c r="B611" s="18"/>
      <c r="C611" s="20"/>
      <c r="D611" s="20"/>
      <c r="E611" s="14"/>
      <c r="F611" s="14"/>
      <c r="G611" s="14"/>
      <c r="H611" s="14"/>
      <c r="I611" s="14"/>
      <c r="J611" s="15"/>
    </row>
    <row r="612" spans="1:10">
      <c r="A612" s="19"/>
      <c r="B612" s="18"/>
      <c r="C612" s="20"/>
      <c r="D612" s="20"/>
      <c r="E612" s="14"/>
      <c r="F612" s="14"/>
      <c r="G612" s="14"/>
      <c r="H612" s="14"/>
      <c r="I612" s="14"/>
      <c r="J612" s="15"/>
    </row>
    <row r="613" spans="1:10">
      <c r="A613" s="19"/>
      <c r="B613" s="18"/>
      <c r="C613" s="20"/>
      <c r="D613" s="20"/>
      <c r="E613" s="14"/>
      <c r="F613" s="14"/>
      <c r="G613" s="14"/>
      <c r="H613" s="14"/>
      <c r="I613" s="14"/>
      <c r="J613" s="15"/>
    </row>
    <row r="614" spans="1:10">
      <c r="A614" s="19"/>
      <c r="B614" s="18"/>
      <c r="C614" s="20"/>
      <c r="D614" s="20"/>
      <c r="E614" s="14"/>
      <c r="F614" s="14"/>
      <c r="G614" s="14"/>
      <c r="H614" s="14"/>
      <c r="I614" s="14"/>
      <c r="J614" s="15"/>
    </row>
    <row r="615" spans="1:10">
      <c r="A615" s="19"/>
      <c r="B615" s="18"/>
      <c r="C615" s="20"/>
      <c r="D615" s="20"/>
      <c r="E615" s="14"/>
      <c r="F615" s="14"/>
      <c r="G615" s="14"/>
      <c r="H615" s="14"/>
      <c r="I615" s="14"/>
      <c r="J615" s="15"/>
    </row>
    <row r="616" spans="1:10">
      <c r="A616" s="19"/>
      <c r="B616" s="18"/>
      <c r="C616" s="20"/>
      <c r="D616" s="20"/>
      <c r="E616" s="14"/>
      <c r="F616" s="14"/>
      <c r="G616" s="14"/>
      <c r="H616" s="14"/>
      <c r="I616" s="14"/>
      <c r="J616" s="15"/>
    </row>
    <row r="617" spans="1:10">
      <c r="A617" s="19"/>
      <c r="B617" s="18"/>
      <c r="C617" s="20"/>
      <c r="D617" s="20"/>
      <c r="E617" s="14"/>
      <c r="F617" s="14"/>
      <c r="G617" s="14"/>
      <c r="H617" s="14"/>
      <c r="I617" s="14"/>
      <c r="J617" s="15"/>
    </row>
    <row r="618" spans="1:10">
      <c r="A618" s="19"/>
      <c r="B618" s="18"/>
      <c r="C618" s="20"/>
      <c r="D618" s="20"/>
      <c r="E618" s="14"/>
      <c r="F618" s="14"/>
      <c r="G618" s="14"/>
      <c r="H618" s="14"/>
      <c r="I618" s="14"/>
      <c r="J618" s="15"/>
    </row>
    <row r="619" spans="1:10">
      <c r="A619" s="19"/>
      <c r="B619" s="18"/>
      <c r="C619" s="20"/>
      <c r="D619" s="20"/>
      <c r="E619" s="14"/>
      <c r="F619" s="14"/>
      <c r="G619" s="14"/>
      <c r="H619" s="14"/>
      <c r="I619" s="14"/>
      <c r="J619" s="15"/>
    </row>
    <row r="620" spans="1:10">
      <c r="A620" s="19"/>
      <c r="B620" s="18"/>
      <c r="C620" s="20"/>
      <c r="D620" s="20"/>
      <c r="E620" s="14"/>
      <c r="F620" s="14"/>
      <c r="G620" s="14"/>
      <c r="H620" s="14"/>
      <c r="I620" s="14"/>
      <c r="J620" s="15"/>
    </row>
    <row r="621" spans="1:10">
      <c r="A621" s="19"/>
      <c r="B621" s="18"/>
      <c r="C621" s="20"/>
      <c r="D621" s="20"/>
      <c r="E621" s="14"/>
      <c r="F621" s="14"/>
      <c r="G621" s="14"/>
      <c r="H621" s="14"/>
      <c r="I621" s="14"/>
      <c r="J621" s="15"/>
    </row>
    <row r="622" spans="1:10">
      <c r="A622" s="19"/>
      <c r="B622" s="18"/>
      <c r="C622" s="20"/>
      <c r="D622" s="20"/>
      <c r="E622" s="14"/>
      <c r="F622" s="14"/>
      <c r="G622" s="14"/>
      <c r="H622" s="14"/>
      <c r="I622" s="14"/>
      <c r="J622" s="15"/>
    </row>
    <row r="623" spans="1:10">
      <c r="A623" s="19"/>
      <c r="B623" s="18"/>
      <c r="C623" s="20"/>
      <c r="D623" s="20"/>
      <c r="E623" s="14"/>
      <c r="F623" s="14"/>
      <c r="G623" s="14"/>
      <c r="H623" s="14"/>
      <c r="I623" s="14"/>
      <c r="J623" s="15"/>
    </row>
    <row r="624" spans="1:10">
      <c r="A624" s="19"/>
      <c r="B624" s="18"/>
      <c r="C624" s="20"/>
      <c r="D624" s="20"/>
      <c r="E624" s="14"/>
      <c r="F624" s="14"/>
      <c r="G624" s="14"/>
      <c r="H624" s="14"/>
      <c r="I624" s="14"/>
      <c r="J624" s="15"/>
    </row>
    <row r="625" spans="1:10">
      <c r="A625" s="19"/>
      <c r="B625" s="18"/>
      <c r="C625" s="20"/>
      <c r="D625" s="20"/>
      <c r="E625" s="14"/>
      <c r="F625" s="14"/>
      <c r="G625" s="14"/>
      <c r="H625" s="14"/>
      <c r="I625" s="14"/>
      <c r="J625" s="15"/>
    </row>
    <row r="626" spans="1:10">
      <c r="A626" s="19"/>
      <c r="B626" s="18"/>
      <c r="C626" s="20"/>
      <c r="D626" s="20"/>
      <c r="E626" s="14"/>
      <c r="F626" s="14"/>
      <c r="G626" s="14"/>
      <c r="H626" s="14"/>
      <c r="I626" s="14"/>
      <c r="J626" s="15"/>
    </row>
    <row r="627" spans="1:10">
      <c r="A627" s="19"/>
      <c r="B627" s="18"/>
      <c r="C627" s="20"/>
      <c r="D627" s="20"/>
      <c r="E627" s="14"/>
      <c r="F627" s="14"/>
      <c r="G627" s="14"/>
      <c r="H627" s="14"/>
      <c r="I627" s="14"/>
      <c r="J627" s="15"/>
    </row>
    <row r="628" spans="1:10">
      <c r="A628" s="19"/>
      <c r="B628" s="18"/>
      <c r="C628" s="20"/>
      <c r="D628" s="20"/>
      <c r="E628" s="14"/>
      <c r="F628" s="14"/>
      <c r="G628" s="14"/>
      <c r="H628" s="14"/>
      <c r="I628" s="14"/>
      <c r="J628" s="15"/>
    </row>
    <row r="629" spans="1:10">
      <c r="A629" s="19"/>
      <c r="B629" s="18"/>
      <c r="C629" s="20"/>
      <c r="D629" s="20"/>
      <c r="E629" s="14"/>
      <c r="F629" s="14"/>
      <c r="G629" s="14"/>
      <c r="H629" s="14"/>
      <c r="I629" s="14"/>
      <c r="J629" s="15"/>
    </row>
    <row r="630" spans="1:10">
      <c r="A630" s="19"/>
      <c r="B630" s="18"/>
      <c r="C630" s="20"/>
      <c r="D630" s="20"/>
      <c r="E630" s="14"/>
      <c r="F630" s="14"/>
      <c r="G630" s="14"/>
      <c r="H630" s="14"/>
      <c r="I630" s="14"/>
      <c r="J630" s="15"/>
    </row>
    <row r="631" spans="1:10">
      <c r="A631" s="19"/>
      <c r="B631" s="18"/>
      <c r="C631" s="20"/>
      <c r="D631" s="20"/>
      <c r="E631" s="14"/>
      <c r="F631" s="14"/>
      <c r="G631" s="14"/>
      <c r="H631" s="14"/>
      <c r="I631" s="14"/>
      <c r="J631" s="15"/>
    </row>
    <row r="632" spans="1:10">
      <c r="A632" s="19"/>
      <c r="B632" s="18"/>
      <c r="C632" s="20"/>
      <c r="D632" s="20"/>
      <c r="E632" s="14"/>
      <c r="F632" s="14"/>
      <c r="G632" s="14"/>
      <c r="H632" s="14"/>
      <c r="I632" s="14"/>
      <c r="J632" s="15"/>
    </row>
    <row r="633" spans="1:10">
      <c r="A633" s="19"/>
      <c r="B633" s="18"/>
      <c r="C633" s="20"/>
      <c r="D633" s="20"/>
      <c r="E633" s="14"/>
      <c r="F633" s="14"/>
      <c r="G633" s="14"/>
      <c r="H633" s="14"/>
      <c r="I633" s="14"/>
      <c r="J633" s="15"/>
    </row>
    <row r="634" spans="1:10">
      <c r="A634" s="19"/>
      <c r="B634" s="18"/>
      <c r="C634" s="20"/>
      <c r="D634" s="20"/>
      <c r="E634" s="14"/>
      <c r="F634" s="14"/>
      <c r="G634" s="14"/>
      <c r="H634" s="14"/>
      <c r="I634" s="14"/>
      <c r="J634" s="15"/>
    </row>
    <row r="635" spans="1:10">
      <c r="A635" s="19"/>
      <c r="B635" s="18"/>
      <c r="C635" s="20"/>
      <c r="D635" s="20"/>
      <c r="E635" s="14"/>
      <c r="F635" s="14"/>
      <c r="G635" s="14"/>
      <c r="H635" s="14"/>
      <c r="I635" s="14"/>
      <c r="J635" s="15"/>
    </row>
    <row r="636" spans="1:10">
      <c r="A636" s="19"/>
      <c r="B636" s="18"/>
      <c r="C636" s="20"/>
      <c r="D636" s="20"/>
      <c r="E636" s="14"/>
      <c r="F636" s="14"/>
      <c r="G636" s="14"/>
      <c r="H636" s="14"/>
      <c r="I636" s="14"/>
      <c r="J636" s="15"/>
    </row>
    <row r="637" spans="1:10">
      <c r="A637" s="19"/>
      <c r="B637" s="18"/>
      <c r="C637" s="20"/>
      <c r="D637" s="20"/>
      <c r="E637" s="14"/>
      <c r="F637" s="14"/>
      <c r="G637" s="14"/>
      <c r="H637" s="14"/>
      <c r="I637" s="14"/>
      <c r="J637" s="15"/>
    </row>
    <row r="638" spans="1:10">
      <c r="A638" s="19"/>
      <c r="B638" s="18"/>
      <c r="C638" s="20"/>
      <c r="D638" s="20"/>
      <c r="E638" s="14"/>
      <c r="F638" s="14"/>
      <c r="G638" s="14"/>
      <c r="H638" s="14"/>
      <c r="I638" s="14"/>
      <c r="J638" s="15"/>
    </row>
    <row r="639" spans="1:10">
      <c r="A639" s="19"/>
      <c r="B639" s="18"/>
      <c r="C639" s="20"/>
      <c r="D639" s="20"/>
      <c r="E639" s="14"/>
      <c r="F639" s="14"/>
      <c r="G639" s="14"/>
      <c r="H639" s="14"/>
      <c r="I639" s="14"/>
      <c r="J639" s="15"/>
    </row>
    <row r="640" spans="1:10">
      <c r="A640" s="19"/>
      <c r="B640" s="18"/>
      <c r="C640" s="20"/>
      <c r="D640" s="20"/>
      <c r="E640" s="14"/>
      <c r="F640" s="14"/>
      <c r="G640" s="14"/>
      <c r="H640" s="14"/>
      <c r="I640" s="14"/>
      <c r="J640" s="15"/>
    </row>
    <row r="641" spans="1:10">
      <c r="A641" s="19"/>
      <c r="B641" s="18"/>
      <c r="C641" s="20"/>
      <c r="D641" s="20"/>
      <c r="E641" s="14"/>
      <c r="F641" s="14"/>
      <c r="G641" s="14"/>
      <c r="H641" s="14"/>
      <c r="I641" s="14"/>
      <c r="J641" s="15"/>
    </row>
    <row r="642" spans="1:10">
      <c r="A642" s="19"/>
      <c r="B642" s="18"/>
      <c r="C642" s="20"/>
      <c r="D642" s="20"/>
      <c r="E642" s="14"/>
      <c r="F642" s="14"/>
      <c r="G642" s="14"/>
      <c r="H642" s="14"/>
      <c r="I642" s="14"/>
      <c r="J642" s="15"/>
    </row>
    <row r="643" spans="1:10">
      <c r="A643" s="19"/>
      <c r="B643" s="18"/>
      <c r="C643" s="20"/>
      <c r="D643" s="20"/>
      <c r="E643" s="14"/>
      <c r="F643" s="14"/>
      <c r="G643" s="14"/>
      <c r="H643" s="14"/>
      <c r="I643" s="14"/>
      <c r="J643" s="15"/>
    </row>
    <row r="644" spans="1:10">
      <c r="A644" s="19"/>
      <c r="B644" s="18"/>
      <c r="C644" s="20"/>
      <c r="D644" s="20"/>
      <c r="E644" s="14"/>
      <c r="F644" s="14"/>
      <c r="G644" s="14"/>
      <c r="H644" s="14"/>
      <c r="I644" s="14"/>
      <c r="J644" s="15"/>
    </row>
    <row r="645" spans="1:10">
      <c r="A645" s="19"/>
      <c r="B645" s="18"/>
      <c r="C645" s="20"/>
      <c r="D645" s="20"/>
      <c r="E645" s="14"/>
      <c r="F645" s="14"/>
      <c r="G645" s="14"/>
      <c r="H645" s="14"/>
      <c r="I645" s="14"/>
      <c r="J645" s="15"/>
    </row>
    <row r="646" spans="1:10">
      <c r="A646" s="19"/>
      <c r="B646" s="18"/>
      <c r="C646" s="20"/>
      <c r="D646" s="20"/>
      <c r="E646" s="14"/>
      <c r="F646" s="14"/>
      <c r="G646" s="14"/>
      <c r="H646" s="14"/>
      <c r="I646" s="14"/>
      <c r="J646" s="15"/>
    </row>
    <row r="647" spans="1:10">
      <c r="A647" s="19"/>
      <c r="B647" s="18"/>
      <c r="C647" s="20"/>
      <c r="D647" s="20"/>
      <c r="E647" s="14"/>
      <c r="F647" s="14"/>
      <c r="G647" s="14"/>
      <c r="H647" s="14"/>
      <c r="I647" s="14"/>
      <c r="J647" s="15"/>
    </row>
    <row r="648" spans="1:10">
      <c r="A648" s="19"/>
      <c r="B648" s="18"/>
      <c r="C648" s="20"/>
      <c r="D648" s="20"/>
      <c r="E648" s="14"/>
      <c r="F648" s="14"/>
      <c r="G648" s="14"/>
      <c r="H648" s="14"/>
      <c r="I648" s="14"/>
      <c r="J648" s="15"/>
    </row>
    <row r="649" spans="1:10">
      <c r="A649" s="19"/>
      <c r="B649" s="18"/>
      <c r="C649" s="20"/>
      <c r="D649" s="20"/>
      <c r="E649" s="14"/>
      <c r="F649" s="14"/>
      <c r="G649" s="14"/>
      <c r="H649" s="14"/>
      <c r="I649" s="14"/>
      <c r="J649" s="15"/>
    </row>
    <row r="650" spans="1:10">
      <c r="A650" s="19"/>
      <c r="B650" s="18"/>
      <c r="C650" s="20"/>
      <c r="D650" s="20"/>
      <c r="E650" s="14"/>
      <c r="F650" s="14"/>
      <c r="G650" s="14"/>
      <c r="H650" s="14"/>
      <c r="I650" s="14"/>
      <c r="J650" s="15"/>
    </row>
    <row r="651" spans="1:10">
      <c r="A651" s="19"/>
      <c r="B651" s="18"/>
      <c r="C651" s="20"/>
      <c r="D651" s="20"/>
      <c r="E651" s="14"/>
      <c r="F651" s="14"/>
      <c r="G651" s="14"/>
      <c r="H651" s="14"/>
      <c r="I651" s="14"/>
      <c r="J651" s="15"/>
    </row>
    <row r="652" spans="1:10">
      <c r="A652" s="19"/>
      <c r="B652" s="18"/>
      <c r="C652" s="20"/>
      <c r="D652" s="20"/>
      <c r="E652" s="14"/>
      <c r="F652" s="14"/>
      <c r="G652" s="14"/>
      <c r="H652" s="14"/>
      <c r="I652" s="14"/>
      <c r="J652" s="15"/>
    </row>
    <row r="653" spans="1:10">
      <c r="A653" s="19"/>
      <c r="B653" s="18"/>
      <c r="C653" s="20"/>
      <c r="D653" s="20"/>
      <c r="E653" s="14"/>
      <c r="F653" s="14"/>
      <c r="G653" s="14"/>
      <c r="H653" s="14"/>
      <c r="I653" s="14"/>
      <c r="J653" s="15"/>
    </row>
    <row r="654" spans="1:10">
      <c r="A654" s="19"/>
      <c r="B654" s="18"/>
      <c r="C654" s="20"/>
      <c r="D654" s="20"/>
      <c r="E654" s="14"/>
      <c r="F654" s="14"/>
      <c r="G654" s="14"/>
      <c r="H654" s="14"/>
      <c r="I654" s="14"/>
      <c r="J654" s="15"/>
    </row>
    <row r="655" spans="1:10">
      <c r="A655" s="19"/>
      <c r="B655" s="18"/>
      <c r="C655" s="20"/>
      <c r="D655" s="20"/>
      <c r="E655" s="14"/>
      <c r="F655" s="14"/>
      <c r="G655" s="14"/>
      <c r="H655" s="14"/>
      <c r="I655" s="14"/>
      <c r="J655" s="15"/>
    </row>
    <row r="656" spans="1:10">
      <c r="A656" s="19"/>
      <c r="B656" s="18"/>
      <c r="C656" s="20"/>
      <c r="D656" s="20"/>
      <c r="E656" s="14"/>
      <c r="F656" s="14"/>
      <c r="G656" s="14"/>
      <c r="H656" s="14"/>
      <c r="I656" s="14"/>
      <c r="J656" s="15"/>
    </row>
    <row r="657" spans="1:10">
      <c r="A657" s="19"/>
      <c r="B657" s="18"/>
      <c r="C657" s="20"/>
      <c r="D657" s="20"/>
      <c r="E657" s="14"/>
      <c r="F657" s="14"/>
      <c r="G657" s="14"/>
      <c r="H657" s="14"/>
      <c r="I657" s="14"/>
      <c r="J657" s="15"/>
    </row>
    <row r="658" spans="1:10">
      <c r="A658" s="19"/>
      <c r="B658" s="18"/>
      <c r="C658" s="20"/>
      <c r="D658" s="20"/>
      <c r="E658" s="14"/>
      <c r="F658" s="14"/>
      <c r="G658" s="14"/>
      <c r="H658" s="14"/>
      <c r="I658" s="14"/>
      <c r="J658" s="15"/>
    </row>
    <row r="659" spans="1:10">
      <c r="A659" s="19"/>
      <c r="B659" s="18"/>
      <c r="C659" s="20"/>
      <c r="D659" s="20"/>
      <c r="E659" s="14"/>
      <c r="F659" s="14"/>
      <c r="G659" s="14"/>
      <c r="H659" s="14"/>
      <c r="I659" s="14"/>
      <c r="J659" s="15"/>
    </row>
    <row r="660" spans="1:10">
      <c r="A660" s="19"/>
      <c r="B660" s="18"/>
      <c r="C660" s="20"/>
      <c r="D660" s="20"/>
      <c r="E660" s="14"/>
      <c r="F660" s="14"/>
      <c r="G660" s="14"/>
      <c r="H660" s="14"/>
      <c r="I660" s="14"/>
      <c r="J660" s="15"/>
    </row>
    <row r="661" spans="1:10">
      <c r="A661" s="19"/>
      <c r="B661" s="18"/>
      <c r="C661" s="20"/>
      <c r="D661" s="20"/>
      <c r="E661" s="14"/>
      <c r="F661" s="14"/>
      <c r="G661" s="14"/>
      <c r="H661" s="14"/>
      <c r="I661" s="14"/>
      <c r="J661" s="15"/>
    </row>
    <row r="662" spans="1:10">
      <c r="A662" s="19"/>
      <c r="B662" s="18"/>
      <c r="C662" s="20"/>
      <c r="D662" s="20"/>
      <c r="E662" s="14"/>
      <c r="F662" s="14"/>
      <c r="G662" s="14"/>
      <c r="H662" s="14"/>
      <c r="I662" s="14"/>
      <c r="J662" s="15"/>
    </row>
    <row r="663" spans="1:10">
      <c r="A663" s="19"/>
      <c r="B663" s="18"/>
      <c r="C663" s="20"/>
      <c r="D663" s="20"/>
      <c r="E663" s="14"/>
      <c r="F663" s="14"/>
      <c r="G663" s="14"/>
      <c r="H663" s="14"/>
      <c r="I663" s="14"/>
      <c r="J663" s="15"/>
    </row>
    <row r="664" spans="1:10">
      <c r="A664" s="19"/>
      <c r="B664" s="18"/>
      <c r="C664" s="20"/>
      <c r="D664" s="20"/>
      <c r="E664" s="14"/>
      <c r="F664" s="14"/>
      <c r="G664" s="14"/>
      <c r="H664" s="14"/>
      <c r="I664" s="14"/>
      <c r="J664" s="15"/>
    </row>
    <row r="665" spans="1:10">
      <c r="A665" s="19"/>
      <c r="B665" s="18"/>
      <c r="C665" s="20"/>
      <c r="D665" s="20"/>
      <c r="E665" s="14"/>
      <c r="F665" s="14"/>
      <c r="G665" s="14"/>
      <c r="H665" s="14"/>
      <c r="I665" s="14"/>
      <c r="J665" s="15"/>
    </row>
    <row r="666" spans="1:10">
      <c r="A666" s="19"/>
      <c r="B666" s="18"/>
      <c r="C666" s="20"/>
      <c r="D666" s="20"/>
      <c r="E666" s="14"/>
      <c r="F666" s="14"/>
      <c r="G666" s="14"/>
      <c r="H666" s="14"/>
      <c r="I666" s="14"/>
      <c r="J666" s="15"/>
    </row>
    <row r="667" spans="1:10">
      <c r="A667" s="19"/>
      <c r="B667" s="18"/>
      <c r="C667" s="20"/>
      <c r="D667" s="20"/>
      <c r="E667" s="14"/>
      <c r="F667" s="14"/>
      <c r="G667" s="14"/>
      <c r="H667" s="14"/>
      <c r="I667" s="14"/>
      <c r="J667" s="15"/>
    </row>
    <row r="668" spans="1:10">
      <c r="A668" s="19"/>
      <c r="B668" s="18"/>
      <c r="C668" s="20"/>
      <c r="D668" s="20"/>
      <c r="E668" s="14"/>
      <c r="F668" s="14"/>
      <c r="G668" s="14"/>
      <c r="H668" s="14"/>
      <c r="I668" s="14"/>
      <c r="J668" s="15"/>
    </row>
    <row r="669" spans="1:10">
      <c r="A669" s="19"/>
      <c r="B669" s="18"/>
      <c r="C669" s="20"/>
      <c r="D669" s="20"/>
      <c r="E669" s="14"/>
      <c r="F669" s="14"/>
      <c r="G669" s="14"/>
      <c r="H669" s="14"/>
      <c r="I669" s="14"/>
      <c r="J669" s="15"/>
    </row>
    <row r="670" spans="1:10">
      <c r="A670" s="19"/>
      <c r="B670" s="18"/>
      <c r="C670" s="20"/>
      <c r="D670" s="20"/>
      <c r="E670" s="14"/>
      <c r="F670" s="14"/>
      <c r="G670" s="14"/>
      <c r="H670" s="14"/>
      <c r="I670" s="14"/>
      <c r="J670" s="15"/>
    </row>
    <row r="671" spans="1:10">
      <c r="A671" s="19"/>
      <c r="B671" s="18"/>
      <c r="C671" s="20"/>
      <c r="D671" s="20"/>
      <c r="E671" s="14"/>
      <c r="F671" s="14"/>
      <c r="G671" s="14"/>
      <c r="H671" s="14"/>
      <c r="I671" s="14"/>
      <c r="J671" s="15"/>
    </row>
    <row r="672" spans="1:10">
      <c r="A672" s="19"/>
      <c r="B672" s="18"/>
      <c r="C672" s="20"/>
      <c r="D672" s="20"/>
      <c r="E672" s="14"/>
      <c r="F672" s="14"/>
      <c r="G672" s="14"/>
      <c r="H672" s="14"/>
      <c r="I672" s="14"/>
      <c r="J672" s="15"/>
    </row>
    <row r="673" spans="1:10">
      <c r="A673" s="19"/>
      <c r="B673" s="18"/>
      <c r="C673" s="20"/>
      <c r="D673" s="20"/>
      <c r="E673" s="14"/>
      <c r="F673" s="14"/>
      <c r="G673" s="14"/>
      <c r="H673" s="14"/>
      <c r="I673" s="14"/>
      <c r="J673" s="15"/>
    </row>
    <row r="674" spans="1:10">
      <c r="A674" s="19"/>
      <c r="B674" s="18"/>
      <c r="C674" s="20"/>
      <c r="D674" s="20"/>
      <c r="E674" s="14"/>
      <c r="F674" s="14"/>
      <c r="G674" s="14"/>
      <c r="H674" s="14"/>
      <c r="I674" s="14"/>
      <c r="J674" s="15"/>
    </row>
    <row r="675" spans="1:10">
      <c r="A675" s="19"/>
      <c r="B675" s="18"/>
      <c r="C675" s="20"/>
      <c r="D675" s="20"/>
      <c r="E675" s="14"/>
      <c r="F675" s="14"/>
      <c r="G675" s="14"/>
      <c r="H675" s="14"/>
      <c r="I675" s="14"/>
      <c r="J675" s="15"/>
    </row>
    <row r="676" spans="1:10">
      <c r="A676" s="19"/>
      <c r="B676" s="18"/>
      <c r="C676" s="20"/>
      <c r="D676" s="20"/>
      <c r="E676" s="14"/>
      <c r="F676" s="14"/>
      <c r="G676" s="14"/>
      <c r="H676" s="14"/>
      <c r="I676" s="14"/>
      <c r="J676" s="15"/>
    </row>
    <row r="677" spans="1:10">
      <c r="A677" s="19"/>
      <c r="B677" s="18"/>
      <c r="C677" s="20"/>
      <c r="D677" s="20"/>
      <c r="E677" s="14"/>
      <c r="F677" s="14"/>
      <c r="G677" s="14"/>
      <c r="H677" s="14"/>
      <c r="I677" s="14"/>
      <c r="J677" s="15"/>
    </row>
    <row r="678" spans="1:10">
      <c r="A678" s="19"/>
      <c r="B678" s="18"/>
      <c r="C678" s="20"/>
      <c r="D678" s="20"/>
      <c r="E678" s="14"/>
      <c r="F678" s="14"/>
      <c r="G678" s="14"/>
      <c r="H678" s="14"/>
      <c r="I678" s="14"/>
      <c r="J678" s="15"/>
    </row>
    <row r="679" spans="1:10">
      <c r="A679" s="19"/>
      <c r="B679" s="18"/>
      <c r="C679" s="20"/>
      <c r="D679" s="20"/>
      <c r="E679" s="14"/>
      <c r="F679" s="14"/>
      <c r="G679" s="14"/>
      <c r="H679" s="14"/>
      <c r="I679" s="14"/>
      <c r="J679" s="15"/>
    </row>
    <row r="680" spans="1:10">
      <c r="A680" s="19"/>
      <c r="B680" s="18"/>
      <c r="C680" s="20"/>
      <c r="D680" s="20"/>
      <c r="E680" s="14"/>
      <c r="F680" s="14"/>
      <c r="G680" s="14"/>
      <c r="H680" s="14"/>
      <c r="I680" s="14"/>
      <c r="J680" s="15"/>
    </row>
    <row r="681" spans="1:10">
      <c r="A681" s="19"/>
      <c r="B681" s="18"/>
      <c r="C681" s="20"/>
      <c r="D681" s="20"/>
      <c r="E681" s="14"/>
      <c r="F681" s="14"/>
      <c r="G681" s="14"/>
      <c r="H681" s="14"/>
      <c r="I681" s="14"/>
      <c r="J681" s="15"/>
    </row>
    <row r="682" spans="1:10">
      <c r="A682" s="19"/>
      <c r="B682" s="18"/>
      <c r="C682" s="20"/>
      <c r="D682" s="20"/>
      <c r="E682" s="14"/>
      <c r="F682" s="14"/>
      <c r="G682" s="14"/>
      <c r="H682" s="14"/>
      <c r="I682" s="14"/>
      <c r="J682" s="15"/>
    </row>
    <row r="683" spans="1:10">
      <c r="A683" s="19"/>
      <c r="B683" s="18"/>
      <c r="C683" s="20"/>
      <c r="D683" s="20"/>
      <c r="E683" s="14"/>
      <c r="F683" s="14"/>
      <c r="G683" s="14"/>
      <c r="H683" s="14"/>
      <c r="I683" s="14"/>
      <c r="J683" s="15"/>
    </row>
    <row r="684" spans="1:10">
      <c r="A684" s="19"/>
      <c r="B684" s="18"/>
      <c r="C684" s="20"/>
      <c r="D684" s="20"/>
      <c r="E684" s="14"/>
      <c r="F684" s="14"/>
      <c r="G684" s="14"/>
      <c r="H684" s="14"/>
      <c r="I684" s="14"/>
      <c r="J684" s="15"/>
    </row>
    <row r="685" spans="1:10">
      <c r="A685" s="19"/>
      <c r="B685" s="18"/>
      <c r="C685" s="20"/>
      <c r="D685" s="20"/>
      <c r="E685" s="14"/>
      <c r="F685" s="14"/>
      <c r="G685" s="14"/>
      <c r="H685" s="14"/>
      <c r="I685" s="14"/>
      <c r="J685" s="15"/>
    </row>
    <row r="686" spans="1:10">
      <c r="A686" s="19"/>
      <c r="B686" s="18"/>
      <c r="C686" s="20"/>
      <c r="D686" s="20"/>
      <c r="E686" s="14"/>
      <c r="F686" s="14"/>
      <c r="G686" s="14"/>
      <c r="H686" s="14"/>
      <c r="I686" s="14"/>
      <c r="J686" s="15"/>
    </row>
    <row r="687" spans="1:10">
      <c r="A687" s="19"/>
      <c r="B687" s="18"/>
      <c r="C687" s="20"/>
      <c r="D687" s="20"/>
      <c r="E687" s="14"/>
      <c r="F687" s="14"/>
      <c r="G687" s="14"/>
      <c r="H687" s="14"/>
      <c r="I687" s="14"/>
      <c r="J687" s="15"/>
    </row>
    <row r="688" spans="1:10">
      <c r="A688" s="19"/>
      <c r="B688" s="18"/>
      <c r="C688" s="20"/>
      <c r="D688" s="20"/>
      <c r="E688" s="14"/>
      <c r="F688" s="14"/>
      <c r="G688" s="14"/>
      <c r="H688" s="14"/>
      <c r="I688" s="14"/>
      <c r="J688" s="15"/>
    </row>
    <row r="689" spans="1:10">
      <c r="A689" s="19"/>
      <c r="B689" s="18"/>
      <c r="C689" s="20"/>
      <c r="D689" s="20"/>
      <c r="E689" s="14"/>
      <c r="F689" s="14"/>
      <c r="G689" s="14"/>
      <c r="H689" s="14"/>
      <c r="I689" s="14"/>
      <c r="J689" s="15"/>
    </row>
    <row r="690" spans="1:10">
      <c r="A690" s="19"/>
      <c r="B690" s="18"/>
      <c r="C690" s="20"/>
      <c r="D690" s="20"/>
      <c r="E690" s="14"/>
      <c r="F690" s="14"/>
      <c r="G690" s="14"/>
      <c r="H690" s="14"/>
      <c r="I690" s="14"/>
      <c r="J690" s="15"/>
    </row>
    <row r="691" spans="1:10">
      <c r="A691" s="19"/>
      <c r="B691" s="18"/>
      <c r="C691" s="20"/>
      <c r="D691" s="20"/>
      <c r="E691" s="14"/>
      <c r="F691" s="14"/>
      <c r="G691" s="14"/>
      <c r="H691" s="14"/>
      <c r="I691" s="14"/>
      <c r="J691" s="15"/>
    </row>
    <row r="692" spans="1:10">
      <c r="A692" s="19"/>
      <c r="B692" s="18"/>
      <c r="C692" s="20"/>
      <c r="D692" s="20"/>
      <c r="E692" s="14"/>
      <c r="F692" s="14"/>
      <c r="G692" s="14"/>
      <c r="H692" s="14"/>
      <c r="I692" s="14"/>
      <c r="J692" s="15"/>
    </row>
    <row r="693" spans="1:10">
      <c r="A693" s="19"/>
      <c r="B693" s="18"/>
      <c r="C693" s="20"/>
      <c r="D693" s="20"/>
      <c r="E693" s="14"/>
      <c r="F693" s="14"/>
      <c r="G693" s="14"/>
      <c r="H693" s="14"/>
      <c r="I693" s="14"/>
      <c r="J693" s="15"/>
    </row>
    <row r="694" spans="1:10">
      <c r="A694" s="19"/>
      <c r="B694" s="18"/>
      <c r="C694" s="20"/>
      <c r="D694" s="20"/>
      <c r="E694" s="14"/>
      <c r="F694" s="14"/>
      <c r="G694" s="14"/>
      <c r="H694" s="14"/>
      <c r="I694" s="14"/>
      <c r="J694" s="15"/>
    </row>
    <row r="695" spans="1:10">
      <c r="A695" s="19"/>
      <c r="B695" s="18"/>
      <c r="C695" s="20"/>
      <c r="D695" s="20"/>
      <c r="E695" s="14"/>
      <c r="F695" s="14"/>
      <c r="G695" s="14"/>
      <c r="H695" s="14"/>
      <c r="I695" s="14"/>
      <c r="J695" s="15"/>
    </row>
    <row r="696" spans="1:10">
      <c r="A696" s="19"/>
      <c r="B696" s="18"/>
      <c r="C696" s="20"/>
      <c r="D696" s="20"/>
      <c r="E696" s="14"/>
      <c r="F696" s="14"/>
      <c r="G696" s="14"/>
      <c r="H696" s="14"/>
      <c r="I696" s="14"/>
      <c r="J696" s="15"/>
    </row>
    <row r="697" spans="1:10">
      <c r="A697" s="19"/>
      <c r="B697" s="18"/>
      <c r="C697" s="20"/>
      <c r="D697" s="20"/>
      <c r="E697" s="14"/>
      <c r="F697" s="14"/>
      <c r="G697" s="14"/>
      <c r="H697" s="14"/>
      <c r="I697" s="14"/>
      <c r="J697" s="15"/>
    </row>
    <row r="698" spans="1:10">
      <c r="A698" s="19"/>
      <c r="B698" s="18"/>
      <c r="C698" s="20"/>
      <c r="D698" s="20"/>
      <c r="E698" s="14"/>
      <c r="F698" s="14"/>
      <c r="G698" s="14"/>
      <c r="H698" s="14"/>
      <c r="I698" s="14"/>
      <c r="J698" s="15"/>
    </row>
    <row r="699" spans="1:10">
      <c r="A699" s="19"/>
      <c r="B699" s="18"/>
      <c r="C699" s="20"/>
      <c r="D699" s="20"/>
      <c r="E699" s="14"/>
      <c r="F699" s="14"/>
      <c r="G699" s="14"/>
      <c r="H699" s="14"/>
      <c r="I699" s="14"/>
      <c r="J699" s="15"/>
    </row>
    <row r="700" spans="1:10">
      <c r="A700" s="19"/>
      <c r="B700" s="18"/>
      <c r="C700" s="20"/>
      <c r="D700" s="20"/>
      <c r="E700" s="14"/>
      <c r="F700" s="14"/>
      <c r="G700" s="14"/>
      <c r="H700" s="14"/>
      <c r="I700" s="14"/>
      <c r="J700" s="15"/>
    </row>
    <row r="701" spans="1:10">
      <c r="A701" s="19"/>
      <c r="B701" s="18"/>
      <c r="C701" s="20"/>
      <c r="D701" s="20"/>
      <c r="E701" s="14"/>
      <c r="F701" s="14"/>
      <c r="G701" s="14"/>
      <c r="H701" s="14"/>
      <c r="I701" s="14"/>
      <c r="J701" s="15"/>
    </row>
    <row r="702" spans="1:10">
      <c r="A702" s="19"/>
      <c r="B702" s="18"/>
      <c r="C702" s="20"/>
      <c r="D702" s="20"/>
      <c r="E702" s="14"/>
      <c r="F702" s="14"/>
      <c r="G702" s="14"/>
      <c r="H702" s="14"/>
      <c r="I702" s="14"/>
      <c r="J702" s="15"/>
    </row>
    <row r="703" spans="1:10">
      <c r="A703" s="19"/>
      <c r="B703" s="18"/>
      <c r="C703" s="20"/>
      <c r="D703" s="20"/>
      <c r="E703" s="14"/>
      <c r="F703" s="14"/>
      <c r="G703" s="14"/>
      <c r="H703" s="14"/>
      <c r="I703" s="14"/>
      <c r="J703" s="15"/>
    </row>
    <row r="704" spans="1:10">
      <c r="A704" s="19"/>
      <c r="B704" s="18"/>
      <c r="C704" s="20"/>
      <c r="D704" s="20"/>
      <c r="E704" s="14"/>
      <c r="F704" s="14"/>
      <c r="G704" s="14"/>
      <c r="H704" s="14"/>
      <c r="I704" s="14"/>
      <c r="J704" s="15"/>
    </row>
    <row r="705" spans="1:10">
      <c r="A705" s="19"/>
      <c r="B705" s="18"/>
      <c r="C705" s="20"/>
      <c r="D705" s="20"/>
      <c r="E705" s="14"/>
      <c r="F705" s="14"/>
      <c r="G705" s="14"/>
      <c r="H705" s="14"/>
      <c r="I705" s="14"/>
      <c r="J705" s="15"/>
    </row>
    <row r="706" spans="1:10">
      <c r="A706" s="19"/>
      <c r="B706" s="18"/>
      <c r="C706" s="20"/>
      <c r="D706" s="20"/>
      <c r="E706" s="14"/>
      <c r="F706" s="14"/>
      <c r="G706" s="14"/>
      <c r="H706" s="14"/>
      <c r="I706" s="14"/>
      <c r="J706" s="15"/>
    </row>
    <row r="707" spans="1:10">
      <c r="A707" s="19"/>
      <c r="B707" s="18"/>
      <c r="C707" s="20"/>
      <c r="D707" s="20"/>
      <c r="E707" s="14"/>
      <c r="F707" s="14"/>
      <c r="G707" s="14"/>
      <c r="H707" s="14"/>
      <c r="I707" s="14"/>
      <c r="J707" s="15"/>
    </row>
    <row r="708" spans="1:10">
      <c r="A708" s="19"/>
      <c r="B708" s="18"/>
      <c r="C708" s="20"/>
      <c r="D708" s="20"/>
      <c r="E708" s="14"/>
      <c r="F708" s="14"/>
      <c r="G708" s="14"/>
      <c r="H708" s="14"/>
      <c r="I708" s="14"/>
      <c r="J708" s="15"/>
    </row>
    <row r="709" spans="1:10">
      <c r="A709" s="19"/>
      <c r="B709" s="18"/>
      <c r="C709" s="20"/>
      <c r="D709" s="20"/>
      <c r="E709" s="14"/>
      <c r="F709" s="14"/>
      <c r="G709" s="14"/>
      <c r="H709" s="14"/>
      <c r="I709" s="14"/>
      <c r="J709" s="15"/>
    </row>
    <row r="710" spans="1:10">
      <c r="A710" s="19"/>
      <c r="B710" s="18"/>
      <c r="C710" s="20"/>
      <c r="D710" s="20"/>
      <c r="E710" s="14"/>
      <c r="F710" s="14"/>
      <c r="G710" s="14"/>
      <c r="H710" s="14"/>
      <c r="I710" s="14"/>
      <c r="J710" s="15"/>
    </row>
    <row r="711" spans="1:10">
      <c r="A711" s="19"/>
      <c r="B711" s="18"/>
      <c r="C711" s="20"/>
      <c r="D711" s="20"/>
      <c r="E711" s="14"/>
      <c r="F711" s="14"/>
      <c r="G711" s="14"/>
      <c r="H711" s="14"/>
      <c r="I711" s="14"/>
      <c r="J711" s="15"/>
    </row>
    <row r="712" spans="1:10">
      <c r="A712" s="19"/>
      <c r="B712" s="18"/>
      <c r="C712" s="20"/>
      <c r="D712" s="20"/>
      <c r="E712" s="14"/>
      <c r="F712" s="14"/>
      <c r="G712" s="14"/>
      <c r="H712" s="14"/>
      <c r="I712" s="14"/>
      <c r="J712" s="15"/>
    </row>
    <row r="713" spans="1:10">
      <c r="A713" s="19"/>
      <c r="B713" s="18"/>
      <c r="C713" s="20"/>
      <c r="D713" s="20"/>
      <c r="E713" s="14"/>
      <c r="F713" s="14"/>
      <c r="G713" s="14"/>
      <c r="H713" s="14"/>
      <c r="I713" s="14"/>
      <c r="J713" s="15"/>
    </row>
    <row r="714" spans="1:10">
      <c r="A714" s="19"/>
      <c r="B714" s="18"/>
      <c r="C714" s="20"/>
      <c r="D714" s="20"/>
      <c r="E714" s="14"/>
      <c r="F714" s="14"/>
      <c r="G714" s="14"/>
      <c r="H714" s="14"/>
      <c r="I714" s="14"/>
      <c r="J714" s="15"/>
    </row>
    <row r="715" spans="1:10">
      <c r="A715" s="19"/>
      <c r="B715" s="18"/>
      <c r="C715" s="20"/>
      <c r="D715" s="20"/>
      <c r="E715" s="14"/>
      <c r="F715" s="14"/>
      <c r="G715" s="14"/>
      <c r="H715" s="14"/>
      <c r="I715" s="14"/>
      <c r="J715" s="15"/>
    </row>
    <row r="716" spans="1:10">
      <c r="A716" s="19"/>
      <c r="B716" s="18"/>
      <c r="C716" s="20"/>
      <c r="D716" s="20"/>
      <c r="E716" s="14"/>
      <c r="F716" s="14"/>
      <c r="G716" s="14"/>
      <c r="H716" s="14"/>
      <c r="I716" s="14"/>
      <c r="J716" s="15"/>
    </row>
    <row r="717" spans="1:10">
      <c r="A717" s="19"/>
      <c r="B717" s="18"/>
      <c r="C717" s="20"/>
      <c r="D717" s="20"/>
      <c r="E717" s="14"/>
      <c r="F717" s="14"/>
      <c r="G717" s="14"/>
      <c r="H717" s="14"/>
      <c r="I717" s="14"/>
      <c r="J717" s="15"/>
    </row>
    <row r="718" spans="1:10">
      <c r="A718" s="19"/>
      <c r="B718" s="18"/>
      <c r="C718" s="20"/>
      <c r="D718" s="20"/>
      <c r="E718" s="14"/>
      <c r="F718" s="14"/>
      <c r="G718" s="14"/>
      <c r="H718" s="14"/>
      <c r="I718" s="14"/>
      <c r="J718" s="15"/>
    </row>
    <row r="719" spans="1:10">
      <c r="A719" s="19"/>
      <c r="B719" s="18"/>
      <c r="C719" s="20"/>
      <c r="D719" s="20"/>
      <c r="E719" s="14"/>
      <c r="F719" s="14"/>
      <c r="G719" s="14"/>
      <c r="H719" s="14"/>
      <c r="I719" s="14"/>
      <c r="J719" s="15"/>
    </row>
    <row r="720" spans="1:10">
      <c r="A720" s="19"/>
      <c r="B720" s="18"/>
      <c r="C720" s="20"/>
      <c r="D720" s="20"/>
      <c r="E720" s="14"/>
      <c r="F720" s="14"/>
      <c r="G720" s="14"/>
      <c r="H720" s="14"/>
      <c r="I720" s="14"/>
      <c r="J720" s="15"/>
    </row>
    <row r="721" spans="1:10">
      <c r="A721" s="19"/>
      <c r="B721" s="18"/>
      <c r="C721" s="20"/>
      <c r="D721" s="20"/>
      <c r="E721" s="14"/>
      <c r="F721" s="14"/>
      <c r="G721" s="14"/>
      <c r="H721" s="14"/>
      <c r="I721" s="14"/>
      <c r="J721" s="15"/>
    </row>
    <row r="722" spans="1:10">
      <c r="A722" s="19"/>
      <c r="B722" s="18"/>
      <c r="C722" s="20"/>
      <c r="D722" s="20"/>
      <c r="E722" s="14"/>
      <c r="F722" s="14"/>
      <c r="G722" s="14"/>
      <c r="H722" s="14"/>
      <c r="I722" s="14"/>
      <c r="J722" s="15"/>
    </row>
    <row r="723" spans="1:10">
      <c r="A723" s="19"/>
      <c r="B723" s="18"/>
      <c r="C723" s="20"/>
      <c r="D723" s="20"/>
      <c r="E723" s="14"/>
      <c r="F723" s="14"/>
      <c r="G723" s="14"/>
      <c r="H723" s="14"/>
      <c r="I723" s="14"/>
      <c r="J723" s="15"/>
    </row>
    <row r="724" spans="1:10">
      <c r="A724" s="19"/>
      <c r="B724" s="18"/>
      <c r="C724" s="20"/>
      <c r="D724" s="20"/>
      <c r="E724" s="14"/>
      <c r="F724" s="14"/>
      <c r="G724" s="14"/>
      <c r="H724" s="14"/>
      <c r="I724" s="14"/>
      <c r="J724" s="15"/>
    </row>
    <row r="725" spans="1:10">
      <c r="A725" s="19"/>
      <c r="B725" s="18"/>
      <c r="C725" s="20"/>
      <c r="D725" s="20"/>
      <c r="E725" s="14"/>
      <c r="F725" s="14"/>
      <c r="G725" s="14"/>
      <c r="H725" s="14"/>
      <c r="I725" s="14"/>
      <c r="J725" s="15"/>
    </row>
    <row r="726" spans="1:10">
      <c r="A726" s="19"/>
      <c r="B726" s="18"/>
      <c r="C726" s="20"/>
      <c r="D726" s="20"/>
      <c r="E726" s="14"/>
      <c r="F726" s="14"/>
      <c r="G726" s="14"/>
      <c r="H726" s="14"/>
      <c r="I726" s="14"/>
      <c r="J726" s="15"/>
    </row>
    <row r="727" spans="1:10">
      <c r="A727" s="19"/>
      <c r="B727" s="18"/>
      <c r="C727" s="20"/>
      <c r="D727" s="20"/>
      <c r="E727" s="14"/>
      <c r="F727" s="14"/>
      <c r="G727" s="14"/>
      <c r="H727" s="14"/>
      <c r="I727" s="14"/>
      <c r="J727" s="15"/>
    </row>
    <row r="728" spans="1:10">
      <c r="A728" s="19"/>
      <c r="B728" s="18"/>
      <c r="C728" s="20"/>
      <c r="D728" s="20"/>
      <c r="E728" s="14"/>
      <c r="F728" s="14"/>
      <c r="G728" s="14"/>
      <c r="H728" s="14"/>
      <c r="I728" s="14"/>
      <c r="J728" s="15"/>
    </row>
    <row r="729" spans="1:10">
      <c r="A729" s="19"/>
      <c r="B729" s="18"/>
      <c r="C729" s="20"/>
      <c r="D729" s="20"/>
      <c r="E729" s="14"/>
      <c r="F729" s="14"/>
      <c r="G729" s="14"/>
      <c r="H729" s="14"/>
      <c r="I729" s="14"/>
      <c r="J729" s="15"/>
    </row>
    <row r="730" spans="1:10">
      <c r="A730" s="19"/>
      <c r="B730" s="18"/>
      <c r="C730" s="20"/>
      <c r="D730" s="20"/>
      <c r="E730" s="14"/>
      <c r="F730" s="14"/>
      <c r="G730" s="14"/>
      <c r="H730" s="14"/>
      <c r="I730" s="14"/>
      <c r="J730" s="15"/>
    </row>
    <row r="731" spans="1:10">
      <c r="A731" s="19"/>
      <c r="B731" s="18"/>
      <c r="C731" s="20"/>
      <c r="D731" s="20"/>
      <c r="E731" s="14"/>
      <c r="F731" s="14"/>
      <c r="G731" s="14"/>
      <c r="H731" s="14"/>
      <c r="I731" s="14"/>
      <c r="J731" s="15"/>
    </row>
    <row r="732" spans="1:10">
      <c r="A732" s="19"/>
      <c r="B732" s="18"/>
      <c r="C732" s="20"/>
      <c r="D732" s="20"/>
      <c r="E732" s="14"/>
      <c r="F732" s="14"/>
      <c r="G732" s="14"/>
      <c r="H732" s="14"/>
      <c r="I732" s="14"/>
      <c r="J732" s="15"/>
    </row>
    <row r="733" spans="1:10">
      <c r="A733" s="19"/>
      <c r="B733" s="18"/>
      <c r="C733" s="20"/>
      <c r="D733" s="20"/>
      <c r="E733" s="14"/>
      <c r="F733" s="14"/>
      <c r="G733" s="14"/>
      <c r="H733" s="14"/>
      <c r="I733" s="14"/>
      <c r="J733" s="15"/>
    </row>
    <row r="734" spans="1:10">
      <c r="A734" s="19"/>
      <c r="B734" s="18"/>
      <c r="C734" s="20"/>
      <c r="D734" s="20"/>
      <c r="E734" s="14"/>
      <c r="F734" s="14"/>
      <c r="G734" s="14"/>
      <c r="H734" s="14"/>
      <c r="I734" s="14"/>
      <c r="J734" s="15"/>
    </row>
    <row r="735" spans="1:10">
      <c r="A735" s="19"/>
      <c r="B735" s="18"/>
      <c r="C735" s="20"/>
      <c r="D735" s="20"/>
      <c r="E735" s="14"/>
      <c r="F735" s="14"/>
      <c r="G735" s="14"/>
      <c r="H735" s="14"/>
      <c r="I735" s="14"/>
      <c r="J735" s="15"/>
    </row>
    <row r="736" spans="1:10">
      <c r="A736" s="19"/>
      <c r="B736" s="18"/>
      <c r="C736" s="20"/>
      <c r="D736" s="20"/>
      <c r="E736" s="14"/>
      <c r="F736" s="14"/>
      <c r="G736" s="14"/>
      <c r="H736" s="14"/>
      <c r="I736" s="14"/>
      <c r="J736" s="15"/>
    </row>
    <row r="737" spans="1:10">
      <c r="A737" s="19"/>
      <c r="B737" s="18"/>
      <c r="C737" s="20"/>
      <c r="D737" s="20"/>
      <c r="E737" s="14"/>
      <c r="F737" s="14"/>
      <c r="G737" s="14"/>
      <c r="H737" s="14"/>
      <c r="I737" s="14"/>
      <c r="J737" s="15"/>
    </row>
    <row r="738" spans="1:10">
      <c r="A738" s="19"/>
      <c r="B738" s="18"/>
      <c r="C738" s="20"/>
      <c r="D738" s="20"/>
      <c r="E738" s="14"/>
      <c r="F738" s="14"/>
      <c r="G738" s="14"/>
      <c r="H738" s="14"/>
      <c r="I738" s="14"/>
      <c r="J738" s="15"/>
    </row>
    <row r="739" spans="1:10">
      <c r="A739" s="19"/>
      <c r="B739" s="18"/>
      <c r="C739" s="20"/>
      <c r="D739" s="20"/>
      <c r="E739" s="14"/>
      <c r="F739" s="14"/>
      <c r="G739" s="14"/>
      <c r="H739" s="14"/>
      <c r="I739" s="14"/>
      <c r="J739" s="15"/>
    </row>
    <row r="740" spans="1:10">
      <c r="A740" s="19"/>
      <c r="B740" s="18"/>
      <c r="C740" s="20"/>
      <c r="D740" s="20"/>
      <c r="E740" s="14"/>
      <c r="F740" s="14"/>
      <c r="G740" s="14"/>
      <c r="H740" s="14"/>
      <c r="I740" s="14"/>
      <c r="J740" s="15"/>
    </row>
    <row r="741" spans="1:10">
      <c r="A741" s="19"/>
      <c r="B741" s="18"/>
      <c r="C741" s="20"/>
      <c r="D741" s="20"/>
      <c r="E741" s="14"/>
      <c r="F741" s="14"/>
      <c r="G741" s="14"/>
      <c r="H741" s="14"/>
      <c r="I741" s="14"/>
      <c r="J741" s="15"/>
    </row>
    <row r="742" spans="1:10">
      <c r="A742" s="19"/>
      <c r="B742" s="18"/>
      <c r="C742" s="20"/>
      <c r="D742" s="20"/>
      <c r="E742" s="14"/>
      <c r="F742" s="14"/>
      <c r="G742" s="14"/>
      <c r="H742" s="14"/>
      <c r="I742" s="14"/>
      <c r="J742" s="15"/>
    </row>
    <row r="743" spans="1:10">
      <c r="A743" s="19"/>
      <c r="B743" s="18"/>
      <c r="C743" s="20"/>
      <c r="D743" s="20"/>
      <c r="E743" s="14"/>
      <c r="F743" s="14"/>
      <c r="G743" s="14"/>
      <c r="H743" s="14"/>
      <c r="I743" s="14"/>
      <c r="J743" s="15"/>
    </row>
    <row r="744" spans="1:10">
      <c r="A744" s="19"/>
      <c r="B744" s="18"/>
      <c r="C744" s="20"/>
      <c r="D744" s="20"/>
      <c r="E744" s="14"/>
      <c r="F744" s="14"/>
      <c r="G744" s="14"/>
      <c r="H744" s="14"/>
      <c r="I744" s="14"/>
      <c r="J744" s="15"/>
    </row>
    <row r="745" spans="1:10">
      <c r="A745" s="19"/>
      <c r="B745" s="18"/>
      <c r="C745" s="20"/>
      <c r="D745" s="20"/>
      <c r="E745" s="14"/>
      <c r="F745" s="14"/>
      <c r="G745" s="14"/>
      <c r="H745" s="14"/>
      <c r="I745" s="14"/>
      <c r="J745" s="15"/>
    </row>
    <row r="746" spans="1:10">
      <c r="A746" s="19"/>
      <c r="B746" s="18"/>
      <c r="C746" s="20"/>
      <c r="D746" s="20"/>
      <c r="E746" s="14"/>
      <c r="F746" s="14"/>
      <c r="G746" s="14"/>
      <c r="H746" s="14"/>
      <c r="I746" s="14"/>
      <c r="J746" s="15"/>
    </row>
    <row r="747" spans="1:10">
      <c r="A747" s="19"/>
      <c r="B747" s="18"/>
      <c r="C747" s="20"/>
      <c r="D747" s="20"/>
      <c r="E747" s="14"/>
      <c r="F747" s="14"/>
      <c r="G747" s="14"/>
      <c r="H747" s="14"/>
      <c r="I747" s="14"/>
      <c r="J747" s="15"/>
    </row>
    <row r="748" spans="1:10">
      <c r="A748" s="19"/>
      <c r="B748" s="18"/>
      <c r="C748" s="20"/>
      <c r="D748" s="20"/>
      <c r="E748" s="14"/>
      <c r="F748" s="14"/>
      <c r="G748" s="14"/>
      <c r="H748" s="14"/>
      <c r="I748" s="14"/>
      <c r="J748" s="15"/>
    </row>
    <row r="749" spans="1:10">
      <c r="A749" s="19"/>
      <c r="B749" s="18"/>
      <c r="C749" s="20"/>
      <c r="D749" s="20"/>
      <c r="E749" s="14"/>
      <c r="F749" s="14"/>
      <c r="G749" s="14"/>
      <c r="H749" s="14"/>
      <c r="I749" s="14"/>
      <c r="J749" s="15"/>
    </row>
    <row r="750" spans="1:10">
      <c r="A750" s="19"/>
      <c r="B750" s="18"/>
      <c r="C750" s="20"/>
      <c r="D750" s="20"/>
      <c r="E750" s="14"/>
      <c r="F750" s="14"/>
      <c r="G750" s="14"/>
      <c r="H750" s="14"/>
      <c r="I750" s="14"/>
      <c r="J750" s="15"/>
    </row>
    <row r="751" spans="1:10">
      <c r="A751" s="19"/>
      <c r="B751" s="18"/>
      <c r="C751" s="20"/>
      <c r="D751" s="20"/>
      <c r="E751" s="14"/>
      <c r="F751" s="14"/>
      <c r="G751" s="14"/>
      <c r="H751" s="14"/>
      <c r="I751" s="14"/>
      <c r="J751" s="15"/>
    </row>
    <row r="752" spans="1:10">
      <c r="A752" s="19"/>
      <c r="B752" s="18"/>
      <c r="C752" s="20"/>
      <c r="D752" s="20"/>
      <c r="E752" s="14"/>
      <c r="F752" s="14"/>
      <c r="G752" s="14"/>
      <c r="H752" s="14"/>
      <c r="I752" s="14"/>
      <c r="J752" s="15"/>
    </row>
    <row r="753" spans="1:10">
      <c r="A753" s="19"/>
      <c r="B753" s="18"/>
      <c r="C753" s="20"/>
      <c r="D753" s="20"/>
      <c r="E753" s="14"/>
      <c r="F753" s="14"/>
      <c r="G753" s="14"/>
      <c r="H753" s="14"/>
      <c r="I753" s="14"/>
      <c r="J753" s="15"/>
    </row>
    <row r="754" spans="1:10">
      <c r="A754" s="19"/>
      <c r="B754" s="18"/>
      <c r="C754" s="20"/>
      <c r="D754" s="20"/>
      <c r="E754" s="14"/>
      <c r="F754" s="14"/>
      <c r="G754" s="14"/>
      <c r="H754" s="14"/>
      <c r="I754" s="14"/>
      <c r="J754" s="15"/>
    </row>
    <row r="755" spans="1:10">
      <c r="A755" s="19"/>
      <c r="B755" s="18"/>
      <c r="C755" s="20"/>
      <c r="D755" s="20"/>
      <c r="E755" s="14"/>
      <c r="F755" s="14"/>
      <c r="G755" s="14"/>
      <c r="H755" s="14"/>
      <c r="I755" s="14"/>
      <c r="J755" s="15"/>
    </row>
    <row r="756" spans="1:10">
      <c r="A756" s="19"/>
      <c r="B756" s="18"/>
      <c r="C756" s="20"/>
      <c r="D756" s="20"/>
      <c r="E756" s="14"/>
      <c r="F756" s="14"/>
      <c r="G756" s="14"/>
      <c r="H756" s="14"/>
      <c r="I756" s="14"/>
      <c r="J756" s="15"/>
    </row>
    <row r="757" spans="1:10">
      <c r="A757" s="19"/>
      <c r="B757" s="18"/>
      <c r="C757" s="20"/>
      <c r="D757" s="20"/>
      <c r="E757" s="14"/>
      <c r="F757" s="14"/>
      <c r="G757" s="14"/>
      <c r="H757" s="14"/>
      <c r="I757" s="14"/>
      <c r="J757" s="15"/>
    </row>
    <row r="758" spans="1:10">
      <c r="A758" s="19"/>
      <c r="B758" s="18"/>
      <c r="C758" s="20"/>
      <c r="D758" s="20"/>
      <c r="E758" s="14"/>
      <c r="F758" s="14"/>
      <c r="G758" s="14"/>
      <c r="H758" s="14"/>
      <c r="I758" s="14"/>
      <c r="J758" s="15"/>
    </row>
    <row r="759" spans="1:10">
      <c r="A759" s="19"/>
      <c r="B759" s="18"/>
      <c r="C759" s="20"/>
      <c r="D759" s="20"/>
      <c r="E759" s="14"/>
      <c r="F759" s="14"/>
      <c r="G759" s="14"/>
      <c r="H759" s="14"/>
      <c r="I759" s="14"/>
      <c r="J759" s="15"/>
    </row>
    <row r="760" spans="1:10">
      <c r="A760" s="19"/>
      <c r="B760" s="18"/>
      <c r="C760" s="20"/>
      <c r="D760" s="20"/>
      <c r="E760" s="14"/>
      <c r="F760" s="14"/>
      <c r="G760" s="14"/>
      <c r="H760" s="14"/>
      <c r="I760" s="14"/>
      <c r="J760" s="15"/>
    </row>
    <row r="761" spans="1:10">
      <c r="A761" s="19"/>
      <c r="B761" s="18"/>
      <c r="C761" s="20"/>
      <c r="D761" s="20"/>
      <c r="E761" s="14"/>
      <c r="F761" s="14"/>
      <c r="G761" s="14"/>
      <c r="H761" s="14"/>
      <c r="I761" s="14"/>
      <c r="J761" s="15"/>
    </row>
    <row r="762" spans="1:10">
      <c r="A762" s="19"/>
      <c r="B762" s="18"/>
      <c r="C762" s="20"/>
      <c r="D762" s="20"/>
      <c r="E762" s="14"/>
      <c r="F762" s="14"/>
      <c r="G762" s="14"/>
      <c r="H762" s="14"/>
      <c r="I762" s="14"/>
      <c r="J762" s="15"/>
    </row>
    <row r="763" spans="1:10">
      <c r="A763" s="19"/>
      <c r="B763" s="18"/>
      <c r="C763" s="20"/>
      <c r="D763" s="20"/>
      <c r="E763" s="14"/>
      <c r="F763" s="14"/>
      <c r="G763" s="14"/>
      <c r="H763" s="14"/>
      <c r="I763" s="14"/>
      <c r="J763" s="15"/>
    </row>
    <row r="764" spans="1:10">
      <c r="A764" s="19"/>
      <c r="B764" s="18"/>
      <c r="C764" s="20"/>
      <c r="D764" s="20"/>
      <c r="E764" s="14"/>
      <c r="F764" s="14"/>
      <c r="G764" s="14"/>
      <c r="H764" s="14"/>
      <c r="I764" s="14"/>
      <c r="J764" s="15"/>
    </row>
    <row r="765" spans="1:10">
      <c r="A765" s="19"/>
      <c r="B765" s="18"/>
      <c r="C765" s="20"/>
      <c r="D765" s="20"/>
      <c r="E765" s="14"/>
      <c r="F765" s="14"/>
      <c r="G765" s="14"/>
      <c r="H765" s="14"/>
      <c r="I765" s="14"/>
      <c r="J765" s="15"/>
    </row>
    <row r="766" spans="1:10">
      <c r="A766" s="19"/>
      <c r="B766" s="18"/>
      <c r="C766" s="20"/>
      <c r="D766" s="20"/>
      <c r="E766" s="14"/>
      <c r="F766" s="14"/>
      <c r="G766" s="14"/>
      <c r="H766" s="14"/>
      <c r="I766" s="14"/>
      <c r="J766" s="15"/>
    </row>
    <row r="767" spans="1:10">
      <c r="A767" s="19"/>
      <c r="B767" s="18"/>
      <c r="C767" s="20"/>
      <c r="D767" s="20"/>
      <c r="E767" s="14"/>
      <c r="F767" s="14"/>
      <c r="G767" s="14"/>
      <c r="H767" s="14"/>
      <c r="I767" s="14"/>
      <c r="J767" s="15"/>
    </row>
    <row r="768" spans="1:10">
      <c r="A768" s="19"/>
      <c r="B768" s="18"/>
      <c r="C768" s="20"/>
      <c r="D768" s="20"/>
      <c r="E768" s="14"/>
      <c r="F768" s="14"/>
      <c r="G768" s="14"/>
      <c r="H768" s="14"/>
      <c r="I768" s="14"/>
      <c r="J768" s="15"/>
    </row>
    <row r="769" spans="1:10">
      <c r="A769" s="19"/>
      <c r="B769" s="18"/>
      <c r="C769" s="20"/>
      <c r="D769" s="20"/>
      <c r="E769" s="14"/>
      <c r="F769" s="14"/>
      <c r="G769" s="14"/>
      <c r="H769" s="14"/>
      <c r="I769" s="14"/>
      <c r="J769" s="15"/>
    </row>
    <row r="770" spans="1:10">
      <c r="A770" s="19"/>
      <c r="B770" s="18"/>
      <c r="C770" s="20"/>
      <c r="D770" s="20"/>
      <c r="E770" s="14"/>
      <c r="F770" s="14"/>
      <c r="G770" s="14"/>
      <c r="H770" s="14"/>
      <c r="I770" s="14"/>
      <c r="J770" s="15"/>
    </row>
    <row r="771" spans="1:10">
      <c r="A771" s="19"/>
      <c r="B771" s="18"/>
      <c r="C771" s="20"/>
      <c r="D771" s="20"/>
      <c r="E771" s="14"/>
      <c r="F771" s="14"/>
      <c r="G771" s="14"/>
      <c r="H771" s="14"/>
      <c r="I771" s="14"/>
      <c r="J771" s="15"/>
    </row>
    <row r="772" spans="1:10">
      <c r="A772" s="19"/>
      <c r="B772" s="18"/>
      <c r="C772" s="20"/>
      <c r="D772" s="20"/>
      <c r="E772" s="14"/>
      <c r="F772" s="14"/>
      <c r="G772" s="14"/>
      <c r="H772" s="14"/>
      <c r="I772" s="14"/>
      <c r="J772" s="15"/>
    </row>
    <row r="773" spans="1:10">
      <c r="A773" s="19"/>
      <c r="B773" s="18"/>
      <c r="C773" s="20"/>
      <c r="D773" s="20"/>
      <c r="E773" s="14"/>
      <c r="F773" s="14"/>
      <c r="G773" s="14"/>
      <c r="H773" s="14"/>
      <c r="I773" s="14"/>
      <c r="J773" s="15"/>
    </row>
    <row r="774" spans="1:10">
      <c r="A774" s="19"/>
      <c r="B774" s="18"/>
      <c r="C774" s="20"/>
      <c r="D774" s="20"/>
      <c r="E774" s="14"/>
      <c r="F774" s="14"/>
      <c r="G774" s="14"/>
      <c r="H774" s="14"/>
      <c r="I774" s="14"/>
      <c r="J774" s="15"/>
    </row>
    <row r="775" spans="1:10">
      <c r="A775" s="19"/>
      <c r="B775" s="18"/>
      <c r="C775" s="20"/>
      <c r="D775" s="20"/>
      <c r="E775" s="14"/>
      <c r="F775" s="14"/>
      <c r="G775" s="14"/>
      <c r="H775" s="14"/>
      <c r="I775" s="14"/>
      <c r="J775" s="15"/>
    </row>
    <row r="776" spans="1:10">
      <c r="A776" s="19"/>
      <c r="B776" s="18"/>
      <c r="C776" s="20"/>
      <c r="D776" s="20"/>
      <c r="E776" s="14"/>
      <c r="F776" s="14"/>
      <c r="G776" s="14"/>
      <c r="H776" s="14"/>
      <c r="I776" s="14"/>
      <c r="J776" s="15"/>
    </row>
    <row r="777" spans="1:10">
      <c r="A777" s="19"/>
      <c r="B777" s="18"/>
      <c r="C777" s="20"/>
      <c r="D777" s="20"/>
      <c r="E777" s="14"/>
      <c r="F777" s="14"/>
      <c r="G777" s="14"/>
      <c r="H777" s="14"/>
      <c r="I777" s="14"/>
      <c r="J777" s="15"/>
    </row>
    <row r="778" spans="1:10">
      <c r="A778" s="19"/>
      <c r="B778" s="18"/>
      <c r="C778" s="20"/>
      <c r="D778" s="20"/>
      <c r="E778" s="14"/>
      <c r="F778" s="14"/>
      <c r="G778" s="14"/>
      <c r="H778" s="14"/>
      <c r="I778" s="14"/>
      <c r="J778" s="15"/>
    </row>
    <row r="779" spans="1:10">
      <c r="A779" s="19"/>
      <c r="B779" s="18"/>
      <c r="C779" s="20"/>
      <c r="D779" s="20"/>
      <c r="E779" s="14"/>
      <c r="F779" s="14"/>
      <c r="G779" s="14"/>
      <c r="H779" s="14"/>
      <c r="I779" s="14"/>
      <c r="J779" s="15"/>
    </row>
    <row r="780" spans="1:10">
      <c r="A780" s="19"/>
      <c r="B780" s="18"/>
      <c r="C780" s="20"/>
      <c r="D780" s="20"/>
      <c r="E780" s="14"/>
      <c r="F780" s="14"/>
      <c r="G780" s="14"/>
      <c r="H780" s="14"/>
      <c r="I780" s="14"/>
      <c r="J780" s="15"/>
    </row>
    <row r="781" spans="1:10">
      <c r="A781" s="19"/>
      <c r="B781" s="18"/>
      <c r="C781" s="20"/>
      <c r="D781" s="20"/>
      <c r="E781" s="14"/>
      <c r="F781" s="14"/>
      <c r="G781" s="14"/>
      <c r="H781" s="14"/>
      <c r="I781" s="14"/>
      <c r="J781" s="15"/>
    </row>
    <row r="782" spans="1:10">
      <c r="A782" s="19"/>
      <c r="B782" s="18"/>
      <c r="C782" s="20"/>
      <c r="D782" s="20"/>
      <c r="E782" s="14"/>
      <c r="F782" s="14"/>
      <c r="G782" s="14"/>
      <c r="H782" s="14"/>
      <c r="I782" s="14"/>
      <c r="J782" s="15"/>
    </row>
    <row r="783" spans="1:10">
      <c r="A783" s="19"/>
      <c r="B783" s="18"/>
      <c r="C783" s="20"/>
      <c r="D783" s="20"/>
      <c r="E783" s="14"/>
      <c r="F783" s="14"/>
      <c r="G783" s="14"/>
      <c r="H783" s="14"/>
      <c r="I783" s="14"/>
      <c r="J783" s="15"/>
    </row>
    <row r="784" spans="1:10">
      <c r="A784" s="19"/>
      <c r="B784" s="18"/>
      <c r="C784" s="20"/>
      <c r="D784" s="20"/>
      <c r="E784" s="14"/>
      <c r="F784" s="14"/>
      <c r="G784" s="14"/>
      <c r="H784" s="14"/>
      <c r="I784" s="14"/>
      <c r="J784" s="15"/>
    </row>
    <row r="785" spans="1:10">
      <c r="A785" s="19"/>
      <c r="B785" s="18"/>
      <c r="C785" s="20"/>
      <c r="D785" s="20"/>
      <c r="E785" s="14"/>
      <c r="F785" s="14"/>
      <c r="G785" s="14"/>
      <c r="H785" s="14"/>
      <c r="I785" s="14"/>
      <c r="J785" s="15"/>
    </row>
    <row r="786" spans="1:10">
      <c r="A786" s="19"/>
      <c r="B786" s="18"/>
      <c r="C786" s="20"/>
      <c r="D786" s="20"/>
      <c r="E786" s="14"/>
      <c r="F786" s="14"/>
      <c r="G786" s="14"/>
      <c r="H786" s="14"/>
      <c r="I786" s="14"/>
      <c r="J786" s="15"/>
    </row>
    <row r="787" spans="1:10">
      <c r="A787" s="19"/>
      <c r="B787" s="18"/>
      <c r="C787" s="20"/>
      <c r="D787" s="20"/>
      <c r="E787" s="14"/>
      <c r="F787" s="14"/>
      <c r="G787" s="14"/>
      <c r="H787" s="14"/>
      <c r="I787" s="14"/>
      <c r="J787" s="15"/>
    </row>
    <row r="788" spans="1:10">
      <c r="A788" s="19"/>
      <c r="B788" s="18"/>
      <c r="C788" s="20"/>
      <c r="D788" s="20"/>
      <c r="E788" s="14"/>
      <c r="F788" s="14"/>
      <c r="G788" s="14"/>
      <c r="H788" s="14"/>
      <c r="I788" s="14"/>
      <c r="J788" s="15"/>
    </row>
    <row r="789" spans="1:10">
      <c r="A789" s="19"/>
      <c r="B789" s="18"/>
      <c r="C789" s="20"/>
      <c r="D789" s="20"/>
      <c r="E789" s="14"/>
      <c r="F789" s="14"/>
      <c r="G789" s="14"/>
      <c r="H789" s="14"/>
      <c r="I789" s="14"/>
      <c r="J789" s="15"/>
    </row>
    <row r="790" spans="1:10">
      <c r="A790" s="19"/>
      <c r="B790" s="18"/>
      <c r="C790" s="20"/>
      <c r="D790" s="20"/>
      <c r="E790" s="14"/>
      <c r="F790" s="14"/>
      <c r="G790" s="14"/>
      <c r="H790" s="14"/>
      <c r="I790" s="14"/>
      <c r="J790" s="15"/>
    </row>
    <row r="791" spans="1:10">
      <c r="A791" s="19"/>
      <c r="B791" s="18"/>
      <c r="C791" s="20"/>
      <c r="D791" s="20"/>
      <c r="E791" s="14"/>
      <c r="F791" s="14"/>
      <c r="G791" s="14"/>
      <c r="H791" s="14"/>
      <c r="I791" s="14"/>
      <c r="J791" s="15"/>
    </row>
    <row r="792" spans="1:10">
      <c r="A792" s="19"/>
      <c r="B792" s="18"/>
      <c r="C792" s="20"/>
      <c r="D792" s="20"/>
      <c r="E792" s="14"/>
      <c r="F792" s="14"/>
      <c r="G792" s="14"/>
      <c r="H792" s="14"/>
      <c r="I792" s="14"/>
      <c r="J792" s="15"/>
    </row>
    <row r="793" spans="1:10">
      <c r="A793" s="19"/>
      <c r="B793" s="18"/>
      <c r="C793" s="20"/>
      <c r="D793" s="20"/>
      <c r="E793" s="14"/>
      <c r="F793" s="14"/>
      <c r="G793" s="14"/>
      <c r="H793" s="14"/>
      <c r="I793" s="14"/>
      <c r="J793" s="15"/>
    </row>
    <row r="794" spans="1:10">
      <c r="A794" s="19"/>
      <c r="B794" s="18"/>
      <c r="C794" s="20"/>
      <c r="D794" s="20"/>
      <c r="E794" s="14"/>
      <c r="F794" s="14"/>
      <c r="G794" s="14"/>
      <c r="H794" s="14"/>
      <c r="I794" s="14"/>
      <c r="J794" s="15"/>
    </row>
    <row r="795" spans="1:10">
      <c r="A795" s="19"/>
      <c r="B795" s="18"/>
      <c r="C795" s="20"/>
      <c r="D795" s="20"/>
      <c r="E795" s="14"/>
      <c r="F795" s="14"/>
      <c r="G795" s="14"/>
      <c r="H795" s="14"/>
      <c r="I795" s="14"/>
      <c r="J795" s="15"/>
    </row>
    <row r="796" spans="1:10">
      <c r="A796" s="19"/>
      <c r="B796" s="18"/>
      <c r="C796" s="20"/>
      <c r="D796" s="20"/>
      <c r="E796" s="14"/>
      <c r="F796" s="14"/>
      <c r="G796" s="14"/>
      <c r="H796" s="14"/>
      <c r="I796" s="14"/>
      <c r="J796" s="15"/>
    </row>
    <row r="797" spans="1:10">
      <c r="A797" s="19"/>
      <c r="B797" s="18"/>
      <c r="C797" s="20"/>
      <c r="D797" s="20"/>
      <c r="E797" s="14"/>
      <c r="F797" s="14"/>
      <c r="G797" s="14"/>
      <c r="H797" s="14"/>
      <c r="I797" s="14"/>
      <c r="J797" s="15"/>
    </row>
    <row r="798" spans="1:10">
      <c r="A798" s="19"/>
      <c r="B798" s="18"/>
      <c r="C798" s="20"/>
      <c r="D798" s="20"/>
      <c r="E798" s="14"/>
      <c r="F798" s="14"/>
      <c r="G798" s="14"/>
      <c r="H798" s="14"/>
      <c r="I798" s="14"/>
      <c r="J798" s="15"/>
    </row>
    <row r="799" spans="1:10">
      <c r="A799" s="19"/>
      <c r="B799" s="18"/>
      <c r="C799" s="20"/>
      <c r="D799" s="20"/>
      <c r="E799" s="14"/>
      <c r="F799" s="14"/>
      <c r="G799" s="14"/>
      <c r="H799" s="14"/>
      <c r="I799" s="14"/>
      <c r="J799" s="15"/>
    </row>
    <row r="800" spans="1:10">
      <c r="A800" s="19"/>
      <c r="B800" s="18"/>
      <c r="C800" s="20"/>
      <c r="D800" s="20"/>
      <c r="E800" s="14"/>
      <c r="F800" s="14"/>
      <c r="G800" s="14"/>
      <c r="H800" s="14"/>
      <c r="I800" s="14"/>
      <c r="J800" s="15"/>
    </row>
    <row r="801" spans="1:10">
      <c r="A801" s="19"/>
      <c r="B801" s="18"/>
      <c r="C801" s="20"/>
      <c r="D801" s="20"/>
      <c r="E801" s="14"/>
      <c r="F801" s="14"/>
      <c r="G801" s="14"/>
      <c r="H801" s="14"/>
      <c r="I801" s="14"/>
      <c r="J801" s="15"/>
    </row>
    <row r="802" spans="1:10">
      <c r="A802" s="19"/>
      <c r="B802" s="18"/>
      <c r="C802" s="20"/>
      <c r="D802" s="20"/>
      <c r="E802" s="14"/>
      <c r="F802" s="14"/>
      <c r="G802" s="14"/>
      <c r="H802" s="14"/>
      <c r="I802" s="14"/>
      <c r="J802" s="15"/>
    </row>
    <row r="803" spans="1:10">
      <c r="A803" s="19"/>
      <c r="B803" s="18"/>
      <c r="C803" s="20"/>
      <c r="D803" s="20"/>
      <c r="E803" s="14"/>
      <c r="F803" s="14"/>
      <c r="G803" s="14"/>
      <c r="H803" s="14"/>
      <c r="I803" s="14"/>
      <c r="J803" s="15"/>
    </row>
    <row r="804" spans="1:10">
      <c r="A804" s="19"/>
      <c r="B804" s="18"/>
      <c r="C804" s="20"/>
      <c r="D804" s="20"/>
      <c r="E804" s="14"/>
      <c r="F804" s="14"/>
      <c r="G804" s="14"/>
      <c r="H804" s="14"/>
      <c r="I804" s="14"/>
      <c r="J804" s="15"/>
    </row>
    <row r="805" spans="1:10">
      <c r="A805" s="19"/>
      <c r="B805" s="18"/>
      <c r="C805" s="20"/>
      <c r="D805" s="20"/>
      <c r="E805" s="14"/>
      <c r="F805" s="14"/>
      <c r="G805" s="14"/>
      <c r="H805" s="14"/>
      <c r="I805" s="14"/>
      <c r="J805" s="15"/>
    </row>
    <row r="806" spans="1:10">
      <c r="A806" s="19"/>
      <c r="B806" s="18"/>
      <c r="C806" s="20"/>
      <c r="D806" s="20"/>
      <c r="E806" s="14"/>
      <c r="F806" s="14"/>
      <c r="G806" s="14"/>
      <c r="H806" s="14"/>
      <c r="I806" s="14"/>
      <c r="J806" s="15"/>
    </row>
    <row r="807" spans="1:10">
      <c r="A807" s="19"/>
      <c r="B807" s="18"/>
      <c r="C807" s="20"/>
      <c r="D807" s="20"/>
      <c r="E807" s="14"/>
      <c r="F807" s="14"/>
      <c r="G807" s="14"/>
      <c r="H807" s="14"/>
      <c r="I807" s="14"/>
      <c r="J807" s="15"/>
    </row>
    <row r="808" spans="1:10">
      <c r="A808" s="19"/>
      <c r="B808" s="18"/>
      <c r="C808" s="20"/>
      <c r="D808" s="20"/>
      <c r="E808" s="14"/>
      <c r="F808" s="14"/>
      <c r="G808" s="14"/>
      <c r="H808" s="14"/>
      <c r="I808" s="14"/>
      <c r="J808" s="15"/>
    </row>
    <row r="809" spans="1:10">
      <c r="A809" s="19"/>
      <c r="B809" s="18"/>
      <c r="C809" s="20"/>
      <c r="D809" s="20"/>
      <c r="E809" s="14"/>
      <c r="F809" s="14"/>
      <c r="G809" s="14"/>
      <c r="H809" s="14"/>
      <c r="I809" s="14"/>
      <c r="J809" s="15"/>
    </row>
    <row r="810" spans="1:10">
      <c r="A810" s="19"/>
      <c r="B810" s="18"/>
      <c r="C810" s="20"/>
      <c r="D810" s="20"/>
      <c r="E810" s="14"/>
      <c r="F810" s="14"/>
      <c r="G810" s="14"/>
      <c r="H810" s="14"/>
      <c r="I810" s="14"/>
      <c r="J810" s="15"/>
    </row>
    <row r="811" spans="1:10">
      <c r="A811" s="19"/>
      <c r="B811" s="18"/>
      <c r="C811" s="20"/>
      <c r="D811" s="20"/>
      <c r="E811" s="14"/>
      <c r="F811" s="14"/>
      <c r="G811" s="14"/>
      <c r="H811" s="14"/>
      <c r="I811" s="14"/>
      <c r="J811" s="15"/>
    </row>
    <row r="812" spans="1:10">
      <c r="A812" s="19"/>
      <c r="B812" s="18"/>
      <c r="C812" s="20"/>
      <c r="D812" s="20"/>
      <c r="E812" s="14"/>
      <c r="F812" s="14"/>
      <c r="G812" s="14"/>
      <c r="H812" s="14"/>
      <c r="I812" s="14"/>
      <c r="J812" s="15"/>
    </row>
    <row r="813" spans="1:10">
      <c r="A813" s="19"/>
      <c r="B813" s="18"/>
      <c r="C813" s="20"/>
      <c r="D813" s="20"/>
      <c r="E813" s="14"/>
      <c r="F813" s="14"/>
      <c r="G813" s="14"/>
      <c r="H813" s="14"/>
      <c r="I813" s="14"/>
      <c r="J813" s="15"/>
    </row>
    <row r="814" spans="1:10">
      <c r="A814" s="19"/>
      <c r="B814" s="18"/>
      <c r="C814" s="20"/>
      <c r="D814" s="20"/>
      <c r="E814" s="14"/>
      <c r="F814" s="14"/>
      <c r="G814" s="14"/>
      <c r="H814" s="14"/>
      <c r="I814" s="14"/>
      <c r="J814" s="15"/>
    </row>
    <row r="815" spans="1:10">
      <c r="A815" s="19"/>
      <c r="B815" s="18"/>
      <c r="C815" s="20"/>
      <c r="D815" s="20"/>
      <c r="E815" s="14"/>
      <c r="F815" s="14"/>
      <c r="G815" s="14"/>
      <c r="H815" s="14"/>
      <c r="I815" s="14"/>
      <c r="J815" s="15"/>
    </row>
    <row r="816" spans="1:10">
      <c r="A816" s="19"/>
      <c r="B816" s="18"/>
      <c r="C816" s="20"/>
      <c r="D816" s="20"/>
      <c r="E816" s="14"/>
      <c r="F816" s="14"/>
      <c r="G816" s="14"/>
      <c r="H816" s="14"/>
      <c r="I816" s="14"/>
      <c r="J816" s="15"/>
    </row>
    <row r="817" spans="1:10">
      <c r="A817" s="19"/>
      <c r="B817" s="18"/>
      <c r="C817" s="20"/>
      <c r="D817" s="20"/>
      <c r="E817" s="14"/>
      <c r="F817" s="14"/>
      <c r="G817" s="14"/>
      <c r="H817" s="14"/>
      <c r="I817" s="14"/>
      <c r="J817" s="15"/>
    </row>
    <row r="818" spans="1:10">
      <c r="A818" s="19"/>
      <c r="B818" s="18"/>
      <c r="C818" s="20"/>
      <c r="D818" s="20"/>
      <c r="E818" s="14"/>
      <c r="F818" s="14"/>
      <c r="G818" s="14"/>
      <c r="H818" s="14"/>
      <c r="I818" s="14"/>
      <c r="J818" s="15"/>
    </row>
    <row r="819" spans="1:10">
      <c r="A819" s="19"/>
      <c r="B819" s="18"/>
      <c r="C819" s="20"/>
      <c r="D819" s="20"/>
      <c r="E819" s="14"/>
      <c r="F819" s="14"/>
      <c r="G819" s="14"/>
      <c r="H819" s="14"/>
      <c r="I819" s="14"/>
      <c r="J819" s="15"/>
    </row>
    <row r="820" spans="1:10">
      <c r="A820" s="19"/>
      <c r="B820" s="18"/>
      <c r="C820" s="20"/>
      <c r="D820" s="20"/>
      <c r="E820" s="14"/>
      <c r="F820" s="14"/>
      <c r="G820" s="14"/>
      <c r="H820" s="14"/>
      <c r="I820" s="14"/>
      <c r="J820" s="15"/>
    </row>
    <row r="821" spans="1:10">
      <c r="A821" s="19"/>
      <c r="B821" s="18"/>
      <c r="C821" s="20"/>
      <c r="D821" s="20"/>
      <c r="E821" s="14"/>
      <c r="F821" s="14"/>
      <c r="G821" s="14"/>
      <c r="H821" s="14"/>
      <c r="I821" s="14"/>
      <c r="J821" s="15"/>
    </row>
    <row r="822" spans="1:10">
      <c r="A822" s="19"/>
      <c r="B822" s="18"/>
      <c r="C822" s="20"/>
      <c r="D822" s="20"/>
      <c r="E822" s="14"/>
      <c r="F822" s="14"/>
      <c r="G822" s="14"/>
      <c r="H822" s="14"/>
      <c r="I822" s="14"/>
      <c r="J822" s="15"/>
    </row>
    <row r="823" spans="1:10">
      <c r="A823" s="19"/>
      <c r="B823" s="18"/>
      <c r="C823" s="20"/>
      <c r="D823" s="20"/>
      <c r="E823" s="14"/>
      <c r="F823" s="14"/>
      <c r="G823" s="14"/>
      <c r="H823" s="14"/>
      <c r="I823" s="14"/>
      <c r="J823" s="15"/>
    </row>
    <row r="824" spans="1:10">
      <c r="A824" s="19"/>
      <c r="B824" s="18"/>
      <c r="C824" s="20"/>
      <c r="D824" s="20"/>
      <c r="E824" s="14"/>
      <c r="F824" s="14"/>
      <c r="G824" s="14"/>
      <c r="H824" s="14"/>
      <c r="I824" s="14"/>
      <c r="J824" s="15"/>
    </row>
    <row r="825" spans="1:10">
      <c r="A825" s="19"/>
      <c r="B825" s="18"/>
      <c r="C825" s="20"/>
      <c r="D825" s="20"/>
      <c r="E825" s="14"/>
      <c r="F825" s="14"/>
      <c r="G825" s="14"/>
      <c r="H825" s="14"/>
      <c r="I825" s="14"/>
      <c r="J825" s="15"/>
    </row>
    <row r="826" spans="1:10">
      <c r="A826" s="19"/>
      <c r="B826" s="18"/>
      <c r="C826" s="20"/>
      <c r="D826" s="20"/>
      <c r="E826" s="14"/>
      <c r="F826" s="14"/>
      <c r="G826" s="14"/>
      <c r="H826" s="14"/>
      <c r="I826" s="14"/>
      <c r="J826" s="15"/>
    </row>
    <row r="827" spans="1:10">
      <c r="A827" s="19"/>
      <c r="B827" s="18"/>
      <c r="C827" s="20"/>
      <c r="D827" s="20"/>
      <c r="E827" s="14"/>
      <c r="F827" s="14"/>
      <c r="G827" s="14"/>
      <c r="H827" s="14"/>
      <c r="I827" s="14"/>
      <c r="J827" s="15"/>
    </row>
    <row r="828" spans="1:10">
      <c r="A828" s="19"/>
      <c r="B828" s="18"/>
      <c r="C828" s="20"/>
      <c r="D828" s="20"/>
      <c r="E828" s="14"/>
      <c r="F828" s="14"/>
      <c r="G828" s="14"/>
      <c r="H828" s="14"/>
      <c r="I828" s="14"/>
      <c r="J828" s="15"/>
    </row>
    <row r="829" spans="1:10">
      <c r="A829" s="19"/>
      <c r="B829" s="18"/>
      <c r="C829" s="20"/>
      <c r="D829" s="20"/>
      <c r="E829" s="14"/>
      <c r="F829" s="14"/>
      <c r="G829" s="14"/>
      <c r="H829" s="14"/>
      <c r="I829" s="14"/>
      <c r="J829" s="15"/>
    </row>
    <row r="830" spans="1:10">
      <c r="A830" s="19"/>
      <c r="B830" s="18"/>
      <c r="C830" s="20"/>
      <c r="D830" s="20"/>
      <c r="E830" s="14"/>
      <c r="F830" s="14"/>
      <c r="G830" s="14"/>
      <c r="H830" s="14"/>
      <c r="I830" s="14"/>
      <c r="J830" s="15"/>
    </row>
    <row r="831" spans="1:10">
      <c r="A831" s="19"/>
      <c r="B831" s="18"/>
      <c r="C831" s="20"/>
      <c r="D831" s="20"/>
      <c r="E831" s="14"/>
      <c r="F831" s="14"/>
      <c r="G831" s="14"/>
      <c r="H831" s="14"/>
      <c r="I831" s="14"/>
      <c r="J831" s="15"/>
    </row>
    <row r="832" spans="1:10">
      <c r="A832" s="19"/>
      <c r="B832" s="18"/>
      <c r="C832" s="20"/>
      <c r="D832" s="20"/>
      <c r="E832" s="14"/>
      <c r="F832" s="14"/>
      <c r="G832" s="14"/>
      <c r="H832" s="14"/>
      <c r="I832" s="14"/>
      <c r="J832" s="15"/>
    </row>
    <row r="833" spans="1:10">
      <c r="A833" s="19"/>
      <c r="B833" s="18"/>
      <c r="C833" s="20"/>
      <c r="D833" s="20"/>
      <c r="E833" s="14"/>
      <c r="F833" s="14"/>
      <c r="G833" s="14"/>
      <c r="H833" s="14"/>
      <c r="I833" s="14"/>
      <c r="J833" s="15"/>
    </row>
    <row r="834" spans="1:10">
      <c r="A834" s="19"/>
      <c r="B834" s="18"/>
      <c r="C834" s="20"/>
      <c r="D834" s="20"/>
      <c r="E834" s="14"/>
      <c r="F834" s="14"/>
      <c r="G834" s="14"/>
      <c r="H834" s="14"/>
      <c r="I834" s="14"/>
      <c r="J834" s="15"/>
    </row>
    <row r="835" spans="1:10">
      <c r="A835" s="19"/>
      <c r="B835" s="18"/>
      <c r="C835" s="20"/>
      <c r="D835" s="20"/>
      <c r="E835" s="14"/>
      <c r="F835" s="14"/>
      <c r="G835" s="14"/>
      <c r="H835" s="14"/>
      <c r="I835" s="14"/>
      <c r="J835" s="15"/>
    </row>
    <row r="836" spans="1:10">
      <c r="A836" s="19"/>
      <c r="B836" s="18"/>
      <c r="C836" s="20"/>
      <c r="D836" s="20"/>
      <c r="E836" s="14"/>
      <c r="F836" s="14"/>
      <c r="G836" s="14"/>
      <c r="H836" s="14"/>
      <c r="I836" s="14"/>
      <c r="J836" s="15"/>
    </row>
    <row r="837" spans="1:10">
      <c r="A837" s="19"/>
      <c r="B837" s="18"/>
      <c r="C837" s="20"/>
      <c r="D837" s="20"/>
      <c r="E837" s="14"/>
      <c r="F837" s="14"/>
      <c r="G837" s="14"/>
      <c r="H837" s="14"/>
      <c r="I837" s="14"/>
      <c r="J837" s="15"/>
    </row>
    <row r="838" spans="1:10">
      <c r="A838" s="19"/>
      <c r="B838" s="18"/>
      <c r="C838" s="20"/>
      <c r="D838" s="20"/>
      <c r="E838" s="14"/>
      <c r="F838" s="14"/>
      <c r="G838" s="14"/>
      <c r="H838" s="14"/>
      <c r="I838" s="14"/>
      <c r="J838" s="15"/>
    </row>
    <row r="839" spans="1:10">
      <c r="A839" s="19"/>
      <c r="B839" s="18"/>
      <c r="C839" s="20"/>
      <c r="D839" s="20"/>
      <c r="E839" s="14"/>
      <c r="F839" s="14"/>
      <c r="G839" s="14"/>
      <c r="H839" s="14"/>
      <c r="I839" s="14"/>
      <c r="J839" s="15"/>
    </row>
    <row r="840" spans="1:10">
      <c r="A840" s="19"/>
      <c r="B840" s="18"/>
      <c r="C840" s="20"/>
      <c r="D840" s="20"/>
      <c r="E840" s="14"/>
      <c r="F840" s="14"/>
      <c r="G840" s="14"/>
      <c r="H840" s="14"/>
      <c r="I840" s="14"/>
      <c r="J840" s="15"/>
    </row>
    <row r="841" spans="1:10">
      <c r="A841" s="19"/>
      <c r="B841" s="18"/>
      <c r="C841" s="20"/>
      <c r="D841" s="20"/>
      <c r="E841" s="14"/>
      <c r="F841" s="14"/>
      <c r="G841" s="14"/>
      <c r="H841" s="14"/>
      <c r="I841" s="14"/>
      <c r="J841" s="15"/>
    </row>
    <row r="842" spans="1:10">
      <c r="A842" s="19"/>
      <c r="B842" s="18"/>
      <c r="C842" s="20"/>
      <c r="D842" s="20"/>
      <c r="E842" s="14"/>
      <c r="F842" s="14"/>
      <c r="G842" s="14"/>
      <c r="H842" s="14"/>
      <c r="I842" s="14"/>
      <c r="J842" s="15"/>
    </row>
    <row r="843" spans="1:10">
      <c r="A843" s="19"/>
      <c r="B843" s="18"/>
      <c r="C843" s="20"/>
      <c r="D843" s="20"/>
      <c r="E843" s="14"/>
      <c r="F843" s="14"/>
      <c r="G843" s="14"/>
      <c r="H843" s="14"/>
      <c r="I843" s="14"/>
      <c r="J843" s="15"/>
    </row>
    <row r="844" spans="1:10">
      <c r="A844" s="19"/>
      <c r="B844" s="18"/>
      <c r="C844" s="20"/>
      <c r="D844" s="20"/>
      <c r="E844" s="14"/>
      <c r="F844" s="14"/>
      <c r="G844" s="14"/>
      <c r="H844" s="14"/>
      <c r="I844" s="14"/>
      <c r="J844" s="15"/>
    </row>
    <row r="845" spans="1:10">
      <c r="A845" s="19"/>
      <c r="B845" s="18"/>
      <c r="C845" s="20"/>
      <c r="D845" s="20"/>
      <c r="E845" s="14"/>
      <c r="F845" s="14"/>
      <c r="G845" s="14"/>
      <c r="H845" s="14"/>
      <c r="I845" s="14"/>
      <c r="J845" s="15"/>
    </row>
    <row r="846" spans="1:10">
      <c r="A846" s="19"/>
      <c r="B846" s="18"/>
      <c r="C846" s="20"/>
      <c r="D846" s="20"/>
      <c r="E846" s="14"/>
      <c r="F846" s="14"/>
      <c r="G846" s="14"/>
      <c r="H846" s="14"/>
      <c r="I846" s="14"/>
      <c r="J846" s="15"/>
    </row>
    <row r="847" spans="1:10">
      <c r="A847" s="19"/>
      <c r="B847" s="18"/>
      <c r="C847" s="20"/>
      <c r="D847" s="20"/>
      <c r="E847" s="14"/>
      <c r="F847" s="14"/>
      <c r="G847" s="14"/>
      <c r="H847" s="14"/>
      <c r="I847" s="14"/>
      <c r="J847" s="15"/>
    </row>
    <row r="848" spans="1:10">
      <c r="A848" s="19"/>
      <c r="B848" s="18"/>
      <c r="C848" s="20"/>
      <c r="D848" s="20"/>
      <c r="E848" s="14"/>
      <c r="F848" s="14"/>
      <c r="G848" s="14"/>
      <c r="H848" s="14"/>
      <c r="I848" s="14"/>
      <c r="J848" s="15"/>
    </row>
    <row r="849" spans="1:10">
      <c r="A849" s="19"/>
      <c r="B849" s="18"/>
      <c r="C849" s="20"/>
      <c r="D849" s="20"/>
      <c r="E849" s="14"/>
      <c r="F849" s="14"/>
      <c r="G849" s="14"/>
      <c r="H849" s="14"/>
      <c r="I849" s="14"/>
      <c r="J849" s="15"/>
    </row>
    <row r="850" spans="1:10">
      <c r="A850" s="19"/>
      <c r="B850" s="18"/>
      <c r="C850" s="20"/>
      <c r="D850" s="20"/>
      <c r="E850" s="14"/>
      <c r="F850" s="14"/>
      <c r="G850" s="14"/>
      <c r="H850" s="14"/>
      <c r="I850" s="14"/>
      <c r="J850" s="15"/>
    </row>
    <row r="851" spans="1:10">
      <c r="A851" s="19"/>
      <c r="B851" s="18"/>
      <c r="C851" s="20"/>
      <c r="D851" s="20"/>
      <c r="E851" s="14"/>
      <c r="F851" s="14"/>
      <c r="G851" s="14"/>
      <c r="H851" s="14"/>
      <c r="I851" s="14"/>
      <c r="J851" s="15"/>
    </row>
    <row r="852" spans="1:10">
      <c r="A852" s="19"/>
      <c r="B852" s="18"/>
      <c r="C852" s="20"/>
      <c r="D852" s="20"/>
      <c r="E852" s="14"/>
      <c r="F852" s="14"/>
      <c r="G852" s="14"/>
      <c r="H852" s="14"/>
      <c r="I852" s="14"/>
      <c r="J852" s="15"/>
    </row>
    <row r="853" spans="1:10">
      <c r="A853" s="19"/>
      <c r="B853" s="18"/>
      <c r="C853" s="20"/>
      <c r="D853" s="20"/>
      <c r="E853" s="14"/>
      <c r="F853" s="14"/>
      <c r="G853" s="14"/>
      <c r="H853" s="14"/>
      <c r="I853" s="14"/>
      <c r="J853" s="15"/>
    </row>
    <row r="854" spans="1:10">
      <c r="A854" s="19"/>
      <c r="B854" s="18"/>
      <c r="C854" s="20"/>
      <c r="D854" s="20"/>
      <c r="E854" s="14"/>
      <c r="F854" s="14"/>
      <c r="G854" s="14"/>
      <c r="H854" s="14"/>
      <c r="I854" s="14"/>
      <c r="J854" s="15"/>
    </row>
    <row r="855" spans="1:10">
      <c r="A855" s="19"/>
      <c r="B855" s="18"/>
      <c r="C855" s="20"/>
      <c r="D855" s="20"/>
      <c r="E855" s="14"/>
      <c r="F855" s="14"/>
      <c r="G855" s="14"/>
      <c r="H855" s="14"/>
      <c r="I855" s="14"/>
      <c r="J855" s="15"/>
    </row>
    <row r="856" spans="1:10">
      <c r="A856" s="19"/>
      <c r="B856" s="18"/>
      <c r="C856" s="20"/>
      <c r="D856" s="20"/>
      <c r="E856" s="14"/>
      <c r="F856" s="14"/>
      <c r="G856" s="14"/>
      <c r="H856" s="14"/>
      <c r="I856" s="14"/>
      <c r="J856" s="15"/>
    </row>
    <row r="857" spans="1:10">
      <c r="A857" s="19"/>
      <c r="B857" s="18"/>
      <c r="C857" s="20"/>
      <c r="D857" s="20"/>
      <c r="E857" s="14"/>
      <c r="F857" s="14"/>
      <c r="G857" s="14"/>
      <c r="H857" s="14"/>
      <c r="I857" s="14"/>
      <c r="J857" s="15"/>
    </row>
    <row r="858" spans="1:10">
      <c r="A858" s="19"/>
      <c r="B858" s="18"/>
      <c r="C858" s="20"/>
      <c r="D858" s="20"/>
      <c r="E858" s="14"/>
      <c r="F858" s="14"/>
      <c r="G858" s="14"/>
      <c r="H858" s="14"/>
      <c r="I858" s="14"/>
      <c r="J858" s="15"/>
    </row>
    <row r="859" spans="1:10">
      <c r="A859" s="19"/>
      <c r="B859" s="18"/>
      <c r="C859" s="20"/>
      <c r="D859" s="20"/>
      <c r="E859" s="14"/>
      <c r="F859" s="14"/>
      <c r="G859" s="14"/>
      <c r="H859" s="14"/>
      <c r="I859" s="14"/>
      <c r="J859" s="15"/>
    </row>
    <row r="860" spans="1:10">
      <c r="A860" s="19"/>
      <c r="B860" s="18"/>
      <c r="C860" s="20"/>
      <c r="D860" s="20"/>
      <c r="E860" s="14"/>
      <c r="F860" s="14"/>
      <c r="G860" s="14"/>
      <c r="H860" s="14"/>
      <c r="I860" s="14"/>
      <c r="J860" s="15"/>
    </row>
    <row r="861" spans="1:10">
      <c r="A861" s="19"/>
      <c r="B861" s="18"/>
      <c r="C861" s="20"/>
      <c r="D861" s="20"/>
      <c r="E861" s="14"/>
      <c r="F861" s="14"/>
      <c r="G861" s="14"/>
      <c r="H861" s="14"/>
      <c r="I861" s="14"/>
      <c r="J861" s="15"/>
    </row>
    <row r="862" spans="1:10">
      <c r="A862" s="19"/>
      <c r="B862" s="18"/>
      <c r="C862" s="20"/>
      <c r="D862" s="20"/>
      <c r="E862" s="14"/>
      <c r="F862" s="14"/>
      <c r="G862" s="14"/>
      <c r="H862" s="14"/>
      <c r="I862" s="14"/>
      <c r="J862" s="15"/>
    </row>
    <row r="863" spans="1:10">
      <c r="A863" s="19"/>
      <c r="B863" s="18"/>
      <c r="C863" s="20"/>
      <c r="D863" s="20"/>
      <c r="E863" s="14"/>
      <c r="F863" s="14"/>
      <c r="G863" s="14"/>
      <c r="H863" s="14"/>
      <c r="I863" s="14"/>
      <c r="J863" s="15"/>
    </row>
    <row r="864" spans="1:10">
      <c r="A864" s="19"/>
      <c r="B864" s="18"/>
      <c r="C864" s="20"/>
      <c r="D864" s="20"/>
      <c r="E864" s="14"/>
      <c r="F864" s="14"/>
      <c r="G864" s="14"/>
      <c r="H864" s="14"/>
      <c r="I864" s="14"/>
      <c r="J864" s="15"/>
    </row>
    <row r="865" spans="1:10">
      <c r="A865" s="19"/>
      <c r="B865" s="18"/>
      <c r="C865" s="20"/>
      <c r="D865" s="20"/>
      <c r="E865" s="14"/>
      <c r="F865" s="14"/>
      <c r="G865" s="14"/>
      <c r="H865" s="14"/>
      <c r="I865" s="14"/>
      <c r="J865" s="15"/>
    </row>
    <row r="866" spans="1:10">
      <c r="A866" s="19"/>
      <c r="B866" s="18"/>
      <c r="C866" s="20"/>
      <c r="D866" s="20"/>
      <c r="E866" s="14"/>
      <c r="F866" s="14"/>
      <c r="G866" s="14"/>
      <c r="H866" s="14"/>
      <c r="I866" s="14"/>
      <c r="J866" s="15"/>
    </row>
    <row r="867" spans="1:10">
      <c r="A867" s="19"/>
      <c r="B867" s="18"/>
      <c r="C867" s="20"/>
      <c r="D867" s="20"/>
      <c r="E867" s="14"/>
      <c r="F867" s="14"/>
      <c r="G867" s="14"/>
      <c r="H867" s="14"/>
      <c r="I867" s="14"/>
      <c r="J867" s="15"/>
    </row>
    <row r="868" spans="1:10">
      <c r="A868" s="19"/>
      <c r="B868" s="18"/>
      <c r="C868" s="20"/>
      <c r="D868" s="20"/>
      <c r="E868" s="14"/>
      <c r="F868" s="14"/>
      <c r="G868" s="14"/>
      <c r="H868" s="14"/>
      <c r="I868" s="14"/>
      <c r="J868" s="15"/>
    </row>
    <row r="869" spans="1:10">
      <c r="A869" s="19"/>
      <c r="B869" s="18"/>
      <c r="C869" s="20"/>
      <c r="D869" s="20"/>
      <c r="E869" s="14"/>
      <c r="F869" s="14"/>
      <c r="G869" s="14"/>
      <c r="H869" s="14"/>
      <c r="I869" s="14"/>
      <c r="J869" s="15"/>
    </row>
    <row r="870" spans="1:10">
      <c r="A870" s="19"/>
      <c r="B870" s="18"/>
      <c r="C870" s="20"/>
      <c r="D870" s="20"/>
      <c r="E870" s="14"/>
      <c r="F870" s="14"/>
      <c r="G870" s="14"/>
      <c r="H870" s="14"/>
      <c r="I870" s="14"/>
      <c r="J870" s="15"/>
    </row>
    <row r="871" spans="1:10">
      <c r="A871" s="19"/>
      <c r="B871" s="18"/>
      <c r="C871" s="20"/>
      <c r="D871" s="20"/>
      <c r="E871" s="14"/>
      <c r="F871" s="14"/>
      <c r="G871" s="14"/>
      <c r="H871" s="14"/>
      <c r="I871" s="14"/>
      <c r="J871" s="15"/>
    </row>
    <row r="872" spans="1:10">
      <c r="A872" s="19"/>
      <c r="B872" s="18"/>
      <c r="C872" s="20"/>
      <c r="D872" s="20"/>
      <c r="E872" s="14"/>
      <c r="F872" s="14"/>
      <c r="G872" s="14"/>
      <c r="H872" s="14"/>
      <c r="I872" s="14"/>
      <c r="J872" s="15"/>
    </row>
    <row r="873" spans="1:10">
      <c r="A873" s="19"/>
      <c r="B873" s="18"/>
      <c r="C873" s="20"/>
      <c r="D873" s="20"/>
      <c r="E873" s="14"/>
      <c r="F873" s="14"/>
      <c r="G873" s="14"/>
      <c r="H873" s="14"/>
      <c r="I873" s="14"/>
      <c r="J873" s="15"/>
    </row>
    <row r="874" spans="1:10">
      <c r="A874" s="19"/>
      <c r="B874" s="18"/>
      <c r="C874" s="20"/>
      <c r="D874" s="20"/>
      <c r="E874" s="14"/>
      <c r="F874" s="14"/>
      <c r="G874" s="14"/>
      <c r="H874" s="14"/>
      <c r="I874" s="14"/>
      <c r="J874" s="15"/>
    </row>
    <row r="875" spans="1:10">
      <c r="A875" s="19"/>
      <c r="B875" s="18"/>
      <c r="C875" s="20"/>
      <c r="D875" s="20"/>
      <c r="E875" s="14"/>
      <c r="F875" s="14"/>
      <c r="G875" s="14"/>
      <c r="H875" s="14"/>
      <c r="I875" s="14"/>
      <c r="J875" s="15"/>
    </row>
    <row r="876" spans="1:10">
      <c r="A876" s="19"/>
      <c r="B876" s="18"/>
      <c r="C876" s="20"/>
      <c r="D876" s="20"/>
      <c r="E876" s="14"/>
      <c r="F876" s="14"/>
      <c r="G876" s="14"/>
      <c r="H876" s="14"/>
      <c r="I876" s="14"/>
      <c r="J876" s="15"/>
    </row>
  </sheetData>
  <sheetProtection formatCells="0" formatColumns="0" formatRows="0" insertRows="0" deleteRows="0" autoFilter="0"/>
  <phoneticPr fontId="4" type="noConversion"/>
  <conditionalFormatting sqref="E405:G876 E1 G177 E405:E1048576">
    <cfRule type="expression" dxfId="940" priority="4429">
      <formula>IF(OR(AND(E1="",F1="",OR(G1="Critical",G1="Major",G1="Minor"))),1,0)</formula>
    </cfRule>
  </conditionalFormatting>
  <conditionalFormatting sqref="F1 F405:F1048576">
    <cfRule type="expression" dxfId="939" priority="4428">
      <formula>IF(AND(F1="",OR(E1="Accuracy",E1="Fluency",E1="Segment",E1="Other")),1,0)</formula>
    </cfRule>
  </conditionalFormatting>
  <conditionalFormatting sqref="G1 G405:G1048576">
    <cfRule type="expression" dxfId="938" priority="4427">
      <formula>IF(AND(OR(G1="",E1="Segment"),OR(E1="Accuracy",E1="Fluency",E1="Other")),1,0)</formula>
    </cfRule>
  </conditionalFormatting>
  <conditionalFormatting sqref="E313:G313 E309:G309 E299:G300 G301 E283:G295 E279:G281 E243:G245 E249:G249 E251:G251 E253:G254 E258 E261:G261 E264 E266:G266 E268:G268 E273:G275 E238:G238">
    <cfRule type="expression" dxfId="937" priority="2220">
      <formula>IF(OR(AND(E238="",F238="",OR(G238="Critical",G238="Major",G238="Minor"))),1,0)</formula>
    </cfRule>
  </conditionalFormatting>
  <conditionalFormatting sqref="F313 F309 F299:F300 F283:F295 F279:F281 F243:F245 F249 F251 F253:F254 F258 F261 F264 F266 F268 F273:F275 F238">
    <cfRule type="expression" dxfId="936" priority="2219">
      <formula>IF(AND(F238="",OR(E238="Accuracy",E238="Fluency",E238="Segment",E238="Other")),1,0)</formula>
    </cfRule>
  </conditionalFormatting>
  <conditionalFormatting sqref="G313 G309 G299:G301 G283:G295 G279:G281 G243:G245 G249 G251 G253:G254 G258 G261 G264 G266 G268 G273:G275 G238">
    <cfRule type="expression" dxfId="935" priority="2221">
      <formula>IF(AND(OR(G238="",#REF!="Segment"),OR(#REF!="Accuracy",#REF!="Fluency",#REF!="Other")),1,0)</formula>
    </cfRule>
  </conditionalFormatting>
  <conditionalFormatting sqref="E269:G270">
    <cfRule type="expression" dxfId="934" priority="1949">
      <formula>IF(OR(AND(E269="",F269="",OR(G269="Critical",G269="Major",G269="Minor"))),1,0)</formula>
    </cfRule>
  </conditionalFormatting>
  <conditionalFormatting sqref="F269:F270">
    <cfRule type="expression" dxfId="933" priority="1948">
      <formula>IF(AND(F269="",OR(E269="Accuracy",E269="Fluency",E269="Segment",E269="Other")),1,0)</formula>
    </cfRule>
  </conditionalFormatting>
  <conditionalFormatting sqref="G269:G270">
    <cfRule type="expression" dxfId="932" priority="1950">
      <formula>IF(AND(OR(G269="",#REF!="Segment"),OR(#REF!="Accuracy",#REF!="Fluency",#REF!="Other")),1,0)</formula>
    </cfRule>
  </conditionalFormatting>
  <conditionalFormatting sqref="E276:G276">
    <cfRule type="expression" dxfId="931" priority="1940">
      <formula>IF(OR(AND(E276="",F276="",OR(G276="Critical",G276="Major",G276="Minor"))),1,0)</formula>
    </cfRule>
  </conditionalFormatting>
  <conditionalFormatting sqref="F276">
    <cfRule type="expression" dxfId="930" priority="1939">
      <formula>IF(AND(F276="",OR(E276="Accuracy",E276="Fluency",E276="Segment",E276="Other")),1,0)</formula>
    </cfRule>
  </conditionalFormatting>
  <conditionalFormatting sqref="G276">
    <cfRule type="expression" dxfId="929" priority="1941">
      <formula>IF(AND(OR(G276="",#REF!="Segment"),OR(#REF!="Accuracy",#REF!="Fluency",#REF!="Other")),1,0)</formula>
    </cfRule>
  </conditionalFormatting>
  <conditionalFormatting sqref="E277:G277">
    <cfRule type="expression" dxfId="928" priority="1937">
      <formula>IF(OR(AND(E277="",F277="",OR(G277="Critical",G277="Major",G277="Minor"))),1,0)</formula>
    </cfRule>
  </conditionalFormatting>
  <conditionalFormatting sqref="F277">
    <cfRule type="expression" dxfId="927" priority="1936">
      <formula>IF(AND(F277="",OR(E277="Accuracy",E277="Fluency",E277="Segment",E277="Other")),1,0)</formula>
    </cfRule>
  </conditionalFormatting>
  <conditionalFormatting sqref="G277">
    <cfRule type="expression" dxfId="926" priority="1938">
      <formula>IF(AND(OR(G277="",#REF!="Segment"),OR(#REF!="Accuracy",#REF!="Fluency",#REF!="Other")),1,0)</formula>
    </cfRule>
  </conditionalFormatting>
  <conditionalFormatting sqref="E296:G296">
    <cfRule type="expression" dxfId="925" priority="1928">
      <formula>IF(OR(AND(E296="",F296="",OR(G296="Critical",G296="Major",G296="Minor"))),1,0)</formula>
    </cfRule>
  </conditionalFormatting>
  <conditionalFormatting sqref="F296">
    <cfRule type="expression" dxfId="924" priority="1927">
      <formula>IF(AND(F296="",OR(E296="Accuracy",E296="Fluency",E296="Segment",E296="Other")),1,0)</formula>
    </cfRule>
  </conditionalFormatting>
  <conditionalFormatting sqref="G296">
    <cfRule type="expression" dxfId="923" priority="1929">
      <formula>IF(AND(OR(G296="",#REF!="Segment"),OR(#REF!="Accuracy",#REF!="Fluency",#REF!="Other")),1,0)</formula>
    </cfRule>
  </conditionalFormatting>
  <conditionalFormatting sqref="E298:G298">
    <cfRule type="expression" dxfId="922" priority="1922">
      <formula>IF(OR(AND(E298="",F298="",OR(G298="Critical",G298="Major",G298="Minor"))),1,0)</formula>
    </cfRule>
  </conditionalFormatting>
  <conditionalFormatting sqref="F298">
    <cfRule type="expression" dxfId="921" priority="1921">
      <formula>IF(AND(F298="",OR(E298="Accuracy",E298="Fluency",E298="Segment",E298="Other")),1,0)</formula>
    </cfRule>
  </conditionalFormatting>
  <conditionalFormatting sqref="G298">
    <cfRule type="expression" dxfId="920" priority="1923">
      <formula>IF(AND(OR(G298="",#REF!="Segment"),OR(#REF!="Accuracy",#REF!="Fluency",#REF!="Other")),1,0)</formula>
    </cfRule>
  </conditionalFormatting>
  <conditionalFormatting sqref="E302:G302">
    <cfRule type="expression" dxfId="919" priority="1917">
      <formula>IF(OR(AND(E302="",F302="",OR(G302="Critical",G302="Major",G302="Minor"))),1,0)</formula>
    </cfRule>
  </conditionalFormatting>
  <conditionalFormatting sqref="F302">
    <cfRule type="expression" dxfId="918" priority="1916">
      <formula>IF(AND(F302="",OR(E302="Accuracy",E302="Fluency",E302="Segment",E302="Other")),1,0)</formula>
    </cfRule>
  </conditionalFormatting>
  <conditionalFormatting sqref="G302">
    <cfRule type="expression" dxfId="917" priority="1918">
      <formula>IF(AND(OR(G302="",#REF!="Segment"),OR(#REF!="Accuracy",#REF!="Fluency",#REF!="Other")),1,0)</formula>
    </cfRule>
  </conditionalFormatting>
  <conditionalFormatting sqref="E303:G303">
    <cfRule type="expression" dxfId="916" priority="1914">
      <formula>IF(OR(AND(E303="",F303="",OR(G303="Critical",G303="Major",G303="Minor"))),1,0)</formula>
    </cfRule>
  </conditionalFormatting>
  <conditionalFormatting sqref="F303">
    <cfRule type="expression" dxfId="915" priority="1913">
      <formula>IF(AND(F303="",OR(E303="Accuracy",E303="Fluency",E303="Segment",E303="Other")),1,0)</formula>
    </cfRule>
  </conditionalFormatting>
  <conditionalFormatting sqref="G303">
    <cfRule type="expression" dxfId="914" priority="1915">
      <formula>IF(AND(OR(G303="",#REF!="Segment"),OR(#REF!="Accuracy",#REF!="Fluency",#REF!="Other")),1,0)</formula>
    </cfRule>
  </conditionalFormatting>
  <conditionalFormatting sqref="E307:G307">
    <cfRule type="expression" dxfId="913" priority="1902">
      <formula>IF(OR(AND(E307="",F307="",OR(G307="Critical",G307="Major",G307="Minor"))),1,0)</formula>
    </cfRule>
  </conditionalFormatting>
  <conditionalFormatting sqref="F307">
    <cfRule type="expression" dxfId="912" priority="1901">
      <formula>IF(AND(F307="",OR(E307="Accuracy",E307="Fluency",E307="Segment",E307="Other")),1,0)</formula>
    </cfRule>
  </conditionalFormatting>
  <conditionalFormatting sqref="G307">
    <cfRule type="expression" dxfId="911" priority="1903">
      <formula>IF(AND(OR(G307="",#REF!="Segment"),OR(#REF!="Accuracy",#REF!="Fluency",#REF!="Other")),1,0)</formula>
    </cfRule>
  </conditionalFormatting>
  <conditionalFormatting sqref="E311:G311">
    <cfRule type="expression" dxfId="910" priority="1893">
      <formula>IF(OR(AND(E311="",F311="",OR(G311="Critical",G311="Major",G311="Minor"))),1,0)</formula>
    </cfRule>
  </conditionalFormatting>
  <conditionalFormatting sqref="F311">
    <cfRule type="expression" dxfId="909" priority="1892">
      <formula>IF(AND(F311="",OR(E311="Accuracy",E311="Fluency",E311="Segment",E311="Other")),1,0)</formula>
    </cfRule>
  </conditionalFormatting>
  <conditionalFormatting sqref="G311">
    <cfRule type="expression" dxfId="908" priority="1894">
      <formula>IF(AND(OR(G311="",#REF!="Segment"),OR(#REF!="Accuracy",#REF!="Fluency",#REF!="Other")),1,0)</formula>
    </cfRule>
  </conditionalFormatting>
  <conditionalFormatting sqref="E312:G312">
    <cfRule type="expression" dxfId="907" priority="1890">
      <formula>IF(OR(AND(E312="",F312="",OR(G312="Critical",G312="Major",G312="Minor"))),1,0)</formula>
    </cfRule>
  </conditionalFormatting>
  <conditionalFormatting sqref="F312">
    <cfRule type="expression" dxfId="906" priority="1889">
      <formula>IF(AND(F312="",OR(E312="Accuracy",E312="Fluency",E312="Segment",E312="Other")),1,0)</formula>
    </cfRule>
  </conditionalFormatting>
  <conditionalFormatting sqref="G312">
    <cfRule type="expression" dxfId="905" priority="1891">
      <formula>IF(AND(OR(G312="",#REF!="Segment"),OR(#REF!="Accuracy",#REF!="Fluency",#REF!="Other")),1,0)</formula>
    </cfRule>
  </conditionalFormatting>
  <conditionalFormatting sqref="E314:G314">
    <cfRule type="expression" dxfId="904" priority="1887">
      <formula>IF(OR(AND(E314="",F314="",OR(G314="Critical",G314="Major",G314="Minor"))),1,0)</formula>
    </cfRule>
  </conditionalFormatting>
  <conditionalFormatting sqref="F314">
    <cfRule type="expression" dxfId="903" priority="1886">
      <formula>IF(AND(F314="",OR(E314="Accuracy",E314="Fluency",E314="Segment",E314="Other")),1,0)</formula>
    </cfRule>
  </conditionalFormatting>
  <conditionalFormatting sqref="G314">
    <cfRule type="expression" dxfId="902" priority="1888">
      <formula>IF(AND(OR(G314="",#REF!="Segment"),OR(#REF!="Accuracy",#REF!="Fluency",#REF!="Other")),1,0)</formula>
    </cfRule>
  </conditionalFormatting>
  <conditionalFormatting sqref="E315:G315">
    <cfRule type="expression" dxfId="901" priority="1884">
      <formula>IF(OR(AND(E315="",F315="",OR(G315="Critical",G315="Major",G315="Minor"))),1,0)</formula>
    </cfRule>
  </conditionalFormatting>
  <conditionalFormatting sqref="F315">
    <cfRule type="expression" dxfId="900" priority="1883">
      <formula>IF(AND(F315="",OR(E315="Accuracy",E315="Fluency",E315="Segment",E315="Other")),1,0)</formula>
    </cfRule>
  </conditionalFormatting>
  <conditionalFormatting sqref="G315">
    <cfRule type="expression" dxfId="899" priority="1885">
      <formula>IF(AND(OR(G315="",#REF!="Segment"),OR(#REF!="Accuracy",#REF!="Fluency",#REF!="Other")),1,0)</formula>
    </cfRule>
  </conditionalFormatting>
  <conditionalFormatting sqref="E310:G310">
    <cfRule type="expression" dxfId="898" priority="1896">
      <formula>IF(OR(AND(E310="",F310="",OR(G310="Critical",G310="Major",G310="Minor"))),1,0)</formula>
    </cfRule>
  </conditionalFormatting>
  <conditionalFormatting sqref="F310">
    <cfRule type="expression" dxfId="897" priority="1895">
      <formula>IF(AND(F310="",OR(E310="Accuracy",E310="Fluency",E310="Segment",E310="Other")),1,0)</formula>
    </cfRule>
  </conditionalFormatting>
  <conditionalFormatting sqref="G310">
    <cfRule type="expression" dxfId="896" priority="1897">
      <formula>IF(AND(OR(G310="",#REF!="Segment"),OR(#REF!="Accuracy",#REF!="Fluency",#REF!="Other")),1,0)</formula>
    </cfRule>
  </conditionalFormatting>
  <conditionalFormatting sqref="E272:G272">
    <cfRule type="expression" dxfId="895" priority="1943">
      <formula>IF(OR(AND(E272="",F272="",OR(G272="Critical",G272="Major",G272="Minor"))),1,0)</formula>
    </cfRule>
  </conditionalFormatting>
  <conditionalFormatting sqref="F272">
    <cfRule type="expression" dxfId="894" priority="1942">
      <formula>IF(AND(F272="",OR(E272="Accuracy",E272="Fluency",E272="Segment",E272="Other")),1,0)</formula>
    </cfRule>
  </conditionalFormatting>
  <conditionalFormatting sqref="G272">
    <cfRule type="expression" dxfId="893" priority="1944">
      <formula>IF(AND(OR(G272="",#REF!="Segment"),OR(#REF!="Accuracy",#REF!="Fluency",#REF!="Other")),1,0)</formula>
    </cfRule>
  </conditionalFormatting>
  <conditionalFormatting sqref="E271:G271">
    <cfRule type="expression" dxfId="892" priority="1946">
      <formula>IF(OR(AND(E271="",F271="",OR(G271="Critical",G271="Major",G271="Minor"))),1,0)</formula>
    </cfRule>
  </conditionalFormatting>
  <conditionalFormatting sqref="F271">
    <cfRule type="expression" dxfId="891" priority="1945">
      <formula>IF(AND(F271="",OR(E271="Accuracy",E271="Fluency",E271="Segment",E271="Other")),1,0)</formula>
    </cfRule>
  </conditionalFormatting>
  <conditionalFormatting sqref="G271">
    <cfRule type="expression" dxfId="890" priority="1947">
      <formula>IF(AND(OR(G271="",#REF!="Segment"),OR(#REF!="Accuracy",#REF!="Fluency",#REF!="Other")),1,0)</formula>
    </cfRule>
  </conditionalFormatting>
  <conditionalFormatting sqref="E255:G255">
    <cfRule type="expression" dxfId="889" priority="1980">
      <formula>IF(OR(AND(E255="",F255="",OR(G255="Critical",G255="Major",G255="Minor"))),1,0)</formula>
    </cfRule>
  </conditionalFormatting>
  <conditionalFormatting sqref="F255">
    <cfRule type="expression" dxfId="888" priority="1979">
      <formula>IF(AND(F255="",OR(E255="Accuracy",E255="Fluency",E255="Segment",E255="Other")),1,0)</formula>
    </cfRule>
  </conditionalFormatting>
  <conditionalFormatting sqref="G255">
    <cfRule type="expression" dxfId="887" priority="1981">
      <formula>IF(AND(OR(G255="",#REF!="Segment"),OR(#REF!="Accuracy",#REF!="Fluency",#REF!="Other")),1,0)</formula>
    </cfRule>
  </conditionalFormatting>
  <conditionalFormatting sqref="E265">
    <cfRule type="expression" dxfId="886" priority="1957">
      <formula>IF(OR(AND(E265="",F265="",OR(G265="Critical",G265="Major",G265="Minor"))),1,0)</formula>
    </cfRule>
  </conditionalFormatting>
  <conditionalFormatting sqref="F265">
    <cfRule type="expression" dxfId="885" priority="1956">
      <formula>IF(AND(F265="",OR(E265="Accuracy",E265="Fluency",E265="Segment",E265="Other")),1,0)</formula>
    </cfRule>
  </conditionalFormatting>
  <conditionalFormatting sqref="G265">
    <cfRule type="expression" dxfId="884" priority="1958">
      <formula>IF(AND(OR(G265="",#REF!="Segment"),OR(#REF!="Accuracy",#REF!="Fluency",#REF!="Other")),1,0)</formula>
    </cfRule>
  </conditionalFormatting>
  <conditionalFormatting sqref="E235:G235">
    <cfRule type="expression" dxfId="883" priority="1998">
      <formula>IF(OR(AND(E235="",F235="",OR(G235="Critical",G235="Major",G235="Minor"))),1,0)</formula>
    </cfRule>
  </conditionalFormatting>
  <conditionalFormatting sqref="F235">
    <cfRule type="expression" dxfId="882" priority="1997">
      <formula>IF(AND(F235="",OR(E235="Accuracy",E235="Fluency",E235="Segment",E235="Other")),1,0)</formula>
    </cfRule>
  </conditionalFormatting>
  <conditionalFormatting sqref="G235">
    <cfRule type="expression" dxfId="881" priority="1999">
      <formula>IF(AND(OR(G235="",#REF!="Segment"),OR(#REF!="Accuracy",#REF!="Fluency",#REF!="Other")),1,0)</formula>
    </cfRule>
  </conditionalFormatting>
  <conditionalFormatting sqref="E252:G252">
    <cfRule type="expression" dxfId="880" priority="1983">
      <formula>IF(OR(AND(E252="",F252="",OR(G252="Critical",G252="Major",G252="Minor"))),1,0)</formula>
    </cfRule>
  </conditionalFormatting>
  <conditionalFormatting sqref="F252">
    <cfRule type="expression" dxfId="879" priority="1982">
      <formula>IF(AND(F252="",OR(E252="Accuracy",E252="Fluency",E252="Segment",E252="Other")),1,0)</formula>
    </cfRule>
  </conditionalFormatting>
  <conditionalFormatting sqref="G252">
    <cfRule type="expression" dxfId="878" priority="1984">
      <formula>IF(AND(OR(G252="",#REF!="Segment"),OR(#REF!="Accuracy",#REF!="Fluency",#REF!="Other")),1,0)</formula>
    </cfRule>
  </conditionalFormatting>
  <conditionalFormatting sqref="E250:G250">
    <cfRule type="expression" dxfId="877" priority="1986">
      <formula>IF(OR(AND(E250="",F250="",OR(G250="Critical",G250="Major",G250="Minor"))),1,0)</formula>
    </cfRule>
  </conditionalFormatting>
  <conditionalFormatting sqref="F250">
    <cfRule type="expression" dxfId="876" priority="1985">
      <formula>IF(AND(F250="",OR(E250="Accuracy",E250="Fluency",E250="Segment",E250="Other")),1,0)</formula>
    </cfRule>
  </conditionalFormatting>
  <conditionalFormatting sqref="G250">
    <cfRule type="expression" dxfId="875" priority="1987">
      <formula>IF(AND(OR(G250="",#REF!="Segment"),OR(#REF!="Accuracy",#REF!="Fluency",#REF!="Other")),1,0)</formula>
    </cfRule>
  </conditionalFormatting>
  <conditionalFormatting sqref="G264">
    <cfRule type="expression" dxfId="874" priority="2102">
      <formula>IF(OR(AND(G264="",#REF!="",OR(I264="Critical",I264="Major",I264="Minor"))),1,0)</formula>
    </cfRule>
  </conditionalFormatting>
  <conditionalFormatting sqref="F264">
    <cfRule type="expression" dxfId="873" priority="2103">
      <formula>IF(OR(AND(F264="",G264="",OR(#REF!="Critical",#REF!="Major",#REF!="Minor"))),1,0)</formula>
    </cfRule>
  </conditionalFormatting>
  <conditionalFormatting sqref="E246:G248">
    <cfRule type="expression" dxfId="872" priority="1989">
      <formula>IF(OR(AND(E246="",F246="",OR(G246="Critical",G246="Major",G246="Minor"))),1,0)</formula>
    </cfRule>
  </conditionalFormatting>
  <conditionalFormatting sqref="F246:F248">
    <cfRule type="expression" dxfId="871" priority="1988">
      <formula>IF(AND(F246="",OR(E246="Accuracy",E246="Fluency",E246="Segment",E246="Other")),1,0)</formula>
    </cfRule>
  </conditionalFormatting>
  <conditionalFormatting sqref="G246:G248">
    <cfRule type="expression" dxfId="870" priority="1990">
      <formula>IF(AND(OR(G246="",#REF!="Segment"),OR(#REF!="Accuracy",#REF!="Fluency",#REF!="Other")),1,0)</formula>
    </cfRule>
  </conditionalFormatting>
  <conditionalFormatting sqref="G258">
    <cfRule type="expression" dxfId="869" priority="2104">
      <formula>IF(OR(AND(G258="",H257="",OR(I258="Critical",I258="Major",I258="Minor"))),1,0)</formula>
    </cfRule>
  </conditionalFormatting>
  <conditionalFormatting sqref="F258">
    <cfRule type="expression" dxfId="868" priority="2105">
      <formula>IF(OR(AND(F258="",G258="",OR(H257="Critical",H257="Major",H257="Minor"))),1,0)</formula>
    </cfRule>
  </conditionalFormatting>
  <conditionalFormatting sqref="E256:G256">
    <cfRule type="expression" dxfId="867" priority="1977">
      <formula>IF(OR(AND(E256="",F256="",OR(G256="Critical",G256="Major",G256="Minor"))),1,0)</formula>
    </cfRule>
  </conditionalFormatting>
  <conditionalFormatting sqref="F256">
    <cfRule type="expression" dxfId="866" priority="1976">
      <formula>IF(AND(F256="",OR(E256="Accuracy",E256="Fluency",E256="Segment",E256="Other")),1,0)</formula>
    </cfRule>
  </conditionalFormatting>
  <conditionalFormatting sqref="G256">
    <cfRule type="expression" dxfId="865" priority="1978">
      <formula>IF(AND(OR(G256="",#REF!="Segment"),OR(#REF!="Accuracy",#REF!="Fluency",#REF!="Other")),1,0)</formula>
    </cfRule>
  </conditionalFormatting>
  <conditionalFormatting sqref="E257:G257">
    <cfRule type="expression" dxfId="864" priority="1974">
      <formula>IF(OR(AND(E257="",F257="",OR(G257="Critical",G257="Major",G257="Minor"))),1,0)</formula>
    </cfRule>
  </conditionalFormatting>
  <conditionalFormatting sqref="F257">
    <cfRule type="expression" dxfId="863" priority="1973">
      <formula>IF(AND(F257="",OR(E257="Accuracy",E257="Fluency",E257="Segment",E257="Other")),1,0)</formula>
    </cfRule>
  </conditionalFormatting>
  <conditionalFormatting sqref="G257">
    <cfRule type="expression" dxfId="862" priority="1975">
      <formula>IF(AND(OR(G257="",#REF!="Segment"),OR(#REF!="Accuracy",#REF!="Fluency",#REF!="Other")),1,0)</formula>
    </cfRule>
  </conditionalFormatting>
  <conditionalFormatting sqref="E259:G259">
    <cfRule type="expression" dxfId="861" priority="1971">
      <formula>IF(OR(AND(E259="",F259="",OR(G259="Critical",G259="Major",G259="Minor"))),1,0)</formula>
    </cfRule>
  </conditionalFormatting>
  <conditionalFormatting sqref="F259">
    <cfRule type="expression" dxfId="860" priority="1970">
      <formula>IF(AND(F259="",OR(E259="Accuracy",E259="Fluency",E259="Segment",E259="Other")),1,0)</formula>
    </cfRule>
  </conditionalFormatting>
  <conditionalFormatting sqref="G259">
    <cfRule type="expression" dxfId="859" priority="1972">
      <formula>IF(AND(OR(G259="",#REF!="Segment"),OR(#REF!="Accuracy",#REF!="Fluency",#REF!="Other")),1,0)</formula>
    </cfRule>
  </conditionalFormatting>
  <conditionalFormatting sqref="E260:G260">
    <cfRule type="expression" dxfId="858" priority="1968">
      <formula>IF(OR(AND(E260="",F260="",OR(G260="Critical",G260="Major",G260="Minor"))),1,0)</formula>
    </cfRule>
  </conditionalFormatting>
  <conditionalFormatting sqref="F260">
    <cfRule type="expression" dxfId="857" priority="1967">
      <formula>IF(AND(F260="",OR(E260="Accuracy",E260="Fluency",E260="Segment",E260="Other")),1,0)</formula>
    </cfRule>
  </conditionalFormatting>
  <conditionalFormatting sqref="G260">
    <cfRule type="expression" dxfId="856" priority="1969">
      <formula>IF(AND(OR(G260="",#REF!="Segment"),OR(#REF!="Accuracy",#REF!="Fluency",#REF!="Other")),1,0)</formula>
    </cfRule>
  </conditionalFormatting>
  <conditionalFormatting sqref="E262:G262">
    <cfRule type="expression" dxfId="855" priority="1965">
      <formula>IF(OR(AND(E262="",F262="",OR(G262="Critical",G262="Major",G262="Minor"))),1,0)</formula>
    </cfRule>
  </conditionalFormatting>
  <conditionalFormatting sqref="F262">
    <cfRule type="expression" dxfId="854" priority="1964">
      <formula>IF(AND(F262="",OR(E262="Accuracy",E262="Fluency",E262="Segment",E262="Other")),1,0)</formula>
    </cfRule>
  </conditionalFormatting>
  <conditionalFormatting sqref="G262">
    <cfRule type="expression" dxfId="853" priority="1966">
      <formula>IF(AND(OR(G262="",#REF!="Segment"),OR(#REF!="Accuracy",#REF!="Fluency",#REF!="Other")),1,0)</formula>
    </cfRule>
  </conditionalFormatting>
  <conditionalFormatting sqref="E263:G263">
    <cfRule type="expression" dxfId="852" priority="1962">
      <formula>IF(OR(AND(E263="",F263="",OR(G263="Critical",G263="Major",G263="Minor"))),1,0)</formula>
    </cfRule>
  </conditionalFormatting>
  <conditionalFormatting sqref="F263">
    <cfRule type="expression" dxfId="851" priority="1961">
      <formula>IF(AND(F263="",OR(E263="Accuracy",E263="Fluency",E263="Segment",E263="Other")),1,0)</formula>
    </cfRule>
  </conditionalFormatting>
  <conditionalFormatting sqref="G263">
    <cfRule type="expression" dxfId="850" priority="1963">
      <formula>IF(AND(OR(G263="",#REF!="Segment"),OR(#REF!="Accuracy",#REF!="Fluency",#REF!="Other")),1,0)</formula>
    </cfRule>
  </conditionalFormatting>
  <conditionalFormatting sqref="G265">
    <cfRule type="expression" dxfId="849" priority="1959">
      <formula>IF(OR(AND(G265="",#REF!="",OR(I265="Critical",I265="Major",I265="Minor"))),1,0)</formula>
    </cfRule>
  </conditionalFormatting>
  <conditionalFormatting sqref="F265">
    <cfRule type="expression" dxfId="848" priority="1960">
      <formula>IF(OR(AND(F265="",G265="",OR(#REF!="Critical",#REF!="Major",#REF!="Minor"))),1,0)</formula>
    </cfRule>
  </conditionalFormatting>
  <conditionalFormatting sqref="E267">
    <cfRule type="expression" dxfId="847" priority="1952">
      <formula>IF(OR(AND(E267="",F267="",OR(G267="Critical",G267="Major",G267="Minor"))),1,0)</formula>
    </cfRule>
  </conditionalFormatting>
  <conditionalFormatting sqref="F267">
    <cfRule type="expression" dxfId="846" priority="1951">
      <formula>IF(AND(F267="",OR(E267="Accuracy",E267="Fluency",E267="Segment",E267="Other")),1,0)</formula>
    </cfRule>
  </conditionalFormatting>
  <conditionalFormatting sqref="G267">
    <cfRule type="expression" dxfId="845" priority="1953">
      <formula>IF(AND(OR(G267="",#REF!="Segment"),OR(#REF!="Accuracy",#REF!="Fluency",#REF!="Other")),1,0)</formula>
    </cfRule>
  </conditionalFormatting>
  <conditionalFormatting sqref="G267">
    <cfRule type="expression" dxfId="844" priority="1954">
      <formula>IF(OR(AND(G267="",#REF!="",OR(I267="Critical",I267="Major",I267="Minor"))),1,0)</formula>
    </cfRule>
  </conditionalFormatting>
  <conditionalFormatting sqref="F267">
    <cfRule type="expression" dxfId="843" priority="1955">
      <formula>IF(OR(AND(F267="",G267="",OR(#REF!="Critical",#REF!="Major",#REF!="Minor"))),1,0)</formula>
    </cfRule>
  </conditionalFormatting>
  <conditionalFormatting sqref="E278:G278">
    <cfRule type="expression" dxfId="842" priority="1934">
      <formula>IF(OR(AND(E278="",F278="",OR(G278="Critical",G278="Major",G278="Minor"))),1,0)</formula>
    </cfRule>
  </conditionalFormatting>
  <conditionalFormatting sqref="F278">
    <cfRule type="expression" dxfId="841" priority="1933">
      <formula>IF(AND(F278="",OR(E278="Accuracy",E278="Fluency",E278="Segment",E278="Other")),1,0)</formula>
    </cfRule>
  </conditionalFormatting>
  <conditionalFormatting sqref="G278">
    <cfRule type="expression" dxfId="840" priority="1935">
      <formula>IF(AND(OR(G278="",#REF!="Segment"),OR(#REF!="Accuracy",#REF!="Fluency",#REF!="Other")),1,0)</formula>
    </cfRule>
  </conditionalFormatting>
  <conditionalFormatting sqref="E282:G282">
    <cfRule type="expression" dxfId="839" priority="1931">
      <formula>IF(OR(AND(E282="",F282="",OR(G282="Critical",G282="Major",G282="Minor"))),1,0)</formula>
    </cfRule>
  </conditionalFormatting>
  <conditionalFormatting sqref="F282">
    <cfRule type="expression" dxfId="838" priority="1930">
      <formula>IF(AND(F282="",OR(E282="Accuracy",E282="Fluency",E282="Segment",E282="Other")),1,0)</formula>
    </cfRule>
  </conditionalFormatting>
  <conditionalFormatting sqref="G282">
    <cfRule type="expression" dxfId="837" priority="1932">
      <formula>IF(AND(OR(G282="",#REF!="Segment"),OR(#REF!="Accuracy",#REF!="Fluency",#REF!="Other")),1,0)</formula>
    </cfRule>
  </conditionalFormatting>
  <conditionalFormatting sqref="E297:G297">
    <cfRule type="expression" dxfId="836" priority="1925">
      <formula>IF(OR(AND(E297="",F297="",OR(G297="Critical",G297="Major",G297="Minor"))),1,0)</formula>
    </cfRule>
  </conditionalFormatting>
  <conditionalFormatting sqref="F297">
    <cfRule type="expression" dxfId="835" priority="1924">
      <formula>IF(AND(F297="",OR(E297="Accuracy",E297="Fluency",E297="Segment",E297="Other")),1,0)</formula>
    </cfRule>
  </conditionalFormatting>
  <conditionalFormatting sqref="G297">
    <cfRule type="expression" dxfId="834" priority="1926">
      <formula>IF(AND(OR(G297="",#REF!="Segment"),OR(#REF!="Accuracy",#REF!="Fluency",#REF!="Other")),1,0)</formula>
    </cfRule>
  </conditionalFormatting>
  <conditionalFormatting sqref="E301:F301">
    <cfRule type="expression" dxfId="833" priority="1920">
      <formula>IF(OR(AND(E301="",F301="",OR(G301="Critical",G301="Major",G301="Minor"))),1,0)</formula>
    </cfRule>
  </conditionalFormatting>
  <conditionalFormatting sqref="F301">
    <cfRule type="expression" dxfId="832" priority="1919">
      <formula>IF(AND(F301="",OR(E301="Accuracy",E301="Fluency",E301="Segment",E301="Other")),1,0)</formula>
    </cfRule>
  </conditionalFormatting>
  <conditionalFormatting sqref="E304:G304">
    <cfRule type="expression" dxfId="831" priority="1911">
      <formula>IF(OR(AND(E304="",F304="",OR(G304="Critical",G304="Major",G304="Minor"))),1,0)</formula>
    </cfRule>
  </conditionalFormatting>
  <conditionalFormatting sqref="F304">
    <cfRule type="expression" dxfId="830" priority="1910">
      <formula>IF(AND(F304="",OR(E304="Accuracy",E304="Fluency",E304="Segment",E304="Other")),1,0)</formula>
    </cfRule>
  </conditionalFormatting>
  <conditionalFormatting sqref="G304">
    <cfRule type="expression" dxfId="829" priority="1912">
      <formula>IF(AND(OR(G304="",#REF!="Segment"),OR(#REF!="Accuracy",#REF!="Fluency",#REF!="Other")),1,0)</formula>
    </cfRule>
  </conditionalFormatting>
  <conditionalFormatting sqref="E305:G305">
    <cfRule type="expression" dxfId="828" priority="1908">
      <formula>IF(OR(AND(E305="",F305="",OR(G305="Critical",G305="Major",G305="Minor"))),1,0)</formula>
    </cfRule>
  </conditionalFormatting>
  <conditionalFormatting sqref="F305">
    <cfRule type="expression" dxfId="827" priority="1907">
      <formula>IF(AND(F305="",OR(E305="Accuracy",E305="Fluency",E305="Segment",E305="Other")),1,0)</formula>
    </cfRule>
  </conditionalFormatting>
  <conditionalFormatting sqref="G305">
    <cfRule type="expression" dxfId="826" priority="1909">
      <formula>IF(AND(OR(G305="",#REF!="Segment"),OR(#REF!="Accuracy",#REF!="Fluency",#REF!="Other")),1,0)</formula>
    </cfRule>
  </conditionalFormatting>
  <conditionalFormatting sqref="E306:G306">
    <cfRule type="expression" dxfId="825" priority="1905">
      <formula>IF(OR(AND(E306="",F306="",OR(G306="Critical",G306="Major",G306="Minor"))),1,0)</formula>
    </cfRule>
  </conditionalFormatting>
  <conditionalFormatting sqref="F306">
    <cfRule type="expression" dxfId="824" priority="1904">
      <formula>IF(AND(F306="",OR(E306="Accuracy",E306="Fluency",E306="Segment",E306="Other")),1,0)</formula>
    </cfRule>
  </conditionalFormatting>
  <conditionalFormatting sqref="G306">
    <cfRule type="expression" dxfId="823" priority="1906">
      <formula>IF(AND(OR(G306="",#REF!="Segment"),OR(#REF!="Accuracy",#REF!="Fluency",#REF!="Other")),1,0)</formula>
    </cfRule>
  </conditionalFormatting>
  <conditionalFormatting sqref="E308:G308">
    <cfRule type="expression" dxfId="822" priority="1899">
      <formula>IF(OR(AND(E308="",F308="",OR(G308="Critical",G308="Major",G308="Minor"))),1,0)</formula>
    </cfRule>
  </conditionalFormatting>
  <conditionalFormatting sqref="F308">
    <cfRule type="expression" dxfId="821" priority="1898">
      <formula>IF(AND(F308="",OR(E308="Accuracy",E308="Fluency",E308="Segment",E308="Other")),1,0)</formula>
    </cfRule>
  </conditionalFormatting>
  <conditionalFormatting sqref="G308">
    <cfRule type="expression" dxfId="820" priority="1900">
      <formula>IF(AND(OR(G308="",#REF!="Segment"),OR(#REF!="Accuracy",#REF!="Fluency",#REF!="Other")),1,0)</formula>
    </cfRule>
  </conditionalFormatting>
  <conditionalFormatting sqref="E316:G316">
    <cfRule type="expression" dxfId="819" priority="1881">
      <formula>IF(OR(AND(E316="",F316="",OR(G316="Critical",G316="Major",G316="Minor"))),1,0)</formula>
    </cfRule>
  </conditionalFormatting>
  <conditionalFormatting sqref="F316">
    <cfRule type="expression" dxfId="818" priority="1880">
      <formula>IF(AND(F316="",OR(E316="Accuracy",E316="Fluency",E316="Segment",E316="Other")),1,0)</formula>
    </cfRule>
  </conditionalFormatting>
  <conditionalFormatting sqref="G316">
    <cfRule type="expression" dxfId="817" priority="1882">
      <formula>IF(AND(OR(G316="",#REF!="Segment"),OR(#REF!="Accuracy",#REF!="Fluency",#REF!="Other")),1,0)</formula>
    </cfRule>
  </conditionalFormatting>
  <conditionalFormatting sqref="H317:H318">
    <cfRule type="expression" dxfId="816" priority="1879">
      <formula>IF(OR(AND(H317="",J317="",OR(#REF!="Critical",#REF!="Major",#REF!="Minor"))),1,0)</formula>
    </cfRule>
  </conditionalFormatting>
  <conditionalFormatting sqref="E317:G317">
    <cfRule type="expression" dxfId="815" priority="1877">
      <formula>IF(OR(AND(E317="",F317="",OR(G317="Critical",G317="Major",G317="Minor"))),1,0)</formula>
    </cfRule>
  </conditionalFormatting>
  <conditionalFormatting sqref="F317">
    <cfRule type="expression" dxfId="814" priority="1876">
      <formula>IF(AND(F317="",OR(E317="Accuracy",E317="Fluency",E317="Segment",E317="Other")),1,0)</formula>
    </cfRule>
  </conditionalFormatting>
  <conditionalFormatting sqref="G317">
    <cfRule type="expression" dxfId="813" priority="1878">
      <formula>IF(AND(OR(G317="",#REF!="Segment"),OR(#REF!="Accuracy",#REF!="Fluency",#REF!="Other")),1,0)</formula>
    </cfRule>
  </conditionalFormatting>
  <conditionalFormatting sqref="E318:G318">
    <cfRule type="expression" dxfId="812" priority="1874">
      <formula>IF(OR(AND(E318="",F318="",OR(G318="Critical",G318="Major",G318="Minor"))),1,0)</formula>
    </cfRule>
  </conditionalFormatting>
  <conditionalFormatting sqref="F318">
    <cfRule type="expression" dxfId="811" priority="1873">
      <formula>IF(AND(F318="",OR(E318="Accuracy",E318="Fluency",E318="Segment",E318="Other")),1,0)</formula>
    </cfRule>
  </conditionalFormatting>
  <conditionalFormatting sqref="G318">
    <cfRule type="expression" dxfId="810" priority="1875">
      <formula>IF(AND(OR(G318="",#REF!="Segment"),OR(#REF!="Accuracy",#REF!="Fluency",#REF!="Other")),1,0)</formula>
    </cfRule>
  </conditionalFormatting>
  <conditionalFormatting sqref="E395:G396 E393:G393 E382:G382 E379 E370:G373 E365:G366 E360:G360 E354:G356 E349:G352 E331:G332 E319:G319 E321:G324">
    <cfRule type="expression" dxfId="809" priority="1871">
      <formula>IF(OR(AND(E319="",F319="",OR(G319="Critical",G319="Major",G319="Minor"))),1,0)</formula>
    </cfRule>
  </conditionalFormatting>
  <conditionalFormatting sqref="F395:F396 F393 F382 F379 F370:F373 F365:F366 F360 F354:F356 F349:F352 F331:F332 F319 F321:F324">
    <cfRule type="expression" dxfId="808" priority="1870">
      <formula>IF(AND(F319="",OR(E319="Accuracy",E319="Fluency",E319="Segment",E319="Other")),1,0)</formula>
    </cfRule>
  </conditionalFormatting>
  <conditionalFormatting sqref="G395:G396 G393 G382 G379 G370:G373 G365:G366 G360 G354:G356 G349:G352 G331:G332 G319 G321:G324">
    <cfRule type="expression" dxfId="807" priority="1872">
      <formula>IF(AND(OR(G319="",#REF!="Segment"),OR(#REF!="Accuracy",#REF!="Fluency",#REF!="Other")),1,0)</formula>
    </cfRule>
  </conditionalFormatting>
  <conditionalFormatting sqref="E320:G320">
    <cfRule type="expression" dxfId="806" priority="1868">
      <formula>IF(OR(AND(E320="",F320="",OR(G320="Critical",G320="Major",G320="Minor"))),1,0)</formula>
    </cfRule>
  </conditionalFormatting>
  <conditionalFormatting sqref="F320">
    <cfRule type="expression" dxfId="805" priority="1867">
      <formula>IF(AND(F320="",OR(E320="Accuracy",E320="Fluency",E320="Segment",E320="Other")),1,0)</formula>
    </cfRule>
  </conditionalFormatting>
  <conditionalFormatting sqref="G320">
    <cfRule type="expression" dxfId="804" priority="1869">
      <formula>IF(AND(OR(G320="",#REF!="Segment"),OR(#REF!="Accuracy",#REF!="Fluency",#REF!="Other")),1,0)</formula>
    </cfRule>
  </conditionalFormatting>
  <conditionalFormatting sqref="E325:G325">
    <cfRule type="expression" dxfId="803" priority="1865">
      <formula>IF(OR(AND(E325="",F325="",OR(G325="Critical",G325="Major",G325="Minor"))),1,0)</formula>
    </cfRule>
  </conditionalFormatting>
  <conditionalFormatting sqref="F325">
    <cfRule type="expression" dxfId="802" priority="1864">
      <formula>IF(AND(F325="",OR(E325="Accuracy",E325="Fluency",E325="Segment",E325="Other")),1,0)</formula>
    </cfRule>
  </conditionalFormatting>
  <conditionalFormatting sqref="G325">
    <cfRule type="expression" dxfId="801" priority="1866">
      <formula>IF(AND(OR(G325="",#REF!="Segment"),OR(#REF!="Accuracy",#REF!="Fluency",#REF!="Other")),1,0)</formula>
    </cfRule>
  </conditionalFormatting>
  <conditionalFormatting sqref="E326:G326">
    <cfRule type="expression" dxfId="800" priority="1862">
      <formula>IF(OR(AND(E326="",F326="",OR(G326="Critical",G326="Major",G326="Minor"))),1,0)</formula>
    </cfRule>
  </conditionalFormatting>
  <conditionalFormatting sqref="F326">
    <cfRule type="expression" dxfId="799" priority="1861">
      <formula>IF(AND(F326="",OR(E326="Accuracy",E326="Fluency",E326="Segment",E326="Other")),1,0)</formula>
    </cfRule>
  </conditionalFormatting>
  <conditionalFormatting sqref="G326">
    <cfRule type="expression" dxfId="798" priority="1863">
      <formula>IF(AND(OR(G326="",#REF!="Segment"),OR(#REF!="Accuracy",#REF!="Fluency",#REF!="Other")),1,0)</formula>
    </cfRule>
  </conditionalFormatting>
  <conditionalFormatting sqref="E327:G327">
    <cfRule type="expression" dxfId="797" priority="1859">
      <formula>IF(OR(AND(E327="",F327="",OR(G327="Critical",G327="Major",G327="Minor"))),1,0)</formula>
    </cfRule>
  </conditionalFormatting>
  <conditionalFormatting sqref="F327">
    <cfRule type="expression" dxfId="796" priority="1858">
      <formula>IF(AND(F327="",OR(E327="Accuracy",E327="Fluency",E327="Segment",E327="Other")),1,0)</formula>
    </cfRule>
  </conditionalFormatting>
  <conditionalFormatting sqref="G327">
    <cfRule type="expression" dxfId="795" priority="1860">
      <formula>IF(AND(OR(G327="",#REF!="Segment"),OR(#REF!="Accuracy",#REF!="Fluency",#REF!="Other")),1,0)</formula>
    </cfRule>
  </conditionalFormatting>
  <conditionalFormatting sqref="E328:G328">
    <cfRule type="expression" dxfId="794" priority="1856">
      <formula>IF(OR(AND(E328="",F328="",OR(G328="Critical",G328="Major",G328="Minor"))),1,0)</formula>
    </cfRule>
  </conditionalFormatting>
  <conditionalFormatting sqref="F328">
    <cfRule type="expression" dxfId="793" priority="1855">
      <formula>IF(AND(F328="",OR(E328="Accuracy",E328="Fluency",E328="Segment",E328="Other")),1,0)</formula>
    </cfRule>
  </conditionalFormatting>
  <conditionalFormatting sqref="G328">
    <cfRule type="expression" dxfId="792" priority="1857">
      <formula>IF(AND(OR(G328="",#REF!="Segment"),OR(#REF!="Accuracy",#REF!="Fluency",#REF!="Other")),1,0)</formula>
    </cfRule>
  </conditionalFormatting>
  <conditionalFormatting sqref="E329:G329">
    <cfRule type="expression" dxfId="791" priority="1853">
      <formula>IF(OR(AND(E329="",F329="",OR(G329="Critical",G329="Major",G329="Minor"))),1,0)</formula>
    </cfRule>
  </conditionalFormatting>
  <conditionalFormatting sqref="F329">
    <cfRule type="expression" dxfId="790" priority="1852">
      <formula>IF(AND(F329="",OR(E329="Accuracy",E329="Fluency",E329="Segment",E329="Other")),1,0)</formula>
    </cfRule>
  </conditionalFormatting>
  <conditionalFormatting sqref="G329">
    <cfRule type="expression" dxfId="789" priority="1854">
      <formula>IF(AND(OR(G329="",#REF!="Segment"),OR(#REF!="Accuracy",#REF!="Fluency",#REF!="Other")),1,0)</formula>
    </cfRule>
  </conditionalFormatting>
  <conditionalFormatting sqref="E330:G330">
    <cfRule type="expression" dxfId="788" priority="1850">
      <formula>IF(OR(AND(E330="",F330="",OR(G330="Critical",G330="Major",G330="Minor"))),1,0)</formula>
    </cfRule>
  </conditionalFormatting>
  <conditionalFormatting sqref="F330">
    <cfRule type="expression" dxfId="787" priority="1849">
      <formula>IF(AND(F330="",OR(E330="Accuracy",E330="Fluency",E330="Segment",E330="Other")),1,0)</formula>
    </cfRule>
  </conditionalFormatting>
  <conditionalFormatting sqref="G330">
    <cfRule type="expression" dxfId="786" priority="1851">
      <formula>IF(AND(OR(G330="",#REF!="Segment"),OR(#REF!="Accuracy",#REF!="Fluency",#REF!="Other")),1,0)</formula>
    </cfRule>
  </conditionalFormatting>
  <conditionalFormatting sqref="E333:G333">
    <cfRule type="expression" dxfId="785" priority="1847">
      <formula>IF(OR(AND(E333="",F333="",OR(G333="Critical",G333="Major",G333="Minor"))),1,0)</formula>
    </cfRule>
  </conditionalFormatting>
  <conditionalFormatting sqref="F333">
    <cfRule type="expression" dxfId="784" priority="1846">
      <formula>IF(AND(F333="",OR(E333="Accuracy",E333="Fluency",E333="Segment",E333="Other")),1,0)</formula>
    </cfRule>
  </conditionalFormatting>
  <conditionalFormatting sqref="G333">
    <cfRule type="expression" dxfId="783" priority="1848">
      <formula>IF(AND(OR(G333="",#REF!="Segment"),OR(#REF!="Accuracy",#REF!="Fluency",#REF!="Other")),1,0)</formula>
    </cfRule>
  </conditionalFormatting>
  <conditionalFormatting sqref="E334:G334">
    <cfRule type="expression" dxfId="782" priority="1844">
      <formula>IF(OR(AND(E334="",F334="",OR(G334="Critical",G334="Major",G334="Minor"))),1,0)</formula>
    </cfRule>
  </conditionalFormatting>
  <conditionalFormatting sqref="F334">
    <cfRule type="expression" dxfId="781" priority="1843">
      <formula>IF(AND(F334="",OR(E334="Accuracy",E334="Fluency",E334="Segment",E334="Other")),1,0)</formula>
    </cfRule>
  </conditionalFormatting>
  <conditionalFormatting sqref="G334">
    <cfRule type="expression" dxfId="780" priority="1845">
      <formula>IF(AND(OR(G334="",#REF!="Segment"),OR(#REF!="Accuracy",#REF!="Fluency",#REF!="Other")),1,0)</formula>
    </cfRule>
  </conditionalFormatting>
  <conditionalFormatting sqref="E335:G335">
    <cfRule type="expression" dxfId="779" priority="1841">
      <formula>IF(OR(AND(E335="",F335="",OR(G335="Critical",G335="Major",G335="Minor"))),1,0)</formula>
    </cfRule>
  </conditionalFormatting>
  <conditionalFormatting sqref="F335">
    <cfRule type="expression" dxfId="778" priority="1840">
      <formula>IF(AND(F335="",OR(E335="Accuracy",E335="Fluency",E335="Segment",E335="Other")),1,0)</formula>
    </cfRule>
  </conditionalFormatting>
  <conditionalFormatting sqref="G335">
    <cfRule type="expression" dxfId="777" priority="1842">
      <formula>IF(AND(OR(G335="",#REF!="Segment"),OR(#REF!="Accuracy",#REF!="Fluency",#REF!="Other")),1,0)</formula>
    </cfRule>
  </conditionalFormatting>
  <conditionalFormatting sqref="E336:G336">
    <cfRule type="expression" dxfId="776" priority="1838">
      <formula>IF(OR(AND(E336="",F336="",OR(G336="Critical",G336="Major",G336="Minor"))),1,0)</formula>
    </cfRule>
  </conditionalFormatting>
  <conditionalFormatting sqref="F336">
    <cfRule type="expression" dxfId="775" priority="1837">
      <formula>IF(AND(F336="",OR(E336="Accuracy",E336="Fluency",E336="Segment",E336="Other")),1,0)</formula>
    </cfRule>
  </conditionalFormatting>
  <conditionalFormatting sqref="G336">
    <cfRule type="expression" dxfId="774" priority="1839">
      <formula>IF(AND(OR(G336="",#REF!="Segment"),OR(#REF!="Accuracy",#REF!="Fluency",#REF!="Other")),1,0)</formula>
    </cfRule>
  </conditionalFormatting>
  <conditionalFormatting sqref="E339:G341">
    <cfRule type="expression" dxfId="773" priority="1835">
      <formula>IF(OR(AND(E339="",F339="",OR(G339="Critical",G339="Major",G339="Minor"))),1,0)</formula>
    </cfRule>
  </conditionalFormatting>
  <conditionalFormatting sqref="F339:F341">
    <cfRule type="expression" dxfId="772" priority="1834">
      <formula>IF(AND(F339="",OR(E339="Accuracy",E339="Fluency",E339="Segment",E339="Other")),1,0)</formula>
    </cfRule>
  </conditionalFormatting>
  <conditionalFormatting sqref="G339:G341">
    <cfRule type="expression" dxfId="771" priority="1836">
      <formula>IF(AND(OR(G339="",#REF!="Segment"),OR(#REF!="Accuracy",#REF!="Fluency",#REF!="Other")),1,0)</formula>
    </cfRule>
  </conditionalFormatting>
  <conditionalFormatting sqref="E337:G338">
    <cfRule type="expression" dxfId="770" priority="1832">
      <formula>IF(OR(AND(E337="",F337="",OR(G337="Critical",G337="Major",G337="Minor"))),1,0)</formula>
    </cfRule>
  </conditionalFormatting>
  <conditionalFormatting sqref="F337:F338">
    <cfRule type="expression" dxfId="769" priority="1831">
      <formula>IF(AND(F337="",OR(E337="Accuracy",E337="Fluency",E337="Segment",E337="Other")),1,0)</formula>
    </cfRule>
  </conditionalFormatting>
  <conditionalFormatting sqref="G337:G338">
    <cfRule type="expression" dxfId="768" priority="1833">
      <formula>IF(AND(OR(G337="",#REF!="Segment"),OR(#REF!="Accuracy",#REF!="Fluency",#REF!="Other")),1,0)</formula>
    </cfRule>
  </conditionalFormatting>
  <conditionalFormatting sqref="F342:F343">
    <cfRule type="expression" dxfId="767" priority="1828">
      <formula>IF(AND(F342="",OR(E342="Accuracy",E342="Fluency",E342="Segment",E342="Other")),1,0)</formula>
    </cfRule>
  </conditionalFormatting>
  <conditionalFormatting sqref="E342:G343">
    <cfRule type="expression" dxfId="766" priority="1829">
      <formula>IF(OR(AND(E342="",F342="",OR(G342="Critical",G342="Major",G342="Minor"))),1,0)</formula>
    </cfRule>
  </conditionalFormatting>
  <conditionalFormatting sqref="G342:G343">
    <cfRule type="expression" dxfId="765" priority="1830">
      <formula>IF(AND(OR(G342="",#REF!="Segment"),OR(#REF!="Accuracy",#REF!="Fluency",#REF!="Other")),1,0)</formula>
    </cfRule>
  </conditionalFormatting>
  <conditionalFormatting sqref="E344:G345">
    <cfRule type="expression" dxfId="764" priority="1826">
      <formula>IF(OR(AND(E344="",F344="",OR(G344="Critical",G344="Major",G344="Minor"))),1,0)</formula>
    </cfRule>
  </conditionalFormatting>
  <conditionalFormatting sqref="F344:F345">
    <cfRule type="expression" dxfId="763" priority="1825">
      <formula>IF(AND(F344="",OR(E344="Accuracy",E344="Fluency",E344="Segment",E344="Other")),1,0)</formula>
    </cfRule>
  </conditionalFormatting>
  <conditionalFormatting sqref="G344:G345">
    <cfRule type="expression" dxfId="762" priority="1827">
      <formula>IF(AND(OR(G344="",#REF!="Segment"),OR(#REF!="Accuracy",#REF!="Fluency",#REF!="Other")),1,0)</formula>
    </cfRule>
  </conditionalFormatting>
  <conditionalFormatting sqref="E346:G346">
    <cfRule type="expression" dxfId="761" priority="1823">
      <formula>IF(OR(AND(E346="",F346="",OR(G346="Critical",G346="Major",G346="Minor"))),1,0)</formula>
    </cfRule>
  </conditionalFormatting>
  <conditionalFormatting sqref="F346">
    <cfRule type="expression" dxfId="760" priority="1822">
      <formula>IF(AND(F346="",OR(E346="Accuracy",E346="Fluency",E346="Segment",E346="Other")),1,0)</formula>
    </cfRule>
  </conditionalFormatting>
  <conditionalFormatting sqref="G346">
    <cfRule type="expression" dxfId="759" priority="1824">
      <formula>IF(AND(OR(G346="",#REF!="Segment"),OR(#REF!="Accuracy",#REF!="Fluency",#REF!="Other")),1,0)</formula>
    </cfRule>
  </conditionalFormatting>
  <conditionalFormatting sqref="E347:E348">
    <cfRule type="expression" dxfId="758" priority="1819">
      <formula>IF(OR(AND(E347="",F347="",OR(G347="Critical",G347="Major",G347="Minor"))),1,0)</formula>
    </cfRule>
  </conditionalFormatting>
  <conditionalFormatting sqref="F347:F348">
    <cfRule type="expression" dxfId="757" priority="1817">
      <formula>IF(AND(F347="",OR(E347="Accuracy",E347="Fluency",E347="Segment",E347="Other")),1,0)</formula>
    </cfRule>
  </conditionalFormatting>
  <conditionalFormatting sqref="G347:G348">
    <cfRule type="expression" dxfId="756" priority="1818">
      <formula>IF(AND(OR(G347="",#REF!="Segment"),OR(#REF!="Accuracy",#REF!="Fluency",#REF!="Other")),1,0)</formula>
    </cfRule>
  </conditionalFormatting>
  <conditionalFormatting sqref="F347:F348">
    <cfRule type="expression" dxfId="755" priority="1820">
      <formula>IF(OR(AND(F347="",G347="",OR(H346="Critical",H346="Major",H346="Minor"))),1,0)</formula>
    </cfRule>
  </conditionalFormatting>
  <conditionalFormatting sqref="G347:G348">
    <cfRule type="expression" dxfId="754" priority="1821">
      <formula>IF(OR(AND(G347="",H346="",OR(I346="Critical",I346="Major",I346="Minor"))),1,0)</formula>
    </cfRule>
  </conditionalFormatting>
  <conditionalFormatting sqref="E353:G353">
    <cfRule type="expression" dxfId="753" priority="1815">
      <formula>IF(OR(AND(E353="",F353="",OR(G353="Critical",G353="Major",G353="Minor"))),1,0)</formula>
    </cfRule>
  </conditionalFormatting>
  <conditionalFormatting sqref="F353">
    <cfRule type="expression" dxfId="752" priority="1814">
      <formula>IF(AND(F353="",OR(E353="Accuracy",E353="Fluency",E353="Segment",E353="Other")),1,0)</formula>
    </cfRule>
  </conditionalFormatting>
  <conditionalFormatting sqref="G353">
    <cfRule type="expression" dxfId="751" priority="1816">
      <formula>IF(AND(OR(G353="",#REF!="Segment"),OR(#REF!="Accuracy",#REF!="Fluency",#REF!="Other")),1,0)</formula>
    </cfRule>
  </conditionalFormatting>
  <conditionalFormatting sqref="E357:G357">
    <cfRule type="expression" dxfId="750" priority="1812">
      <formula>IF(OR(AND(E357="",F357="",OR(G357="Critical",G357="Major",G357="Minor"))),1,0)</formula>
    </cfRule>
  </conditionalFormatting>
  <conditionalFormatting sqref="F357">
    <cfRule type="expression" dxfId="749" priority="1811">
      <formula>IF(AND(F357="",OR(E357="Accuracy",E357="Fluency",E357="Segment",E357="Other")),1,0)</formula>
    </cfRule>
  </conditionalFormatting>
  <conditionalFormatting sqref="G357">
    <cfRule type="expression" dxfId="748" priority="1813">
      <formula>IF(AND(OR(G357="",#REF!="Segment"),OR(#REF!="Accuracy",#REF!="Fluency",#REF!="Other")),1,0)</formula>
    </cfRule>
  </conditionalFormatting>
  <conditionalFormatting sqref="E358">
    <cfRule type="expression" dxfId="747" priority="1810">
      <formula>IF(OR(AND(E358="",F358="",OR(G358="Critical",G358="Major",G358="Minor"))),1,0)</formula>
    </cfRule>
  </conditionalFormatting>
  <conditionalFormatting sqref="E359">
    <cfRule type="expression" dxfId="746" priority="1809">
      <formula>IF(OR(AND(E359="",F359="",OR(G359="Critical",G359="Major",G359="Minor"))),1,0)</formula>
    </cfRule>
  </conditionalFormatting>
  <conditionalFormatting sqref="F358:G358">
    <cfRule type="expression" dxfId="745" priority="1807">
      <formula>IF(OR(AND(F358="",G358="",OR(H358="Critical",H358="Major",H358="Minor"))),1,0)</formula>
    </cfRule>
  </conditionalFormatting>
  <conditionalFormatting sqref="F358">
    <cfRule type="expression" dxfId="744" priority="1806">
      <formula>IF(AND(F358="",OR(E358="Accuracy",E358="Fluency",E358="Segment",E358="Other")),1,0)</formula>
    </cfRule>
  </conditionalFormatting>
  <conditionalFormatting sqref="G358">
    <cfRule type="expression" dxfId="743" priority="1808">
      <formula>IF(AND(OR(G358="",#REF!="Segment"),OR(#REF!="Accuracy",#REF!="Fluency",#REF!="Other")),1,0)</formula>
    </cfRule>
  </conditionalFormatting>
  <conditionalFormatting sqref="F359:G359">
    <cfRule type="expression" dxfId="742" priority="1804">
      <formula>IF(OR(AND(F359="",G359="",OR(H359="Critical",H359="Major",H359="Minor"))),1,0)</formula>
    </cfRule>
  </conditionalFormatting>
  <conditionalFormatting sqref="F359">
    <cfRule type="expression" dxfId="741" priority="1803">
      <formula>IF(AND(F359="",OR(E359="Accuracy",E359="Fluency",E359="Segment",E359="Other")),1,0)</formula>
    </cfRule>
  </conditionalFormatting>
  <conditionalFormatting sqref="G359">
    <cfRule type="expression" dxfId="740" priority="1805">
      <formula>IF(AND(OR(G359="",#REF!="Segment"),OR(#REF!="Accuracy",#REF!="Fluency",#REF!="Other")),1,0)</formula>
    </cfRule>
  </conditionalFormatting>
  <conditionalFormatting sqref="E361:G361">
    <cfRule type="expression" dxfId="739" priority="1801">
      <formula>IF(OR(AND(E361="",F361="",OR(G361="Critical",G361="Major",G361="Minor"))),1,0)</formula>
    </cfRule>
  </conditionalFormatting>
  <conditionalFormatting sqref="F361">
    <cfRule type="expression" dxfId="738" priority="1800">
      <formula>IF(AND(F361="",OR(E361="Accuracy",E361="Fluency",E361="Segment",E361="Other")),1,0)</formula>
    </cfRule>
  </conditionalFormatting>
  <conditionalFormatting sqref="G361">
    <cfRule type="expression" dxfId="737" priority="1802">
      <formula>IF(AND(OR(G361="",#REF!="Segment"),OR(#REF!="Accuracy",#REF!="Fluency",#REF!="Other")),1,0)</formula>
    </cfRule>
  </conditionalFormatting>
  <conditionalFormatting sqref="E362">
    <cfRule type="expression" dxfId="736" priority="1797">
      <formula>IF(OR(AND(E362="",F362="",OR(G362="Critical",G362="Major",G362="Minor"))),1,0)</formula>
    </cfRule>
  </conditionalFormatting>
  <conditionalFormatting sqref="G362">
    <cfRule type="expression" dxfId="735" priority="1798">
      <formula>IF(OR(AND(G362="",H361="",OR(I362="Critical",I362="Major",I362="Minor"))),1,0)</formula>
    </cfRule>
  </conditionalFormatting>
  <conditionalFormatting sqref="F362">
    <cfRule type="expression" dxfId="734" priority="1799">
      <formula>IF(OR(AND(F362="",G362="",OR(H361="Critical",H361="Major",H361="Minor"))),1,0)</formula>
    </cfRule>
  </conditionalFormatting>
  <conditionalFormatting sqref="F362">
    <cfRule type="expression" dxfId="733" priority="1795">
      <formula>IF(AND(F362="",OR(E362="Accuracy",E362="Fluency",E362="Segment",E362="Other")),1,0)</formula>
    </cfRule>
  </conditionalFormatting>
  <conditionalFormatting sqref="G362">
    <cfRule type="expression" dxfId="732" priority="1796">
      <formula>IF(AND(OR(G362="",#REF!="Segment"),OR(#REF!="Accuracy",#REF!="Fluency",#REF!="Other")),1,0)</formula>
    </cfRule>
  </conditionalFormatting>
  <conditionalFormatting sqref="E363">
    <cfRule type="expression" dxfId="731" priority="1792">
      <formula>IF(OR(AND(E363="",F363="",OR(G363="Critical",G363="Major",G363="Minor"))),1,0)</formula>
    </cfRule>
  </conditionalFormatting>
  <conditionalFormatting sqref="G363">
    <cfRule type="expression" dxfId="730" priority="1793">
      <formula>IF(OR(AND(G363="",H362="",OR(I363="Critical",I363="Major",I363="Minor"))),1,0)</formula>
    </cfRule>
  </conditionalFormatting>
  <conditionalFormatting sqref="F363">
    <cfRule type="expression" dxfId="729" priority="1794">
      <formula>IF(OR(AND(F363="",G363="",OR(H362="Critical",H362="Major",H362="Minor"))),1,0)</formula>
    </cfRule>
  </conditionalFormatting>
  <conditionalFormatting sqref="F363">
    <cfRule type="expression" dxfId="728" priority="1790">
      <formula>IF(AND(F363="",OR(E363="Accuracy",E363="Fluency",E363="Segment",E363="Other")),1,0)</formula>
    </cfRule>
  </conditionalFormatting>
  <conditionalFormatting sqref="G363">
    <cfRule type="expression" dxfId="727" priority="1791">
      <formula>IF(AND(OR(G363="",#REF!="Segment"),OR(#REF!="Accuracy",#REF!="Fluency",#REF!="Other")),1,0)</formula>
    </cfRule>
  </conditionalFormatting>
  <conditionalFormatting sqref="E364">
    <cfRule type="expression" dxfId="726" priority="1787">
      <formula>IF(OR(AND(E364="",F364="",OR(G364="Critical",G364="Major",G364="Minor"))),1,0)</formula>
    </cfRule>
  </conditionalFormatting>
  <conditionalFormatting sqref="G364">
    <cfRule type="expression" dxfId="725" priority="1788">
      <formula>IF(OR(AND(G364="",H363="",OR(I364="Critical",I364="Major",I364="Minor"))),1,0)</formula>
    </cfRule>
  </conditionalFormatting>
  <conditionalFormatting sqref="F364">
    <cfRule type="expression" dxfId="724" priority="1789">
      <formula>IF(OR(AND(F364="",G364="",OR(H363="Critical",H363="Major",H363="Minor"))),1,0)</formula>
    </cfRule>
  </conditionalFormatting>
  <conditionalFormatting sqref="F364">
    <cfRule type="expression" dxfId="723" priority="1785">
      <formula>IF(AND(F364="",OR(E364="Accuracy",E364="Fluency",E364="Segment",E364="Other")),1,0)</formula>
    </cfRule>
  </conditionalFormatting>
  <conditionalFormatting sqref="G364">
    <cfRule type="expression" dxfId="722" priority="1786">
      <formula>IF(AND(OR(G364="",#REF!="Segment"),OR(#REF!="Accuracy",#REF!="Fluency",#REF!="Other")),1,0)</formula>
    </cfRule>
  </conditionalFormatting>
  <conditionalFormatting sqref="E367">
    <cfRule type="expression" dxfId="721" priority="1782">
      <formula>IF(OR(AND(E367="",F367="",OR(G367="Critical",G367="Major",G367="Minor"))),1,0)</formula>
    </cfRule>
  </conditionalFormatting>
  <conditionalFormatting sqref="G367">
    <cfRule type="expression" dxfId="720" priority="1783">
      <formula>IF(OR(AND(G367="",H366="",OR(I367="Critical",I367="Major",I367="Minor"))),1,0)</formula>
    </cfRule>
  </conditionalFormatting>
  <conditionalFormatting sqref="F367">
    <cfRule type="expression" dxfId="719" priority="1784">
      <formula>IF(OR(AND(F367="",G367="",OR(H366="Critical",H366="Major",H366="Minor"))),1,0)</formula>
    </cfRule>
  </conditionalFormatting>
  <conditionalFormatting sqref="F367">
    <cfRule type="expression" dxfId="718" priority="1780">
      <formula>IF(AND(F367="",OR(E367="Accuracy",E367="Fluency",E367="Segment",E367="Other")),1,0)</formula>
    </cfRule>
  </conditionalFormatting>
  <conditionalFormatting sqref="G367">
    <cfRule type="expression" dxfId="717" priority="1781">
      <formula>IF(AND(OR(G367="",#REF!="Segment"),OR(#REF!="Accuracy",#REF!="Fluency",#REF!="Other")),1,0)</formula>
    </cfRule>
  </conditionalFormatting>
  <conditionalFormatting sqref="E368">
    <cfRule type="expression" dxfId="716" priority="1777">
      <formula>IF(OR(AND(E368="",F368="",OR(G368="Critical",G368="Major",G368="Minor"))),1,0)</formula>
    </cfRule>
  </conditionalFormatting>
  <conditionalFormatting sqref="G368">
    <cfRule type="expression" dxfId="715" priority="1778">
      <formula>IF(OR(AND(G368="",H367="",OR(I368="Critical",I368="Major",I368="Minor"))),1,0)</formula>
    </cfRule>
  </conditionalFormatting>
  <conditionalFormatting sqref="F368">
    <cfRule type="expression" dxfId="714" priority="1779">
      <formula>IF(OR(AND(F368="",G368="",OR(H367="Critical",H367="Major",H367="Minor"))),1,0)</formula>
    </cfRule>
  </conditionalFormatting>
  <conditionalFormatting sqref="F368">
    <cfRule type="expression" dxfId="713" priority="1775">
      <formula>IF(AND(F368="",OR(E368="Accuracy",E368="Fluency",E368="Segment",E368="Other")),1,0)</formula>
    </cfRule>
  </conditionalFormatting>
  <conditionalFormatting sqref="G368">
    <cfRule type="expression" dxfId="712" priority="1776">
      <formula>IF(AND(OR(G368="",#REF!="Segment"),OR(#REF!="Accuracy",#REF!="Fluency",#REF!="Other")),1,0)</formula>
    </cfRule>
  </conditionalFormatting>
  <conditionalFormatting sqref="E369:G369">
    <cfRule type="expression" dxfId="711" priority="1773">
      <formula>IF(OR(AND(E369="",F369="",OR(G369="Critical",G369="Major",G369="Minor"))),1,0)</formula>
    </cfRule>
  </conditionalFormatting>
  <conditionalFormatting sqref="F369">
    <cfRule type="expression" dxfId="710" priority="1772">
      <formula>IF(AND(F369="",OR(E369="Accuracy",E369="Fluency",E369="Segment",E369="Other")),1,0)</formula>
    </cfRule>
  </conditionalFormatting>
  <conditionalFormatting sqref="G369">
    <cfRule type="expression" dxfId="709" priority="1774">
      <formula>IF(AND(OR(G369="",#REF!="Segment"),OR(#REF!="Accuracy",#REF!="Fluency",#REF!="Other")),1,0)</formula>
    </cfRule>
  </conditionalFormatting>
  <conditionalFormatting sqref="E374:G374">
    <cfRule type="expression" dxfId="708" priority="1770">
      <formula>IF(OR(AND(E374="",F374="",OR(G374="Critical",G374="Major",G374="Minor"))),1,0)</formula>
    </cfRule>
  </conditionalFormatting>
  <conditionalFormatting sqref="F374">
    <cfRule type="expression" dxfId="707" priority="1769">
      <formula>IF(AND(F374="",OR(E374="Accuracy",E374="Fluency",E374="Segment",E374="Other")),1,0)</formula>
    </cfRule>
  </conditionalFormatting>
  <conditionalFormatting sqref="G374">
    <cfRule type="expression" dxfId="706" priority="1771">
      <formula>IF(AND(OR(G374="",#REF!="Segment"),OR(#REF!="Accuracy",#REF!="Fluency",#REF!="Other")),1,0)</formula>
    </cfRule>
  </conditionalFormatting>
  <conditionalFormatting sqref="E375:G375">
    <cfRule type="expression" dxfId="705" priority="1767">
      <formula>IF(OR(AND(E375="",F375="",OR(G375="Critical",G375="Major",G375="Minor"))),1,0)</formula>
    </cfRule>
  </conditionalFormatting>
  <conditionalFormatting sqref="F375">
    <cfRule type="expression" dxfId="704" priority="1766">
      <formula>IF(AND(F375="",OR(E375="Accuracy",E375="Fluency",E375="Segment",E375="Other")),1,0)</formula>
    </cfRule>
  </conditionalFormatting>
  <conditionalFormatting sqref="G375">
    <cfRule type="expression" dxfId="703" priority="1768">
      <formula>IF(AND(OR(G375="",#REF!="Segment"),OR(#REF!="Accuracy",#REF!="Fluency",#REF!="Other")),1,0)</formula>
    </cfRule>
  </conditionalFormatting>
  <conditionalFormatting sqref="E376:G377">
    <cfRule type="expression" dxfId="702" priority="1764">
      <formula>IF(OR(AND(E376="",F376="",OR(G376="Critical",G376="Major",G376="Minor"))),1,0)</formula>
    </cfRule>
  </conditionalFormatting>
  <conditionalFormatting sqref="F376:F377">
    <cfRule type="expression" dxfId="701" priority="1763">
      <formula>IF(AND(F376="",OR(E376="Accuracy",E376="Fluency",E376="Segment",E376="Other")),1,0)</formula>
    </cfRule>
  </conditionalFormatting>
  <conditionalFormatting sqref="G376:G377">
    <cfRule type="expression" dxfId="700" priority="1765">
      <formula>IF(AND(OR(G376="",#REF!="Segment"),OR(#REF!="Accuracy",#REF!="Fluency",#REF!="Other")),1,0)</formula>
    </cfRule>
  </conditionalFormatting>
  <conditionalFormatting sqref="G379">
    <cfRule type="expression" dxfId="699" priority="1761">
      <formula>IF(OR(AND(G379="",H378="",OR(I379="Critical",I379="Major",I379="Minor"))),1,0)</formula>
    </cfRule>
  </conditionalFormatting>
  <conditionalFormatting sqref="F379">
    <cfRule type="expression" dxfId="698" priority="1762">
      <formula>IF(OR(AND(F379="",G379="",OR(H378="Critical",H378="Major",H378="Minor"))),1,0)</formula>
    </cfRule>
  </conditionalFormatting>
  <conditionalFormatting sqref="E378:G378">
    <cfRule type="expression" dxfId="697" priority="1759">
      <formula>IF(OR(AND(E378="",F378="",OR(G378="Critical",G378="Major",G378="Minor"))),1,0)</formula>
    </cfRule>
  </conditionalFormatting>
  <conditionalFormatting sqref="F378">
    <cfRule type="expression" dxfId="696" priority="1758">
      <formula>IF(AND(F378="",OR(E378="Accuracy",E378="Fluency",E378="Segment",E378="Other")),1,0)</formula>
    </cfRule>
  </conditionalFormatting>
  <conditionalFormatting sqref="G378">
    <cfRule type="expression" dxfId="695" priority="1760">
      <formula>IF(AND(OR(G378="",#REF!="Segment"),OR(#REF!="Accuracy",#REF!="Fluency",#REF!="Other")),1,0)</formula>
    </cfRule>
  </conditionalFormatting>
  <conditionalFormatting sqref="G380">
    <cfRule type="expression" dxfId="694" priority="1756">
      <formula>IF(OR(AND(G380="",H380="",OR(I380="Critical",I380="Major",I380="Minor"))),1,0)</formula>
    </cfRule>
  </conditionalFormatting>
  <conditionalFormatting sqref="G380">
    <cfRule type="expression" dxfId="693" priority="1757">
      <formula>IF(AND(OR(G380="",#REF!="Segment"),OR(#REF!="Accuracy",#REF!="Fluency",#REF!="Other")),1,0)</formula>
    </cfRule>
  </conditionalFormatting>
  <conditionalFormatting sqref="E380:F380">
    <cfRule type="expression" dxfId="692" priority="1755">
      <formula>IF(OR(AND(E380="",F380="",OR(G380="Critical",G380="Major",G380="Minor"))),1,0)</formula>
    </cfRule>
  </conditionalFormatting>
  <conditionalFormatting sqref="F380">
    <cfRule type="expression" dxfId="691" priority="1754">
      <formula>IF(AND(F380="",OR(E380="Accuracy",E380="Fluency",E380="Segment",E380="Other")),1,0)</formula>
    </cfRule>
  </conditionalFormatting>
  <conditionalFormatting sqref="G381">
    <cfRule type="expression" dxfId="690" priority="1752">
      <formula>IF(OR(AND(G381="",H381="",OR(I381="Critical",I381="Major",I381="Minor"))),1,0)</formula>
    </cfRule>
  </conditionalFormatting>
  <conditionalFormatting sqref="G381">
    <cfRule type="expression" dxfId="689" priority="1753">
      <formula>IF(AND(OR(G381="",#REF!="Segment"),OR(#REF!="Accuracy",#REF!="Fluency",#REF!="Other")),1,0)</formula>
    </cfRule>
  </conditionalFormatting>
  <conditionalFormatting sqref="E381:F381">
    <cfRule type="expression" dxfId="688" priority="1751">
      <formula>IF(OR(AND(E381="",F381="",OR(G381="Critical",G381="Major",G381="Minor"))),1,0)</formula>
    </cfRule>
  </conditionalFormatting>
  <conditionalFormatting sqref="F381">
    <cfRule type="expression" dxfId="687" priority="1750">
      <formula>IF(AND(F381="",OR(E381="Accuracy",E381="Fluency",E381="Segment",E381="Other")),1,0)</formula>
    </cfRule>
  </conditionalFormatting>
  <conditionalFormatting sqref="E383:G383">
    <cfRule type="expression" dxfId="686" priority="1748">
      <formula>IF(OR(AND(E383="",F383="",OR(G383="Critical",G383="Major",G383="Minor"))),1,0)</formula>
    </cfRule>
  </conditionalFormatting>
  <conditionalFormatting sqref="F383">
    <cfRule type="expression" dxfId="685" priority="1747">
      <formula>IF(AND(F383="",OR(E383="Accuracy",E383="Fluency",E383="Segment",E383="Other")),1,0)</formula>
    </cfRule>
  </conditionalFormatting>
  <conditionalFormatting sqref="G383">
    <cfRule type="expression" dxfId="684" priority="1749">
      <formula>IF(AND(OR(G383="",#REF!="Segment"),OR(#REF!="Accuracy",#REF!="Fluency",#REF!="Other")),1,0)</formula>
    </cfRule>
  </conditionalFormatting>
  <conditionalFormatting sqref="E384:G386">
    <cfRule type="expression" dxfId="683" priority="1745">
      <formula>IF(OR(AND(E384="",F384="",OR(G384="Critical",G384="Major",G384="Minor"))),1,0)</formula>
    </cfRule>
  </conditionalFormatting>
  <conditionalFormatting sqref="F384:F386">
    <cfRule type="expression" dxfId="682" priority="1744">
      <formula>IF(AND(F384="",OR(E384="Accuracy",E384="Fluency",E384="Segment",E384="Other")),1,0)</formula>
    </cfRule>
  </conditionalFormatting>
  <conditionalFormatting sqref="G384:G386">
    <cfRule type="expression" dxfId="681" priority="1746">
      <formula>IF(AND(OR(G384="",#REF!="Segment"),OR(#REF!="Accuracy",#REF!="Fluency",#REF!="Other")),1,0)</formula>
    </cfRule>
  </conditionalFormatting>
  <conditionalFormatting sqref="E387">
    <cfRule type="expression" dxfId="680" priority="1740">
      <formula>IF(OR(AND(E387="",F387="",OR(G387="Critical",G387="Major",G387="Minor"))),1,0)</formula>
    </cfRule>
  </conditionalFormatting>
  <conditionalFormatting sqref="F387">
    <cfRule type="expression" dxfId="679" priority="1739">
      <formula>IF(AND(F387="",OR(E387="Accuracy",E387="Fluency",E387="Segment",E387="Other")),1,0)</formula>
    </cfRule>
  </conditionalFormatting>
  <conditionalFormatting sqref="G387">
    <cfRule type="expression" dxfId="678" priority="1741">
      <formula>IF(AND(OR(G387="",#REF!="Segment"),OR(#REF!="Accuracy",#REF!="Fluency",#REF!="Other")),1,0)</formula>
    </cfRule>
  </conditionalFormatting>
  <conditionalFormatting sqref="G387">
    <cfRule type="expression" dxfId="677" priority="1742">
      <formula>IF(OR(AND(G387="",H386="",OR(I387="Critical",I387="Major",I387="Minor"))),1,0)</formula>
    </cfRule>
  </conditionalFormatting>
  <conditionalFormatting sqref="F387">
    <cfRule type="expression" dxfId="676" priority="1743">
      <formula>IF(OR(AND(F387="",G387="",OR(H386="Critical",H386="Major",H386="Minor"))),1,0)</formula>
    </cfRule>
  </conditionalFormatting>
  <conditionalFormatting sqref="E388">
    <cfRule type="expression" dxfId="675" priority="1735">
      <formula>IF(OR(AND(E388="",F388="",OR(G388="Critical",G388="Major",G388="Minor"))),1,0)</formula>
    </cfRule>
  </conditionalFormatting>
  <conditionalFormatting sqref="F388">
    <cfRule type="expression" dxfId="674" priority="1734">
      <formula>IF(AND(F388="",OR(E388="Accuracy",E388="Fluency",E388="Segment",E388="Other")),1,0)</formula>
    </cfRule>
  </conditionalFormatting>
  <conditionalFormatting sqref="G388">
    <cfRule type="expression" dxfId="673" priority="1736">
      <formula>IF(AND(OR(G388="",#REF!="Segment"),OR(#REF!="Accuracy",#REF!="Fluency",#REF!="Other")),1,0)</formula>
    </cfRule>
  </conditionalFormatting>
  <conditionalFormatting sqref="G388">
    <cfRule type="expression" dxfId="672" priority="1737">
      <formula>IF(OR(AND(G388="",H387="",OR(I388="Critical",I388="Major",I388="Minor"))),1,0)</formula>
    </cfRule>
  </conditionalFormatting>
  <conditionalFormatting sqref="F388">
    <cfRule type="expression" dxfId="671" priority="1738">
      <formula>IF(OR(AND(F388="",G388="",OR(H387="Critical",H387="Major",H387="Minor"))),1,0)</formula>
    </cfRule>
  </conditionalFormatting>
  <conditionalFormatting sqref="E389">
    <cfRule type="expression" dxfId="670" priority="1730">
      <formula>IF(OR(AND(E389="",F389="",OR(G389="Critical",G389="Major",G389="Minor"))),1,0)</formula>
    </cfRule>
  </conditionalFormatting>
  <conditionalFormatting sqref="F389">
    <cfRule type="expression" dxfId="669" priority="1729">
      <formula>IF(AND(F389="",OR(E389="Accuracy",E389="Fluency",E389="Segment",E389="Other")),1,0)</formula>
    </cfRule>
  </conditionalFormatting>
  <conditionalFormatting sqref="G389">
    <cfRule type="expression" dxfId="668" priority="1731">
      <formula>IF(AND(OR(G389="",#REF!="Segment"),OR(#REF!="Accuracy",#REF!="Fluency",#REF!="Other")),1,0)</formula>
    </cfRule>
  </conditionalFormatting>
  <conditionalFormatting sqref="G389">
    <cfRule type="expression" dxfId="667" priority="1732">
      <formula>IF(OR(AND(G389="",H388="",OR(I389="Critical",I389="Major",I389="Minor"))),1,0)</formula>
    </cfRule>
  </conditionalFormatting>
  <conditionalFormatting sqref="F389">
    <cfRule type="expression" dxfId="666" priority="1733">
      <formula>IF(OR(AND(F389="",G389="",OR(H388="Critical",H388="Major",H388="Minor"))),1,0)</formula>
    </cfRule>
  </conditionalFormatting>
  <conditionalFormatting sqref="E390:G390">
    <cfRule type="expression" dxfId="665" priority="1727">
      <formula>IF(OR(AND(E390="",F390="",OR(G390="Critical",G390="Major",G390="Minor"))),1,0)</formula>
    </cfRule>
  </conditionalFormatting>
  <conditionalFormatting sqref="F390">
    <cfRule type="expression" dxfId="664" priority="1726">
      <formula>IF(AND(F390="",OR(E390="Accuracy",E390="Fluency",E390="Segment",E390="Other")),1,0)</formula>
    </cfRule>
  </conditionalFormatting>
  <conditionalFormatting sqref="G390">
    <cfRule type="expression" dxfId="663" priority="1728">
      <formula>IF(AND(OR(G390="",#REF!="Segment"),OR(#REF!="Accuracy",#REF!="Fluency",#REF!="Other")),1,0)</formula>
    </cfRule>
  </conditionalFormatting>
  <conditionalFormatting sqref="E391">
    <cfRule type="expression" dxfId="662" priority="1722">
      <formula>IF(OR(AND(E391="",F391="",OR(G391="Critical",G391="Major",G391="Minor"))),1,0)</formula>
    </cfRule>
  </conditionalFormatting>
  <conditionalFormatting sqref="F391">
    <cfRule type="expression" dxfId="661" priority="1721">
      <formula>IF(AND(F391="",OR(E391="Accuracy",E391="Fluency",E391="Segment",E391="Other")),1,0)</formula>
    </cfRule>
  </conditionalFormatting>
  <conditionalFormatting sqref="G391">
    <cfRule type="expression" dxfId="660" priority="1723">
      <formula>IF(AND(OR(G391="",#REF!="Segment"),OR(#REF!="Accuracy",#REF!="Fluency",#REF!="Other")),1,0)</formula>
    </cfRule>
  </conditionalFormatting>
  <conditionalFormatting sqref="G391">
    <cfRule type="expression" dxfId="659" priority="1724">
      <formula>IF(OR(AND(G391="",H390="",OR(I391="Critical",I391="Major",I391="Minor"))),1,0)</formula>
    </cfRule>
  </conditionalFormatting>
  <conditionalFormatting sqref="F391">
    <cfRule type="expression" dxfId="658" priority="1725">
      <formula>IF(OR(AND(F391="",G391="",OR(H390="Critical",H390="Major",H390="Minor"))),1,0)</formula>
    </cfRule>
  </conditionalFormatting>
  <conditionalFormatting sqref="E392">
    <cfRule type="expression" dxfId="657" priority="1717">
      <formula>IF(OR(AND(E392="",F392="",OR(G392="Critical",G392="Major",G392="Minor"))),1,0)</formula>
    </cfRule>
  </conditionalFormatting>
  <conditionalFormatting sqref="F392">
    <cfRule type="expression" dxfId="656" priority="1716">
      <formula>IF(AND(F392="",OR(E392="Accuracy",E392="Fluency",E392="Segment",E392="Other")),1,0)</formula>
    </cfRule>
  </conditionalFormatting>
  <conditionalFormatting sqref="G392">
    <cfRule type="expression" dxfId="655" priority="1718">
      <formula>IF(AND(OR(G392="",#REF!="Segment"),OR(#REF!="Accuracy",#REF!="Fluency",#REF!="Other")),1,0)</formula>
    </cfRule>
  </conditionalFormatting>
  <conditionalFormatting sqref="G392">
    <cfRule type="expression" dxfId="654" priority="1719">
      <formula>IF(OR(AND(G392="",H391="",OR(I392="Critical",I392="Major",I392="Minor"))),1,0)</formula>
    </cfRule>
  </conditionalFormatting>
  <conditionalFormatting sqref="F392">
    <cfRule type="expression" dxfId="653" priority="1720">
      <formula>IF(OR(AND(F392="",G392="",OR(H391="Critical",H391="Major",H391="Minor"))),1,0)</formula>
    </cfRule>
  </conditionalFormatting>
  <conditionalFormatting sqref="E394">
    <cfRule type="expression" dxfId="652" priority="1712">
      <formula>IF(OR(AND(E394="",F394="",OR(G394="Critical",G394="Major",G394="Minor"))),1,0)</formula>
    </cfRule>
  </conditionalFormatting>
  <conditionalFormatting sqref="F394">
    <cfRule type="expression" dxfId="651" priority="1711">
      <formula>IF(AND(F394="",OR(E394="Accuracy",E394="Fluency",E394="Segment",E394="Other")),1,0)</formula>
    </cfRule>
  </conditionalFormatting>
  <conditionalFormatting sqref="G394">
    <cfRule type="expression" dxfId="650" priority="1713">
      <formula>IF(AND(OR(G394="",#REF!="Segment"),OR(#REF!="Accuracy",#REF!="Fluency",#REF!="Other")),1,0)</formula>
    </cfRule>
  </conditionalFormatting>
  <conditionalFormatting sqref="G394">
    <cfRule type="expression" dxfId="649" priority="1714">
      <formula>IF(OR(AND(G394="",H393="",OR(I394="Critical",I394="Major",I394="Minor"))),1,0)</formula>
    </cfRule>
  </conditionalFormatting>
  <conditionalFormatting sqref="F394">
    <cfRule type="expression" dxfId="648" priority="1715">
      <formula>IF(OR(AND(F394="",G394="",OR(H393="Critical",H393="Major",H393="Minor"))),1,0)</formula>
    </cfRule>
  </conditionalFormatting>
  <conditionalFormatting sqref="E397:G398">
    <cfRule type="expression" dxfId="647" priority="1709">
      <formula>IF(OR(AND(E397="",F397="",OR(G397="Critical",G397="Major",G397="Minor"))),1,0)</formula>
    </cfRule>
  </conditionalFormatting>
  <conditionalFormatting sqref="F397:F398">
    <cfRule type="expression" dxfId="646" priority="1708">
      <formula>IF(AND(F397="",OR(E397="Accuracy",E397="Fluency",E397="Segment",E397="Other")),1,0)</formula>
    </cfRule>
  </conditionalFormatting>
  <conditionalFormatting sqref="G397:G398">
    <cfRule type="expression" dxfId="645" priority="1710">
      <formula>IF(AND(OR(G397="",#REF!="Segment"),OR(#REF!="Accuracy",#REF!="Fluency",#REF!="Other")),1,0)</formula>
    </cfRule>
  </conditionalFormatting>
  <conditionalFormatting sqref="E402:G402">
    <cfRule type="expression" dxfId="644" priority="1706">
      <formula>IF(OR(AND(E402="",F402="",OR(G402="Critical",G402="Major",G402="Minor"))),1,0)</formula>
    </cfRule>
  </conditionalFormatting>
  <conditionalFormatting sqref="F402">
    <cfRule type="expression" dxfId="643" priority="1705">
      <formula>IF(AND(F402="",OR(E402="Accuracy",E402="Fluency",E402="Segment",E402="Other")),1,0)</formula>
    </cfRule>
  </conditionalFormatting>
  <conditionalFormatting sqref="G402">
    <cfRule type="expression" dxfId="642" priority="1707">
      <formula>IF(AND(OR(G402="",#REF!="Segment"),OR(#REF!="Accuracy",#REF!="Fluency",#REF!="Other")),1,0)</formula>
    </cfRule>
  </conditionalFormatting>
  <conditionalFormatting sqref="E403:G403">
    <cfRule type="expression" dxfId="641" priority="1703">
      <formula>IF(OR(AND(E403="",F403="",OR(G403="Critical",G403="Major",G403="Minor"))),1,0)</formula>
    </cfRule>
  </conditionalFormatting>
  <conditionalFormatting sqref="F403">
    <cfRule type="expression" dxfId="640" priority="1702">
      <formula>IF(AND(F403="",OR(E403="Accuracy",E403="Fluency",E403="Segment",E403="Other")),1,0)</formula>
    </cfRule>
  </conditionalFormatting>
  <conditionalFormatting sqref="G403">
    <cfRule type="expression" dxfId="639" priority="1704">
      <formula>IF(AND(OR(G403="",#REF!="Segment"),OR(#REF!="Accuracy",#REF!="Fluency",#REF!="Other")),1,0)</formula>
    </cfRule>
  </conditionalFormatting>
  <conditionalFormatting sqref="E404:G404">
    <cfRule type="expression" dxfId="638" priority="1700">
      <formula>IF(OR(AND(E404="",F404="",OR(G404="Critical",G404="Major",G404="Minor"))),1,0)</formula>
    </cfRule>
  </conditionalFormatting>
  <conditionalFormatting sqref="F404">
    <cfRule type="expression" dxfId="637" priority="1699">
      <formula>IF(AND(F404="",OR(E404="Accuracy",E404="Fluency",E404="Segment",E404="Other")),1,0)</formula>
    </cfRule>
  </conditionalFormatting>
  <conditionalFormatting sqref="G404">
    <cfRule type="expression" dxfId="636" priority="1701">
      <formula>IF(AND(OR(G404="",#REF!="Segment"),OR(#REF!="Accuracy",#REF!="Fluency",#REF!="Other")),1,0)</formula>
    </cfRule>
  </conditionalFormatting>
  <conditionalFormatting sqref="E399:G401">
    <cfRule type="expression" dxfId="635" priority="1697">
      <formula>IF(OR(AND(E399="",F399="",OR(G399="Critical",G399="Major",G399="Minor"))),1,0)</formula>
    </cfRule>
  </conditionalFormatting>
  <conditionalFormatting sqref="F399:F401">
    <cfRule type="expression" dxfId="634" priority="1696">
      <formula>IF(AND(F399="",OR(E399="Accuracy",E399="Fluency",E399="Segment",E399="Other")),1,0)</formula>
    </cfRule>
  </conditionalFormatting>
  <conditionalFormatting sqref="G399:G401">
    <cfRule type="expression" dxfId="633" priority="1698">
      <formula>IF(AND(OR(G399="",#REF!="Segment"),OR(#REF!="Accuracy",#REF!="Fluency",#REF!="Other")),1,0)</formula>
    </cfRule>
  </conditionalFormatting>
  <conditionalFormatting sqref="E143:F144 E146:F151 E153:F154 E156:F157 E160:F161 E165:F165 E168:F168 E170:F170 E172:F172 E175:F177 E181:F181 E187:F187 E190:F191 E194:F194 E196:F197 E203:F214 E217:F218 E223:F223 E230:F231 E236:F237 E241:F242">
    <cfRule type="expression" dxfId="632" priority="1563">
      <formula>IF(OR(AND(E143="",F143="",OR(G143="Critical",G143="Major",G143="Minor"))),1,0)</formula>
    </cfRule>
  </conditionalFormatting>
  <conditionalFormatting sqref="F143:F144 F146:F151 F153:F154 F156:F157 F160:F161 F165 F168 F170 F172 F175:F177 F181 F187 F190:F191 F194 F196:F197 F203:F214 F217:F218 F223 F230:F231 F236:F237 F241:F242">
    <cfRule type="expression" dxfId="631" priority="1562">
      <formula>IF(AND(F143="",OR(E143="Accuracy",E143="Fluency",E143="Segment",E143="Other")),1,0)</formula>
    </cfRule>
  </conditionalFormatting>
  <conditionalFormatting sqref="E164:G164 E145:G145 G146 G165">
    <cfRule type="expression" dxfId="630" priority="1464">
      <formula>IF(OR(AND(E145="",F145="",OR(G145="Critical",G145="Major",G145="Minor"))),1,0)</formula>
    </cfRule>
  </conditionalFormatting>
  <conditionalFormatting sqref="F164 F145">
    <cfRule type="expression" dxfId="629" priority="1463">
      <formula>IF(AND(F145="",OR(E145="Accuracy",E145="Fluency",E145="Segment",E145="Other")),1,0)</formula>
    </cfRule>
  </conditionalFormatting>
  <conditionalFormatting sqref="G164:G165 G145:G146">
    <cfRule type="expression" dxfId="628" priority="1458">
      <formula>IF(AND(OR(G145="",#REF!="Segment"),OR(#REF!="Accuracy",#REF!="Fluency",#REF!="Other")),1,0)</formula>
    </cfRule>
  </conditionalFormatting>
  <conditionalFormatting sqref="E142:G142">
    <cfRule type="expression" dxfId="627" priority="1403">
      <formula>IF(OR(AND(E142="",F142="",OR(G142="Critical",G142="Major",G142="Minor"))),1,0)</formula>
    </cfRule>
  </conditionalFormatting>
  <conditionalFormatting sqref="F142">
    <cfRule type="expression" dxfId="626" priority="1402">
      <formula>IF(AND(F142="",OR(E142="Accuracy",E142="Fluency",E142="Segment",E142="Other")),1,0)</formula>
    </cfRule>
  </conditionalFormatting>
  <conditionalFormatting sqref="G142">
    <cfRule type="expression" dxfId="625" priority="1404">
      <formula>IF(AND(OR(G142="",#REF!="Segment"),OR(#REF!="Accuracy",#REF!="Fluency",#REF!="Other")),1,0)</formula>
    </cfRule>
  </conditionalFormatting>
  <conditionalFormatting sqref="G143">
    <cfRule type="expression" dxfId="624" priority="1399">
      <formula>IF(AND(OR(G143="",#REF!="Segment"),OR(#REF!="Accuracy",#REF!="Fluency",#REF!="Other")),1,0)</formula>
    </cfRule>
  </conditionalFormatting>
  <conditionalFormatting sqref="G143">
    <cfRule type="expression" dxfId="623" priority="1400">
      <formula>IF(OR(AND(G143="",H142="",OR(I143="Critical",I143="Major",I143="Minor"))),1,0)</formula>
    </cfRule>
  </conditionalFormatting>
  <conditionalFormatting sqref="G144">
    <cfRule type="expression" dxfId="622" priority="1394">
      <formula>IF(AND(OR(G144="",#REF!="Segment"),OR(#REF!="Accuracy",#REF!="Fluency",#REF!="Other")),1,0)</formula>
    </cfRule>
  </conditionalFormatting>
  <conditionalFormatting sqref="G144">
    <cfRule type="expression" dxfId="621" priority="1395">
      <formula>IF(OR(AND(G144="",H143="",OR(I144="Critical",I144="Major",I144="Minor"))),1,0)</formula>
    </cfRule>
  </conditionalFormatting>
  <conditionalFormatting sqref="E152:G152">
    <cfRule type="expression" dxfId="620" priority="1390">
      <formula>IF(OR(AND(E152="",F152="",OR(G152="Critical",G152="Major",G152="Minor"))),1,0)</formula>
    </cfRule>
  </conditionalFormatting>
  <conditionalFormatting sqref="F152">
    <cfRule type="expression" dxfId="619" priority="1389">
      <formula>IF(AND(F152="",OR(E152="Accuracy",E152="Fluency",E152="Segment",E152="Other")),1,0)</formula>
    </cfRule>
  </conditionalFormatting>
  <conditionalFormatting sqref="G152">
    <cfRule type="expression" dxfId="618" priority="1391">
      <formula>IF(AND(OR(G152="",#REF!="Segment"),OR(#REF!="Accuracy",#REF!="Fluency",#REF!="Other")),1,0)</formula>
    </cfRule>
  </conditionalFormatting>
  <conditionalFormatting sqref="G153">
    <cfRule type="expression" dxfId="617" priority="1387">
      <formula>IF(OR(AND(G153="",H153="",OR(I153="Critical",I153="Major",I153="Minor"))),1,0)</formula>
    </cfRule>
  </conditionalFormatting>
  <conditionalFormatting sqref="G153">
    <cfRule type="expression" dxfId="616" priority="1388">
      <formula>IF(AND(OR(G153="",#REF!="Segment"),OR(#REF!="Accuracy",#REF!="Fluency",#REF!="Other")),1,0)</formula>
    </cfRule>
  </conditionalFormatting>
  <conditionalFormatting sqref="G155">
    <cfRule type="expression" dxfId="615" priority="1385">
      <formula>IF(OR(AND(G155="",H155="",OR(I155="Critical",I155="Major",I155="Minor"))),1,0)</formula>
    </cfRule>
  </conditionalFormatting>
  <conditionalFormatting sqref="G155">
    <cfRule type="expression" dxfId="614" priority="1386">
      <formula>IF(AND(OR(G155="",#REF!="Segment"),OR(#REF!="Accuracy",#REF!="Fluency",#REF!="Other")),1,0)</formula>
    </cfRule>
  </conditionalFormatting>
  <conditionalFormatting sqref="G154">
    <cfRule type="expression" dxfId="613" priority="1383">
      <formula>IF(OR(AND(G154="",H154="",OR(I154="Critical",I154="Major",I154="Minor"))),1,0)</formula>
    </cfRule>
  </conditionalFormatting>
  <conditionalFormatting sqref="G154">
    <cfRule type="expression" dxfId="612" priority="1384">
      <formula>IF(AND(OR(G154="",#REF!="Segment"),OR(#REF!="Accuracy",#REF!="Fluency",#REF!="Other")),1,0)</formula>
    </cfRule>
  </conditionalFormatting>
  <conditionalFormatting sqref="E155:F155">
    <cfRule type="expression" dxfId="611" priority="1380">
      <formula>IF(OR(AND(E155="",F155="",OR(G155="Critical",G155="Major",G155="Minor"))),1,0)</formula>
    </cfRule>
  </conditionalFormatting>
  <conditionalFormatting sqref="F155">
    <cfRule type="expression" dxfId="610" priority="1379">
      <formula>IF(AND(F155="",OR(E155="Accuracy",E155="Fluency",E155="Segment",E155="Other")),1,0)</formula>
    </cfRule>
  </conditionalFormatting>
  <conditionalFormatting sqref="G156">
    <cfRule type="expression" dxfId="609" priority="1373">
      <formula>IF(AND(OR(G156="",#REF!="Segment"),OR(#REF!="Accuracy",#REF!="Fluency",#REF!="Other")),1,0)</formula>
    </cfRule>
  </conditionalFormatting>
  <conditionalFormatting sqref="G156">
    <cfRule type="expression" dxfId="608" priority="1375">
      <formula>IF(OR(AND(G156="",H154="",OR(I154="Critical",I154="Major",I154="Minor"))),1,0)</formula>
    </cfRule>
  </conditionalFormatting>
  <conditionalFormatting sqref="G157">
    <cfRule type="expression" dxfId="607" priority="1368">
      <formula>IF(AND(OR(G157="",#REF!="Segment"),OR(#REF!="Accuracy",#REF!="Fluency",#REF!="Other")),1,0)</formula>
    </cfRule>
  </conditionalFormatting>
  <conditionalFormatting sqref="G157">
    <cfRule type="expression" dxfId="606" priority="1370">
      <formula>IF(OR(AND(G157="",H155="",OR(I155="Critical",I155="Major",I155="Minor"))),1,0)</formula>
    </cfRule>
  </conditionalFormatting>
  <conditionalFormatting sqref="E158:G158">
    <cfRule type="expression" dxfId="605" priority="1365">
      <formula>IF(OR(AND(E158="",F158="",OR(G158="Critical",G158="Major",G158="Minor"))),1,0)</formula>
    </cfRule>
  </conditionalFormatting>
  <conditionalFormatting sqref="F158">
    <cfRule type="expression" dxfId="604" priority="1364">
      <formula>IF(AND(F158="",OR(E158="Accuracy",E158="Fluency",E158="Segment",E158="Other")),1,0)</formula>
    </cfRule>
  </conditionalFormatting>
  <conditionalFormatting sqref="G158">
    <cfRule type="expression" dxfId="603" priority="1366">
      <formula>IF(AND(OR(G158="",#REF!="Segment"),OR(#REF!="Accuracy",#REF!="Fluency",#REF!="Other")),1,0)</formula>
    </cfRule>
  </conditionalFormatting>
  <conditionalFormatting sqref="E159:G159">
    <cfRule type="expression" dxfId="602" priority="1362">
      <formula>IF(OR(AND(E159="",F159="",OR(G159="Critical",G159="Major",G159="Minor"))),1,0)</formula>
    </cfRule>
  </conditionalFormatting>
  <conditionalFormatting sqref="F159">
    <cfRule type="expression" dxfId="601" priority="1361">
      <formula>IF(AND(F159="",OR(E159="Accuracy",E159="Fluency",E159="Segment",E159="Other")),1,0)</formula>
    </cfRule>
  </conditionalFormatting>
  <conditionalFormatting sqref="G159">
    <cfRule type="expression" dxfId="600" priority="1363">
      <formula>IF(AND(OR(G159="",#REF!="Segment"),OR(#REF!="Accuracy",#REF!="Fluency",#REF!="Other")),1,0)</formula>
    </cfRule>
  </conditionalFormatting>
  <conditionalFormatting sqref="G160">
    <cfRule type="expression" dxfId="599" priority="1359">
      <formula>IF(OR(AND(G160="",H160="",OR(I160="Critical",I160="Major",I160="Minor"))),1,0)</formula>
    </cfRule>
  </conditionalFormatting>
  <conditionalFormatting sqref="G160">
    <cfRule type="expression" dxfId="598" priority="1360">
      <formula>IF(AND(OR(G160="",#REF!="Segment"),OR(#REF!="Accuracy",#REF!="Fluency",#REF!="Other")),1,0)</formula>
    </cfRule>
  </conditionalFormatting>
  <conditionalFormatting sqref="G161">
    <cfRule type="expression" dxfId="597" priority="1356">
      <formula>IF(OR(AND(G161="",H161="",OR(I161="Critical",I161="Major",I161="Minor"))),1,0)</formula>
    </cfRule>
  </conditionalFormatting>
  <conditionalFormatting sqref="G161">
    <cfRule type="expression" dxfId="596" priority="1357">
      <formula>IF(AND(OR(G161="",#REF!="Segment"),OR(#REF!="Accuracy",#REF!="Fluency",#REF!="Other")),1,0)</formula>
    </cfRule>
  </conditionalFormatting>
  <conditionalFormatting sqref="E162:G162">
    <cfRule type="expression" dxfId="595" priority="1353">
      <formula>IF(OR(AND(E162="",F162="",OR(G162="Critical",G162="Major",G162="Minor"))),1,0)</formula>
    </cfRule>
  </conditionalFormatting>
  <conditionalFormatting sqref="F162">
    <cfRule type="expression" dxfId="594" priority="1352">
      <formula>IF(AND(F162="",OR(E162="Accuracy",E162="Fluency",E162="Segment",E162="Other")),1,0)</formula>
    </cfRule>
  </conditionalFormatting>
  <conditionalFormatting sqref="G162">
    <cfRule type="expression" dxfId="593" priority="1354">
      <formula>IF(AND(OR(G162="",#REF!="Segment"),OR(#REF!="Accuracy",#REF!="Fluency",#REF!="Other")),1,0)</formula>
    </cfRule>
  </conditionalFormatting>
  <conditionalFormatting sqref="E163:G163">
    <cfRule type="expression" dxfId="592" priority="1350">
      <formula>IF(OR(AND(E163="",F163="",OR(G163="Critical",G163="Major",G163="Minor"))),1,0)</formula>
    </cfRule>
  </conditionalFormatting>
  <conditionalFormatting sqref="F163">
    <cfRule type="expression" dxfId="591" priority="1349">
      <formula>IF(AND(F163="",OR(E163="Accuracy",E163="Fluency",E163="Segment",E163="Other")),1,0)</formula>
    </cfRule>
  </conditionalFormatting>
  <conditionalFormatting sqref="G163">
    <cfRule type="expression" dxfId="590" priority="1351">
      <formula>IF(AND(OR(G163="",#REF!="Segment"),OR(#REF!="Accuracy",#REF!="Fluency",#REF!="Other")),1,0)</formula>
    </cfRule>
  </conditionalFormatting>
  <conditionalFormatting sqref="G166">
    <cfRule type="expression" dxfId="589" priority="1347">
      <formula>IF(AND(OR(G166="",#REF!="Segment"),OR(#REF!="Accuracy",#REF!="Fluency",#REF!="Other")),1,0)</formula>
    </cfRule>
  </conditionalFormatting>
  <conditionalFormatting sqref="G166">
    <cfRule type="expression" dxfId="588" priority="1348">
      <formula>IF(OR(AND(G166="",#REF!="",OR(I166="Critical",I166="Major",I166="Minor"))),1,0)</formula>
    </cfRule>
  </conditionalFormatting>
  <conditionalFormatting sqref="G168">
    <cfRule type="expression" dxfId="587" priority="1345">
      <formula>IF(OR(AND(G168="",H168="",OR(I168="Critical",I168="Major",I168="Minor"))),1,0)</formula>
    </cfRule>
  </conditionalFormatting>
  <conditionalFormatting sqref="G168">
    <cfRule type="expression" dxfId="586" priority="1346">
      <formula>IF(AND(OR(G168="",#REF!="Segment"),OR(#REF!="Accuracy",#REF!="Fluency",#REF!="Other")),1,0)</formula>
    </cfRule>
  </conditionalFormatting>
  <conditionalFormatting sqref="E169:G169">
    <cfRule type="expression" dxfId="585" priority="1342">
      <formula>IF(OR(AND(E169="",F169="",OR(G169="Critical",G169="Major",G169="Minor"))),1,0)</formula>
    </cfRule>
  </conditionalFormatting>
  <conditionalFormatting sqref="F169">
    <cfRule type="expression" dxfId="584" priority="1341">
      <formula>IF(AND(F169="",OR(E169="Accuracy",E169="Fluency",E169="Segment",E169="Other")),1,0)</formula>
    </cfRule>
  </conditionalFormatting>
  <conditionalFormatting sqref="G169">
    <cfRule type="expression" dxfId="583" priority="1343">
      <formula>IF(AND(OR(G169="",#REF!="Segment"),OR(#REF!="Accuracy",#REF!="Fluency",#REF!="Other")),1,0)</formula>
    </cfRule>
  </conditionalFormatting>
  <conditionalFormatting sqref="E166:F166">
    <cfRule type="expression" dxfId="582" priority="1340">
      <formula>IF(OR(AND(E166="",F166="",OR(G166="Critical",G166="Major",G166="Minor"))),1,0)</formula>
    </cfRule>
  </conditionalFormatting>
  <conditionalFormatting sqref="F166">
    <cfRule type="expression" dxfId="581" priority="1339">
      <formula>IF(AND(F166="",OR(E166="Accuracy",E166="Fluency",E166="Segment",E166="Other")),1,0)</formula>
    </cfRule>
  </conditionalFormatting>
  <conditionalFormatting sqref="G167">
    <cfRule type="expression" dxfId="580" priority="1337">
      <formula>IF(AND(OR(G167="",#REF!="Segment"),OR(#REF!="Accuracy",#REF!="Fluency",#REF!="Other")),1,0)</formula>
    </cfRule>
  </conditionalFormatting>
  <conditionalFormatting sqref="G167">
    <cfRule type="expression" dxfId="579" priority="1338">
      <formula>IF(OR(AND(G167="",#REF!="",OR(I167="Critical",I167="Major",I167="Minor"))),1,0)</formula>
    </cfRule>
  </conditionalFormatting>
  <conditionalFormatting sqref="E167:F167">
    <cfRule type="expression" dxfId="578" priority="1336">
      <formula>IF(OR(AND(E167="",F167="",OR(G167="Critical",G167="Major",G167="Minor"))),1,0)</formula>
    </cfRule>
  </conditionalFormatting>
  <conditionalFormatting sqref="F167">
    <cfRule type="expression" dxfId="577" priority="1335">
      <formula>IF(AND(F167="",OR(E167="Accuracy",E167="Fluency",E167="Segment",E167="Other")),1,0)</formula>
    </cfRule>
  </conditionalFormatting>
  <conditionalFormatting sqref="E171:G171">
    <cfRule type="expression" dxfId="576" priority="1333">
      <formula>IF(OR(AND(E171="",F171="",OR(G171="Critical",G171="Major",G171="Minor"))),1,0)</formula>
    </cfRule>
  </conditionalFormatting>
  <conditionalFormatting sqref="F171">
    <cfRule type="expression" dxfId="575" priority="1332">
      <formula>IF(AND(F171="",OR(E171="Accuracy",E171="Fluency",E171="Segment",E171="Other")),1,0)</formula>
    </cfRule>
  </conditionalFormatting>
  <conditionalFormatting sqref="G171">
    <cfRule type="expression" dxfId="574" priority="1334">
      <formula>IF(AND(OR(G171="",#REF!="Segment"),OR(#REF!="Accuracy",#REF!="Fluency",#REF!="Other")),1,0)</formula>
    </cfRule>
  </conditionalFormatting>
  <conditionalFormatting sqref="G170">
    <cfRule type="expression" dxfId="573" priority="1330">
      <formula>IF(OR(AND(G170="",H170="",OR(I170="Critical",I170="Major",I170="Minor"))),1,0)</formula>
    </cfRule>
  </conditionalFormatting>
  <conditionalFormatting sqref="G170">
    <cfRule type="expression" dxfId="572" priority="1331">
      <formula>IF(AND(OR(G170="",#REF!="Segment"),OR(#REF!="Accuracy",#REF!="Fluency",#REF!="Other")),1,0)</formula>
    </cfRule>
  </conditionalFormatting>
  <conditionalFormatting sqref="G217 E215:E216 E178:G178 E173:G173">
    <cfRule type="expression" dxfId="571" priority="1327">
      <formula>IF(OR(AND(E173="",F173="",OR(G173="Critical",G173="Major",G173="Minor"))),1,0)</formula>
    </cfRule>
  </conditionalFormatting>
  <conditionalFormatting sqref="F178 F173">
    <cfRule type="expression" dxfId="570" priority="1326">
      <formula>IF(AND(F173="",OR(E173="Accuracy",E173="Fluency",E173="Segment",E173="Other")),1,0)</formula>
    </cfRule>
  </conditionalFormatting>
  <conditionalFormatting sqref="G217 G178 G173">
    <cfRule type="expression" dxfId="569" priority="1328">
      <formula>IF(AND(OR(G173="",#REF!="Segment"),OR(#REF!="Accuracy",#REF!="Fluency",#REF!="Other")),1,0)</formula>
    </cfRule>
  </conditionalFormatting>
  <conditionalFormatting sqref="G172">
    <cfRule type="expression" dxfId="568" priority="1324">
      <formula>IF(OR(AND(G172="",H172="",OR(I172="Critical",I172="Major",I172="Minor"))),1,0)</formula>
    </cfRule>
  </conditionalFormatting>
  <conditionalFormatting sqref="G172">
    <cfRule type="expression" dxfId="567" priority="1325">
      <formula>IF(AND(OR(G172="",#REF!="Segment"),OR(#REF!="Accuracy",#REF!="Fluency",#REF!="Other")),1,0)</formula>
    </cfRule>
  </conditionalFormatting>
  <conditionalFormatting sqref="E174">
    <cfRule type="expression" dxfId="566" priority="1319">
      <formula>IF(OR(AND(E174="",F174="",OR(G174="Critical",G174="Major",G174="Minor"))),1,0)</formula>
    </cfRule>
  </conditionalFormatting>
  <conditionalFormatting sqref="F174">
    <cfRule type="expression" dxfId="565" priority="1318">
      <formula>IF(AND(F174="",OR(E174="Accuracy",E174="Fluency",E174="Segment",E174="Other")),1,0)</formula>
    </cfRule>
  </conditionalFormatting>
  <conditionalFormatting sqref="G174">
    <cfRule type="expression" dxfId="564" priority="1320">
      <formula>IF(AND(OR(G174="",#REF!="Segment"),OR(#REF!="Accuracy",#REF!="Fluency",#REF!="Other")),1,0)</formula>
    </cfRule>
  </conditionalFormatting>
  <conditionalFormatting sqref="G174">
    <cfRule type="expression" dxfId="563" priority="1321">
      <formula>IF(OR(AND(G174="",H173="",OR(I174="Critical",I174="Major",I174="Minor"))),1,0)</formula>
    </cfRule>
  </conditionalFormatting>
  <conditionalFormatting sqref="F174">
    <cfRule type="expression" dxfId="562" priority="1322">
      <formula>IF(OR(AND(F174="",G174="",OR(H173="Critical",H173="Major",H173="Minor"))),1,0)</formula>
    </cfRule>
  </conditionalFormatting>
  <conditionalFormatting sqref="G175">
    <cfRule type="expression" dxfId="561" priority="1316">
      <formula>IF(OR(AND(G175="",H175="",OR(I175="Critical",I175="Major",I175="Minor"))),1,0)</formula>
    </cfRule>
  </conditionalFormatting>
  <conditionalFormatting sqref="G175 G177">
    <cfRule type="expression" dxfId="560" priority="1317">
      <formula>IF(AND(OR(G175="",#REF!="Segment"),OR(#REF!="Accuracy",#REF!="Fluency",#REF!="Other")),1,0)</formula>
    </cfRule>
  </conditionalFormatting>
  <conditionalFormatting sqref="E179:G179">
    <cfRule type="expression" dxfId="559" priority="1313">
      <formula>IF(OR(AND(E179="",F179="",OR(G179="Critical",G179="Major",G179="Minor"))),1,0)</formula>
    </cfRule>
  </conditionalFormatting>
  <conditionalFormatting sqref="F179">
    <cfRule type="expression" dxfId="558" priority="1312">
      <formula>IF(AND(F179="",OR(E179="Accuracy",E179="Fluency",E179="Segment",E179="Other")),1,0)</formula>
    </cfRule>
  </conditionalFormatting>
  <conditionalFormatting sqref="G179">
    <cfRule type="expression" dxfId="557" priority="1314">
      <formula>IF(AND(OR(G179="",#REF!="Segment"),OR(#REF!="Accuracy",#REF!="Fluency",#REF!="Other")),1,0)</formula>
    </cfRule>
  </conditionalFormatting>
  <conditionalFormatting sqref="E180:G180">
    <cfRule type="expression" dxfId="556" priority="1310">
      <formula>IF(OR(AND(E180="",F180="",OR(G180="Critical",G180="Major",G180="Minor"))),1,0)</formula>
    </cfRule>
  </conditionalFormatting>
  <conditionalFormatting sqref="F180">
    <cfRule type="expression" dxfId="555" priority="1309">
      <formula>IF(AND(F180="",OR(E180="Accuracy",E180="Fluency",E180="Segment",E180="Other")),1,0)</formula>
    </cfRule>
  </conditionalFormatting>
  <conditionalFormatting sqref="G180">
    <cfRule type="expression" dxfId="554" priority="1311">
      <formula>IF(AND(OR(G180="",#REF!="Segment"),OR(#REF!="Accuracy",#REF!="Fluency",#REF!="Other")),1,0)</formula>
    </cfRule>
  </conditionalFormatting>
  <conditionalFormatting sqref="G181">
    <cfRule type="expression" dxfId="553" priority="1307">
      <formula>IF(OR(AND(G181="",H181="",OR(I181="Critical",I181="Major",I181="Minor"))),1,0)</formula>
    </cfRule>
  </conditionalFormatting>
  <conditionalFormatting sqref="G181">
    <cfRule type="expression" dxfId="552" priority="1308">
      <formula>IF(AND(OR(G181="",#REF!="Segment"),OR(#REF!="Accuracy",#REF!="Fluency",#REF!="Other")),1,0)</formula>
    </cfRule>
  </conditionalFormatting>
  <conditionalFormatting sqref="E182:G182">
    <cfRule type="expression" dxfId="551" priority="1303">
      <formula>IF(OR(AND(E182="",F182="",OR(G182="Critical",G182="Major",G182="Minor"))),1,0)</formula>
    </cfRule>
  </conditionalFormatting>
  <conditionalFormatting sqref="F182">
    <cfRule type="expression" dxfId="550" priority="1302">
      <formula>IF(AND(F182="",OR(E182="Accuracy",E182="Fluency",E182="Segment",E182="Other")),1,0)</formula>
    </cfRule>
  </conditionalFormatting>
  <conditionalFormatting sqref="G182">
    <cfRule type="expression" dxfId="549" priority="1304">
      <formula>IF(AND(OR(G182="",#REF!="Segment"),OR(#REF!="Accuracy",#REF!="Fluency",#REF!="Other")),1,0)</formula>
    </cfRule>
  </conditionalFormatting>
  <conditionalFormatting sqref="E183:G183">
    <cfRule type="expression" dxfId="548" priority="1300">
      <formula>IF(OR(AND(E183="",F183="",OR(G183="Critical",G183="Major",G183="Minor"))),1,0)</formula>
    </cfRule>
  </conditionalFormatting>
  <conditionalFormatting sqref="F183">
    <cfRule type="expression" dxfId="547" priority="1299">
      <formula>IF(AND(F183="",OR(E183="Accuracy",E183="Fluency",E183="Segment",E183="Other")),1,0)</formula>
    </cfRule>
  </conditionalFormatting>
  <conditionalFormatting sqref="G183">
    <cfRule type="expression" dxfId="546" priority="1301">
      <formula>IF(AND(OR(G183="",#REF!="Segment"),OR(#REF!="Accuracy",#REF!="Fluency",#REF!="Other")),1,0)</formula>
    </cfRule>
  </conditionalFormatting>
  <conditionalFormatting sqref="G184">
    <cfRule type="expression" dxfId="545" priority="1297">
      <formula>IF(OR(AND(G184="",H184="",OR(I184="Critical",I184="Major",I184="Minor"))),1,0)</formula>
    </cfRule>
  </conditionalFormatting>
  <conditionalFormatting sqref="G184">
    <cfRule type="expression" dxfId="544" priority="1298">
      <formula>IF(AND(OR(G184="",#REF!="Segment"),OR(#REF!="Accuracy",#REF!="Fluency",#REF!="Other")),1,0)</formula>
    </cfRule>
  </conditionalFormatting>
  <conditionalFormatting sqref="E184:F184">
    <cfRule type="expression" dxfId="543" priority="1296">
      <formula>IF(OR(AND(E184="",F184="",OR(G184="Critical",G184="Major",G184="Minor"))),1,0)</formula>
    </cfRule>
  </conditionalFormatting>
  <conditionalFormatting sqref="F184">
    <cfRule type="expression" dxfId="542" priority="1295">
      <formula>IF(AND(F184="",OR(E184="Accuracy",E184="Fluency",E184="Segment",E184="Other")),1,0)</formula>
    </cfRule>
  </conditionalFormatting>
  <conditionalFormatting sqref="E185">
    <cfRule type="expression" dxfId="541" priority="1294">
      <formula>IF(OR(AND(E185="",F185="",OR(G185="Critical",G185="Major",G185="Minor"))),1,0)</formula>
    </cfRule>
  </conditionalFormatting>
  <conditionalFormatting sqref="G185">
    <cfRule type="expression" dxfId="540" priority="1292">
      <formula>IF(OR(AND(G185="",H185="",OR(I185="Critical",I185="Major",I185="Minor"))),1,0)</formula>
    </cfRule>
  </conditionalFormatting>
  <conditionalFormatting sqref="G185">
    <cfRule type="expression" dxfId="539" priority="1293">
      <formula>IF(AND(OR(G185="",#REF!="Segment"),OR(#REF!="Accuracy",#REF!="Fluency",#REF!="Other")),1,0)</formula>
    </cfRule>
  </conditionalFormatting>
  <conditionalFormatting sqref="F185">
    <cfRule type="expression" dxfId="538" priority="1291">
      <formula>IF(OR(AND(F185="",G185="",OR(H185="Critical",H185="Major",H185="Minor"))),1,0)</formula>
    </cfRule>
  </conditionalFormatting>
  <conditionalFormatting sqref="F185">
    <cfRule type="expression" dxfId="537" priority="1290">
      <formula>IF(AND(F185="",OR(E185="Accuracy",E185="Fluency",E185="Segment",E185="Other")),1,0)</formula>
    </cfRule>
  </conditionalFormatting>
  <conditionalFormatting sqref="E186">
    <cfRule type="expression" dxfId="536" priority="1287">
      <formula>IF(OR(AND(E186="",F186="",OR(G186="Critical",G186="Major",G186="Minor"))),1,0)</formula>
    </cfRule>
  </conditionalFormatting>
  <conditionalFormatting sqref="F186">
    <cfRule type="expression" dxfId="535" priority="1285">
      <formula>IF(AND(F186="",OR(E186="Accuracy",E186="Fluency",E186="Segment",E186="Other")),1,0)</formula>
    </cfRule>
  </conditionalFormatting>
  <conditionalFormatting sqref="G186">
    <cfRule type="expression" dxfId="534" priority="1286">
      <formula>IF(AND(OR(G186="",#REF!="Segment"),OR(#REF!="Accuracy",#REF!="Fluency",#REF!="Other")),1,0)</formula>
    </cfRule>
  </conditionalFormatting>
  <conditionalFormatting sqref="G186">
    <cfRule type="expression" dxfId="533" priority="1288">
      <formula>IF(OR(AND(G186="",#REF!="",OR(I186="Critical",I186="Major",I186="Minor"))),1,0)</formula>
    </cfRule>
  </conditionalFormatting>
  <conditionalFormatting sqref="F186">
    <cfRule type="expression" dxfId="532" priority="1289">
      <formula>IF(OR(AND(F186="",G186="",OR(#REF!="Critical",#REF!="Major",#REF!="Minor"))),1,0)</formula>
    </cfRule>
  </conditionalFormatting>
  <conditionalFormatting sqref="G187">
    <cfRule type="expression" dxfId="531" priority="1283">
      <formula>IF(OR(AND(G187="",H187="",OR(I187="Critical",I187="Major",I187="Minor"))),1,0)</formula>
    </cfRule>
  </conditionalFormatting>
  <conditionalFormatting sqref="G187">
    <cfRule type="expression" dxfId="530" priority="1284">
      <formula>IF(AND(OR(G187="",#REF!="Segment"),OR(#REF!="Accuracy",#REF!="Fluency",#REF!="Other")),1,0)</formula>
    </cfRule>
  </conditionalFormatting>
  <conditionalFormatting sqref="E188:G189">
    <cfRule type="expression" dxfId="529" priority="1280">
      <formula>IF(OR(AND(E188="",F188="",OR(G188="Critical",G188="Major",G188="Minor"))),1,0)</formula>
    </cfRule>
  </conditionalFormatting>
  <conditionalFormatting sqref="F188:F189">
    <cfRule type="expression" dxfId="528" priority="1279">
      <formula>IF(AND(F188="",OR(E188="Accuracy",E188="Fluency",E188="Segment",E188="Other")),1,0)</formula>
    </cfRule>
  </conditionalFormatting>
  <conditionalFormatting sqref="G188:G189">
    <cfRule type="expression" dxfId="527" priority="1281">
      <formula>IF(AND(OR(G188="",#REF!="Segment"),OR(#REF!="Accuracy",#REF!="Fluency",#REF!="Other")),1,0)</formula>
    </cfRule>
  </conditionalFormatting>
  <conditionalFormatting sqref="G190">
    <cfRule type="expression" dxfId="526" priority="1277">
      <formula>IF(OR(AND(G190="",H190="",OR(I190="Critical",I190="Major",I190="Minor"))),1,0)</formula>
    </cfRule>
  </conditionalFormatting>
  <conditionalFormatting sqref="G190">
    <cfRule type="expression" dxfId="525" priority="1278">
      <formula>IF(AND(OR(G190="",#REF!="Segment"),OR(#REF!="Accuracy",#REF!="Fluency",#REF!="Other")),1,0)</formula>
    </cfRule>
  </conditionalFormatting>
  <conditionalFormatting sqref="G191">
    <cfRule type="expression" dxfId="524" priority="1274">
      <formula>IF(OR(AND(G191="",H191="",OR(I191="Critical",I191="Major",I191="Minor"))),1,0)</formula>
    </cfRule>
  </conditionalFormatting>
  <conditionalFormatting sqref="G191">
    <cfRule type="expression" dxfId="523" priority="1275">
      <formula>IF(AND(OR(G191="",#REF!="Segment"),OR(#REF!="Accuracy",#REF!="Fluency",#REF!="Other")),1,0)</formula>
    </cfRule>
  </conditionalFormatting>
  <conditionalFormatting sqref="E192:G192">
    <cfRule type="expression" dxfId="522" priority="1271">
      <formula>IF(OR(AND(E192="",F192="",OR(G192="Critical",G192="Major",G192="Minor"))),1,0)</formula>
    </cfRule>
  </conditionalFormatting>
  <conditionalFormatting sqref="F192">
    <cfRule type="expression" dxfId="521" priority="1270">
      <formula>IF(AND(F192="",OR(E192="Accuracy",E192="Fluency",E192="Segment",E192="Other")),1,0)</formula>
    </cfRule>
  </conditionalFormatting>
  <conditionalFormatting sqref="G192">
    <cfRule type="expression" dxfId="520" priority="1272">
      <formula>IF(AND(OR(G192="",#REF!="Segment"),OR(#REF!="Accuracy",#REF!="Fluency",#REF!="Other")),1,0)</formula>
    </cfRule>
  </conditionalFormatting>
  <conditionalFormatting sqref="E193:G193">
    <cfRule type="expression" dxfId="519" priority="1268">
      <formula>IF(OR(AND(E193="",F193="",OR(G193="Critical",G193="Major",G193="Minor"))),1,0)</formula>
    </cfRule>
  </conditionalFormatting>
  <conditionalFormatting sqref="F193">
    <cfRule type="expression" dxfId="518" priority="1267">
      <formula>IF(AND(F193="",OR(E193="Accuracy",E193="Fluency",E193="Segment",E193="Other")),1,0)</formula>
    </cfRule>
  </conditionalFormatting>
  <conditionalFormatting sqref="G193">
    <cfRule type="expression" dxfId="517" priority="1269">
      <formula>IF(AND(OR(G193="",#REF!="Segment"),OR(#REF!="Accuracy",#REF!="Fluency",#REF!="Other")),1,0)</formula>
    </cfRule>
  </conditionalFormatting>
  <conditionalFormatting sqref="G194">
    <cfRule type="expression" dxfId="516" priority="1263">
      <formula>IF(OR(AND(G194="",H194="",OR(I194="Critical",I194="Major",I194="Minor"))),1,0)</formula>
    </cfRule>
  </conditionalFormatting>
  <conditionalFormatting sqref="G194">
    <cfRule type="expression" dxfId="515" priority="1264">
      <formula>IF(AND(OR(G194="",#REF!="Segment"),OR(#REF!="Accuracy",#REF!="Fluency",#REF!="Other")),1,0)</formula>
    </cfRule>
  </conditionalFormatting>
  <conditionalFormatting sqref="E195:G195">
    <cfRule type="expression" dxfId="514" priority="1261">
      <formula>IF(OR(AND(E195="",F195="",OR(G195="Critical",G195="Major",G195="Minor"))),1,0)</formula>
    </cfRule>
  </conditionalFormatting>
  <conditionalFormatting sqref="F195">
    <cfRule type="expression" dxfId="513" priority="1260">
      <formula>IF(AND(F195="",OR(E195="Accuracy",E195="Fluency",E195="Segment",E195="Other")),1,0)</formula>
    </cfRule>
  </conditionalFormatting>
  <conditionalFormatting sqref="G195">
    <cfRule type="expression" dxfId="512" priority="1262">
      <formula>IF(AND(OR(G195="",#REF!="Segment"),OR(#REF!="Accuracy",#REF!="Fluency",#REF!="Other")),1,0)</formula>
    </cfRule>
  </conditionalFormatting>
  <conditionalFormatting sqref="G196">
    <cfRule type="expression" dxfId="511" priority="1256">
      <formula>IF(AND(OR(G196="",#REF!="Segment"),OR(#REF!="Accuracy",#REF!="Fluency",#REF!="Other")),1,0)</formula>
    </cfRule>
  </conditionalFormatting>
  <conditionalFormatting sqref="G196">
    <cfRule type="expression" dxfId="510" priority="1259">
      <formula>IF(OR(AND(G196="",H195="",OR(I195="Critical",I195="Major",I195="Minor"))),1,0)</formula>
    </cfRule>
  </conditionalFormatting>
  <conditionalFormatting sqref="G197">
    <cfRule type="expression" dxfId="509" priority="1251">
      <formula>IF(AND(OR(G197="",#REF!="Segment"),OR(#REF!="Accuracy",#REF!="Fluency",#REF!="Other")),1,0)</formula>
    </cfRule>
  </conditionalFormatting>
  <conditionalFormatting sqref="G197">
    <cfRule type="expression" dxfId="508" priority="1254">
      <formula>IF(OR(AND(G197="",H196="",OR(I196="Critical",I196="Major",I196="Minor"))),1,0)</formula>
    </cfRule>
  </conditionalFormatting>
  <conditionalFormatting sqref="E198:G198">
    <cfRule type="expression" dxfId="507" priority="1248">
      <formula>IF(OR(AND(E198="",F198="",OR(G198="Critical",G198="Major",G198="Minor"))),1,0)</formula>
    </cfRule>
  </conditionalFormatting>
  <conditionalFormatting sqref="F198">
    <cfRule type="expression" dxfId="506" priority="1247">
      <formula>IF(AND(F198="",OR(E198="Accuracy",E198="Fluency",E198="Segment",E198="Other")),1,0)</formula>
    </cfRule>
  </conditionalFormatting>
  <conditionalFormatting sqref="G198">
    <cfRule type="expression" dxfId="505" priority="1249">
      <formula>IF(AND(OR(G198="",#REF!="Segment"),OR(#REF!="Accuracy",#REF!="Fluency",#REF!="Other")),1,0)</formula>
    </cfRule>
  </conditionalFormatting>
  <conditionalFormatting sqref="E199:G199">
    <cfRule type="expression" dxfId="504" priority="1245">
      <formula>IF(OR(AND(E199="",F199="",OR(G199="Critical",G199="Major",G199="Minor"))),1,0)</formula>
    </cfRule>
  </conditionalFormatting>
  <conditionalFormatting sqref="F199">
    <cfRule type="expression" dxfId="503" priority="1244">
      <formula>IF(AND(F199="",OR(E199="Accuracy",E199="Fluency",E199="Segment",E199="Other")),1,0)</formula>
    </cfRule>
  </conditionalFormatting>
  <conditionalFormatting sqref="G199">
    <cfRule type="expression" dxfId="502" priority="1246">
      <formula>IF(AND(OR(G199="",#REF!="Segment"),OR(#REF!="Accuracy",#REF!="Fluency",#REF!="Other")),1,0)</formula>
    </cfRule>
  </conditionalFormatting>
  <conditionalFormatting sqref="E200:G200">
    <cfRule type="expression" dxfId="501" priority="1242">
      <formula>IF(OR(AND(E200="",F200="",OR(G200="Critical",G200="Major",G200="Minor"))),1,0)</formula>
    </cfRule>
  </conditionalFormatting>
  <conditionalFormatting sqref="F200">
    <cfRule type="expression" dxfId="500" priority="1241">
      <formula>IF(AND(F200="",OR(E200="Accuracy",E200="Fluency",E200="Segment",E200="Other")),1,0)</formula>
    </cfRule>
  </conditionalFormatting>
  <conditionalFormatting sqref="G200">
    <cfRule type="expression" dxfId="499" priority="1243">
      <formula>IF(AND(OR(G200="",#REF!="Segment"),OR(#REF!="Accuracy",#REF!="Fluency",#REF!="Other")),1,0)</formula>
    </cfRule>
  </conditionalFormatting>
  <conditionalFormatting sqref="E201:F201">
    <cfRule type="expression" dxfId="498" priority="1238">
      <formula>IF(OR(AND(E201="",F201="",OR(G201="Critical",G201="Major",G201="Minor"))),1,0)</formula>
    </cfRule>
  </conditionalFormatting>
  <conditionalFormatting sqref="F201">
    <cfRule type="expression" dxfId="497" priority="1237">
      <formula>IF(AND(F201="",OR(E201="Accuracy",E201="Fluency",E201="Segment",E201="Other")),1,0)</formula>
    </cfRule>
  </conditionalFormatting>
  <conditionalFormatting sqref="G201">
    <cfRule type="expression" dxfId="496" priority="1239">
      <formula>IF(OR(AND(G201="",H201="",OR(I201="Critical",I201="Major",I201="Minor"))),1,0)</formula>
    </cfRule>
  </conditionalFormatting>
  <conditionalFormatting sqref="G201">
    <cfRule type="expression" dxfId="495" priority="1240">
      <formula>IF(AND(OR(G201="",#REF!="Segment"),OR(#REF!="Accuracy",#REF!="Fluency",#REF!="Other")),1,0)</formula>
    </cfRule>
  </conditionalFormatting>
  <conditionalFormatting sqref="F215:F216">
    <cfRule type="expression" dxfId="494" priority="1235">
      <formula>IF(OR(AND(F215="",G215="",OR(H213="Critical",H213="Major",H213="Minor"))),1,0)</formula>
    </cfRule>
  </conditionalFormatting>
  <conditionalFormatting sqref="G215:G216">
    <cfRule type="expression" dxfId="493" priority="1236">
      <formula>IF(OR(AND(G215="",H213="",OR(I213="Critical",I213="Major",I213="Minor"))),1,0)</formula>
    </cfRule>
  </conditionalFormatting>
  <conditionalFormatting sqref="F216">
    <cfRule type="expression" dxfId="492" priority="1231">
      <formula>IF(AND(F216="",OR(E216="Accuracy",E216="Fluency",E216="Segment",E216="Other")),1,0)</formula>
    </cfRule>
  </conditionalFormatting>
  <conditionalFormatting sqref="G216">
    <cfRule type="expression" dxfId="491" priority="1232">
      <formula>IF(AND(OR(G216="",#REF!="Segment"),OR(#REF!="Accuracy",#REF!="Fluency",#REF!="Other")),1,0)</formula>
    </cfRule>
  </conditionalFormatting>
  <conditionalFormatting sqref="F215">
    <cfRule type="expression" dxfId="490" priority="1233">
      <formula>IF(AND(F215="",OR(E215="Accuracy",E215="Fluency",E215="Segment",E215="Other")),1,0)</formula>
    </cfRule>
  </conditionalFormatting>
  <conditionalFormatting sqref="G215">
    <cfRule type="expression" dxfId="489" priority="1234">
      <formula>IF(AND(OR(G215="",#REF!="Segment"),OR(#REF!="Accuracy",#REF!="Fluency",#REF!="Other")),1,0)</formula>
    </cfRule>
  </conditionalFormatting>
  <conditionalFormatting sqref="G213">
    <cfRule type="expression" dxfId="488" priority="1229">
      <formula>IF(OR(AND(G213="",H213="",OR(I213="Critical",I213="Major",I213="Minor"))),1,0)</formula>
    </cfRule>
  </conditionalFormatting>
  <conditionalFormatting sqref="G213">
    <cfRule type="expression" dxfId="487" priority="1230">
      <formula>IF(AND(OR(G213="",#REF!="Segment"),OR(#REF!="Accuracy",#REF!="Fluency",#REF!="Other")),1,0)</formula>
    </cfRule>
  </conditionalFormatting>
  <conditionalFormatting sqref="G214">
    <cfRule type="expression" dxfId="486" priority="1226">
      <formula>IF(OR(AND(G214="",H214="",OR(I214="Critical",I214="Major",I214="Minor"))),1,0)</formula>
    </cfRule>
  </conditionalFormatting>
  <conditionalFormatting sqref="G214">
    <cfRule type="expression" dxfId="485" priority="1227">
      <formula>IF(AND(OR(G214="",#REF!="Segment"),OR(#REF!="Accuracy",#REF!="Fluency",#REF!="Other")),1,0)</formula>
    </cfRule>
  </conditionalFormatting>
  <conditionalFormatting sqref="G218">
    <cfRule type="expression" dxfId="484" priority="1223">
      <formula>IF(OR(AND(G218="",H218="",OR(I218="Critical",I218="Major",I218="Minor"))),1,0)</formula>
    </cfRule>
  </conditionalFormatting>
  <conditionalFormatting sqref="G218">
    <cfRule type="expression" dxfId="483" priority="1224">
      <formula>IF(AND(OR(G218="",#REF!="Segment"),OR(#REF!="Accuracy",#REF!="Fluency",#REF!="Other")),1,0)</formula>
    </cfRule>
  </conditionalFormatting>
  <conditionalFormatting sqref="E219:E220">
    <cfRule type="expression" dxfId="482" priority="1221">
      <formula>IF(OR(AND(E219="",F219="",OR(G219="Critical",G219="Major",G219="Minor"))),1,0)</formula>
    </cfRule>
  </conditionalFormatting>
  <conditionalFormatting sqref="F219:F220">
    <cfRule type="expression" dxfId="481" priority="1219">
      <formula>IF(OR(AND(F219="",G219="",OR(H217="Critical",H217="Major",H217="Minor"))),1,0)</formula>
    </cfRule>
  </conditionalFormatting>
  <conditionalFormatting sqref="G219:G220">
    <cfRule type="expression" dxfId="480" priority="1220">
      <formula>IF(OR(AND(G219="",H217="",OR(I217="Critical",I217="Major",I217="Minor"))),1,0)</formula>
    </cfRule>
  </conditionalFormatting>
  <conditionalFormatting sqref="F219:F220">
    <cfRule type="expression" dxfId="479" priority="1217">
      <formula>IF(AND(F219="",OR(E219="Accuracy",E219="Fluency",E219="Segment",E219="Other")),1,0)</formula>
    </cfRule>
  </conditionalFormatting>
  <conditionalFormatting sqref="G219:G220">
    <cfRule type="expression" dxfId="478" priority="1218">
      <formula>IF(AND(OR(G219="",#REF!="Segment"),OR(#REF!="Accuracy",#REF!="Fluency",#REF!="Other")),1,0)</formula>
    </cfRule>
  </conditionalFormatting>
  <conditionalFormatting sqref="E221:E222">
    <cfRule type="expression" dxfId="477" priority="1216">
      <formula>IF(OR(AND(E221="",F221="",OR(G221="Critical",G221="Major",G221="Minor"))),1,0)</formula>
    </cfRule>
  </conditionalFormatting>
  <conditionalFormatting sqref="F221:F222">
    <cfRule type="expression" dxfId="476" priority="1214">
      <formula>IF(OR(AND(F221="",G221="",OR(H219="Critical",H219="Major",H219="Minor"))),1,0)</formula>
    </cfRule>
  </conditionalFormatting>
  <conditionalFormatting sqref="G221:G222">
    <cfRule type="expression" dxfId="475" priority="1215">
      <formula>IF(OR(AND(G221="",H219="",OR(I219="Critical",I219="Major",I219="Minor"))),1,0)</formula>
    </cfRule>
  </conditionalFormatting>
  <conditionalFormatting sqref="F221:F222">
    <cfRule type="expression" dxfId="474" priority="1212">
      <formula>IF(AND(F221="",OR(E221="Accuracy",E221="Fluency",E221="Segment",E221="Other")),1,0)</formula>
    </cfRule>
  </conditionalFormatting>
  <conditionalFormatting sqref="G221:G222">
    <cfRule type="expression" dxfId="473" priority="1213">
      <formula>IF(AND(OR(G221="",#REF!="Segment"),OR(#REF!="Accuracy",#REF!="Fluency",#REF!="Other")),1,0)</formula>
    </cfRule>
  </conditionalFormatting>
  <conditionalFormatting sqref="G147:G151">
    <cfRule type="expression" dxfId="472" priority="1160">
      <formula>IF(OR(AND(G147="",H147="",OR(I147="Critical",I147="Major",I147="Minor"))),1,0)</formula>
    </cfRule>
  </conditionalFormatting>
  <conditionalFormatting sqref="G147:G151">
    <cfRule type="expression" dxfId="471" priority="1161">
      <formula>IF(AND(OR(G147="",#REF!="Segment"),OR(#REF!="Accuracy",#REF!="Fluency",#REF!="Other")),1,0)</formula>
    </cfRule>
  </conditionalFormatting>
  <conditionalFormatting sqref="G176">
    <cfRule type="expression" dxfId="470" priority="1158">
      <formula>IF(OR(AND(G176="",H176="",OR(I176="Critical",I176="Major",I176="Minor"))),1,0)</formula>
    </cfRule>
  </conditionalFormatting>
  <conditionalFormatting sqref="G176">
    <cfRule type="expression" dxfId="469" priority="1159">
      <formula>IF(AND(OR(G176="",#REF!="Segment"),OR(#REF!="Accuracy",#REF!="Fluency",#REF!="Other")),1,0)</formula>
    </cfRule>
  </conditionalFormatting>
  <conditionalFormatting sqref="E202:F202">
    <cfRule type="expression" dxfId="468" priority="1144">
      <formula>IF(OR(AND(E202="",F202="",OR(G202="Critical",G202="Major",G202="Minor"))),1,0)</formula>
    </cfRule>
  </conditionalFormatting>
  <conditionalFormatting sqref="F202">
    <cfRule type="expression" dxfId="467" priority="1143">
      <formula>IF(AND(F202="",OR(E202="Accuracy",E202="Fluency",E202="Segment",E202="Other")),1,0)</formula>
    </cfRule>
  </conditionalFormatting>
  <conditionalFormatting sqref="G202:G205">
    <cfRule type="expression" dxfId="466" priority="1145">
      <formula>IF(OR(AND(G202="",H202="",OR(I202="Critical",I202="Major",I202="Minor"))),1,0)</formula>
    </cfRule>
  </conditionalFormatting>
  <conditionalFormatting sqref="G202:G205">
    <cfRule type="expression" dxfId="465" priority="1146">
      <formula>IF(AND(OR(G202="",#REF!="Segment"),OR(#REF!="Accuracy",#REF!="Fluency",#REF!="Other")),1,0)</formula>
    </cfRule>
  </conditionalFormatting>
  <conditionalFormatting sqref="G206">
    <cfRule type="expression" dxfId="464" priority="1139">
      <formula>IF(OR(AND(G206="",H206="",OR(I206="Critical",I206="Major",I206="Minor"))),1,0)</formula>
    </cfRule>
  </conditionalFormatting>
  <conditionalFormatting sqref="G206">
    <cfRule type="expression" dxfId="463" priority="1140">
      <formula>IF(AND(OR(G206="",#REF!="Segment"),OR(#REF!="Accuracy",#REF!="Fluency",#REF!="Other")),1,0)</formula>
    </cfRule>
  </conditionalFormatting>
  <conditionalFormatting sqref="G207:G208">
    <cfRule type="expression" dxfId="462" priority="1136">
      <formula>IF(OR(AND(G207="",H207="",OR(I207="Critical",I207="Major",I207="Minor"))),1,0)</formula>
    </cfRule>
  </conditionalFormatting>
  <conditionalFormatting sqref="G207:G208">
    <cfRule type="expression" dxfId="461" priority="1137">
      <formula>IF(AND(OR(G207="",#REF!="Segment"),OR(#REF!="Accuracy",#REF!="Fluency",#REF!="Other")),1,0)</formula>
    </cfRule>
  </conditionalFormatting>
  <conditionalFormatting sqref="G209">
    <cfRule type="expression" dxfId="460" priority="1133">
      <formula>IF(OR(AND(G209="",H209="",OR(I209="Critical",I209="Major",I209="Minor"))),1,0)</formula>
    </cfRule>
  </conditionalFormatting>
  <conditionalFormatting sqref="G209">
    <cfRule type="expression" dxfId="459" priority="1134">
      <formula>IF(AND(OR(G209="",#REF!="Segment"),OR(#REF!="Accuracy",#REF!="Fluency",#REF!="Other")),1,0)</formula>
    </cfRule>
  </conditionalFormatting>
  <conditionalFormatting sqref="G210">
    <cfRule type="expression" dxfId="458" priority="1129">
      <formula>IF(OR(AND(G210="",H210="",OR(I210="Critical",I210="Major",I210="Minor"))),1,0)</formula>
    </cfRule>
  </conditionalFormatting>
  <conditionalFormatting sqref="G210">
    <cfRule type="expression" dxfId="457" priority="1130">
      <formula>IF(AND(OR(G210="",#REF!="Segment"),OR(#REF!="Accuracy",#REF!="Fluency",#REF!="Other")),1,0)</formula>
    </cfRule>
  </conditionalFormatting>
  <conditionalFormatting sqref="G211">
    <cfRule type="expression" dxfId="456" priority="1125">
      <formula>IF(OR(AND(G211="",H211="",OR(I211="Critical",I211="Major",I211="Minor"))),1,0)</formula>
    </cfRule>
  </conditionalFormatting>
  <conditionalFormatting sqref="G211">
    <cfRule type="expression" dxfId="455" priority="1126">
      <formula>IF(AND(OR(G211="",#REF!="Segment"),OR(#REF!="Accuracy",#REF!="Fluency",#REF!="Other")),1,0)</formula>
    </cfRule>
  </conditionalFormatting>
  <conditionalFormatting sqref="G212">
    <cfRule type="expression" dxfId="454" priority="1121">
      <formula>IF(OR(AND(G212="",H212="",OR(I212="Critical",I212="Major",I212="Minor"))),1,0)</formula>
    </cfRule>
  </conditionalFormatting>
  <conditionalFormatting sqref="G212">
    <cfRule type="expression" dxfId="453" priority="1122">
      <formula>IF(AND(OR(G212="",#REF!="Segment"),OR(#REF!="Accuracy",#REF!="Fluency",#REF!="Other")),1,0)</formula>
    </cfRule>
  </conditionalFormatting>
  <conditionalFormatting sqref="G223">
    <cfRule type="expression" dxfId="452" priority="1091">
      <formula>IF(OR(AND(G223="",H223="",OR(I223="Critical",I223="Major",I223="Minor"))),1,0)</formula>
    </cfRule>
  </conditionalFormatting>
  <conditionalFormatting sqref="G223">
    <cfRule type="expression" dxfId="451" priority="1092">
      <formula>IF(AND(OR(G223="",#REF!="Segment"),OR(#REF!="Accuracy",#REF!="Fluency",#REF!="Other")),1,0)</formula>
    </cfRule>
  </conditionalFormatting>
  <conditionalFormatting sqref="E224:E229">
    <cfRule type="expression" dxfId="450" priority="1089">
      <formula>IF(OR(AND(E224="",F224="",OR(G224="Critical",G224="Major",G224="Minor"))),1,0)</formula>
    </cfRule>
  </conditionalFormatting>
  <conditionalFormatting sqref="F224:F229">
    <cfRule type="expression" dxfId="449" priority="1087">
      <formula>IF(OR(AND(F224="",G224="",OR(H222="Critical",H222="Major",H222="Minor"))),1,0)</formula>
    </cfRule>
  </conditionalFormatting>
  <conditionalFormatting sqref="G224:G229">
    <cfRule type="expression" dxfId="448" priority="1088">
      <formula>IF(OR(AND(G224="",H222="",OR(I222="Critical",I222="Major",I222="Minor"))),1,0)</formula>
    </cfRule>
  </conditionalFormatting>
  <conditionalFormatting sqref="F224:F229">
    <cfRule type="expression" dxfId="447" priority="1085">
      <formula>IF(AND(F224="",OR(E224="Accuracy",E224="Fluency",E224="Segment",E224="Other")),1,0)</formula>
    </cfRule>
  </conditionalFormatting>
  <conditionalFormatting sqref="G224:G229">
    <cfRule type="expression" dxfId="446" priority="1086">
      <formula>IF(AND(OR(G224="",#REF!="Segment"),OR(#REF!="Accuracy",#REF!="Fluency",#REF!="Other")),1,0)</formula>
    </cfRule>
  </conditionalFormatting>
  <conditionalFormatting sqref="G230">
    <cfRule type="expression" dxfId="445" priority="1083">
      <formula>IF(OR(AND(G230="",H230="",OR(I230="Critical",I230="Major",I230="Minor"))),1,0)</formula>
    </cfRule>
  </conditionalFormatting>
  <conditionalFormatting sqref="G230">
    <cfRule type="expression" dxfId="444" priority="1084">
      <formula>IF(AND(OR(G230="",#REF!="Segment"),OR(#REF!="Accuracy",#REF!="Fluency",#REF!="Other")),1,0)</formula>
    </cfRule>
  </conditionalFormatting>
  <conditionalFormatting sqref="G231">
    <cfRule type="expression" dxfId="443" priority="1080">
      <formula>IF(OR(AND(G231="",H231="",OR(I231="Critical",I231="Major",I231="Minor"))),1,0)</formula>
    </cfRule>
  </conditionalFormatting>
  <conditionalFormatting sqref="G231">
    <cfRule type="expression" dxfId="442" priority="1081">
      <formula>IF(AND(OR(G231="",#REF!="Segment"),OR(#REF!="Accuracy",#REF!="Fluency",#REF!="Other")),1,0)</formula>
    </cfRule>
  </conditionalFormatting>
  <conditionalFormatting sqref="E232:E234">
    <cfRule type="expression" dxfId="441" priority="1078">
      <formula>IF(OR(AND(E232="",F232="",OR(G232="Critical",G232="Major",G232="Minor"))),1,0)</formula>
    </cfRule>
  </conditionalFormatting>
  <conditionalFormatting sqref="F232:F234">
    <cfRule type="expression" dxfId="440" priority="1076">
      <formula>IF(OR(AND(F232="",G232="",OR(H230="Critical",H230="Major",H230="Minor"))),1,0)</formula>
    </cfRule>
  </conditionalFormatting>
  <conditionalFormatting sqref="G232:G234">
    <cfRule type="expression" dxfId="439" priority="1077">
      <formula>IF(OR(AND(G232="",H230="",OR(I230="Critical",I230="Major",I230="Minor"))),1,0)</formula>
    </cfRule>
  </conditionalFormatting>
  <conditionalFormatting sqref="F232:F234">
    <cfRule type="expression" dxfId="438" priority="1074">
      <formula>IF(AND(F232="",OR(E232="Accuracy",E232="Fluency",E232="Segment",E232="Other")),1,0)</formula>
    </cfRule>
  </conditionalFormatting>
  <conditionalFormatting sqref="G232:G234">
    <cfRule type="expression" dxfId="437" priority="1075">
      <formula>IF(AND(OR(G232="",#REF!="Segment"),OR(#REF!="Accuracy",#REF!="Fluency",#REF!="Other")),1,0)</formula>
    </cfRule>
  </conditionalFormatting>
  <conditionalFormatting sqref="G237">
    <cfRule type="expression" dxfId="436" priority="1072">
      <formula>IF(OR(AND(G237="",H237="",OR(I237="Critical",I237="Major",I237="Minor"))),1,0)</formula>
    </cfRule>
  </conditionalFormatting>
  <conditionalFormatting sqref="G237">
    <cfRule type="expression" dxfId="435" priority="1073">
      <formula>IF(AND(OR(G237="",#REF!="Segment"),OR(#REF!="Accuracy",#REF!="Fluency",#REF!="Other")),1,0)</formula>
    </cfRule>
  </conditionalFormatting>
  <conditionalFormatting sqref="G242">
    <cfRule type="expression" dxfId="434" priority="1043">
      <formula>IF(AND(OR(G242="",#REF!="Segment"),OR(#REF!="Accuracy",#REF!="Fluency",#REF!="Other")),1,0)</formula>
    </cfRule>
  </conditionalFormatting>
  <conditionalFormatting sqref="G236">
    <cfRule type="expression" dxfId="433" priority="1066">
      <formula>IF(OR(AND(G236="",H236="",OR(I236="Critical",I236="Major",I236="Minor"))),1,0)</formula>
    </cfRule>
  </conditionalFormatting>
  <conditionalFormatting sqref="G236">
    <cfRule type="expression" dxfId="432" priority="1067">
      <formula>IF(AND(OR(G236="",#REF!="Segment"),OR(#REF!="Accuracy",#REF!="Fluency",#REF!="Other")),1,0)</formula>
    </cfRule>
  </conditionalFormatting>
  <conditionalFormatting sqref="E239:G240">
    <cfRule type="expression" dxfId="431" priority="1048">
      <formula>IF(OR(AND(E239="",F239="",OR(G239="Critical",G239="Major",G239="Minor"))),1,0)</formula>
    </cfRule>
  </conditionalFormatting>
  <conditionalFormatting sqref="F239:F240">
    <cfRule type="expression" dxfId="430" priority="1047">
      <formula>IF(AND(F239="",OR(E239="Accuracy",E239="Fluency",E239="Segment",E239="Other")),1,0)</formula>
    </cfRule>
  </conditionalFormatting>
  <conditionalFormatting sqref="G239:G240">
    <cfRule type="expression" dxfId="429" priority="1049">
      <formula>IF(AND(OR(G239="",#REF!="Segment"),OR(#REF!="Accuracy",#REF!="Fluency",#REF!="Other")),1,0)</formula>
    </cfRule>
  </conditionalFormatting>
  <conditionalFormatting sqref="G241">
    <cfRule type="expression" dxfId="428" priority="1045">
      <formula>IF(OR(AND(G241="",H241="",OR(I241="Critical",I241="Major",I241="Minor"))),1,0)</formula>
    </cfRule>
  </conditionalFormatting>
  <conditionalFormatting sqref="G241">
    <cfRule type="expression" dxfId="427" priority="1046">
      <formula>IF(AND(OR(G241="",#REF!="Segment"),OR(#REF!="Accuracy",#REF!="Fluency",#REF!="Other")),1,0)</formula>
    </cfRule>
  </conditionalFormatting>
  <conditionalFormatting sqref="G242">
    <cfRule type="expression" dxfId="426" priority="1042">
      <formula>IF(OR(AND(G242="",H242="",OR(I242="Critical",I242="Major",I242="Minor"))),1,0)</formula>
    </cfRule>
  </conditionalFormatting>
  <conditionalFormatting sqref="E38:F38">
    <cfRule type="expression" dxfId="425" priority="298">
      <formula>IF(OR(AND(E38="",F38="",OR(G38="Critical",G38="Major",G38="Minor"))),1,0)</formula>
    </cfRule>
  </conditionalFormatting>
  <conditionalFormatting sqref="F38">
    <cfRule type="expression" dxfId="424" priority="297">
      <formula>IF(AND(F38="",OR(E38="Accuracy",E38="Fluency",E38="Segment",E38="Other")),1,0)</formula>
    </cfRule>
  </conditionalFormatting>
  <conditionalFormatting sqref="E41:F41">
    <cfRule type="expression" dxfId="423" priority="288">
      <formula>IF(OR(AND(E41="",F41="",OR(G41="Critical",G41="Major",G41="Minor"))),1,0)</formula>
    </cfRule>
  </conditionalFormatting>
  <conditionalFormatting sqref="F41">
    <cfRule type="expression" dxfId="422" priority="287">
      <formula>IF(AND(F41="",OR(E41="Accuracy",E41="Fluency",E41="Segment",E41="Other")),1,0)</formula>
    </cfRule>
  </conditionalFormatting>
  <conditionalFormatting sqref="G42">
    <cfRule type="expression" dxfId="421" priority="282">
      <formula>IF(OR(AND(G42="",H42="",OR(I42="Critical",I42="Major",I42="Minor"))),1,0)</formula>
    </cfRule>
  </conditionalFormatting>
  <conditionalFormatting sqref="E44:F44">
    <cfRule type="expression" dxfId="420" priority="279">
      <formula>IF(OR(AND(E44="",F44="",OR(G44="Critical",G44="Major",G44="Minor"))),1,0)</formula>
    </cfRule>
  </conditionalFormatting>
  <conditionalFormatting sqref="F44">
    <cfRule type="expression" dxfId="419" priority="278">
      <formula>IF(AND(F44="",OR(E44="Accuracy",E44="Fluency",E44="Segment",E44="Other")),1,0)</formula>
    </cfRule>
  </conditionalFormatting>
  <conditionalFormatting sqref="E47:F47">
    <cfRule type="expression" dxfId="418" priority="269">
      <formula>IF(OR(AND(E47="",F47="",OR(G47="Critical",G47="Major",G47="Minor"))),1,0)</formula>
    </cfRule>
  </conditionalFormatting>
  <conditionalFormatting sqref="F47">
    <cfRule type="expression" dxfId="417" priority="268">
      <formula>IF(AND(F47="",OR(E47="Accuracy",E47="Fluency",E47="Segment",E47="Other")),1,0)</formula>
    </cfRule>
  </conditionalFormatting>
  <conditionalFormatting sqref="E49:G49">
    <cfRule type="expression" dxfId="416" priority="263">
      <formula>IF(OR(AND(E49="",F49="",OR(G49="Critical",G49="Major",G49="Minor"))),1,0)</formula>
    </cfRule>
  </conditionalFormatting>
  <conditionalFormatting sqref="E54:F55">
    <cfRule type="expression" dxfId="415" priority="253">
      <formula>IF(OR(AND(E54="",F54="",OR(G54="Critical",G54="Major",G54="Minor"))),1,0)</formula>
    </cfRule>
  </conditionalFormatting>
  <conditionalFormatting sqref="F54:F55">
    <cfRule type="expression" dxfId="414" priority="252">
      <formula>IF(AND(F54="",OR(E54="Accuracy",E54="Fluency",E54="Segment",E54="Other")),1,0)</formula>
    </cfRule>
  </conditionalFormatting>
  <conditionalFormatting sqref="G58:G59">
    <cfRule type="expression" dxfId="413" priority="243">
      <formula>IF(AND(OR(G58="",#REF!="Segment"),OR(#REF!="Accuracy",#REF!="Fluency",#REF!="Other")),1,0)</formula>
    </cfRule>
  </conditionalFormatting>
  <conditionalFormatting sqref="G68">
    <cfRule type="expression" dxfId="412" priority="224">
      <formula>IF(OR(AND(G68="",H68="",OR(I68="Critical",I68="Major",I68="Minor"))),1,0)</formula>
    </cfRule>
  </conditionalFormatting>
  <conditionalFormatting sqref="G69">
    <cfRule type="expression" dxfId="411" priority="222">
      <formula>IF(OR(AND(G69="",H69="",OR(I69="Critical",I69="Major",I69="Minor"))),1,0)</formula>
    </cfRule>
  </conditionalFormatting>
  <conditionalFormatting sqref="G69">
    <cfRule type="expression" dxfId="410" priority="221">
      <formula>IF(AND(OR(G69="",#REF!="Segment"),OR(#REF!="Accuracy",#REF!="Fluency",#REF!="Other")),1,0)</formula>
    </cfRule>
  </conditionalFormatting>
  <conditionalFormatting sqref="E73">
    <cfRule type="expression" dxfId="409" priority="213">
      <formula>IF(OR(AND(E73="",F73="",OR(G73="Critical",G73="Major",G73="Minor"))),1,0)</formula>
    </cfRule>
  </conditionalFormatting>
  <conditionalFormatting sqref="F73">
    <cfRule type="expression" dxfId="408" priority="212">
      <formula>IF(AND(F73="",OR(E73="Accuracy",E73="Fluency",E73="Segment",E73="Other")),1,0)</formula>
    </cfRule>
  </conditionalFormatting>
  <conditionalFormatting sqref="G75">
    <cfRule type="expression" dxfId="407" priority="203">
      <formula>IF(OR(AND(G75="",H75="",OR(I75="Critical",I75="Major",I75="Minor"))),1,0)</formula>
    </cfRule>
  </conditionalFormatting>
  <conditionalFormatting sqref="E78">
    <cfRule type="expression" dxfId="406" priority="195">
      <formula>IF(OR(AND(E78="",F78="",OR(G78="Critical",G78="Major",G78="Minor"))),1,0)</formula>
    </cfRule>
  </conditionalFormatting>
  <conditionalFormatting sqref="E79">
    <cfRule type="expression" dxfId="405" priority="190">
      <formula>IF(OR(AND(E79="",F79="",OR(G79="Critical",G79="Major",G79="Minor"))),1,0)</formula>
    </cfRule>
  </conditionalFormatting>
  <conditionalFormatting sqref="E80:F80">
    <cfRule type="expression" dxfId="404" priority="183">
      <formula>IF(OR(AND(E80="",F80="",OR(G80="Critical",G80="Major",G80="Minor"))),1,0)</formula>
    </cfRule>
  </conditionalFormatting>
  <conditionalFormatting sqref="F80">
    <cfRule type="expression" dxfId="403" priority="182">
      <formula>IF(AND(F80="",OR(E80="Accuracy",E80="Fluency",E80="Segment",E80="Other")),1,0)</formula>
    </cfRule>
  </conditionalFormatting>
  <conditionalFormatting sqref="E81">
    <cfRule type="expression" dxfId="402" priority="181">
      <formula>IF(OR(AND(E81="",F81="",OR(G81="Critical",G81="Major",G81="Minor"))),1,0)</formula>
    </cfRule>
  </conditionalFormatting>
  <conditionalFormatting sqref="G82">
    <cfRule type="expression" dxfId="401" priority="176">
      <formula>IF(AND(OR(G82="",#REF!="Segment"),OR(#REF!="Accuracy",#REF!="Fluency",#REF!="Other")),1,0)</formula>
    </cfRule>
  </conditionalFormatting>
  <conditionalFormatting sqref="G82">
    <cfRule type="expression" dxfId="400" priority="175">
      <formula>IF(OR(AND(G82="",H82="",OR(I82="Critical",I82="Major",I82="Minor"))),1,0)</formula>
    </cfRule>
  </conditionalFormatting>
  <conditionalFormatting sqref="G83">
    <cfRule type="expression" dxfId="399" priority="172">
      <formula>IF(AND(OR(G83="",#REF!="Segment"),OR(#REF!="Accuracy",#REF!="Fluency",#REF!="Other")),1,0)</formula>
    </cfRule>
  </conditionalFormatting>
  <conditionalFormatting sqref="G83">
    <cfRule type="expression" dxfId="398" priority="171">
      <formula>IF(OR(AND(G83="",H83="",OR(I83="Critical",I83="Major",I83="Minor"))),1,0)</formula>
    </cfRule>
  </conditionalFormatting>
  <conditionalFormatting sqref="G84">
    <cfRule type="expression" dxfId="397" priority="168">
      <formula>IF(AND(OR(G84="",#REF!="Segment"),OR(#REF!="Accuracy",#REF!="Fluency",#REF!="Other")),1,0)</formula>
    </cfRule>
  </conditionalFormatting>
  <conditionalFormatting sqref="E84:F84">
    <cfRule type="expression" dxfId="396" priority="166">
      <formula>IF(OR(AND(E84="",F84="",OR(G84="Critical",G84="Major",G84="Minor"))),1,0)</formula>
    </cfRule>
  </conditionalFormatting>
  <conditionalFormatting sqref="F84">
    <cfRule type="expression" dxfId="395" priority="165">
      <formula>IF(AND(F84="",OR(E84="Accuracy",E84="Fluency",E84="Segment",E84="Other")),1,0)</formula>
    </cfRule>
  </conditionalFormatting>
  <conditionalFormatting sqref="E85">
    <cfRule type="expression" dxfId="394" priority="164">
      <formula>IF(OR(AND(E85="",F85="",OR(G85="Critical",G85="Major",G85="Minor"))),1,0)</formula>
    </cfRule>
  </conditionalFormatting>
  <conditionalFormatting sqref="F87">
    <cfRule type="expression" dxfId="393" priority="151">
      <formula>IF(AND(F87="",OR(E87="Accuracy",E87="Fluency",E87="Segment",E87="Other")),1,0)</formula>
    </cfRule>
  </conditionalFormatting>
  <conditionalFormatting sqref="E92:F92">
    <cfRule type="expression" dxfId="392" priority="144">
      <formula>IF(OR(AND(E92="",F92="",OR(G92="Critical",G92="Major",G92="Minor"))),1,0)</formula>
    </cfRule>
  </conditionalFormatting>
  <conditionalFormatting sqref="F92">
    <cfRule type="expression" dxfId="391" priority="143">
      <formula>IF(AND(F92="",OR(E92="Accuracy",E92="Fluency",E92="Segment",E92="Other")),1,0)</formula>
    </cfRule>
  </conditionalFormatting>
  <conditionalFormatting sqref="F93">
    <cfRule type="expression" dxfId="390" priority="141">
      <formula>IF(AND(F93="",OR(E93="Accuracy",E93="Fluency",E93="Segment",E93="Other")),1,0)</formula>
    </cfRule>
  </conditionalFormatting>
  <conditionalFormatting sqref="G95">
    <cfRule type="expression" dxfId="389" priority="131">
      <formula>IF(OR(AND(G95="",H95="",OR(I95="Critical",I95="Major",I95="Minor"))),1,0)</formula>
    </cfRule>
  </conditionalFormatting>
  <conditionalFormatting sqref="E17:G17">
    <cfRule type="expression" dxfId="388" priority="411">
      <formula>IF(OR(AND(E17="",F17="",OR(G17="Critical",G17="Major",G17="Minor"))),1,0)</formula>
    </cfRule>
  </conditionalFormatting>
  <conditionalFormatting sqref="F17">
    <cfRule type="expression" dxfId="387" priority="410">
      <formula>IF(AND(F17="",OR(E17="Accuracy",E17="Fluency",E17="Segment",E17="Other")),1,0)</formula>
    </cfRule>
  </conditionalFormatting>
  <conditionalFormatting sqref="G17">
    <cfRule type="expression" dxfId="386" priority="412">
      <formula>IF(AND(OR(G17="",#REF!="Segment"),OR(#REF!="Accuracy",#REF!="Fluency",#REF!="Other")),1,0)</formula>
    </cfRule>
  </conditionalFormatting>
  <conditionalFormatting sqref="E65:G65">
    <cfRule type="expression" dxfId="385" priority="373">
      <formula>IF(OR(AND(E65="",F65="",OR(G65="Critical",G65="Major",G65="Minor"))),1,0)</formula>
    </cfRule>
  </conditionalFormatting>
  <conditionalFormatting sqref="F65">
    <cfRule type="expression" dxfId="384" priority="372">
      <formula>IF(AND(F65="",OR(E65="Accuracy",E65="Fluency",E65="Segment",E65="Other")),1,0)</formula>
    </cfRule>
  </conditionalFormatting>
  <conditionalFormatting sqref="G65">
    <cfRule type="expression" dxfId="383" priority="374">
      <formula>IF(AND(OR(G65="",#REF!="Segment"),OR(#REF!="Accuracy",#REF!="Fluency",#REF!="Other")),1,0)</formula>
    </cfRule>
  </conditionalFormatting>
  <conditionalFormatting sqref="E35:F35">
    <cfRule type="expression" dxfId="382" priority="382">
      <formula>IF(OR(AND(E35="",F35="",OR(G35="Critical",G35="Major",G35="Minor"))),1,0)</formula>
    </cfRule>
  </conditionalFormatting>
  <conditionalFormatting sqref="E60:G60">
    <cfRule type="expression" dxfId="381" priority="376">
      <formula>IF(OR(AND(E60="",F60="",OR(G60="Critical",G60="Major",G60="Minor"))),1,0)</formula>
    </cfRule>
  </conditionalFormatting>
  <conditionalFormatting sqref="F60">
    <cfRule type="expression" dxfId="380" priority="375">
      <formula>IF(AND(F60="",OR(E60="Accuracy",E60="Fluency",E60="Segment",E60="Other")),1,0)</formula>
    </cfRule>
  </conditionalFormatting>
  <conditionalFormatting sqref="G60">
    <cfRule type="expression" dxfId="379" priority="377">
      <formula>IF(AND(OR(G60="",#REF!="Segment"),OR(#REF!="Accuracy",#REF!="Fluency",#REF!="Other")),1,0)</formula>
    </cfRule>
  </conditionalFormatting>
  <conditionalFormatting sqref="E10:F10">
    <cfRule type="expression" dxfId="378" priority="371">
      <formula>IF(OR(AND(E10="",F10="",OR(G10="Critical",G10="Major",G10="Minor"))),1,0)</formula>
    </cfRule>
  </conditionalFormatting>
  <conditionalFormatting sqref="F10">
    <cfRule type="expression" dxfId="377" priority="370">
      <formula>IF(AND(F10="",OR(E10="Accuracy",E10="Fluency",E10="Segment",E10="Other")),1,0)</formula>
    </cfRule>
  </conditionalFormatting>
  <conditionalFormatting sqref="G10">
    <cfRule type="expression" dxfId="376" priority="368">
      <formula>IF(OR(AND(G10="",H10="",OR(I10="Critical",I10="Major",I10="Minor"))),1,0)</formula>
    </cfRule>
  </conditionalFormatting>
  <conditionalFormatting sqref="G10">
    <cfRule type="expression" dxfId="375" priority="369">
      <formula>IF(AND(OR(G10="",#REF!="Segment"),OR(#REF!="Accuracy",#REF!="Fluency",#REF!="Other")),1,0)</formula>
    </cfRule>
  </conditionalFormatting>
  <conditionalFormatting sqref="E11:G11">
    <cfRule type="expression" dxfId="374" priority="366">
      <formula>IF(OR(AND(E11="",F11="",OR(G11="Critical",G11="Major",G11="Minor"))),1,0)</formula>
    </cfRule>
  </conditionalFormatting>
  <conditionalFormatting sqref="F11">
    <cfRule type="expression" dxfId="373" priority="365">
      <formula>IF(AND(F11="",OR(E11="Accuracy",E11="Fluency",E11="Segment",E11="Other")),1,0)</formula>
    </cfRule>
  </conditionalFormatting>
  <conditionalFormatting sqref="G11">
    <cfRule type="expression" dxfId="372" priority="367">
      <formula>IF(AND(OR(G11="",#REF!="Segment"),OR(#REF!="Accuracy",#REF!="Fluency",#REF!="Other")),1,0)</formula>
    </cfRule>
  </conditionalFormatting>
  <conditionalFormatting sqref="E12:G12">
    <cfRule type="expression" dxfId="371" priority="363">
      <formula>IF(OR(AND(E12="",F12="",OR(G12="Critical",G12="Major",G12="Minor"))),1,0)</formula>
    </cfRule>
  </conditionalFormatting>
  <conditionalFormatting sqref="F12">
    <cfRule type="expression" dxfId="370" priority="362">
      <formula>IF(AND(F12="",OR(E12="Accuracy",E12="Fluency",E12="Segment",E12="Other")),1,0)</formula>
    </cfRule>
  </conditionalFormatting>
  <conditionalFormatting sqref="G12">
    <cfRule type="expression" dxfId="369" priority="364">
      <formula>IF(AND(OR(G12="",#REF!="Segment"),OR(#REF!="Accuracy",#REF!="Fluency",#REF!="Other")),1,0)</formula>
    </cfRule>
  </conditionalFormatting>
  <conditionalFormatting sqref="E13:G13">
    <cfRule type="expression" dxfId="368" priority="360">
      <formula>IF(OR(AND(E13="",F13="",OR(G13="Critical",G13="Major",G13="Minor"))),1,0)</formula>
    </cfRule>
  </conditionalFormatting>
  <conditionalFormatting sqref="F13">
    <cfRule type="expression" dxfId="367" priority="359">
      <formula>IF(AND(F13="",OR(E13="Accuracy",E13="Fluency",E13="Segment",E13="Other")),1,0)</formula>
    </cfRule>
  </conditionalFormatting>
  <conditionalFormatting sqref="G13">
    <cfRule type="expression" dxfId="366" priority="361">
      <formula>IF(AND(OR(G13="",#REF!="Segment"),OR(#REF!="Accuracy",#REF!="Fluency",#REF!="Other")),1,0)</formula>
    </cfRule>
  </conditionalFormatting>
  <conditionalFormatting sqref="E15:F15">
    <cfRule type="expression" dxfId="365" priority="358">
      <formula>IF(OR(AND(E15="",F15="",OR(G15="Critical",G15="Major",G15="Minor"))),1,0)</formula>
    </cfRule>
  </conditionalFormatting>
  <conditionalFormatting sqref="F15">
    <cfRule type="expression" dxfId="364" priority="357">
      <formula>IF(AND(F15="",OR(E15="Accuracy",E15="Fluency",E15="Segment",E15="Other")),1,0)</formula>
    </cfRule>
  </conditionalFormatting>
  <conditionalFormatting sqref="G15">
    <cfRule type="expression" dxfId="363" priority="355">
      <formula>IF(OR(AND(G15="",H15="",OR(I15="Critical",I15="Major",I15="Minor"))),1,0)</formula>
    </cfRule>
  </conditionalFormatting>
  <conditionalFormatting sqref="G15">
    <cfRule type="expression" dxfId="362" priority="356">
      <formula>IF(AND(OR(G15="",#REF!="Segment"),OR(#REF!="Accuracy",#REF!="Fluency",#REF!="Other")),1,0)</formula>
    </cfRule>
  </conditionalFormatting>
  <conditionalFormatting sqref="E16:G16">
    <cfRule type="expression" dxfId="361" priority="353">
      <formula>IF(OR(AND(E16="",F16="",OR(G16="Critical",G16="Major",G16="Minor"))),1,0)</formula>
    </cfRule>
  </conditionalFormatting>
  <conditionalFormatting sqref="F16">
    <cfRule type="expression" dxfId="360" priority="352">
      <formula>IF(AND(F16="",OR(E16="Accuracy",E16="Fluency",E16="Segment",E16="Other")),1,0)</formula>
    </cfRule>
  </conditionalFormatting>
  <conditionalFormatting sqref="G16">
    <cfRule type="expression" dxfId="359" priority="354">
      <formula>IF(AND(OR(G16="",#REF!="Segment"),OR(#REF!="Accuracy",#REF!="Fluency",#REF!="Other")),1,0)</formula>
    </cfRule>
  </conditionalFormatting>
  <conditionalFormatting sqref="E18:G18">
    <cfRule type="expression" dxfId="358" priority="350">
      <formula>IF(OR(AND(E18="",F18="",OR(G18="Critical",G18="Major",G18="Minor"))),1,0)</formula>
    </cfRule>
  </conditionalFormatting>
  <conditionalFormatting sqref="F18">
    <cfRule type="expression" dxfId="357" priority="349">
      <formula>IF(AND(F18="",OR(E18="Accuracy",E18="Fluency",E18="Segment",E18="Other")),1,0)</formula>
    </cfRule>
  </conditionalFormatting>
  <conditionalFormatting sqref="G18">
    <cfRule type="expression" dxfId="356" priority="351">
      <formula>IF(AND(OR(G18="",#REF!="Segment"),OR(#REF!="Accuracy",#REF!="Fluency",#REF!="Other")),1,0)</formula>
    </cfRule>
  </conditionalFormatting>
  <conditionalFormatting sqref="E21:F21">
    <cfRule type="expression" dxfId="355" priority="348">
      <formula>IF(OR(AND(E21="",F21="",OR(G21="Critical",G21="Major",G21="Minor"))),1,0)</formula>
    </cfRule>
  </conditionalFormatting>
  <conditionalFormatting sqref="F21">
    <cfRule type="expression" dxfId="354" priority="347">
      <formula>IF(AND(F21="",OR(E21="Accuracy",E21="Fluency",E21="Segment",E21="Other")),1,0)</formula>
    </cfRule>
  </conditionalFormatting>
  <conditionalFormatting sqref="G21">
    <cfRule type="expression" dxfId="353" priority="345">
      <formula>IF(OR(AND(G21="",H21="",OR(I21="Critical",I21="Major",I21="Minor"))),1,0)</formula>
    </cfRule>
  </conditionalFormatting>
  <conditionalFormatting sqref="G21">
    <cfRule type="expression" dxfId="352" priority="346">
      <formula>IF(AND(OR(G21="",#REF!="Segment"),OR(#REF!="Accuracy",#REF!="Fluency",#REF!="Other")),1,0)</formula>
    </cfRule>
  </conditionalFormatting>
  <conditionalFormatting sqref="E22:G22">
    <cfRule type="expression" dxfId="351" priority="343">
      <formula>IF(OR(AND(E22="",F22="",OR(G22="Critical",G22="Major",G22="Minor"))),1,0)</formula>
    </cfRule>
  </conditionalFormatting>
  <conditionalFormatting sqref="F22">
    <cfRule type="expression" dxfId="350" priority="342">
      <formula>IF(AND(F22="",OR(E22="Accuracy",E22="Fluency",E22="Segment",E22="Other")),1,0)</formula>
    </cfRule>
  </conditionalFormatting>
  <conditionalFormatting sqref="G22">
    <cfRule type="expression" dxfId="349" priority="344">
      <formula>IF(AND(OR(G22="",#REF!="Segment"),OR(#REF!="Accuracy",#REF!="Fluency",#REF!="Other")),1,0)</formula>
    </cfRule>
  </conditionalFormatting>
  <conditionalFormatting sqref="E24:F24">
    <cfRule type="expression" dxfId="348" priority="341">
      <formula>IF(OR(AND(E24="",F24="",OR(G24="Critical",G24="Major",G24="Minor"))),1,0)</formula>
    </cfRule>
  </conditionalFormatting>
  <conditionalFormatting sqref="F24">
    <cfRule type="expression" dxfId="347" priority="340">
      <formula>IF(AND(F24="",OR(E24="Accuracy",E24="Fluency",E24="Segment",E24="Other")),1,0)</formula>
    </cfRule>
  </conditionalFormatting>
  <conditionalFormatting sqref="G24">
    <cfRule type="expression" dxfId="346" priority="338">
      <formula>IF(OR(AND(G24="",H24="",OR(I24="Critical",I24="Major",I24="Minor"))),1,0)</formula>
    </cfRule>
  </conditionalFormatting>
  <conditionalFormatting sqref="G24">
    <cfRule type="expression" dxfId="345" priority="339">
      <formula>IF(AND(OR(G24="",#REF!="Segment"),OR(#REF!="Accuracy",#REF!="Fluency",#REF!="Other")),1,0)</formula>
    </cfRule>
  </conditionalFormatting>
  <conditionalFormatting sqref="E25:F25">
    <cfRule type="expression" dxfId="344" priority="337">
      <formula>IF(OR(AND(E25="",F25="",OR(G25="Critical",G25="Major",G25="Minor"))),1,0)</formula>
    </cfRule>
  </conditionalFormatting>
  <conditionalFormatting sqref="F25">
    <cfRule type="expression" dxfId="343" priority="336">
      <formula>IF(AND(F25="",OR(E25="Accuracy",E25="Fluency",E25="Segment",E25="Other")),1,0)</formula>
    </cfRule>
  </conditionalFormatting>
  <conditionalFormatting sqref="G25">
    <cfRule type="expression" dxfId="342" priority="335">
      <formula>IF(OR(AND(G25="",H25="",OR(I25="Critical",I25="Major",I25="Minor"))),1,0)</formula>
    </cfRule>
  </conditionalFormatting>
  <conditionalFormatting sqref="G25">
    <cfRule type="expression" dxfId="341" priority="334">
      <formula>IF(AND(OR(G25="",#REF!="Segment"),OR(#REF!="Accuracy",#REF!="Fluency",#REF!="Other")),1,0)</formula>
    </cfRule>
  </conditionalFormatting>
  <conditionalFormatting sqref="E26:G26">
    <cfRule type="expression" dxfId="340" priority="332">
      <formula>IF(OR(AND(E26="",F26="",OR(G26="Critical",G26="Major",G26="Minor"))),1,0)</formula>
    </cfRule>
  </conditionalFormatting>
  <conditionalFormatting sqref="F26">
    <cfRule type="expression" dxfId="339" priority="331">
      <formula>IF(AND(F26="",OR(E26="Accuracy",E26="Fluency",E26="Segment",E26="Other")),1,0)</formula>
    </cfRule>
  </conditionalFormatting>
  <conditionalFormatting sqref="G26">
    <cfRule type="expression" dxfId="338" priority="333">
      <formula>IF(AND(OR(G26="",#REF!="Segment"),OR(#REF!="Accuracy",#REF!="Fluency",#REF!="Other")),1,0)</formula>
    </cfRule>
  </conditionalFormatting>
  <conditionalFormatting sqref="E27:F27">
    <cfRule type="expression" dxfId="337" priority="330">
      <formula>IF(OR(AND(E27="",F27="",OR(G27="Critical",G27="Major",G27="Minor"))),1,0)</formula>
    </cfRule>
  </conditionalFormatting>
  <conditionalFormatting sqref="F27">
    <cfRule type="expression" dxfId="336" priority="329">
      <formula>IF(AND(F27="",OR(E27="Accuracy",E27="Fluency",E27="Segment",E27="Other")),1,0)</formula>
    </cfRule>
  </conditionalFormatting>
  <conditionalFormatting sqref="G29">
    <cfRule type="expression" dxfId="335" priority="327">
      <formula>IF(AND(OR(G29="",#REF!="Segment"),OR(#REF!="Accuracy",#REF!="Fluency",#REF!="Other")),1,0)</formula>
    </cfRule>
  </conditionalFormatting>
  <conditionalFormatting sqref="G29">
    <cfRule type="expression" dxfId="334" priority="328">
      <formula>IF(OR(AND(G29="",#REF!="",OR(I29="Critical",I29="Major",I29="Minor"))),1,0)</formula>
    </cfRule>
  </conditionalFormatting>
  <conditionalFormatting sqref="E29:F29">
    <cfRule type="expression" dxfId="333" priority="326">
      <formula>IF(OR(AND(E29="",F29="",OR(G29="Critical",G29="Major",G29="Minor"))),1,0)</formula>
    </cfRule>
  </conditionalFormatting>
  <conditionalFormatting sqref="F29">
    <cfRule type="expression" dxfId="332" priority="325">
      <formula>IF(AND(F29="",OR(E29="Accuracy",E29="Fluency",E29="Segment",E29="Other")),1,0)</formula>
    </cfRule>
  </conditionalFormatting>
  <conditionalFormatting sqref="E30:G30">
    <cfRule type="expression" dxfId="331" priority="323">
      <formula>IF(OR(AND(E30="",F30="",OR(G30="Critical",G30="Major",G30="Minor"))),1,0)</formula>
    </cfRule>
  </conditionalFormatting>
  <conditionalFormatting sqref="F30">
    <cfRule type="expression" dxfId="330" priority="322">
      <formula>IF(AND(F30="",OR(E30="Accuracy",E30="Fluency",E30="Segment",E30="Other")),1,0)</formula>
    </cfRule>
  </conditionalFormatting>
  <conditionalFormatting sqref="G30">
    <cfRule type="expression" dxfId="329" priority="324">
      <formula>IF(AND(OR(G30="",#REF!="Segment"),OR(#REF!="Accuracy",#REF!="Fluency",#REF!="Other")),1,0)</formula>
    </cfRule>
  </conditionalFormatting>
  <conditionalFormatting sqref="E31:F31">
    <cfRule type="expression" dxfId="328" priority="321">
      <formula>IF(OR(AND(E31="",F31="",OR(G31="Critical",G31="Major",G31="Minor"))),1,0)</formula>
    </cfRule>
  </conditionalFormatting>
  <conditionalFormatting sqref="F31">
    <cfRule type="expression" dxfId="327" priority="320">
      <formula>IF(AND(F31="",OR(E31="Accuracy",E31="Fluency",E31="Segment",E31="Other")),1,0)</formula>
    </cfRule>
  </conditionalFormatting>
  <conditionalFormatting sqref="G31">
    <cfRule type="expression" dxfId="326" priority="318">
      <formula>IF(OR(AND(G31="",H31="",OR(I31="Critical",I31="Major",I31="Minor"))),1,0)</formula>
    </cfRule>
  </conditionalFormatting>
  <conditionalFormatting sqref="G31">
    <cfRule type="expression" dxfId="325" priority="319">
      <formula>IF(AND(OR(G31="",#REF!="Segment"),OR(#REF!="Accuracy",#REF!="Fluency",#REF!="Other")),1,0)</formula>
    </cfRule>
  </conditionalFormatting>
  <conditionalFormatting sqref="E32:G32">
    <cfRule type="expression" dxfId="324" priority="316">
      <formula>IF(OR(AND(E32="",F32="",OR(G32="Critical",G32="Major",G32="Minor"))),1,0)</formula>
    </cfRule>
  </conditionalFormatting>
  <conditionalFormatting sqref="F32">
    <cfRule type="expression" dxfId="323" priority="315">
      <formula>IF(AND(F32="",OR(E32="Accuracy",E32="Fluency",E32="Segment",E32="Other")),1,0)</formula>
    </cfRule>
  </conditionalFormatting>
  <conditionalFormatting sqref="G32">
    <cfRule type="expression" dxfId="322" priority="317">
      <formula>IF(AND(OR(G32="",#REF!="Segment"),OR(#REF!="Accuracy",#REF!="Fluency",#REF!="Other")),1,0)</formula>
    </cfRule>
  </conditionalFormatting>
  <conditionalFormatting sqref="E33:F33">
    <cfRule type="expression" dxfId="321" priority="314">
      <formula>IF(OR(AND(E33="",F33="",OR(G33="Critical",G33="Major",G33="Minor"))),1,0)</formula>
    </cfRule>
  </conditionalFormatting>
  <conditionalFormatting sqref="F33">
    <cfRule type="expression" dxfId="320" priority="313">
      <formula>IF(AND(F33="",OR(E33="Accuracy",E33="Fluency",E33="Segment",E33="Other")),1,0)</formula>
    </cfRule>
  </conditionalFormatting>
  <conditionalFormatting sqref="G33">
    <cfRule type="expression" dxfId="319" priority="311">
      <formula>IF(OR(AND(G33="",H33="",OR(I33="Critical",I33="Major",I33="Minor"))),1,0)</formula>
    </cfRule>
  </conditionalFormatting>
  <conditionalFormatting sqref="G33">
    <cfRule type="expression" dxfId="318" priority="312">
      <formula>IF(AND(OR(G33="",#REF!="Segment"),OR(#REF!="Accuracy",#REF!="Fluency",#REF!="Other")),1,0)</formula>
    </cfRule>
  </conditionalFormatting>
  <conditionalFormatting sqref="E34:F34">
    <cfRule type="expression" dxfId="317" priority="310">
      <formula>IF(OR(AND(E34="",F34="",OR(G34="Critical",G34="Major",G34="Minor"))),1,0)</formula>
    </cfRule>
  </conditionalFormatting>
  <conditionalFormatting sqref="F34">
    <cfRule type="expression" dxfId="316" priority="309">
      <formula>IF(AND(F34="",OR(E34="Accuracy",E34="Fluency",E34="Segment",E34="Other")),1,0)</formula>
    </cfRule>
  </conditionalFormatting>
  <conditionalFormatting sqref="G34">
    <cfRule type="expression" dxfId="315" priority="308">
      <formula>IF(OR(AND(G34="",H34="",OR(I34="Critical",I34="Major",I34="Minor"))),1,0)</formula>
    </cfRule>
  </conditionalFormatting>
  <conditionalFormatting sqref="G34">
    <cfRule type="expression" dxfId="314" priority="307">
      <formula>IF(AND(OR(G34="",#REF!="Segment"),OR(#REF!="Accuracy",#REF!="Fluency",#REF!="Other")),1,0)</formula>
    </cfRule>
  </conditionalFormatting>
  <conditionalFormatting sqref="E36:F36">
    <cfRule type="expression" dxfId="313" priority="306">
      <formula>IF(OR(AND(E36="",F36="",OR(G36="Critical",G36="Major",G36="Minor"))),1,0)</formula>
    </cfRule>
  </conditionalFormatting>
  <conditionalFormatting sqref="F36">
    <cfRule type="expression" dxfId="312" priority="305">
      <formula>IF(AND(F36="",OR(E36="Accuracy",E36="Fluency",E36="Segment",E36="Other")),1,0)</formula>
    </cfRule>
  </conditionalFormatting>
  <conditionalFormatting sqref="G36">
    <cfRule type="expression" dxfId="311" priority="303">
      <formula>IF(OR(AND(G36="",H36="",OR(I36="Critical",I36="Major",I36="Minor"))),1,0)</formula>
    </cfRule>
  </conditionalFormatting>
  <conditionalFormatting sqref="G36">
    <cfRule type="expression" dxfId="310" priority="304">
      <formula>IF(AND(OR(G36="",#REF!="Segment"),OR(#REF!="Accuracy",#REF!="Fluency",#REF!="Other")),1,0)</formula>
    </cfRule>
  </conditionalFormatting>
  <conditionalFormatting sqref="E37:F37">
    <cfRule type="expression" dxfId="309" priority="302">
      <formula>IF(OR(AND(E37="",F37="",OR(G37="Critical",G37="Major",G37="Minor"))),1,0)</formula>
    </cfRule>
  </conditionalFormatting>
  <conditionalFormatting sqref="F37">
    <cfRule type="expression" dxfId="308" priority="301">
      <formula>IF(AND(F37="",OR(E37="Accuracy",E37="Fluency",E37="Segment",E37="Other")),1,0)</formula>
    </cfRule>
  </conditionalFormatting>
  <conditionalFormatting sqref="G37">
    <cfRule type="expression" dxfId="307" priority="300">
      <formula>IF(OR(AND(G37="",H37="",OR(I37="Critical",I37="Major",I37="Minor"))),1,0)</formula>
    </cfRule>
  </conditionalFormatting>
  <conditionalFormatting sqref="G37">
    <cfRule type="expression" dxfId="306" priority="299">
      <formula>IF(AND(OR(G37="",#REF!="Segment"),OR(#REF!="Accuracy",#REF!="Fluency",#REF!="Other")),1,0)</formula>
    </cfRule>
  </conditionalFormatting>
  <conditionalFormatting sqref="E39:F39">
    <cfRule type="expression" dxfId="305" priority="296">
      <formula>IF(OR(AND(E39="",F39="",OR(G39="Critical",G39="Major",G39="Minor"))),1,0)</formula>
    </cfRule>
  </conditionalFormatting>
  <conditionalFormatting sqref="F39">
    <cfRule type="expression" dxfId="304" priority="295">
      <formula>IF(AND(F39="",OR(E39="Accuracy",E39="Fluency",E39="Segment",E39="Other")),1,0)</formula>
    </cfRule>
  </conditionalFormatting>
  <conditionalFormatting sqref="G39">
    <cfRule type="expression" dxfId="303" priority="294">
      <formula>IF(OR(AND(G39="",H39="",OR(I39="Critical",I39="Major",I39="Minor"))),1,0)</formula>
    </cfRule>
  </conditionalFormatting>
  <conditionalFormatting sqref="G39">
    <cfRule type="expression" dxfId="302" priority="293">
      <formula>IF(AND(OR(G39="",#REF!="Segment"),OR(#REF!="Accuracy",#REF!="Fluency",#REF!="Other")),1,0)</formula>
    </cfRule>
  </conditionalFormatting>
  <conditionalFormatting sqref="E40:F40">
    <cfRule type="expression" dxfId="301" priority="292">
      <formula>IF(OR(AND(E40="",F40="",OR(G40="Critical",G40="Major",G40="Minor"))),1,0)</formula>
    </cfRule>
  </conditionalFormatting>
  <conditionalFormatting sqref="F40">
    <cfRule type="expression" dxfId="300" priority="291">
      <formula>IF(AND(F40="",OR(E40="Accuracy",E40="Fluency",E40="Segment",E40="Other")),1,0)</formula>
    </cfRule>
  </conditionalFormatting>
  <conditionalFormatting sqref="G40">
    <cfRule type="expression" dxfId="299" priority="290">
      <formula>IF(OR(AND(G40="",H40="",OR(I40="Critical",I40="Major",I40="Minor"))),1,0)</formula>
    </cfRule>
  </conditionalFormatting>
  <conditionalFormatting sqref="G40">
    <cfRule type="expression" dxfId="298" priority="289">
      <formula>IF(AND(OR(G40="",#REF!="Segment"),OR(#REF!="Accuracy",#REF!="Fluency",#REF!="Other")),1,0)</formula>
    </cfRule>
  </conditionalFormatting>
  <conditionalFormatting sqref="G41">
    <cfRule type="expression" dxfId="297" priority="286">
      <formula>IF(OR(AND(G41="",H41="",OR(I41="Critical",I41="Major",I41="Minor"))),1,0)</formula>
    </cfRule>
  </conditionalFormatting>
  <conditionalFormatting sqref="G41">
    <cfRule type="expression" dxfId="296" priority="285">
      <formula>IF(AND(OR(G41="",#REF!="Segment"),OR(#REF!="Accuracy",#REF!="Fluency",#REF!="Other")),1,0)</formula>
    </cfRule>
  </conditionalFormatting>
  <conditionalFormatting sqref="E42:F42">
    <cfRule type="expression" dxfId="295" priority="284">
      <formula>IF(OR(AND(E42="",F42="",OR(G42="Critical",G42="Major",G42="Minor"))),1,0)</formula>
    </cfRule>
  </conditionalFormatting>
  <conditionalFormatting sqref="F42">
    <cfRule type="expression" dxfId="294" priority="283">
      <formula>IF(AND(F42="",OR(E42="Accuracy",E42="Fluency",E42="Segment",E42="Other")),1,0)</formula>
    </cfRule>
  </conditionalFormatting>
  <conditionalFormatting sqref="G42">
    <cfRule type="expression" dxfId="293" priority="281">
      <formula>IF(AND(OR(G42="",#REF!="Segment"),OR(#REF!="Accuracy",#REF!="Fluency",#REF!="Other")),1,0)</formula>
    </cfRule>
  </conditionalFormatting>
  <conditionalFormatting sqref="F43 F45:F46">
    <cfRule type="expression" dxfId="292" priority="280">
      <formula>IF(AND(F43="",OR(E43="Accuracy",E43="Fluency",E43="Segment",E43="Other")),1,0)</formula>
    </cfRule>
  </conditionalFormatting>
  <conditionalFormatting sqref="E43 E45:G46 G44">
    <cfRule type="expression" dxfId="291" priority="277">
      <formula>IF(OR(AND(E43="",F43="",OR(G43="Critical",G43="Major",G43="Minor"))),1,0)</formula>
    </cfRule>
  </conditionalFormatting>
  <conditionalFormatting sqref="G43">
    <cfRule type="expression" dxfId="290" priority="275">
      <formula>IF(OR(AND(G43="",H42="",OR(I43="Critical",I43="Major",I43="Minor"))),1,0)</formula>
    </cfRule>
  </conditionalFormatting>
  <conditionalFormatting sqref="F43">
    <cfRule type="expression" dxfId="289" priority="276">
      <formula>IF(OR(AND(F43="",G43="",OR(H42="Critical",H42="Major",H42="Minor"))),1,0)</formula>
    </cfRule>
  </conditionalFormatting>
  <conditionalFormatting sqref="G43">
    <cfRule type="expression" dxfId="288" priority="274">
      <formula>IF(AND(OR(G43="",#REF!="Segment"),OR(#REF!="Accuracy",#REF!="Fluency",#REF!="Other")),1,0)</formula>
    </cfRule>
  </conditionalFormatting>
  <conditionalFormatting sqref="G44">
    <cfRule type="expression" dxfId="287" priority="273">
      <formula>IF(AND(OR(G44="",#REF!="Segment"),OR(#REF!="Accuracy",#REF!="Fluency",#REF!="Other")),1,0)</formula>
    </cfRule>
  </conditionalFormatting>
  <conditionalFormatting sqref="G45">
    <cfRule type="expression" dxfId="286" priority="272">
      <formula>IF(AND(OR(G45="",#REF!="Segment"),OR(#REF!="Accuracy",#REF!="Fluency",#REF!="Other")),1,0)</formula>
    </cfRule>
  </conditionalFormatting>
  <conditionalFormatting sqref="G46">
    <cfRule type="expression" dxfId="285" priority="271">
      <formula>IF(AND(OR(G46="",#REF!="Segment"),OR(#REF!="Accuracy",#REF!="Fluency",#REF!="Other")),1,0)</formula>
    </cfRule>
  </conditionalFormatting>
  <conditionalFormatting sqref="F48">
    <cfRule type="expression" dxfId="284" priority="270">
      <formula>IF(AND(F48="",OR(E48="Accuracy",E48="Fluency",E48="Segment",E48="Other")),1,0)</formula>
    </cfRule>
  </conditionalFormatting>
  <conditionalFormatting sqref="E48:G48 G47">
    <cfRule type="expression" dxfId="283" priority="267">
      <formula>IF(OR(AND(E47="",F47="",OR(G47="Critical",G47="Major",G47="Minor"))),1,0)</formula>
    </cfRule>
  </conditionalFormatting>
  <conditionalFormatting sqref="G47">
    <cfRule type="expression" dxfId="282" priority="266">
      <formula>IF(AND(OR(G47="",#REF!="Segment"),OR(#REF!="Accuracy",#REF!="Fluency",#REF!="Other")),1,0)</formula>
    </cfRule>
  </conditionalFormatting>
  <conditionalFormatting sqref="G48">
    <cfRule type="expression" dxfId="281" priority="265">
      <formula>IF(AND(OR(G48="",#REF!="Segment"),OR(#REF!="Accuracy",#REF!="Fluency",#REF!="Other")),1,0)</formula>
    </cfRule>
  </conditionalFormatting>
  <conditionalFormatting sqref="F49">
    <cfRule type="expression" dxfId="280" priority="264">
      <formula>IF(AND(F49="",OR(E49="Accuracy",E49="Fluency",E49="Segment",E49="Other")),1,0)</formula>
    </cfRule>
  </conditionalFormatting>
  <conditionalFormatting sqref="G49">
    <cfRule type="expression" dxfId="279" priority="262">
      <formula>IF(AND(OR(G49="",#REF!="Segment"),OR(#REF!="Accuracy",#REF!="Fluency",#REF!="Other")),1,0)</formula>
    </cfRule>
  </conditionalFormatting>
  <conditionalFormatting sqref="G50:G51">
    <cfRule type="expression" dxfId="278" priority="261">
      <formula>IF(AND(OR(G50="",#REF!="Segment"),OR(#REF!="Accuracy",#REF!="Fluency",#REF!="Other")),1,0)</formula>
    </cfRule>
  </conditionalFormatting>
  <conditionalFormatting sqref="G52">
    <cfRule type="expression" dxfId="277" priority="260">
      <formula>IF(AND(OR(G52="",#REF!="Segment"),OR(#REF!="Accuracy",#REF!="Fluency",#REF!="Other")),1,0)</formula>
    </cfRule>
  </conditionalFormatting>
  <conditionalFormatting sqref="G50">
    <cfRule type="expression" dxfId="276" priority="259">
      <formula>IF(AND(OR(G50="",#REF!="Segment"),OR(#REF!="Accuracy",#REF!="Fluency",#REF!="Other")),1,0)</formula>
    </cfRule>
  </conditionalFormatting>
  <conditionalFormatting sqref="G51">
    <cfRule type="expression" dxfId="275" priority="258">
      <formula>IF(AND(OR(G51="",#REF!="Segment"),OR(#REF!="Accuracy",#REF!="Fluency",#REF!="Other")),1,0)</formula>
    </cfRule>
  </conditionalFormatting>
  <conditionalFormatting sqref="E53:G53">
    <cfRule type="expression" dxfId="274" priority="257">
      <formula>IF(OR(AND(E53="",F53="",OR(G53="Critical",G53="Major",G53="Minor"))),1,0)</formula>
    </cfRule>
  </conditionalFormatting>
  <conditionalFormatting sqref="F53">
    <cfRule type="expression" dxfId="273" priority="256">
      <formula>IF(AND(F53="",OR(E53="Accuracy",E53="Fluency",E53="Segment",E53="Other")),1,0)</formula>
    </cfRule>
  </conditionalFormatting>
  <conditionalFormatting sqref="G53">
    <cfRule type="expression" dxfId="272" priority="255">
      <formula>IF(AND(OR(G53="",#REF!="Segment"),OR(#REF!="Accuracy",#REF!="Fluency",#REF!="Other")),1,0)</formula>
    </cfRule>
  </conditionalFormatting>
  <conditionalFormatting sqref="F56">
    <cfRule type="expression" dxfId="271" priority="254">
      <formula>IF(AND(F56="",OR(E56="Accuracy",E56="Fluency",E56="Segment",E56="Other")),1,0)</formula>
    </cfRule>
  </conditionalFormatting>
  <conditionalFormatting sqref="E56:G56 G54:G55">
    <cfRule type="expression" dxfId="270" priority="251">
      <formula>IF(OR(AND(E54="",F54="",OR(G54="Critical",G54="Major",G54="Minor"))),1,0)</formula>
    </cfRule>
  </conditionalFormatting>
  <conditionalFormatting sqref="G55">
    <cfRule type="expression" dxfId="269" priority="250">
      <formula>IF(AND(OR(G55="",#REF!="Segment"),OR(#REF!="Accuracy",#REF!="Fluency",#REF!="Other")),1,0)</formula>
    </cfRule>
  </conditionalFormatting>
  <conditionalFormatting sqref="G54">
    <cfRule type="expression" dxfId="268" priority="249">
      <formula>IF(AND(OR(G54="",#REF!="Segment"),OR(#REF!="Accuracy",#REF!="Fluency",#REF!="Other")),1,0)</formula>
    </cfRule>
  </conditionalFormatting>
  <conditionalFormatting sqref="G56">
    <cfRule type="expression" dxfId="267" priority="248">
      <formula>IF(AND(OR(G56="",#REF!="Segment"),OR(#REF!="Accuracy",#REF!="Fluency",#REF!="Other")),1,0)</formula>
    </cfRule>
  </conditionalFormatting>
  <conditionalFormatting sqref="F59">
    <cfRule type="expression" dxfId="266" priority="247">
      <formula>IF(AND(F59="",OR(E59="Accuracy",E59="Fluency",E59="Segment",E59="Other")),1,0)</formula>
    </cfRule>
  </conditionalFormatting>
  <conditionalFormatting sqref="E58:F58">
    <cfRule type="expression" dxfId="265" priority="246">
      <formula>IF(OR(AND(E58="",F58="",OR(G58="Critical",G58="Major",G58="Minor"))),1,0)</formula>
    </cfRule>
  </conditionalFormatting>
  <conditionalFormatting sqref="F58">
    <cfRule type="expression" dxfId="264" priority="245">
      <formula>IF(AND(F58="",OR(E58="Accuracy",E58="Fluency",E58="Segment",E58="Other")),1,0)</formula>
    </cfRule>
  </conditionalFormatting>
  <conditionalFormatting sqref="E59:G59 G58">
    <cfRule type="expression" dxfId="263" priority="244">
      <formula>IF(OR(AND(E58="",F58="",OR(G58="Critical",G58="Major",G58="Minor"))),1,0)</formula>
    </cfRule>
  </conditionalFormatting>
  <conditionalFormatting sqref="G58">
    <cfRule type="expression" dxfId="262" priority="242">
      <formula>IF(AND(OR(G58="",#REF!="Segment"),OR(#REF!="Accuracy",#REF!="Fluency",#REF!="Other")),1,0)</formula>
    </cfRule>
  </conditionalFormatting>
  <conditionalFormatting sqref="G59">
    <cfRule type="expression" dxfId="261" priority="241">
      <formula>IF(AND(OR(G59="",#REF!="Segment"),OR(#REF!="Accuracy",#REF!="Fluency",#REF!="Other")),1,0)</formula>
    </cfRule>
  </conditionalFormatting>
  <conditionalFormatting sqref="G61">
    <cfRule type="expression" dxfId="260" priority="240">
      <formula>IF(AND(OR(G61="",#REF!="Segment"),OR(#REF!="Accuracy",#REF!="Fluency",#REF!="Other")),1,0)</formula>
    </cfRule>
  </conditionalFormatting>
  <conditionalFormatting sqref="E62:F64">
    <cfRule type="expression" dxfId="259" priority="239">
      <formula>IF(OR(AND(E62="",F62="",OR(G62="Critical",G62="Major",G62="Minor"))),1,0)</formula>
    </cfRule>
  </conditionalFormatting>
  <conditionalFormatting sqref="F62:F64">
    <cfRule type="expression" dxfId="258" priority="238">
      <formula>IF(AND(F62="",OR(E62="Accuracy",E62="Fluency",E62="Segment",E62="Other")),1,0)</formula>
    </cfRule>
  </conditionalFormatting>
  <conditionalFormatting sqref="G62">
    <cfRule type="expression" dxfId="257" priority="236">
      <formula>IF(AND(OR(G62="",#REF!="Segment"),OR(#REF!="Accuracy",#REF!="Fluency",#REF!="Other")),1,0)</formula>
    </cfRule>
  </conditionalFormatting>
  <conditionalFormatting sqref="G62">
    <cfRule type="expression" dxfId="256" priority="237">
      <formula>IF(OR(AND(G62="",#REF!="",OR(I60="Critical",I60="Major",I60="Minor"))),1,0)</formula>
    </cfRule>
  </conditionalFormatting>
  <conditionalFormatting sqref="G63">
    <cfRule type="expression" dxfId="255" priority="234">
      <formula>IF(AND(OR(G63="",#REF!="Segment"),OR(#REF!="Accuracy",#REF!="Fluency",#REF!="Other")),1,0)</formula>
    </cfRule>
  </conditionalFormatting>
  <conditionalFormatting sqref="G63">
    <cfRule type="expression" dxfId="254" priority="235">
      <formula>IF(OR(AND(G63="",H59="",OR(I63="Critical",I63="Major",I63="Minor"))),1,0)</formula>
    </cfRule>
  </conditionalFormatting>
  <conditionalFormatting sqref="G64">
    <cfRule type="expression" dxfId="253" priority="232">
      <formula>IF(AND(OR(G64="",#REF!="Segment"),OR(#REF!="Accuracy",#REF!="Fluency",#REF!="Other")),1,0)</formula>
    </cfRule>
  </conditionalFormatting>
  <conditionalFormatting sqref="G64">
    <cfRule type="expression" dxfId="252" priority="233">
      <formula>IF(OR(AND(G64="",#REF!="",OR(I62="Critical",I62="Major",I62="Minor"))),1,0)</formula>
    </cfRule>
  </conditionalFormatting>
  <conditionalFormatting sqref="F66:F67">
    <cfRule type="expression" dxfId="251" priority="230">
      <formula>IF(AND(F66="",OR(E66="Accuracy",E66="Fluency",E66="Segment",E66="Other")),1,0)</formula>
    </cfRule>
  </conditionalFormatting>
  <conditionalFormatting sqref="E66:F67">
    <cfRule type="expression" dxfId="250" priority="229">
      <formula>IF(OR(AND(E66="",F66="",OR(G66="Critical",G66="Major",G66="Minor"))),1,0)</formula>
    </cfRule>
  </conditionalFormatting>
  <conditionalFormatting sqref="G66">
    <cfRule type="expression" dxfId="249" priority="228">
      <formula>IF(OR(AND(G66="",H66="",OR(I68="Critical",I68="Major",I68="Minor"))),1,0)</formula>
    </cfRule>
  </conditionalFormatting>
  <conditionalFormatting sqref="G66:G67">
    <cfRule type="expression" dxfId="248" priority="227">
      <formula>IF(AND(OR(G66="",#REF!="Segment"),OR(#REF!="Accuracy",#REF!="Fluency",#REF!="Other")),1,0)</formula>
    </cfRule>
  </conditionalFormatting>
  <conditionalFormatting sqref="G67">
    <cfRule type="expression" dxfId="247" priority="231">
      <formula>IF(OR(AND(G67="",H67="",OR(I71="Critical",I71="Major",I71="Minor"))),1,0)</formula>
    </cfRule>
  </conditionalFormatting>
  <conditionalFormatting sqref="E68:F69">
    <cfRule type="expression" dxfId="246" priority="226">
      <formula>IF(OR(AND(E68="",F68="",OR(G68="Critical",G68="Major",G68="Minor"))),1,0)</formula>
    </cfRule>
  </conditionalFormatting>
  <conditionalFormatting sqref="F68:F69">
    <cfRule type="expression" dxfId="245" priority="225">
      <formula>IF(AND(F68="",OR(E68="Accuracy",E68="Fluency",E68="Segment",E68="Other")),1,0)</formula>
    </cfRule>
  </conditionalFormatting>
  <conditionalFormatting sqref="G68">
    <cfRule type="expression" dxfId="244" priority="223">
      <formula>IF(AND(OR(G68="",#REF!="Segment"),OR(#REF!="Accuracy",#REF!="Fluency",#REF!="Other")),1,0)</formula>
    </cfRule>
  </conditionalFormatting>
  <conditionalFormatting sqref="E71">
    <cfRule type="expression" dxfId="243" priority="220">
      <formula>IF(OR(AND(E71="",F71="",OR(G71="Critical",G71="Major",G71="Minor"))),1,0)</formula>
    </cfRule>
  </conditionalFormatting>
  <conditionalFormatting sqref="F71">
    <cfRule type="expression" dxfId="242" priority="219">
      <formula>IF(AND(F71="",OR(E71="Accuracy",E71="Fluency",E71="Segment",E71="Other")),1,0)</formula>
    </cfRule>
  </conditionalFormatting>
  <conditionalFormatting sqref="F71">
    <cfRule type="expression" dxfId="241" priority="218">
      <formula>IF(OR(AND(F71="",G71="",OR(H70="Critical",H70="Major",H70="Minor"))),1,0)</formula>
    </cfRule>
  </conditionalFormatting>
  <conditionalFormatting sqref="G71">
    <cfRule type="expression" dxfId="240" priority="217">
      <formula>IF(OR(AND(G71="",H70="",OR(I71="Critical",I71="Major",I71="Minor"))),1,0)</formula>
    </cfRule>
  </conditionalFormatting>
  <conditionalFormatting sqref="G71">
    <cfRule type="expression" dxfId="239" priority="216">
      <formula>IF(AND(OR(G71="",#REF!="Segment"),OR(#REF!="Accuracy",#REF!="Fluency",#REF!="Other")),1,0)</formula>
    </cfRule>
  </conditionalFormatting>
  <conditionalFormatting sqref="E72:F72">
    <cfRule type="expression" dxfId="238" priority="215">
      <formula>IF(OR(AND(E72="",F72="",OR(G72="Critical",G72="Major",G72="Minor"))),1,0)</formula>
    </cfRule>
  </conditionalFormatting>
  <conditionalFormatting sqref="F72">
    <cfRule type="expression" dxfId="237" priority="214">
      <formula>IF(AND(F72="",OR(E72="Accuracy",E72="Fluency",E72="Segment",E72="Other")),1,0)</formula>
    </cfRule>
  </conditionalFormatting>
  <conditionalFormatting sqref="F73">
    <cfRule type="expression" dxfId="236" priority="211">
      <formula>IF(OR(AND(F73="",G73="",OR(H72="Critical",H72="Major",H72="Minor"))),1,0)</formula>
    </cfRule>
  </conditionalFormatting>
  <conditionalFormatting sqref="G73">
    <cfRule type="expression" dxfId="235" priority="210">
      <formula>IF(OR(AND(G73="",H72="",OR(I73="Critical",I73="Major",I73="Minor"))),1,0)</formula>
    </cfRule>
  </conditionalFormatting>
  <conditionalFormatting sqref="G73">
    <cfRule type="expression" dxfId="234" priority="209">
      <formula>IF(AND(OR(G73="",#REF!="Segment"),OR(#REF!="Accuracy",#REF!="Fluency",#REF!="Other")),1,0)</formula>
    </cfRule>
  </conditionalFormatting>
  <conditionalFormatting sqref="G74">
    <cfRule type="expression" dxfId="233" priority="207">
      <formula>IF(OR(AND(G74="",H74="",OR(I74="Critical",I74="Major",I74="Minor"))),1,0)</formula>
    </cfRule>
  </conditionalFormatting>
  <conditionalFormatting sqref="G74">
    <cfRule type="expression" dxfId="232" priority="208">
      <formula>IF(AND(OR(G74="",#REF!="Segment"),OR(#REF!="Accuracy",#REF!="Fluency",#REF!="Other")),1,0)</formula>
    </cfRule>
  </conditionalFormatting>
  <conditionalFormatting sqref="E74:F74">
    <cfRule type="expression" dxfId="231" priority="206">
      <formula>IF(OR(AND(E74="",F74="",OR(G74="Critical",G74="Major",G74="Minor"))),1,0)</formula>
    </cfRule>
  </conditionalFormatting>
  <conditionalFormatting sqref="F74">
    <cfRule type="expression" dxfId="230" priority="205">
      <formula>IF(AND(F74="",OR(E74="Accuracy",E74="Fluency",E74="Segment",E74="Other")),1,0)</formula>
    </cfRule>
  </conditionalFormatting>
  <conditionalFormatting sqref="G75">
    <cfRule type="expression" dxfId="229" priority="204">
      <formula>IF(AND(OR(G75="",#REF!="Segment"),OR(#REF!="Accuracy",#REF!="Fluency",#REF!="Other")),1,0)</formula>
    </cfRule>
  </conditionalFormatting>
  <conditionalFormatting sqref="E75:F75">
    <cfRule type="expression" dxfId="228" priority="202">
      <formula>IF(OR(AND(E75="",F75="",OR(G75="Critical",G75="Major",G75="Minor"))),1,0)</formula>
    </cfRule>
  </conditionalFormatting>
  <conditionalFormatting sqref="F75">
    <cfRule type="expression" dxfId="227" priority="201">
      <formula>IF(AND(F75="",OR(E75="Accuracy",E75="Fluency",E75="Segment",E75="Other")),1,0)</formula>
    </cfRule>
  </conditionalFormatting>
  <conditionalFormatting sqref="E76">
    <cfRule type="expression" dxfId="226" priority="200">
      <formula>IF(OR(AND(E76="",F76="",OR(G76="Critical",G76="Major",G76="Minor"))),1,0)</formula>
    </cfRule>
  </conditionalFormatting>
  <conditionalFormatting sqref="F76">
    <cfRule type="expression" dxfId="225" priority="199">
      <formula>IF(AND(F76="",OR(E76="Accuracy",E76="Fluency",E76="Segment",E76="Other")),1,0)</formula>
    </cfRule>
  </conditionalFormatting>
  <conditionalFormatting sqref="F76">
    <cfRule type="expression" dxfId="224" priority="198">
      <formula>IF(OR(AND(F76="",G76="",OR(H75="Critical",H75="Major",H75="Minor"))),1,0)</formula>
    </cfRule>
  </conditionalFormatting>
  <conditionalFormatting sqref="G76">
    <cfRule type="expression" dxfId="223" priority="197">
      <formula>IF(OR(AND(G76="",H75="",OR(I76="Critical",I76="Major",I76="Minor"))),1,0)</formula>
    </cfRule>
  </conditionalFormatting>
  <conditionalFormatting sqref="G76">
    <cfRule type="expression" dxfId="222" priority="196">
      <formula>IF(AND(OR(G76="",#REF!="Segment"),OR(#REF!="Accuracy",#REF!="Fluency",#REF!="Other")),1,0)</formula>
    </cfRule>
  </conditionalFormatting>
  <conditionalFormatting sqref="F78">
    <cfRule type="expression" dxfId="221" priority="194">
      <formula>IF(AND(F78="",OR(E78="Accuracy",E78="Fluency",E78="Segment",E78="Other")),1,0)</formula>
    </cfRule>
  </conditionalFormatting>
  <conditionalFormatting sqref="F78">
    <cfRule type="expression" dxfId="220" priority="193">
      <formula>IF(OR(AND(F78="",G78="",OR(H77="Critical",H77="Major",H77="Minor"))),1,0)</formula>
    </cfRule>
  </conditionalFormatting>
  <conditionalFormatting sqref="G78">
    <cfRule type="expression" dxfId="219" priority="192">
      <formula>IF(OR(AND(G78="",H77="",OR(I78="Critical",I78="Major",I78="Minor"))),1,0)</formula>
    </cfRule>
  </conditionalFormatting>
  <conditionalFormatting sqref="G78">
    <cfRule type="expression" dxfId="218" priority="191">
      <formula>IF(AND(OR(G78="",#REF!="Segment"),OR(#REF!="Accuracy",#REF!="Fluency",#REF!="Other")),1,0)</formula>
    </cfRule>
  </conditionalFormatting>
  <conditionalFormatting sqref="F79">
    <cfRule type="expression" dxfId="217" priority="189">
      <formula>IF(AND(F79="",OR(E79="Accuracy",E79="Fluency",E79="Segment",E79="Other")),1,0)</formula>
    </cfRule>
  </conditionalFormatting>
  <conditionalFormatting sqref="F79">
    <cfRule type="expression" dxfId="216" priority="188">
      <formula>IF(OR(AND(F79="",G79="",OR(H78="Critical",H78="Major",H78="Minor"))),1,0)</formula>
    </cfRule>
  </conditionalFormatting>
  <conditionalFormatting sqref="G79">
    <cfRule type="expression" dxfId="215" priority="187">
      <formula>IF(OR(AND(G79="",H78="",OR(I79="Critical",I79="Major",I79="Minor"))),1,0)</formula>
    </cfRule>
  </conditionalFormatting>
  <conditionalFormatting sqref="G79">
    <cfRule type="expression" dxfId="214" priority="186">
      <formula>IF(AND(OR(G79="",#REF!="Segment"),OR(#REF!="Accuracy",#REF!="Fluency",#REF!="Other")),1,0)</formula>
    </cfRule>
  </conditionalFormatting>
  <conditionalFormatting sqref="G80">
    <cfRule type="expression" dxfId="213" priority="184">
      <formula>IF(OR(AND(G80="",H80="",OR(I80="Critical",I80="Major",I80="Minor"))),1,0)</formula>
    </cfRule>
  </conditionalFormatting>
  <conditionalFormatting sqref="G80">
    <cfRule type="expression" dxfId="212" priority="185">
      <formula>IF(AND(OR(G80="",#REF!="Segment"),OR(#REF!="Accuracy",#REF!="Fluency",#REF!="Other")),1,0)</formula>
    </cfRule>
  </conditionalFormatting>
  <conditionalFormatting sqref="F81">
    <cfRule type="expression" dxfId="211" priority="180">
      <formula>IF(AND(F81="",OR(E81="Accuracy",E81="Fluency",E81="Segment",E81="Other")),1,0)</formula>
    </cfRule>
  </conditionalFormatting>
  <conditionalFormatting sqref="F81">
    <cfRule type="expression" dxfId="210" priority="179">
      <formula>IF(OR(AND(F81="",G81="",OR(H80="Critical",H80="Major",H80="Minor"))),1,0)</formula>
    </cfRule>
  </conditionalFormatting>
  <conditionalFormatting sqref="G81">
    <cfRule type="expression" dxfId="209" priority="178">
      <formula>IF(OR(AND(G81="",H80="",OR(I81="Critical",I81="Major",I81="Minor"))),1,0)</formula>
    </cfRule>
  </conditionalFormatting>
  <conditionalFormatting sqref="G81">
    <cfRule type="expression" dxfId="208" priority="177">
      <formula>IF(AND(OR(G81="",#REF!="Segment"),OR(#REF!="Accuracy",#REF!="Fluency",#REF!="Other")),1,0)</formula>
    </cfRule>
  </conditionalFormatting>
  <conditionalFormatting sqref="E82:F82">
    <cfRule type="expression" dxfId="207" priority="174">
      <formula>IF(OR(AND(E82="",F82="",OR(G82="Critical",G82="Major",G82="Minor"))),1,0)</formula>
    </cfRule>
  </conditionalFormatting>
  <conditionalFormatting sqref="F82">
    <cfRule type="expression" dxfId="206" priority="173">
      <formula>IF(AND(F82="",OR(E82="Accuracy",E82="Fluency",E82="Segment",E82="Other")),1,0)</formula>
    </cfRule>
  </conditionalFormatting>
  <conditionalFormatting sqref="E83:F83">
    <cfRule type="expression" dxfId="205" priority="170">
      <formula>IF(OR(AND(E83="",F83="",OR(G83="Critical",G83="Major",G83="Minor"))),1,0)</formula>
    </cfRule>
  </conditionalFormatting>
  <conditionalFormatting sqref="F83">
    <cfRule type="expression" dxfId="204" priority="169">
      <formula>IF(AND(F83="",OR(E83="Accuracy",E83="Fluency",E83="Segment",E83="Other")),1,0)</formula>
    </cfRule>
  </conditionalFormatting>
  <conditionalFormatting sqref="G84">
    <cfRule type="expression" dxfId="203" priority="167">
      <formula>IF(OR(AND(G84="",H84="",OR(I84="Critical",I84="Major",I84="Minor"))),1,0)</formula>
    </cfRule>
  </conditionalFormatting>
  <conditionalFormatting sqref="F85">
    <cfRule type="expression" dxfId="202" priority="163">
      <formula>IF(AND(F85="",OR(E85="Accuracy",E85="Fluency",E85="Segment",E85="Other")),1,0)</formula>
    </cfRule>
  </conditionalFormatting>
  <conditionalFormatting sqref="F85">
    <cfRule type="expression" dxfId="201" priority="162">
      <formula>IF(OR(AND(F85="",G85="",OR(H84="Critical",H84="Major",H84="Minor"))),1,0)</formula>
    </cfRule>
  </conditionalFormatting>
  <conditionalFormatting sqref="G85">
    <cfRule type="expression" dxfId="200" priority="161">
      <formula>IF(OR(AND(G85="",H84="",OR(I85="Critical",I85="Major",I85="Minor"))),1,0)</formula>
    </cfRule>
  </conditionalFormatting>
  <conditionalFormatting sqref="G85">
    <cfRule type="expression" dxfId="199" priority="160">
      <formula>IF(AND(OR(G85="",#REF!="Segment"),OR(#REF!="Accuracy",#REF!="Fluency",#REF!="Other")),1,0)</formula>
    </cfRule>
  </conditionalFormatting>
  <conditionalFormatting sqref="E86">
    <cfRule type="expression" dxfId="198" priority="159">
      <formula>IF(OR(AND(E86="",F86="",OR(G86="Critical",G86="Major",G86="Minor"))),1,0)</formula>
    </cfRule>
  </conditionalFormatting>
  <conditionalFormatting sqref="F86">
    <cfRule type="expression" dxfId="197" priority="158">
      <formula>IF(AND(F86="",OR(E86="Accuracy",E86="Fluency",E86="Segment",E86="Other")),1,0)</formula>
    </cfRule>
  </conditionalFormatting>
  <conditionalFormatting sqref="F86">
    <cfRule type="expression" dxfId="196" priority="157">
      <formula>IF(OR(AND(F86="",G86="",OR(H85="Critical",H85="Major",H85="Minor"))),1,0)</formula>
    </cfRule>
  </conditionalFormatting>
  <conditionalFormatting sqref="G86">
    <cfRule type="expression" dxfId="195" priority="156">
      <formula>IF(OR(AND(G86="",H85="",OR(I86="Critical",I86="Major",I86="Minor"))),1,0)</formula>
    </cfRule>
  </conditionalFormatting>
  <conditionalFormatting sqref="G86">
    <cfRule type="expression" dxfId="194" priority="155">
      <formula>IF(AND(OR(G86="",#REF!="Segment"),OR(#REF!="Accuracy",#REF!="Fluency",#REF!="Other")),1,0)</formula>
    </cfRule>
  </conditionalFormatting>
  <conditionalFormatting sqref="G87">
    <cfRule type="expression" dxfId="193" priority="153">
      <formula>IF(OR(AND(G87="",H87="",OR(I87="Critical",I87="Major",I87="Minor"))),1,0)</formula>
    </cfRule>
  </conditionalFormatting>
  <conditionalFormatting sqref="G87">
    <cfRule type="expression" dxfId="192" priority="154">
      <formula>IF(AND(OR(G87="",#REF!="Segment"),OR(#REF!="Accuracy",#REF!="Fluency",#REF!="Other")),1,0)</formula>
    </cfRule>
  </conditionalFormatting>
  <conditionalFormatting sqref="E87:F87">
    <cfRule type="expression" dxfId="191" priority="152">
      <formula>IF(OR(AND(E87="",F87="",OR(G87="Critical",G87="Major",G87="Minor"))),1,0)</formula>
    </cfRule>
  </conditionalFormatting>
  <conditionalFormatting sqref="G91">
    <cfRule type="expression" dxfId="190" priority="149">
      <formula>IF(OR(AND(G91="",H91="",OR(I91="Critical",I91="Major",I91="Minor"))),1,0)</formula>
    </cfRule>
  </conditionalFormatting>
  <conditionalFormatting sqref="G91">
    <cfRule type="expression" dxfId="189" priority="150">
      <formula>IF(AND(OR(G91="",#REF!="Segment"),OR(#REF!="Accuracy",#REF!="Fluency",#REF!="Other")),1,0)</formula>
    </cfRule>
  </conditionalFormatting>
  <conditionalFormatting sqref="E91:F91">
    <cfRule type="expression" dxfId="188" priority="148">
      <formula>IF(OR(AND(E91="",F91="",OR(G91="Critical",G91="Major",G91="Minor"))),1,0)</formula>
    </cfRule>
  </conditionalFormatting>
  <conditionalFormatting sqref="F91">
    <cfRule type="expression" dxfId="187" priority="147">
      <formula>IF(AND(F91="",OR(E91="Accuracy",E91="Fluency",E91="Segment",E91="Other")),1,0)</formula>
    </cfRule>
  </conditionalFormatting>
  <conditionalFormatting sqref="G92">
    <cfRule type="expression" dxfId="186" priority="145">
      <formula>IF(OR(AND(G92="",H92="",OR(I92="Critical",I92="Major",I92="Minor"))),1,0)</formula>
    </cfRule>
  </conditionalFormatting>
  <conditionalFormatting sqref="G92">
    <cfRule type="expression" dxfId="185" priority="146">
      <formula>IF(AND(OR(G92="",#REF!="Segment"),OR(#REF!="Accuracy",#REF!="Fluency",#REF!="Other")),1,0)</formula>
    </cfRule>
  </conditionalFormatting>
  <conditionalFormatting sqref="E93">
    <cfRule type="expression" dxfId="184" priority="142">
      <formula>IF(OR(AND(E93="",F93="",OR(G93="Critical",G93="Major",G93="Minor"))),1,0)</formula>
    </cfRule>
  </conditionalFormatting>
  <conditionalFormatting sqref="F93">
    <cfRule type="expression" dxfId="183" priority="140">
      <formula>IF(OR(AND(F93="",G93="",OR(H92="Critical",H92="Major",H92="Minor"))),1,0)</formula>
    </cfRule>
  </conditionalFormatting>
  <conditionalFormatting sqref="G93">
    <cfRule type="expression" dxfId="182" priority="139">
      <formula>IF(OR(AND(G93="",H92="",OR(I93="Critical",I93="Major",I93="Minor"))),1,0)</formula>
    </cfRule>
  </conditionalFormatting>
  <conditionalFormatting sqref="G93">
    <cfRule type="expression" dxfId="181" priority="138">
      <formula>IF(AND(OR(G93="",#REF!="Segment"),OR(#REF!="Accuracy",#REF!="Fluency",#REF!="Other")),1,0)</formula>
    </cfRule>
  </conditionalFormatting>
  <conditionalFormatting sqref="E94">
    <cfRule type="expression" dxfId="180" priority="137">
      <formula>IF(OR(AND(E94="",F94="",OR(G94="Critical",G94="Major",G94="Minor"))),1,0)</formula>
    </cfRule>
  </conditionalFormatting>
  <conditionalFormatting sqref="F94">
    <cfRule type="expression" dxfId="179" priority="136">
      <formula>IF(AND(F94="",OR(E94="Accuracy",E94="Fluency",E94="Segment",E94="Other")),1,0)</formula>
    </cfRule>
  </conditionalFormatting>
  <conditionalFormatting sqref="F94">
    <cfRule type="expression" dxfId="178" priority="135">
      <formula>IF(OR(AND(F94="",G94="",OR(H93="Critical",H93="Major",H93="Minor"))),1,0)</formula>
    </cfRule>
  </conditionalFormatting>
  <conditionalFormatting sqref="G94">
    <cfRule type="expression" dxfId="177" priority="134">
      <formula>IF(OR(AND(G94="",H93="",OR(I94="Critical",I94="Major",I94="Minor"))),1,0)</formula>
    </cfRule>
  </conditionalFormatting>
  <conditionalFormatting sqref="G94">
    <cfRule type="expression" dxfId="176" priority="133">
      <formula>IF(AND(OR(G94="",#REF!="Segment"),OR(#REF!="Accuracy",#REF!="Fluency",#REF!="Other")),1,0)</formula>
    </cfRule>
  </conditionalFormatting>
  <conditionalFormatting sqref="G95">
    <cfRule type="expression" dxfId="175" priority="132">
      <formula>IF(AND(OR(G95="",#REF!="Segment"),OR(#REF!="Accuracy",#REF!="Fluency",#REF!="Other")),1,0)</formula>
    </cfRule>
  </conditionalFormatting>
  <conditionalFormatting sqref="E95:F95">
    <cfRule type="expression" dxfId="174" priority="130">
      <formula>IF(OR(AND(E95="",F95="",OR(G95="Critical",G95="Major",G95="Minor"))),1,0)</formula>
    </cfRule>
  </conditionalFormatting>
  <conditionalFormatting sqref="F95">
    <cfRule type="expression" dxfId="173" priority="129">
      <formula>IF(AND(F95="",OR(E95="Accuracy",E95="Fluency",E95="Segment",E95="Other")),1,0)</formula>
    </cfRule>
  </conditionalFormatting>
  <conditionalFormatting sqref="E96">
    <cfRule type="expression" dxfId="172" priority="128">
      <formula>IF(OR(AND(E96="",F96="",OR(G96="Critical",G96="Major",G96="Minor"))),1,0)</formula>
    </cfRule>
  </conditionalFormatting>
  <conditionalFormatting sqref="F96">
    <cfRule type="expression" dxfId="171" priority="127">
      <formula>IF(AND(F96="",OR(E96="Accuracy",E96="Fluency",E96="Segment",E96="Other")),1,0)</formula>
    </cfRule>
  </conditionalFormatting>
  <conditionalFormatting sqref="F96">
    <cfRule type="expression" dxfId="170" priority="126">
      <formula>IF(OR(AND(F96="",G96="",OR(H95="Critical",H95="Major",H95="Minor"))),1,0)</formula>
    </cfRule>
  </conditionalFormatting>
  <conditionalFormatting sqref="G96">
    <cfRule type="expression" dxfId="169" priority="125">
      <formula>IF(OR(AND(G96="",H95="",OR(I96="Critical",I96="Major",I96="Minor"))),1,0)</formula>
    </cfRule>
  </conditionalFormatting>
  <conditionalFormatting sqref="G96">
    <cfRule type="expression" dxfId="168" priority="124">
      <formula>IF(AND(OR(G96="",#REF!="Segment"),OR(#REF!="Accuracy",#REF!="Fluency",#REF!="Other")),1,0)</formula>
    </cfRule>
  </conditionalFormatting>
  <conditionalFormatting sqref="G97">
    <cfRule type="expression" dxfId="167" priority="122">
      <formula>IF(OR(AND(G97="",H97="",OR(I97="Critical",I97="Major",I97="Minor"))),1,0)</formula>
    </cfRule>
  </conditionalFormatting>
  <conditionalFormatting sqref="G97">
    <cfRule type="expression" dxfId="166" priority="123">
      <formula>IF(AND(OR(G97="",#REF!="Segment"),OR(#REF!="Accuracy",#REF!="Fluency",#REF!="Other")),1,0)</formula>
    </cfRule>
  </conditionalFormatting>
  <conditionalFormatting sqref="E97:F97">
    <cfRule type="expression" dxfId="165" priority="121">
      <formula>IF(OR(AND(E97="",F97="",OR(G97="Critical",G97="Major",G97="Minor"))),1,0)</formula>
    </cfRule>
  </conditionalFormatting>
  <conditionalFormatting sqref="F97">
    <cfRule type="expression" dxfId="164" priority="120">
      <formula>IF(AND(F97="",OR(E97="Accuracy",E97="Fluency",E97="Segment",E97="Other")),1,0)</formula>
    </cfRule>
  </conditionalFormatting>
  <conditionalFormatting sqref="E98">
    <cfRule type="expression" dxfId="163" priority="119">
      <formula>IF(OR(AND(E98="",F98="",OR(G98="Critical",G98="Major",G98="Minor"))),1,0)</formula>
    </cfRule>
  </conditionalFormatting>
  <conditionalFormatting sqref="F98">
    <cfRule type="expression" dxfId="162" priority="118">
      <formula>IF(AND(F98="",OR(E98="Accuracy",E98="Fluency",E98="Segment",E98="Other")),1,0)</formula>
    </cfRule>
  </conditionalFormatting>
  <conditionalFormatting sqref="F98">
    <cfRule type="expression" dxfId="161" priority="117">
      <formula>IF(OR(AND(F98="",G98="",OR(H97="Critical",H97="Major",H97="Minor"))),1,0)</formula>
    </cfRule>
  </conditionalFormatting>
  <conditionalFormatting sqref="G98">
    <cfRule type="expression" dxfId="160" priority="116">
      <formula>IF(OR(AND(G98="",H97="",OR(I98="Critical",I98="Major",I98="Minor"))),1,0)</formula>
    </cfRule>
  </conditionalFormatting>
  <conditionalFormatting sqref="G98">
    <cfRule type="expression" dxfId="159" priority="115">
      <formula>IF(AND(OR(G98="",#REF!="Segment"),OR(#REF!="Accuracy",#REF!="Fluency",#REF!="Other")),1,0)</formula>
    </cfRule>
  </conditionalFormatting>
  <conditionalFormatting sqref="G99">
    <cfRule type="expression" dxfId="158" priority="113">
      <formula>IF(AND(OR(G99="",#REF!="Segment"),OR(#REF!="Accuracy",#REF!="Fluency",#REF!="Other")),1,0)</formula>
    </cfRule>
  </conditionalFormatting>
  <conditionalFormatting sqref="G99">
    <cfRule type="expression" dxfId="157" priority="114">
      <formula>IF(OR(AND(G99="",#REF!="",OR(I99="Critical",I99="Major",I99="Minor"))),1,0)</formula>
    </cfRule>
  </conditionalFormatting>
  <conditionalFormatting sqref="E100">
    <cfRule type="expression" dxfId="156" priority="112">
      <formula>IF(OR(AND(E100="",F100="",OR(G100="Critical",G100="Major",G100="Minor"))),1,0)</formula>
    </cfRule>
  </conditionalFormatting>
  <conditionalFormatting sqref="F100">
    <cfRule type="expression" dxfId="155" priority="111">
      <formula>IF(AND(F100="",OR(E100="Accuracy",E100="Fluency",E100="Segment",E100="Other")),1,0)</formula>
    </cfRule>
  </conditionalFormatting>
  <conditionalFormatting sqref="F100">
    <cfRule type="expression" dxfId="154" priority="110">
      <formula>IF(OR(AND(F100="",G100="",OR(H99="Critical",H99="Major",H99="Minor"))),1,0)</formula>
    </cfRule>
  </conditionalFormatting>
  <conditionalFormatting sqref="G100">
    <cfRule type="expression" dxfId="153" priority="109">
      <formula>IF(OR(AND(G100="",H99="",OR(I100="Critical",I100="Major",I100="Minor"))),1,0)</formula>
    </cfRule>
  </conditionalFormatting>
  <conditionalFormatting sqref="G100">
    <cfRule type="expression" dxfId="152" priority="108">
      <formula>IF(AND(OR(G100="",#REF!="Segment"),OR(#REF!="Accuracy",#REF!="Fluency",#REF!="Other")),1,0)</formula>
    </cfRule>
  </conditionalFormatting>
  <conditionalFormatting sqref="E88:G90 E2:G8 E50:G52 E61:G61 E99:F99">
    <cfRule type="expression" dxfId="151" priority="423">
      <formula>IF(OR(AND(E2="",F2="",OR(G2="Critical",G2="Major",G2="Minor"))),1,0)</formula>
    </cfRule>
  </conditionalFormatting>
  <conditionalFormatting sqref="F88:F90 F2:F8 F50:F52 F61 F99">
    <cfRule type="expression" dxfId="150" priority="422">
      <formula>IF(AND(F2="",OR(E2="Accuracy",E2="Fluency",E2="Segment",E2="Other")),1,0)</formula>
    </cfRule>
  </conditionalFormatting>
  <conditionalFormatting sqref="H2:H8 H12:H13">
    <cfRule type="expression" dxfId="149" priority="424">
      <formula>IF(OR(AND(H2="",J2="",OR(#REF!="Critical",#REF!="Major",#REF!="Minor"))),1,0)</formula>
    </cfRule>
  </conditionalFormatting>
  <conditionalFormatting sqref="G88:G90 G2:G8">
    <cfRule type="expression" dxfId="148" priority="425">
      <formula>IF(AND(OR(G2="",#REF!="Segment"),OR(#REF!="Accuracy",#REF!="Fluency",#REF!="Other")),1,0)</formula>
    </cfRule>
  </conditionalFormatting>
  <conditionalFormatting sqref="H35">
    <cfRule type="expression" dxfId="147" priority="421">
      <formula>IF(OR(AND(H35="",J35="",OR(#REF!="Critical",#REF!="Major",#REF!="Minor"))),1,0)</formula>
    </cfRule>
  </conditionalFormatting>
  <conditionalFormatting sqref="E70:G70 G72">
    <cfRule type="expression" dxfId="146" priority="419">
      <formula>IF(OR(AND(E70="",F70="",OR(G70="Critical",G70="Major",G70="Minor"))),1,0)</formula>
    </cfRule>
  </conditionalFormatting>
  <conditionalFormatting sqref="F70">
    <cfRule type="expression" dxfId="145" priority="418">
      <formula>IF(AND(F70="",OR(E70="Accuracy",E70="Fluency",E70="Segment",E70="Other")),1,0)</formula>
    </cfRule>
  </conditionalFormatting>
  <conditionalFormatting sqref="G70 G72">
    <cfRule type="expression" dxfId="144" priority="420">
      <formula>IF(AND(OR(G70="",#REF!="Segment"),OR(#REF!="Accuracy",#REF!="Fluency",#REF!="Other")),1,0)</formula>
    </cfRule>
  </conditionalFormatting>
  <conditionalFormatting sqref="H9">
    <cfRule type="expression" dxfId="143" priority="417">
      <formula>IF(OR(AND(H9="",J9="",OR(#REF!="Critical",#REF!="Major",#REF!="Minor"))),1,0)</formula>
    </cfRule>
  </conditionalFormatting>
  <conditionalFormatting sqref="G23">
    <cfRule type="expression" dxfId="142" priority="416">
      <formula>IF(AND(OR(G23="",#REF!="Segment"),OR(#REF!="Accuracy",#REF!="Fluency",#REF!="Other")),1,0)</formula>
    </cfRule>
  </conditionalFormatting>
  <conditionalFormatting sqref="E9:G9">
    <cfRule type="expression" dxfId="141" priority="414">
      <formula>IF(OR(AND(E9="",F9="",OR(G9="Critical",G9="Major",G9="Minor"))),1,0)</formula>
    </cfRule>
  </conditionalFormatting>
  <conditionalFormatting sqref="F9">
    <cfRule type="expression" dxfId="140" priority="413">
      <formula>IF(AND(F9="",OR(E9="Accuracy",E9="Fluency",E9="Segment",E9="Other")),1,0)</formula>
    </cfRule>
  </conditionalFormatting>
  <conditionalFormatting sqref="G9">
    <cfRule type="expression" dxfId="139" priority="415">
      <formula>IF(AND(OR(G9="",#REF!="Segment"),OR(#REF!="Accuracy",#REF!="Fluency",#REF!="Other")),1,0)</formula>
    </cfRule>
  </conditionalFormatting>
  <conditionalFormatting sqref="G23">
    <cfRule type="expression" dxfId="138" priority="426">
      <formula>IF(OR(AND(G23="",#REF!="",OR(I23="Critical",I23="Major",I23="Minor"))),1,0)</formula>
    </cfRule>
  </conditionalFormatting>
  <conditionalFormatting sqref="H38">
    <cfRule type="expression" dxfId="137" priority="409">
      <formula>IF(OR(AND(H38="",J38="",OR(#REF!="Critical",#REF!="Major",#REF!="Minor"))),1,0)</formula>
    </cfRule>
  </conditionalFormatting>
  <conditionalFormatting sqref="H42">
    <cfRule type="expression" dxfId="136" priority="408">
      <formula>IF(OR(AND(H42="",J42="",OR(#REF!="Critical",#REF!="Major",#REF!="Minor"))),1,0)</formula>
    </cfRule>
  </conditionalFormatting>
  <conditionalFormatting sqref="E57:G57">
    <cfRule type="expression" dxfId="135" priority="404">
      <formula>IF(OR(AND(E57="",F57="",OR(G57="Critical",G57="Major",G57="Minor"))),1,0)</formula>
    </cfRule>
  </conditionalFormatting>
  <conditionalFormatting sqref="F57">
    <cfRule type="expression" dxfId="134" priority="403">
      <formula>IF(AND(F57="",OR(E57="Accuracy",E57="Fluency",E57="Segment",E57="Other")),1,0)</formula>
    </cfRule>
  </conditionalFormatting>
  <conditionalFormatting sqref="G57">
    <cfRule type="expression" dxfId="133" priority="405">
      <formula>IF(AND(OR(G57="",#REF!="Segment"),OR(#REF!="Accuracy",#REF!="Fluency",#REF!="Other")),1,0)</formula>
    </cfRule>
  </conditionalFormatting>
  <conditionalFormatting sqref="E23:F23">
    <cfRule type="expression" dxfId="132" priority="407">
      <formula>IF(OR(AND(E23="",F23="",OR(G23="Critical",G23="Major",G23="Minor"))),1,0)</formula>
    </cfRule>
  </conditionalFormatting>
  <conditionalFormatting sqref="F23">
    <cfRule type="expression" dxfId="131" priority="406">
      <formula>IF(AND(F23="",OR(E23="Accuracy",E23="Fluency",E23="Segment",E23="Other")),1,0)</formula>
    </cfRule>
  </conditionalFormatting>
  <conditionalFormatting sqref="E77:G77">
    <cfRule type="expression" dxfId="130" priority="401">
      <formula>IF(OR(AND(E77="",F77="",OR(G77="Critical",G77="Major",G77="Minor"))),1,0)</formula>
    </cfRule>
  </conditionalFormatting>
  <conditionalFormatting sqref="F77">
    <cfRule type="expression" dxfId="129" priority="400">
      <formula>IF(AND(F77="",OR(E77="Accuracy",E77="Fluency",E77="Segment",E77="Other")),1,0)</formula>
    </cfRule>
  </conditionalFormatting>
  <conditionalFormatting sqref="G77">
    <cfRule type="expression" dxfId="128" priority="402">
      <formula>IF(AND(OR(G77="",#REF!="Segment"),OR(#REF!="Accuracy",#REF!="Fluency",#REF!="Other")),1,0)</formula>
    </cfRule>
  </conditionalFormatting>
  <conditionalFormatting sqref="E14:G14">
    <cfRule type="expression" dxfId="127" priority="398">
      <formula>IF(OR(AND(E14="",F14="",OR(G14="Critical",G14="Major",G14="Minor"))),1,0)</formula>
    </cfRule>
  </conditionalFormatting>
  <conditionalFormatting sqref="F14">
    <cfRule type="expression" dxfId="126" priority="397">
      <formula>IF(AND(F14="",OR(E14="Accuracy",E14="Fluency",E14="Segment",E14="Other")),1,0)</formula>
    </cfRule>
  </conditionalFormatting>
  <conditionalFormatting sqref="G14">
    <cfRule type="expression" dxfId="125" priority="399">
      <formula>IF(AND(OR(G14="",#REF!="Segment"),OR(#REF!="Accuracy",#REF!="Fluency",#REF!="Other")),1,0)</formula>
    </cfRule>
  </conditionalFormatting>
  <conditionalFormatting sqref="E19:G19">
    <cfRule type="expression" dxfId="124" priority="395">
      <formula>IF(OR(AND(E19="",F19="",OR(G19="Critical",G19="Major",G19="Minor"))),1,0)</formula>
    </cfRule>
  </conditionalFormatting>
  <conditionalFormatting sqref="F19">
    <cfRule type="expression" dxfId="123" priority="394">
      <formula>IF(AND(F19="",OR(E19="Accuracy",E19="Fluency",E19="Segment",E19="Other")),1,0)</formula>
    </cfRule>
  </conditionalFormatting>
  <conditionalFormatting sqref="G19">
    <cfRule type="expression" dxfId="122" priority="396">
      <formula>IF(AND(OR(G19="",#REF!="Segment"),OR(#REF!="Accuracy",#REF!="Fluency",#REF!="Other")),1,0)</formula>
    </cfRule>
  </conditionalFormatting>
  <conditionalFormatting sqref="E20:G20">
    <cfRule type="expression" dxfId="121" priority="392">
      <formula>IF(OR(AND(E20="",F20="",OR(G20="Critical",G20="Major",G20="Minor"))),1,0)</formula>
    </cfRule>
  </conditionalFormatting>
  <conditionalFormatting sqref="F20">
    <cfRule type="expression" dxfId="120" priority="391">
      <formula>IF(AND(F20="",OR(E20="Accuracy",E20="Fluency",E20="Segment",E20="Other")),1,0)</formula>
    </cfRule>
  </conditionalFormatting>
  <conditionalFormatting sqref="G20">
    <cfRule type="expression" dxfId="119" priority="393">
      <formula>IF(AND(OR(G20="",#REF!="Segment"),OR(#REF!="Accuracy",#REF!="Fluency",#REF!="Other")),1,0)</formula>
    </cfRule>
  </conditionalFormatting>
  <conditionalFormatting sqref="G27">
    <cfRule type="expression" dxfId="118" priority="389">
      <formula>IF(AND(OR(G27="",#REF!="Segment"),OR(#REF!="Accuracy",#REF!="Fluency",#REF!="Other")),1,0)</formula>
    </cfRule>
  </conditionalFormatting>
  <conditionalFormatting sqref="G27">
    <cfRule type="expression" dxfId="117" priority="390">
      <formula>IF(OR(AND(G27="",#REF!="",OR(I27="Critical",I27="Major",I27="Minor"))),1,0)</formula>
    </cfRule>
  </conditionalFormatting>
  <conditionalFormatting sqref="G28">
    <cfRule type="expression" dxfId="116" priority="387">
      <formula>IF(AND(OR(G28="",#REF!="Segment"),OR(#REF!="Accuracy",#REF!="Fluency",#REF!="Other")),1,0)</formula>
    </cfRule>
  </conditionalFormatting>
  <conditionalFormatting sqref="G28">
    <cfRule type="expression" dxfId="115" priority="388">
      <formula>IF(OR(AND(G28="",#REF!="",OR(I28="Critical",I28="Major",I28="Minor"))),1,0)</formula>
    </cfRule>
  </conditionalFormatting>
  <conditionalFormatting sqref="E28:F28">
    <cfRule type="expression" dxfId="114" priority="386">
      <formula>IF(OR(AND(E28="",F28="",OR(G28="Critical",G28="Major",G28="Minor"))),1,0)</formula>
    </cfRule>
  </conditionalFormatting>
  <conditionalFormatting sqref="F28">
    <cfRule type="expression" dxfId="113" priority="385">
      <formula>IF(AND(F28="",OR(E28="Accuracy",E28="Fluency",E28="Segment",E28="Other")),1,0)</formula>
    </cfRule>
  </conditionalFormatting>
  <conditionalFormatting sqref="G35">
    <cfRule type="expression" dxfId="112" priority="383">
      <formula>IF(OR(AND(G35="",H35="",OR(I35="Critical",I35="Major",I35="Minor"))),1,0)</formula>
    </cfRule>
  </conditionalFormatting>
  <conditionalFormatting sqref="G35">
    <cfRule type="expression" dxfId="111" priority="384">
      <formula>IF(AND(OR(G35="",#REF!="Segment"),OR(#REF!="Accuracy",#REF!="Fluency",#REF!="Other")),1,0)</formula>
    </cfRule>
  </conditionalFormatting>
  <conditionalFormatting sqref="F35">
    <cfRule type="expression" dxfId="110" priority="381">
      <formula>IF(AND(F35="",OR(E35="Accuracy",E35="Fluency",E35="Segment",E35="Other")),1,0)</formula>
    </cfRule>
  </conditionalFormatting>
  <conditionalFormatting sqref="G38">
    <cfRule type="expression" dxfId="109" priority="379">
      <formula>IF(OR(AND(G38="",H38="",OR(I38="Critical",I38="Major",I38="Minor"))),1,0)</formula>
    </cfRule>
  </conditionalFormatting>
  <conditionalFormatting sqref="G38">
    <cfRule type="expression" dxfId="108" priority="380">
      <formula>IF(AND(OR(G38="",#REF!="Segment"),OR(#REF!="Accuracy",#REF!="Fluency",#REF!="Other")),1,0)</formula>
    </cfRule>
  </conditionalFormatting>
  <conditionalFormatting sqref="H41">
    <cfRule type="expression" dxfId="107" priority="378">
      <formula>IF(OR(AND(H41="",J41="",OR(#REF!="Critical",#REF!="Major",#REF!="Minor"))),1,0)</formula>
    </cfRule>
  </conditionalFormatting>
  <conditionalFormatting sqref="E102:G103">
    <cfRule type="expression" dxfId="106" priority="106">
      <formula>IF(OR(AND(E102="",F102="",OR(G102="Critical",G102="Major",G102="Minor"))),1,0)</formula>
    </cfRule>
  </conditionalFormatting>
  <conditionalFormatting sqref="F102:F103">
    <cfRule type="expression" dxfId="105" priority="105">
      <formula>IF(AND(F102="",OR(E102="Accuracy",E102="Fluency",E102="Segment",E102="Other")),1,0)</formula>
    </cfRule>
  </conditionalFormatting>
  <conditionalFormatting sqref="G102:G103">
    <cfRule type="expression" dxfId="104" priority="104">
      <formula>IF(AND(OR(G102="",E102="Segment"),OR(E102="Accuracy",E102="Fluency",E102="Other")),1,0)</formula>
    </cfRule>
  </conditionalFormatting>
  <conditionalFormatting sqref="H110">
    <cfRule type="expression" dxfId="103" priority="107">
      <formula>IF(OR(AND(H110="",F110="",OR(G110="Critical",G110="Major",G110="Minor"))),1,0)</formula>
    </cfRule>
  </conditionalFormatting>
  <conditionalFormatting sqref="E104:G104">
    <cfRule type="expression" dxfId="102" priority="102">
      <formula>IF(OR(AND(E104="",F104="",OR(G104="Critical",G104="Major",G104="Minor"))),1,0)</formula>
    </cfRule>
  </conditionalFormatting>
  <conditionalFormatting sqref="F104">
    <cfRule type="expression" dxfId="101" priority="101">
      <formula>IF(AND(F104="",OR(E104="Accuracy",E104="Fluency",E104="Segment",E104="Other")),1,0)</formula>
    </cfRule>
  </conditionalFormatting>
  <conditionalFormatting sqref="G104">
    <cfRule type="expression" dxfId="100" priority="103">
      <formula>IF(AND(OR(G104="",#REF!="Segment"),OR(#REF!="Accuracy",#REF!="Fluency",#REF!="Other")),1,0)</formula>
    </cfRule>
  </conditionalFormatting>
  <conditionalFormatting sqref="E101:G101">
    <cfRule type="expression" dxfId="99" priority="100">
      <formula>IF(OR(AND(E101="",F101="",OR(G101="Critical",G101="Major",G101="Minor"))),1,0)</formula>
    </cfRule>
  </conditionalFormatting>
  <conditionalFormatting sqref="F101">
    <cfRule type="expression" dxfId="98" priority="99">
      <formula>IF(AND(F101="",OR(E101="Accuracy",E101="Fluency",E101="Segment",E101="Other")),1,0)</formula>
    </cfRule>
  </conditionalFormatting>
  <conditionalFormatting sqref="G101">
    <cfRule type="expression" dxfId="97" priority="98">
      <formula>IF(AND(OR(G101="",E101="Segment"),OR(E101="Accuracy",E101="Fluency",E101="Other")),1,0)</formula>
    </cfRule>
  </conditionalFormatting>
  <conditionalFormatting sqref="E105:G105">
    <cfRule type="expression" dxfId="96" priority="97">
      <formula>IF(OR(AND(E105="",F105="",OR(G105="Critical",G105="Major",G105="Minor"))),1,0)</formula>
    </cfRule>
  </conditionalFormatting>
  <conditionalFormatting sqref="F105">
    <cfRule type="expression" dxfId="95" priority="96">
      <formula>IF(AND(F105="",OR(E105="Accuracy",E105="Fluency",E105="Segment",E105="Other")),1,0)</formula>
    </cfRule>
  </conditionalFormatting>
  <conditionalFormatting sqref="G105">
    <cfRule type="expression" dxfId="94" priority="95">
      <formula>IF(AND(OR(G105="",E105="Segment"),OR(E105="Accuracy",E105="Fluency",E105="Other")),1,0)</formula>
    </cfRule>
  </conditionalFormatting>
  <conditionalFormatting sqref="E106:G108">
    <cfRule type="expression" dxfId="93" priority="93">
      <formula>IF(OR(AND(E106="",F106="",OR(G106="Critical",G106="Major",G106="Minor"))),1,0)</formula>
    </cfRule>
  </conditionalFormatting>
  <conditionalFormatting sqref="F106:F108">
    <cfRule type="expression" dxfId="92" priority="92">
      <formula>IF(AND(F106="",OR(E106="Accuracy",E106="Fluency",E106="Segment",E106="Other")),1,0)</formula>
    </cfRule>
  </conditionalFormatting>
  <conditionalFormatting sqref="G106:G108">
    <cfRule type="expression" dxfId="91" priority="94">
      <formula>IF(AND(OR(G106="",#REF!="Segment"),OR(#REF!="Accuracy",#REF!="Fluency",#REF!="Other")),1,0)</formula>
    </cfRule>
  </conditionalFormatting>
  <conditionalFormatting sqref="E109:G109">
    <cfRule type="expression" dxfId="90" priority="91">
      <formula>IF(OR(AND(E109="",F109="",OR(G109="Critical",G109="Major",G109="Minor"))),1,0)</formula>
    </cfRule>
  </conditionalFormatting>
  <conditionalFormatting sqref="F109">
    <cfRule type="expression" dxfId="89" priority="90">
      <formula>IF(AND(F109="",OR(E109="Accuracy",E109="Fluency",E109="Segment",E109="Other")),1,0)</formula>
    </cfRule>
  </conditionalFormatting>
  <conditionalFormatting sqref="G109">
    <cfRule type="expression" dxfId="88" priority="89">
      <formula>IF(AND(OR(G109="",E109="Segment"),OR(E109="Accuracy",E109="Fluency",E109="Other")),1,0)</formula>
    </cfRule>
  </conditionalFormatting>
  <conditionalFormatting sqref="E110:G110">
    <cfRule type="expression" dxfId="87" priority="88">
      <formula>IF(OR(AND(E110="",F110="",OR(G110="Critical",G110="Major",G110="Minor"))),1,0)</formula>
    </cfRule>
  </conditionalFormatting>
  <conditionalFormatting sqref="F110">
    <cfRule type="expression" dxfId="86" priority="87">
      <formula>IF(AND(F110="",OR(E110="Accuracy",E110="Fluency",E110="Segment",E110="Other")),1,0)</formula>
    </cfRule>
  </conditionalFormatting>
  <conditionalFormatting sqref="G110">
    <cfRule type="expression" dxfId="85" priority="86">
      <formula>IF(AND(OR(G110="",E110="Segment"),OR(E110="Accuracy",E110="Fluency",E110="Other")),1,0)</formula>
    </cfRule>
  </conditionalFormatting>
  <conditionalFormatting sqref="E111:G111">
    <cfRule type="expression" dxfId="84" priority="84">
      <formula>IF(OR(AND(E111="",F111="",OR(G111="Critical",G111="Major",G111="Minor"))),1,0)</formula>
    </cfRule>
  </conditionalFormatting>
  <conditionalFormatting sqref="F111">
    <cfRule type="expression" dxfId="83" priority="83">
      <formula>IF(AND(F111="",OR(E111="Accuracy",E111="Fluency",E111="Segment",E111="Other")),1,0)</formula>
    </cfRule>
  </conditionalFormatting>
  <conditionalFormatting sqref="G111">
    <cfRule type="expression" dxfId="82" priority="85">
      <formula>IF(AND(OR(G111="",#REF!="Segment"),OR(#REF!="Accuracy",#REF!="Fluency",#REF!="Other")),1,0)</formula>
    </cfRule>
  </conditionalFormatting>
  <conditionalFormatting sqref="E112:G112">
    <cfRule type="expression" dxfId="81" priority="82">
      <formula>IF(OR(AND(E112="",F112="",OR(G112="Critical",G112="Major",G112="Minor"))),1,0)</formula>
    </cfRule>
  </conditionalFormatting>
  <conditionalFormatting sqref="F112">
    <cfRule type="expression" dxfId="80" priority="81">
      <formula>IF(AND(F112="",OR(E112="Accuracy",E112="Fluency",E112="Segment",E112="Other")),1,0)</formula>
    </cfRule>
  </conditionalFormatting>
  <conditionalFormatting sqref="G112">
    <cfRule type="expression" dxfId="79" priority="80">
      <formula>IF(AND(OR(G112="",E112="Segment"),OR(E112="Accuracy",E112="Fluency",E112="Other")),1,0)</formula>
    </cfRule>
  </conditionalFormatting>
  <conditionalFormatting sqref="E113:G113">
    <cfRule type="expression" dxfId="78" priority="78">
      <formula>IF(OR(AND(E113="",F113="",OR(G113="Critical",G113="Major",G113="Minor"))),1,0)</formula>
    </cfRule>
  </conditionalFormatting>
  <conditionalFormatting sqref="F113">
    <cfRule type="expression" dxfId="77" priority="77">
      <formula>IF(AND(F113="",OR(E113="Accuracy",E113="Fluency",E113="Segment",E113="Other")),1,0)</formula>
    </cfRule>
  </conditionalFormatting>
  <conditionalFormatting sqref="G113">
    <cfRule type="expression" dxfId="76" priority="79">
      <formula>IF(AND(OR(G113="",#REF!="Segment"),OR(#REF!="Accuracy",#REF!="Fluency",#REF!="Other")),1,0)</formula>
    </cfRule>
  </conditionalFormatting>
  <conditionalFormatting sqref="E114:G114">
    <cfRule type="expression" dxfId="75" priority="75">
      <formula>IF(OR(AND(E114="",F114="",OR(G114="Critical",G114="Major",G114="Minor"))),1,0)</formula>
    </cfRule>
  </conditionalFormatting>
  <conditionalFormatting sqref="F114">
    <cfRule type="expression" dxfId="74" priority="74">
      <formula>IF(AND(F114="",OR(E114="Accuracy",E114="Fluency",E114="Segment",E114="Other")),1,0)</formula>
    </cfRule>
  </conditionalFormatting>
  <conditionalFormatting sqref="G114">
    <cfRule type="expression" dxfId="73" priority="76">
      <formula>IF(AND(OR(G114="",#REF!="Segment"),OR(#REF!="Accuracy",#REF!="Fluency",#REF!="Other")),1,0)</formula>
    </cfRule>
  </conditionalFormatting>
  <conditionalFormatting sqref="E115:G115">
    <cfRule type="expression" dxfId="72" priority="72">
      <formula>IF(OR(AND(E115="",F115="",OR(G115="Critical",G115="Major",G115="Minor"))),1,0)</formula>
    </cfRule>
  </conditionalFormatting>
  <conditionalFormatting sqref="F115">
    <cfRule type="expression" dxfId="71" priority="71">
      <formula>IF(AND(F115="",OR(E115="Accuracy",E115="Fluency",E115="Segment",E115="Other")),1,0)</formula>
    </cfRule>
  </conditionalFormatting>
  <conditionalFormatting sqref="G115">
    <cfRule type="expression" dxfId="70" priority="73">
      <formula>IF(AND(OR(G115="",#REF!="Segment"),OR(#REF!="Accuracy",#REF!="Fluency",#REF!="Other")),1,0)</formula>
    </cfRule>
  </conditionalFormatting>
  <conditionalFormatting sqref="E116:G116">
    <cfRule type="expression" dxfId="69" priority="70">
      <formula>IF(OR(AND(E116="",F116="",OR(G116="Critical",G116="Major",G116="Minor"))),1,0)</formula>
    </cfRule>
  </conditionalFormatting>
  <conditionalFormatting sqref="F116">
    <cfRule type="expression" dxfId="68" priority="69">
      <formula>IF(AND(F116="",OR(E116="Accuracy",E116="Fluency",E116="Segment",E116="Other")),1,0)</formula>
    </cfRule>
  </conditionalFormatting>
  <conditionalFormatting sqref="G116">
    <cfRule type="expression" dxfId="67" priority="68">
      <formula>IF(AND(OR(G116="",E116="Segment"),OR(E116="Accuracy",E116="Fluency",E116="Other")),1,0)</formula>
    </cfRule>
  </conditionalFormatting>
  <conditionalFormatting sqref="E117:G117">
    <cfRule type="expression" dxfId="66" priority="67">
      <formula>IF(OR(AND(E117="",F117="",OR(G117="Critical",G117="Major",G117="Minor"))),1,0)</formula>
    </cfRule>
  </conditionalFormatting>
  <conditionalFormatting sqref="F117">
    <cfRule type="expression" dxfId="65" priority="66">
      <formula>IF(AND(F117="",OR(E117="Accuracy",E117="Fluency",E117="Segment",E117="Other")),1,0)</formula>
    </cfRule>
  </conditionalFormatting>
  <conditionalFormatting sqref="G117">
    <cfRule type="expression" dxfId="64" priority="65">
      <formula>IF(AND(OR(G117="",E117="Segment"),OR(E117="Accuracy",E117="Fluency",E117="Other")),1,0)</formula>
    </cfRule>
  </conditionalFormatting>
  <conditionalFormatting sqref="E118:G120">
    <cfRule type="expression" dxfId="63" priority="63">
      <formula>IF(OR(AND(E118="",F118="",OR(G118="Critical",G118="Major",G118="Minor"))),1,0)</formula>
    </cfRule>
  </conditionalFormatting>
  <conditionalFormatting sqref="F118:F120">
    <cfRule type="expression" dxfId="62" priority="62">
      <formula>IF(AND(F118="",OR(E118="Accuracy",E118="Fluency",E118="Segment",E118="Other")),1,0)</formula>
    </cfRule>
  </conditionalFormatting>
  <conditionalFormatting sqref="G118:G120">
    <cfRule type="expression" dxfId="61" priority="64">
      <formula>IF(AND(OR(G118="",#REF!="Segment"),OR(#REF!="Accuracy",#REF!="Fluency",#REF!="Other")),1,0)</formula>
    </cfRule>
  </conditionalFormatting>
  <conditionalFormatting sqref="E121:F122">
    <cfRule type="expression" dxfId="60" priority="61">
      <formula>IF(OR(AND(E121="",F121="",OR(G121="Critical",G121="Major",G121="Minor"))),1,0)</formula>
    </cfRule>
  </conditionalFormatting>
  <conditionalFormatting sqref="F121:F122">
    <cfRule type="expression" dxfId="59" priority="60">
      <formula>IF(AND(F121="",OR(E121="Accuracy",E121="Fluency",E121="Segment",E121="Other")),1,0)</formula>
    </cfRule>
  </conditionalFormatting>
  <conditionalFormatting sqref="G121:G122">
    <cfRule type="expression" dxfId="58" priority="58">
      <formula>IF(OR(AND(G121="",H121="",OR(I121="Critical",I121="Major",I121="Minor"))),1,0)</formula>
    </cfRule>
  </conditionalFormatting>
  <conditionalFormatting sqref="G121:G122">
    <cfRule type="expression" dxfId="57" priority="59">
      <formula>IF(AND(OR(G121="",#REF!="Segment"),OR(#REF!="Accuracy",#REF!="Fluency",#REF!="Other")),1,0)</formula>
    </cfRule>
  </conditionalFormatting>
  <conditionalFormatting sqref="G126">
    <cfRule type="expression" dxfId="56" priority="56">
      <formula>IF(OR(AND(G126="",H126="",OR(I126="Critical",I126="Major",I126="Minor"))),1,0)</formula>
    </cfRule>
  </conditionalFormatting>
  <conditionalFormatting sqref="G126">
    <cfRule type="expression" dxfId="55" priority="57">
      <formula>IF(AND(OR(G126="",#REF!="Segment"),OR(#REF!="Accuracy",#REF!="Fluency",#REF!="Other")),1,0)</formula>
    </cfRule>
  </conditionalFormatting>
  <conditionalFormatting sqref="E126:F126">
    <cfRule type="expression" dxfId="54" priority="55">
      <formula>IF(OR(AND(E126="",F126="",OR(G126="Critical",G126="Major",G126="Minor"))),1,0)</formula>
    </cfRule>
  </conditionalFormatting>
  <conditionalFormatting sqref="F126">
    <cfRule type="expression" dxfId="53" priority="54">
      <formula>IF(AND(F126="",OR(E126="Accuracy",E126="Fluency",E126="Segment",E126="Other")),1,0)</formula>
    </cfRule>
  </conditionalFormatting>
  <conditionalFormatting sqref="E123:G123">
    <cfRule type="expression" dxfId="52" priority="53">
      <formula>IF(OR(AND(E123="",F123="",OR(G123="Critical",G123="Major",G123="Minor"))),1,0)</formula>
    </cfRule>
  </conditionalFormatting>
  <conditionalFormatting sqref="F123">
    <cfRule type="expression" dxfId="51" priority="51">
      <formula>IF(AND(F123="",OR(E123="Accuracy",E123="Fluency",E123="Segment",E123="Other")),1,0)</formula>
    </cfRule>
  </conditionalFormatting>
  <conditionalFormatting sqref="G123">
    <cfRule type="expression" dxfId="50" priority="52">
      <formula>IF(AND(OR(G123="",#REF!="Segment"),OR(#REF!="Accuracy",#REF!="Fluency",#REF!="Other")),1,0)</formula>
    </cfRule>
  </conditionalFormatting>
  <conditionalFormatting sqref="E124:G125">
    <cfRule type="expression" dxfId="49" priority="50">
      <formula>IF(OR(AND(E124="",F124="",OR(G124="Critical",G124="Major",G124="Minor"))),1,0)</formula>
    </cfRule>
  </conditionalFormatting>
  <conditionalFormatting sqref="F124:F125">
    <cfRule type="expression" dxfId="48" priority="48">
      <formula>IF(AND(F124="",OR(E124="Accuracy",E124="Fluency",E124="Segment",E124="Other")),1,0)</formula>
    </cfRule>
  </conditionalFormatting>
  <conditionalFormatting sqref="G124:G125">
    <cfRule type="expression" dxfId="47" priority="49">
      <formula>IF(AND(OR(G124="",#REF!="Segment"),OR(#REF!="Accuracy",#REF!="Fluency",#REF!="Other")),1,0)</formula>
    </cfRule>
  </conditionalFormatting>
  <conditionalFormatting sqref="G127">
    <cfRule type="expression" dxfId="46" priority="46">
      <formula>IF(OR(AND(G127="",H127="",OR(I127="Critical",I127="Major",I127="Minor"))),1,0)</formula>
    </cfRule>
  </conditionalFormatting>
  <conditionalFormatting sqref="G127">
    <cfRule type="expression" dxfId="45" priority="47">
      <formula>IF(AND(OR(G127="",#REF!="Segment"),OR(#REF!="Accuracy",#REF!="Fluency",#REF!="Other")),1,0)</formula>
    </cfRule>
  </conditionalFormatting>
  <conditionalFormatting sqref="E127:F127">
    <cfRule type="expression" dxfId="44" priority="45">
      <formula>IF(OR(AND(E127="",F127="",OR(G127="Critical",G127="Major",G127="Minor"))),1,0)</formula>
    </cfRule>
  </conditionalFormatting>
  <conditionalFormatting sqref="F127">
    <cfRule type="expression" dxfId="43" priority="44">
      <formula>IF(AND(F127="",OR(E127="Accuracy",E127="Fluency",E127="Segment",E127="Other")),1,0)</formula>
    </cfRule>
  </conditionalFormatting>
  <conditionalFormatting sqref="G128">
    <cfRule type="expression" dxfId="42" priority="42">
      <formula>IF(AND(OR(G128="",#REF!="Segment"),OR(#REF!="Accuracy",#REF!="Fluency",#REF!="Other")),1,0)</formula>
    </cfRule>
  </conditionalFormatting>
  <conditionalFormatting sqref="G128">
    <cfRule type="expression" dxfId="41" priority="43">
      <formula>IF(OR(AND(G128="",#REF!="",OR(I128="Critical",I128="Major",I128="Minor"))),1,0)</formula>
    </cfRule>
  </conditionalFormatting>
  <conditionalFormatting sqref="E128:F128">
    <cfRule type="expression" dxfId="40" priority="41">
      <formula>IF(OR(AND(E128="",F128="",OR(G128="Critical",G128="Major",G128="Minor"))),1,0)</formula>
    </cfRule>
  </conditionalFormatting>
  <conditionalFormatting sqref="F128">
    <cfRule type="expression" dxfId="39" priority="40">
      <formula>IF(AND(F128="",OR(E128="Accuracy",E128="Fluency",E128="Segment",E128="Other")),1,0)</formula>
    </cfRule>
  </conditionalFormatting>
  <conditionalFormatting sqref="E129:F131">
    <cfRule type="expression" dxfId="38" priority="39">
      <formula>IF(OR(AND(E129="",F129="",OR(G129="Critical",G129="Major",G129="Minor"))),1,0)</formula>
    </cfRule>
  </conditionalFormatting>
  <conditionalFormatting sqref="F129:F131">
    <cfRule type="expression" dxfId="37" priority="38">
      <formula>IF(AND(F129="",OR(E129="Accuracy",E129="Fluency",E129="Segment",E129="Other")),1,0)</formula>
    </cfRule>
  </conditionalFormatting>
  <conditionalFormatting sqref="G129:G131">
    <cfRule type="expression" dxfId="36" priority="37">
      <formula>IF(OR(AND(G129="",H129="",OR(I129="Critical",I129="Major",I129="Minor"))),1,0)</formula>
    </cfRule>
  </conditionalFormatting>
  <conditionalFormatting sqref="G129:G131">
    <cfRule type="expression" dxfId="35" priority="36">
      <formula>IF(AND(OR(G129="",#REF!="Segment"),OR(#REF!="Accuracy",#REF!="Fluency",#REF!="Other")),1,0)</formula>
    </cfRule>
  </conditionalFormatting>
  <conditionalFormatting sqref="E132:F133">
    <cfRule type="expression" dxfId="34" priority="35">
      <formula>IF(OR(AND(E132="",F132="",OR(G132="Critical",G132="Major",G132="Minor"))),1,0)</formula>
    </cfRule>
  </conditionalFormatting>
  <conditionalFormatting sqref="F132:F133">
    <cfRule type="expression" dxfId="33" priority="34">
      <formula>IF(AND(F132="",OR(E132="Accuracy",E132="Fluency",E132="Segment",E132="Other")),1,0)</formula>
    </cfRule>
  </conditionalFormatting>
  <conditionalFormatting sqref="G132:G133">
    <cfRule type="expression" dxfId="32" priority="33">
      <formula>IF(OR(AND(G132="",H132="",OR(I132="Critical",I132="Major",I132="Minor"))),1,0)</formula>
    </cfRule>
  </conditionalFormatting>
  <conditionalFormatting sqref="G132:G133">
    <cfRule type="expression" dxfId="31" priority="32">
      <formula>IF(AND(OR(G132="",#REF!="Segment"),OR(#REF!="Accuracy",#REF!="Fluency",#REF!="Other")),1,0)</formula>
    </cfRule>
  </conditionalFormatting>
  <conditionalFormatting sqref="E134:F134">
    <cfRule type="expression" dxfId="30" priority="31">
      <formula>IF(OR(AND(E134="",F134="",OR(G134="Critical",G134="Major",G134="Minor"))),1,0)</formula>
    </cfRule>
  </conditionalFormatting>
  <conditionalFormatting sqref="F134">
    <cfRule type="expression" dxfId="29" priority="30">
      <formula>IF(AND(F134="",OR(E134="Accuracy",E134="Fluency",E134="Segment",E134="Other")),1,0)</formula>
    </cfRule>
  </conditionalFormatting>
  <conditionalFormatting sqref="G134">
    <cfRule type="expression" dxfId="28" priority="29">
      <formula>IF(OR(AND(G134="",H134="",OR(I134="Critical",I134="Major",I134="Minor"))),1,0)</formula>
    </cfRule>
  </conditionalFormatting>
  <conditionalFormatting sqref="G134">
    <cfRule type="expression" dxfId="27" priority="28">
      <formula>IF(AND(OR(G134="",#REF!="Segment"),OR(#REF!="Accuracy",#REF!="Fluency",#REF!="Other")),1,0)</formula>
    </cfRule>
  </conditionalFormatting>
  <conditionalFormatting sqref="E135:G135">
    <cfRule type="expression" dxfId="26" priority="26">
      <formula>IF(OR(AND(E135="",F135="",OR(G135="Critical",G135="Major",G135="Minor"))),1,0)</formula>
    </cfRule>
  </conditionalFormatting>
  <conditionalFormatting sqref="F135">
    <cfRule type="expression" dxfId="25" priority="27">
      <formula>IF(AND(F135="",OR(E135="Accuracy",E135="Fluency",E135="Segment",E135="Other")),1,0)</formula>
    </cfRule>
  </conditionalFormatting>
  <conditionalFormatting sqref="G135">
    <cfRule type="expression" dxfId="24" priority="25">
      <formula>IF(AND(OR(G135="",#REF!="Segment"),OR(#REF!="Accuracy",#REF!="Fluency",#REF!="Other")),1,0)</formula>
    </cfRule>
  </conditionalFormatting>
  <conditionalFormatting sqref="E136:F136">
    <cfRule type="expression" dxfId="23" priority="24">
      <formula>IF(OR(AND(E136="",F136="",OR(G136="Critical",G136="Major",G136="Minor"))),1,0)</formula>
    </cfRule>
  </conditionalFormatting>
  <conditionalFormatting sqref="F136">
    <cfRule type="expression" dxfId="22" priority="23">
      <formula>IF(AND(F136="",OR(E136="Accuracy",E136="Fluency",E136="Segment",E136="Other")),1,0)</formula>
    </cfRule>
  </conditionalFormatting>
  <conditionalFormatting sqref="G136">
    <cfRule type="expression" dxfId="21" priority="21">
      <formula>IF(AND(OR(G136="",#REF!="Segment"),OR(#REF!="Accuracy",#REF!="Fluency",#REF!="Other")),1,0)</formula>
    </cfRule>
  </conditionalFormatting>
  <conditionalFormatting sqref="G136">
    <cfRule type="expression" dxfId="20" priority="22">
      <formula>IF(OR(AND(G136="",#REF!="",OR(I126="Critical",I126="Major",I126="Minor"))),1,0)</formula>
    </cfRule>
  </conditionalFormatting>
  <conditionalFormatting sqref="E137">
    <cfRule type="expression" dxfId="19" priority="20">
      <formula>IF(OR(AND(E137="",F137="",OR(G137="Critical",G137="Major",G137="Minor"))),1,0)</formula>
    </cfRule>
  </conditionalFormatting>
  <conditionalFormatting sqref="F137">
    <cfRule type="expression" dxfId="18" priority="19">
      <formula>IF(AND(F137="",OR(E137="Accuracy",E137="Fluency",E137="Segment",E137="Other")),1,0)</formula>
    </cfRule>
  </conditionalFormatting>
  <conditionalFormatting sqref="F137">
    <cfRule type="expression" dxfId="17" priority="18">
      <formula>IF(OR(AND(F137="",G137="",OR(H135="Critical",H135="Major",H135="Minor"))),1,0)</formula>
    </cfRule>
  </conditionalFormatting>
  <conditionalFormatting sqref="G137">
    <cfRule type="expression" dxfId="16" priority="17">
      <formula>IF(OR(AND(G137="",H135="",OR(I137="Critical",I137="Major",I137="Minor"))),1,0)</formula>
    </cfRule>
  </conditionalFormatting>
  <conditionalFormatting sqref="G137">
    <cfRule type="expression" dxfId="15" priority="16">
      <formula>IF(AND(OR(G137="",#REF!="Segment"),OR(#REF!="Accuracy",#REF!="Fluency",#REF!="Other")),1,0)</formula>
    </cfRule>
  </conditionalFormatting>
  <conditionalFormatting sqref="G138">
    <cfRule type="expression" dxfId="14" priority="14">
      <formula>IF(OR(AND(G138="",H138="",OR(I138="Critical",I138="Major",I138="Minor"))),1,0)</formula>
    </cfRule>
  </conditionalFormatting>
  <conditionalFormatting sqref="G138">
    <cfRule type="expression" dxfId="13" priority="15">
      <formula>IF(AND(OR(G138="",#REF!="Segment"),OR(#REF!="Accuracy",#REF!="Fluency",#REF!="Other")),1,0)</formula>
    </cfRule>
  </conditionalFormatting>
  <conditionalFormatting sqref="E138:F138">
    <cfRule type="expression" dxfId="12" priority="13">
      <formula>IF(OR(AND(E138="",F138="",OR(G138="Critical",G138="Major",G138="Minor"))),1,0)</formula>
    </cfRule>
  </conditionalFormatting>
  <conditionalFormatting sqref="F138">
    <cfRule type="expression" dxfId="11" priority="12">
      <formula>IF(AND(F138="",OR(E138="Accuracy",E138="Fluency",E138="Segment",E138="Other")),1,0)</formula>
    </cfRule>
  </conditionalFormatting>
  <conditionalFormatting sqref="E139:G139">
    <cfRule type="expression" dxfId="10" priority="10">
      <formula>IF(OR(AND(E139="",F139="",OR(G139="Critical",G139="Major",G139="Minor"))),1,0)</formula>
    </cfRule>
  </conditionalFormatting>
  <conditionalFormatting sqref="F139">
    <cfRule type="expression" dxfId="9" priority="9">
      <formula>IF(AND(F139="",OR(E139="Accuracy",E139="Fluency",E139="Segment",E139="Other")),1,0)</formula>
    </cfRule>
  </conditionalFormatting>
  <conditionalFormatting sqref="G139">
    <cfRule type="expression" dxfId="8" priority="11">
      <formula>IF(AND(OR(G139="",#REF!="Segment"),OR(#REF!="Accuracy",#REF!="Fluency",#REF!="Other")),1,0)</formula>
    </cfRule>
  </conditionalFormatting>
  <conditionalFormatting sqref="F140">
    <cfRule type="expression" dxfId="7" priority="8">
      <formula>IF(OR(AND(F140="",G140="",OR(H135="Critical",H135="Major",H135="Minor"))),1,0)</formula>
    </cfRule>
  </conditionalFormatting>
  <conditionalFormatting sqref="G140">
    <cfRule type="expression" dxfId="6" priority="7">
      <formula>IF(OR(AND(G140="",H135="",OR(I140="Critical",I140="Major",I140="Minor"))),1,0)</formula>
    </cfRule>
  </conditionalFormatting>
  <conditionalFormatting sqref="F140">
    <cfRule type="expression" dxfId="5" priority="6">
      <formula>IF(AND(F140="",OR(E140="Accuracy",E140="Fluency",E140="Segment",E140="Other")),1,0)</formula>
    </cfRule>
  </conditionalFormatting>
  <conditionalFormatting sqref="G140">
    <cfRule type="expression" dxfId="4" priority="5">
      <formula>IF(AND(OR(G140="",#REF!="Segment"),OR(#REF!="Accuracy",#REF!="Fluency",#REF!="Other")),1,0)</formula>
    </cfRule>
  </conditionalFormatting>
  <conditionalFormatting sqref="E140">
    <cfRule type="expression" dxfId="3" priority="4">
      <formula>IF(OR(AND(E140="",F140="",OR(G140="Critical",G140="Major",G140="Minor"))),1,0)</formula>
    </cfRule>
  </conditionalFormatting>
  <conditionalFormatting sqref="E141:G141">
    <cfRule type="expression" dxfId="2" priority="2">
      <formula>IF(OR(AND(E141="",F141="",OR(G141="Critical",G141="Major",G141="Minor"))),1,0)</formula>
    </cfRule>
  </conditionalFormatting>
  <conditionalFormatting sqref="F141">
    <cfRule type="expression" dxfId="1" priority="1">
      <formula>IF(AND(F141="",OR(E141="Accuracy",E141="Fluency",E141="Segment",E141="Other")),1,0)</formula>
    </cfRule>
  </conditionalFormatting>
  <conditionalFormatting sqref="G141">
    <cfRule type="expression" dxfId="0" priority="3">
      <formula>IF(AND(OR(G141="",#REF!="Segment"),OR(#REF!="Accuracy",#REF!="Fluency",#REF!="Other")),1,0)</formula>
    </cfRule>
  </conditionalFormatting>
  <dataValidations count="3">
    <dataValidation allowBlank="1" showDropDown="1" showInputMessage="1" showErrorMessage="1" sqref="E1:G1 H380:H876 H266 H251:H257 H259:H264 H268:H375 H377:H378 H220:H249 H37:H67 H70:H73 H213:H218 H1:H22 H167:H210 H24:H26 H75:H98 H28:H32 H34:H35 H101:H137 I1:I876 H139:H165" xr:uid="{00000000-0002-0000-0100-000000000000}"/>
    <dataValidation type="list" allowBlank="1" showInputMessage="1" showErrorMessage="1" sqref="H110 E2:E876" xr:uid="{00000000-0002-0000-0100-000001000000}">
      <formula1>Issue_Type</formula1>
    </dataValidation>
    <dataValidation type="list" allowBlank="1" showInputMessage="1" showErrorMessage="1" sqref="F2:G876" xr:uid="{00000000-0002-0000-0100-000002000000}">
      <formula1>INDIRECT(E2)</formula1>
    </dataValidation>
  </dataValidations>
  <pageMargins left="0.75" right="0.75" top="1" bottom="1" header="0.5" footer="0.5"/>
  <pageSetup paperSize="9"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plicateRows">
                <anchor moveWithCells="1" sizeWithCells="1">
                  <from>
                    <xdr:col>10</xdr:col>
                    <xdr:colOff>152400</xdr:colOff>
                    <xdr:row>0</xdr:row>
                    <xdr:rowOff>22860</xdr:rowOff>
                  </from>
                  <to>
                    <xdr:col>10</xdr:col>
                    <xdr:colOff>1013460</xdr:colOff>
                    <xdr:row>0</xdr:row>
                    <xdr:rowOff>365760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E9A6E-1C50-43F9-8CE4-450596F51EEF}">
  <dimension ref="A1:A826"/>
  <sheetViews>
    <sheetView topLeftCell="A39" workbookViewId="0">
      <selection activeCell="A2" sqref="A2:A61"/>
    </sheetView>
  </sheetViews>
  <sheetFormatPr defaultRowHeight="15.6"/>
  <cols>
    <col min="1" max="1" width="13.69921875" style="22" customWidth="1"/>
  </cols>
  <sheetData>
    <row r="1" spans="1:1">
      <c r="A1" s="16" t="s">
        <v>20</v>
      </c>
    </row>
    <row r="2" spans="1:1">
      <c r="A2" s="90" t="s">
        <v>74</v>
      </c>
    </row>
    <row r="3" spans="1:1">
      <c r="A3" s="80" t="s">
        <v>75</v>
      </c>
    </row>
    <row r="4" spans="1:1">
      <c r="A4" s="80" t="s">
        <v>76</v>
      </c>
    </row>
    <row r="5" spans="1:1">
      <c r="A5" s="80" t="s">
        <v>77</v>
      </c>
    </row>
    <row r="6" spans="1:1">
      <c r="A6" s="80" t="s">
        <v>78</v>
      </c>
    </row>
    <row r="7" spans="1:1">
      <c r="A7" s="80" t="s">
        <v>79</v>
      </c>
    </row>
    <row r="8" spans="1:1">
      <c r="A8" s="80" t="s">
        <v>80</v>
      </c>
    </row>
    <row r="9" spans="1:1">
      <c r="A9" s="80" t="s">
        <v>81</v>
      </c>
    </row>
    <row r="10" spans="1:1">
      <c r="A10" s="80" t="s">
        <v>82</v>
      </c>
    </row>
    <row r="11" spans="1:1">
      <c r="A11" s="80" t="s">
        <v>83</v>
      </c>
    </row>
    <row r="12" spans="1:1">
      <c r="A12" s="92" t="s">
        <v>84</v>
      </c>
    </row>
    <row r="13" spans="1:1">
      <c r="A13" s="92" t="s">
        <v>85</v>
      </c>
    </row>
    <row r="14" spans="1:1">
      <c r="A14" s="92" t="s">
        <v>86</v>
      </c>
    </row>
    <row r="15" spans="1:1">
      <c r="A15" s="92" t="s">
        <v>87</v>
      </c>
    </row>
    <row r="16" spans="1:1">
      <c r="A16" s="92" t="s">
        <v>88</v>
      </c>
    </row>
    <row r="17" spans="1:1">
      <c r="A17" s="92" t="s">
        <v>89</v>
      </c>
    </row>
    <row r="18" spans="1:1">
      <c r="A18" s="92" t="s">
        <v>90</v>
      </c>
    </row>
    <row r="19" spans="1:1">
      <c r="A19" s="92" t="s">
        <v>91</v>
      </c>
    </row>
    <row r="20" spans="1:1">
      <c r="A20" s="92" t="s">
        <v>92</v>
      </c>
    </row>
    <row r="21" spans="1:1">
      <c r="A21" s="92" t="s">
        <v>93</v>
      </c>
    </row>
    <row r="22" spans="1:1">
      <c r="A22" s="92" t="s">
        <v>94</v>
      </c>
    </row>
    <row r="23" spans="1:1">
      <c r="A23" s="92" t="s">
        <v>95</v>
      </c>
    </row>
    <row r="24" spans="1:1">
      <c r="A24" s="92" t="s">
        <v>96</v>
      </c>
    </row>
    <row r="25" spans="1:1">
      <c r="A25" s="80" t="s">
        <v>97</v>
      </c>
    </row>
    <row r="26" spans="1:1">
      <c r="A26" s="80" t="s">
        <v>98</v>
      </c>
    </row>
    <row r="27" spans="1:1">
      <c r="A27" s="80" t="s">
        <v>99</v>
      </c>
    </row>
    <row r="28" spans="1:1">
      <c r="A28" s="80" t="s">
        <v>100</v>
      </c>
    </row>
    <row r="29" spans="1:1">
      <c r="A29" s="80" t="s">
        <v>101</v>
      </c>
    </row>
    <row r="30" spans="1:1">
      <c r="A30" s="80" t="s">
        <v>102</v>
      </c>
    </row>
    <row r="31" spans="1:1">
      <c r="A31" s="80" t="s">
        <v>103</v>
      </c>
    </row>
    <row r="32" spans="1:1">
      <c r="A32" s="80" t="s">
        <v>104</v>
      </c>
    </row>
    <row r="33" spans="1:1">
      <c r="A33" s="80" t="s">
        <v>105</v>
      </c>
    </row>
    <row r="34" spans="1:1">
      <c r="A34" s="80" t="s">
        <v>106</v>
      </c>
    </row>
    <row r="35" spans="1:1">
      <c r="A35" s="80" t="s">
        <v>107</v>
      </c>
    </row>
    <row r="36" spans="1:1">
      <c r="A36" s="80" t="s">
        <v>108</v>
      </c>
    </row>
    <row r="37" spans="1:1">
      <c r="A37" s="80" t="s">
        <v>109</v>
      </c>
    </row>
    <row r="38" spans="1:1">
      <c r="A38" s="80" t="s">
        <v>110</v>
      </c>
    </row>
    <row r="39" spans="1:1">
      <c r="A39" s="80" t="s">
        <v>111</v>
      </c>
    </row>
    <row r="40" spans="1:1">
      <c r="A40" s="80" t="s">
        <v>112</v>
      </c>
    </row>
    <row r="41" spans="1:1">
      <c r="A41" s="80" t="s">
        <v>113</v>
      </c>
    </row>
    <row r="42" spans="1:1">
      <c r="A42" s="80" t="s">
        <v>114</v>
      </c>
    </row>
    <row r="43" spans="1:1">
      <c r="A43" s="80" t="s">
        <v>115</v>
      </c>
    </row>
    <row r="44" spans="1:1">
      <c r="A44" s="80" t="s">
        <v>116</v>
      </c>
    </row>
    <row r="45" spans="1:1">
      <c r="A45" s="80" t="s">
        <v>117</v>
      </c>
    </row>
    <row r="46" spans="1:1">
      <c r="A46" s="15" t="s">
        <v>118</v>
      </c>
    </row>
    <row r="47" spans="1:1">
      <c r="A47" s="15" t="s">
        <v>119</v>
      </c>
    </row>
    <row r="48" spans="1:1">
      <c r="A48" s="15" t="s">
        <v>120</v>
      </c>
    </row>
    <row r="49" spans="1:1">
      <c r="A49" s="15" t="s">
        <v>121</v>
      </c>
    </row>
    <row r="50" spans="1:1">
      <c r="A50" s="15" t="s">
        <v>124</v>
      </c>
    </row>
    <row r="51" spans="1:1">
      <c r="A51" s="15" t="s">
        <v>126</v>
      </c>
    </row>
    <row r="52" spans="1:1">
      <c r="A52" s="15" t="s">
        <v>128</v>
      </c>
    </row>
    <row r="53" spans="1:1">
      <c r="A53" s="15" t="s">
        <v>130</v>
      </c>
    </row>
    <row r="54" spans="1:1">
      <c r="A54" s="15" t="s">
        <v>133</v>
      </c>
    </row>
    <row r="55" spans="1:1">
      <c r="A55" s="15" t="s">
        <v>135</v>
      </c>
    </row>
    <row r="56" spans="1:1">
      <c r="A56" s="15" t="s">
        <v>137</v>
      </c>
    </row>
    <row r="57" spans="1:1">
      <c r="A57" s="15" t="s">
        <v>140</v>
      </c>
    </row>
    <row r="58" spans="1:1">
      <c r="A58" s="15" t="s">
        <v>142</v>
      </c>
    </row>
    <row r="59" spans="1:1">
      <c r="A59" s="15" t="s">
        <v>146</v>
      </c>
    </row>
    <row r="60" spans="1:1">
      <c r="A60" s="15" t="s">
        <v>148</v>
      </c>
    </row>
    <row r="61" spans="1:1">
      <c r="A61" s="15" t="s">
        <v>150</v>
      </c>
    </row>
    <row r="62" spans="1:1">
      <c r="A62" s="80"/>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row r="221" spans="1:1">
      <c r="A221"/>
    </row>
    <row r="222" spans="1:1">
      <c r="A222"/>
    </row>
    <row r="223" spans="1:1">
      <c r="A223"/>
    </row>
    <row r="224" spans="1:1">
      <c r="A224"/>
    </row>
    <row r="225" spans="1:1">
      <c r="A225"/>
    </row>
    <row r="226" spans="1:1">
      <c r="A226"/>
    </row>
    <row r="227" spans="1:1">
      <c r="A227"/>
    </row>
    <row r="228" spans="1:1">
      <c r="A228"/>
    </row>
    <row r="229" spans="1:1">
      <c r="A229"/>
    </row>
    <row r="230" spans="1:1">
      <c r="A230"/>
    </row>
    <row r="231" spans="1:1">
      <c r="A231"/>
    </row>
    <row r="232" spans="1:1">
      <c r="A232"/>
    </row>
    <row r="233" spans="1:1">
      <c r="A233"/>
    </row>
    <row r="234" spans="1:1">
      <c r="A234"/>
    </row>
    <row r="235" spans="1:1">
      <c r="A235"/>
    </row>
    <row r="236" spans="1:1">
      <c r="A236"/>
    </row>
    <row r="237" spans="1:1">
      <c r="A237"/>
    </row>
    <row r="238" spans="1:1">
      <c r="A238"/>
    </row>
    <row r="239" spans="1:1">
      <c r="A239"/>
    </row>
    <row r="240" spans="1:1">
      <c r="A240"/>
    </row>
    <row r="241" spans="1:1">
      <c r="A241"/>
    </row>
    <row r="242" spans="1:1">
      <c r="A242"/>
    </row>
    <row r="243" spans="1:1">
      <c r="A243"/>
    </row>
    <row r="244" spans="1:1">
      <c r="A244"/>
    </row>
    <row r="245" spans="1:1">
      <c r="A245"/>
    </row>
    <row r="246" spans="1:1">
      <c r="A246"/>
    </row>
    <row r="247" spans="1:1">
      <c r="A247"/>
    </row>
    <row r="248" spans="1:1">
      <c r="A248"/>
    </row>
    <row r="249" spans="1:1">
      <c r="A249"/>
    </row>
    <row r="250" spans="1:1">
      <c r="A250"/>
    </row>
    <row r="251" spans="1:1">
      <c r="A251"/>
    </row>
    <row r="252" spans="1:1">
      <c r="A252"/>
    </row>
    <row r="253" spans="1:1">
      <c r="A253"/>
    </row>
    <row r="254" spans="1:1">
      <c r="A254"/>
    </row>
    <row r="255" spans="1:1">
      <c r="A255"/>
    </row>
    <row r="256" spans="1:1">
      <c r="A256"/>
    </row>
    <row r="257" spans="1:1">
      <c r="A257"/>
    </row>
    <row r="258" spans="1:1">
      <c r="A258"/>
    </row>
    <row r="259" spans="1:1">
      <c r="A259"/>
    </row>
    <row r="260" spans="1:1">
      <c r="A260"/>
    </row>
    <row r="261" spans="1:1">
      <c r="A261"/>
    </row>
    <row r="262" spans="1:1">
      <c r="A262"/>
    </row>
    <row r="263" spans="1:1">
      <c r="A263"/>
    </row>
    <row r="264" spans="1:1">
      <c r="A264"/>
    </row>
    <row r="265" spans="1:1">
      <c r="A265"/>
    </row>
    <row r="266" spans="1:1">
      <c r="A266"/>
    </row>
    <row r="267" spans="1:1">
      <c r="A267"/>
    </row>
    <row r="268" spans="1:1">
      <c r="A268"/>
    </row>
    <row r="269" spans="1:1">
      <c r="A269"/>
    </row>
    <row r="270" spans="1:1">
      <c r="A270"/>
    </row>
    <row r="271" spans="1:1">
      <c r="A271"/>
    </row>
    <row r="272" spans="1:1">
      <c r="A272"/>
    </row>
    <row r="273" spans="1:1">
      <c r="A273"/>
    </row>
    <row r="274" spans="1:1">
      <c r="A274"/>
    </row>
    <row r="275" spans="1:1">
      <c r="A275"/>
    </row>
    <row r="276" spans="1:1">
      <c r="A276"/>
    </row>
    <row r="277" spans="1:1">
      <c r="A277"/>
    </row>
    <row r="278" spans="1:1">
      <c r="A278"/>
    </row>
    <row r="279" spans="1:1">
      <c r="A279"/>
    </row>
    <row r="280" spans="1:1">
      <c r="A280"/>
    </row>
    <row r="281" spans="1:1">
      <c r="A281"/>
    </row>
    <row r="282" spans="1:1">
      <c r="A282"/>
    </row>
    <row r="283" spans="1:1">
      <c r="A283"/>
    </row>
    <row r="284" spans="1:1">
      <c r="A284"/>
    </row>
    <row r="285" spans="1:1">
      <c r="A285"/>
    </row>
    <row r="286" spans="1:1">
      <c r="A286"/>
    </row>
    <row r="287" spans="1:1">
      <c r="A287"/>
    </row>
    <row r="288" spans="1:1">
      <c r="A288"/>
    </row>
    <row r="289" spans="1:1">
      <c r="A289"/>
    </row>
    <row r="290" spans="1:1">
      <c r="A290"/>
    </row>
    <row r="291" spans="1:1">
      <c r="A291"/>
    </row>
    <row r="292" spans="1:1">
      <c r="A292"/>
    </row>
    <row r="293" spans="1:1">
      <c r="A293"/>
    </row>
    <row r="294" spans="1:1">
      <c r="A294"/>
    </row>
    <row r="295" spans="1:1">
      <c r="A295"/>
    </row>
    <row r="296" spans="1:1">
      <c r="A296"/>
    </row>
    <row r="297" spans="1:1">
      <c r="A297"/>
    </row>
    <row r="298" spans="1:1">
      <c r="A298"/>
    </row>
    <row r="299" spans="1:1">
      <c r="A299"/>
    </row>
    <row r="300" spans="1:1">
      <c r="A300"/>
    </row>
    <row r="301" spans="1:1">
      <c r="A301"/>
    </row>
    <row r="302" spans="1:1">
      <c r="A302"/>
    </row>
    <row r="303" spans="1:1">
      <c r="A303"/>
    </row>
    <row r="304" spans="1:1">
      <c r="A304"/>
    </row>
    <row r="305" spans="1:1">
      <c r="A305"/>
    </row>
    <row r="306" spans="1:1">
      <c r="A306"/>
    </row>
    <row r="307" spans="1:1">
      <c r="A307"/>
    </row>
    <row r="308" spans="1:1">
      <c r="A308"/>
    </row>
    <row r="309" spans="1:1">
      <c r="A309"/>
    </row>
    <row r="310" spans="1:1">
      <c r="A310"/>
    </row>
    <row r="311" spans="1:1">
      <c r="A311"/>
    </row>
    <row r="312" spans="1:1">
      <c r="A312"/>
    </row>
    <row r="313" spans="1:1">
      <c r="A313"/>
    </row>
    <row r="314" spans="1:1">
      <c r="A314"/>
    </row>
    <row r="315" spans="1:1">
      <c r="A315"/>
    </row>
    <row r="316" spans="1:1">
      <c r="A316"/>
    </row>
    <row r="317" spans="1:1">
      <c r="A317"/>
    </row>
    <row r="318" spans="1:1">
      <c r="A318"/>
    </row>
    <row r="319" spans="1:1">
      <c r="A319"/>
    </row>
    <row r="320" spans="1:1">
      <c r="A320"/>
    </row>
    <row r="321" spans="1:1">
      <c r="A321"/>
    </row>
    <row r="322" spans="1:1">
      <c r="A322"/>
    </row>
    <row r="323" spans="1:1">
      <c r="A323"/>
    </row>
    <row r="324" spans="1:1">
      <c r="A324"/>
    </row>
    <row r="325" spans="1:1">
      <c r="A325"/>
    </row>
    <row r="326" spans="1:1">
      <c r="A326"/>
    </row>
    <row r="327" spans="1:1">
      <c r="A327"/>
    </row>
    <row r="328" spans="1:1">
      <c r="A328"/>
    </row>
    <row r="329" spans="1:1">
      <c r="A329"/>
    </row>
    <row r="330" spans="1:1">
      <c r="A330"/>
    </row>
    <row r="331" spans="1:1">
      <c r="A331"/>
    </row>
    <row r="332" spans="1:1">
      <c r="A332"/>
    </row>
    <row r="333" spans="1:1">
      <c r="A333"/>
    </row>
    <row r="334" spans="1:1">
      <c r="A334"/>
    </row>
    <row r="335" spans="1:1">
      <c r="A335"/>
    </row>
    <row r="336" spans="1:1">
      <c r="A336"/>
    </row>
    <row r="337" spans="1:1">
      <c r="A337"/>
    </row>
    <row r="338" spans="1:1">
      <c r="A338"/>
    </row>
    <row r="339" spans="1:1">
      <c r="A339"/>
    </row>
    <row r="340" spans="1:1">
      <c r="A340"/>
    </row>
    <row r="341" spans="1:1">
      <c r="A341"/>
    </row>
    <row r="342" spans="1:1">
      <c r="A342"/>
    </row>
    <row r="343" spans="1:1">
      <c r="A343"/>
    </row>
    <row r="344" spans="1:1">
      <c r="A344"/>
    </row>
    <row r="345" spans="1:1">
      <c r="A345"/>
    </row>
    <row r="346" spans="1:1">
      <c r="A346"/>
    </row>
    <row r="347" spans="1:1">
      <c r="A347"/>
    </row>
    <row r="348" spans="1:1">
      <c r="A348"/>
    </row>
    <row r="349" spans="1:1">
      <c r="A349"/>
    </row>
    <row r="350" spans="1:1">
      <c r="A350"/>
    </row>
    <row r="351" spans="1:1">
      <c r="A351"/>
    </row>
    <row r="352" spans="1:1">
      <c r="A352"/>
    </row>
    <row r="353" spans="1:1">
      <c r="A353"/>
    </row>
    <row r="354" spans="1:1">
      <c r="A354"/>
    </row>
    <row r="355" spans="1:1">
      <c r="A355"/>
    </row>
    <row r="356" spans="1:1">
      <c r="A356"/>
    </row>
    <row r="357" spans="1:1">
      <c r="A357"/>
    </row>
    <row r="358" spans="1:1">
      <c r="A358"/>
    </row>
    <row r="359" spans="1:1">
      <c r="A359"/>
    </row>
    <row r="360" spans="1:1">
      <c r="A360"/>
    </row>
    <row r="361" spans="1:1">
      <c r="A361"/>
    </row>
    <row r="362" spans="1:1">
      <c r="A362"/>
    </row>
    <row r="363" spans="1:1">
      <c r="A363"/>
    </row>
    <row r="364" spans="1:1">
      <c r="A364"/>
    </row>
    <row r="365" spans="1:1">
      <c r="A365"/>
    </row>
    <row r="366" spans="1:1">
      <c r="A366"/>
    </row>
    <row r="367" spans="1:1">
      <c r="A367"/>
    </row>
    <row r="368" spans="1:1">
      <c r="A368"/>
    </row>
    <row r="369" spans="1:1">
      <c r="A369"/>
    </row>
    <row r="370" spans="1:1">
      <c r="A370"/>
    </row>
    <row r="371" spans="1:1">
      <c r="A371"/>
    </row>
    <row r="372" spans="1:1">
      <c r="A372"/>
    </row>
    <row r="373" spans="1:1">
      <c r="A373"/>
    </row>
    <row r="374" spans="1:1">
      <c r="A374"/>
    </row>
    <row r="375" spans="1:1">
      <c r="A375"/>
    </row>
    <row r="376" spans="1:1">
      <c r="A376"/>
    </row>
    <row r="377" spans="1:1">
      <c r="A377"/>
    </row>
    <row r="378" spans="1:1">
      <c r="A378"/>
    </row>
    <row r="379" spans="1:1">
      <c r="A379"/>
    </row>
    <row r="380" spans="1:1">
      <c r="A380"/>
    </row>
    <row r="381" spans="1:1">
      <c r="A381"/>
    </row>
    <row r="382" spans="1:1">
      <c r="A382"/>
    </row>
    <row r="383" spans="1:1">
      <c r="A383"/>
    </row>
    <row r="384" spans="1:1">
      <c r="A384"/>
    </row>
    <row r="385" spans="1:1">
      <c r="A385"/>
    </row>
    <row r="386" spans="1:1">
      <c r="A386"/>
    </row>
    <row r="387" spans="1:1">
      <c r="A387"/>
    </row>
    <row r="388" spans="1:1">
      <c r="A388"/>
    </row>
    <row r="389" spans="1:1">
      <c r="A389"/>
    </row>
    <row r="390" spans="1:1">
      <c r="A390"/>
    </row>
    <row r="391" spans="1:1">
      <c r="A391"/>
    </row>
    <row r="392" spans="1:1">
      <c r="A392"/>
    </row>
    <row r="393" spans="1:1">
      <c r="A393"/>
    </row>
    <row r="394" spans="1:1">
      <c r="A394"/>
    </row>
    <row r="395" spans="1:1">
      <c r="A395"/>
    </row>
    <row r="396" spans="1:1">
      <c r="A396"/>
    </row>
    <row r="397" spans="1:1">
      <c r="A397"/>
    </row>
    <row r="398" spans="1:1">
      <c r="A398"/>
    </row>
    <row r="399" spans="1:1">
      <c r="A399"/>
    </row>
    <row r="400" spans="1:1">
      <c r="A400"/>
    </row>
    <row r="401" spans="1:1">
      <c r="A401"/>
    </row>
    <row r="402" spans="1:1">
      <c r="A402"/>
    </row>
    <row r="403" spans="1:1">
      <c r="A403"/>
    </row>
    <row r="404" spans="1:1">
      <c r="A404"/>
    </row>
    <row r="405" spans="1:1">
      <c r="A405"/>
    </row>
    <row r="406" spans="1:1">
      <c r="A406"/>
    </row>
    <row r="407" spans="1:1">
      <c r="A407"/>
    </row>
    <row r="408" spans="1:1">
      <c r="A408"/>
    </row>
    <row r="409" spans="1:1">
      <c r="A409"/>
    </row>
    <row r="410" spans="1:1">
      <c r="A410"/>
    </row>
    <row r="411" spans="1:1">
      <c r="A411"/>
    </row>
    <row r="412" spans="1:1">
      <c r="A412"/>
    </row>
    <row r="413" spans="1:1">
      <c r="A413"/>
    </row>
    <row r="414" spans="1:1">
      <c r="A414"/>
    </row>
    <row r="415" spans="1:1">
      <c r="A415"/>
    </row>
    <row r="416" spans="1:1">
      <c r="A416"/>
    </row>
    <row r="417" spans="1:1">
      <c r="A417"/>
    </row>
    <row r="418" spans="1:1">
      <c r="A418"/>
    </row>
    <row r="419" spans="1:1">
      <c r="A419"/>
    </row>
    <row r="420" spans="1:1">
      <c r="A420"/>
    </row>
    <row r="421" spans="1:1">
      <c r="A421"/>
    </row>
    <row r="422" spans="1:1">
      <c r="A422"/>
    </row>
    <row r="423" spans="1:1">
      <c r="A423"/>
    </row>
    <row r="424" spans="1:1">
      <c r="A424"/>
    </row>
    <row r="425" spans="1:1">
      <c r="A425"/>
    </row>
    <row r="426" spans="1:1">
      <c r="A426"/>
    </row>
    <row r="427" spans="1:1">
      <c r="A427"/>
    </row>
    <row r="428" spans="1:1">
      <c r="A428"/>
    </row>
    <row r="429" spans="1:1">
      <c r="A429"/>
    </row>
    <row r="430" spans="1:1">
      <c r="A430"/>
    </row>
    <row r="431" spans="1:1">
      <c r="A431"/>
    </row>
    <row r="432" spans="1:1">
      <c r="A432"/>
    </row>
    <row r="433" spans="1:1">
      <c r="A433"/>
    </row>
    <row r="434" spans="1:1">
      <c r="A434"/>
    </row>
    <row r="435" spans="1:1">
      <c r="A435"/>
    </row>
    <row r="436" spans="1:1">
      <c r="A436"/>
    </row>
    <row r="437" spans="1:1">
      <c r="A437"/>
    </row>
    <row r="438" spans="1:1">
      <c r="A438"/>
    </row>
    <row r="439" spans="1:1">
      <c r="A439"/>
    </row>
    <row r="440" spans="1:1">
      <c r="A440"/>
    </row>
    <row r="441" spans="1:1">
      <c r="A441"/>
    </row>
    <row r="442" spans="1:1">
      <c r="A442"/>
    </row>
    <row r="443" spans="1:1">
      <c r="A443"/>
    </row>
    <row r="444" spans="1:1">
      <c r="A444"/>
    </row>
    <row r="445" spans="1:1">
      <c r="A445"/>
    </row>
    <row r="446" spans="1:1">
      <c r="A446"/>
    </row>
    <row r="447" spans="1:1">
      <c r="A447"/>
    </row>
    <row r="448" spans="1:1">
      <c r="A448"/>
    </row>
    <row r="449" spans="1:1">
      <c r="A449"/>
    </row>
    <row r="450" spans="1:1">
      <c r="A450"/>
    </row>
    <row r="451" spans="1:1">
      <c r="A451"/>
    </row>
    <row r="452" spans="1:1">
      <c r="A452"/>
    </row>
    <row r="453" spans="1:1">
      <c r="A453"/>
    </row>
    <row r="454" spans="1:1">
      <c r="A454"/>
    </row>
    <row r="455" spans="1:1">
      <c r="A455"/>
    </row>
    <row r="456" spans="1:1">
      <c r="A456"/>
    </row>
    <row r="457" spans="1:1">
      <c r="A457"/>
    </row>
    <row r="458" spans="1:1">
      <c r="A458"/>
    </row>
    <row r="459" spans="1:1">
      <c r="A459"/>
    </row>
    <row r="460" spans="1:1">
      <c r="A460"/>
    </row>
    <row r="461" spans="1:1">
      <c r="A461"/>
    </row>
    <row r="462" spans="1:1">
      <c r="A462"/>
    </row>
    <row r="463" spans="1:1">
      <c r="A463"/>
    </row>
    <row r="464" spans="1:1">
      <c r="A464"/>
    </row>
    <row r="465" spans="1:1">
      <c r="A465"/>
    </row>
    <row r="466" spans="1:1">
      <c r="A466"/>
    </row>
    <row r="467" spans="1:1">
      <c r="A467"/>
    </row>
    <row r="468" spans="1:1">
      <c r="A468"/>
    </row>
    <row r="469" spans="1:1">
      <c r="A469"/>
    </row>
    <row r="470" spans="1:1">
      <c r="A470"/>
    </row>
    <row r="471" spans="1:1">
      <c r="A471"/>
    </row>
    <row r="472" spans="1:1">
      <c r="A472"/>
    </row>
    <row r="473" spans="1:1">
      <c r="A473"/>
    </row>
    <row r="474" spans="1:1">
      <c r="A474"/>
    </row>
    <row r="475" spans="1:1">
      <c r="A475"/>
    </row>
    <row r="476" spans="1:1">
      <c r="A476"/>
    </row>
    <row r="477" spans="1:1">
      <c r="A477"/>
    </row>
    <row r="478" spans="1:1">
      <c r="A478"/>
    </row>
    <row r="479" spans="1:1">
      <c r="A479"/>
    </row>
    <row r="480" spans="1:1">
      <c r="A480"/>
    </row>
    <row r="481" spans="1:1">
      <c r="A481"/>
    </row>
    <row r="482" spans="1:1">
      <c r="A482"/>
    </row>
    <row r="483" spans="1:1">
      <c r="A483"/>
    </row>
    <row r="484" spans="1:1">
      <c r="A484"/>
    </row>
    <row r="485" spans="1:1">
      <c r="A485"/>
    </row>
    <row r="486" spans="1:1">
      <c r="A486"/>
    </row>
    <row r="487" spans="1:1">
      <c r="A487"/>
    </row>
    <row r="488" spans="1:1">
      <c r="A488"/>
    </row>
    <row r="489" spans="1:1">
      <c r="A489"/>
    </row>
    <row r="490" spans="1:1">
      <c r="A490"/>
    </row>
    <row r="491" spans="1:1">
      <c r="A491"/>
    </row>
    <row r="492" spans="1:1">
      <c r="A492"/>
    </row>
    <row r="493" spans="1:1">
      <c r="A493"/>
    </row>
    <row r="494" spans="1:1">
      <c r="A494"/>
    </row>
    <row r="495" spans="1:1">
      <c r="A495"/>
    </row>
    <row r="496" spans="1:1">
      <c r="A496"/>
    </row>
    <row r="497" spans="1:1">
      <c r="A497"/>
    </row>
    <row r="498" spans="1:1">
      <c r="A498"/>
    </row>
    <row r="499" spans="1:1">
      <c r="A499"/>
    </row>
    <row r="500" spans="1:1">
      <c r="A500"/>
    </row>
    <row r="501" spans="1:1">
      <c r="A501"/>
    </row>
    <row r="502" spans="1:1">
      <c r="A502"/>
    </row>
    <row r="503" spans="1:1">
      <c r="A503"/>
    </row>
    <row r="504" spans="1:1">
      <c r="A504"/>
    </row>
    <row r="505" spans="1:1">
      <c r="A505"/>
    </row>
    <row r="506" spans="1:1">
      <c r="A506"/>
    </row>
    <row r="507" spans="1:1">
      <c r="A507"/>
    </row>
    <row r="508" spans="1:1">
      <c r="A508"/>
    </row>
    <row r="509" spans="1:1">
      <c r="A509"/>
    </row>
    <row r="510" spans="1:1">
      <c r="A510"/>
    </row>
    <row r="511" spans="1:1">
      <c r="A511"/>
    </row>
    <row r="512" spans="1:1">
      <c r="A512"/>
    </row>
    <row r="513" spans="1:1">
      <c r="A513"/>
    </row>
    <row r="514" spans="1:1">
      <c r="A514"/>
    </row>
    <row r="515" spans="1:1">
      <c r="A515"/>
    </row>
    <row r="516" spans="1:1">
      <c r="A516"/>
    </row>
    <row r="517" spans="1:1">
      <c r="A517"/>
    </row>
    <row r="518" spans="1:1">
      <c r="A518"/>
    </row>
    <row r="519" spans="1:1">
      <c r="A519"/>
    </row>
    <row r="520" spans="1:1">
      <c r="A520"/>
    </row>
    <row r="521" spans="1:1">
      <c r="A521"/>
    </row>
    <row r="522" spans="1:1">
      <c r="A522"/>
    </row>
    <row r="523" spans="1:1">
      <c r="A523"/>
    </row>
    <row r="524" spans="1:1">
      <c r="A524"/>
    </row>
    <row r="525" spans="1:1">
      <c r="A525"/>
    </row>
    <row r="526" spans="1:1">
      <c r="A526"/>
    </row>
    <row r="527" spans="1:1">
      <c r="A527"/>
    </row>
    <row r="528" spans="1:1">
      <c r="A528"/>
    </row>
    <row r="529" spans="1:1">
      <c r="A529"/>
    </row>
    <row r="530" spans="1:1">
      <c r="A530"/>
    </row>
    <row r="531" spans="1:1">
      <c r="A531"/>
    </row>
    <row r="532" spans="1:1">
      <c r="A532"/>
    </row>
    <row r="533" spans="1:1">
      <c r="A533"/>
    </row>
    <row r="534" spans="1:1">
      <c r="A534"/>
    </row>
    <row r="535" spans="1:1">
      <c r="A535"/>
    </row>
    <row r="536" spans="1:1">
      <c r="A536"/>
    </row>
    <row r="537" spans="1:1">
      <c r="A537"/>
    </row>
    <row r="538" spans="1:1">
      <c r="A538"/>
    </row>
    <row r="539" spans="1:1">
      <c r="A539"/>
    </row>
    <row r="540" spans="1:1">
      <c r="A540"/>
    </row>
    <row r="541" spans="1:1">
      <c r="A541"/>
    </row>
    <row r="542" spans="1:1">
      <c r="A542"/>
    </row>
    <row r="543" spans="1:1">
      <c r="A543"/>
    </row>
    <row r="544" spans="1:1">
      <c r="A544"/>
    </row>
    <row r="545" spans="1:1">
      <c r="A545"/>
    </row>
    <row r="546" spans="1:1">
      <c r="A546"/>
    </row>
    <row r="547" spans="1:1">
      <c r="A547"/>
    </row>
    <row r="548" spans="1:1">
      <c r="A548"/>
    </row>
    <row r="549" spans="1:1">
      <c r="A549"/>
    </row>
    <row r="550" spans="1:1">
      <c r="A550"/>
    </row>
    <row r="551" spans="1:1">
      <c r="A551"/>
    </row>
    <row r="552" spans="1:1">
      <c r="A552"/>
    </row>
    <row r="553" spans="1:1">
      <c r="A553"/>
    </row>
    <row r="554" spans="1:1">
      <c r="A554"/>
    </row>
    <row r="555" spans="1:1">
      <c r="A555"/>
    </row>
    <row r="556" spans="1:1">
      <c r="A556"/>
    </row>
    <row r="557" spans="1:1">
      <c r="A557"/>
    </row>
    <row r="558" spans="1:1">
      <c r="A558"/>
    </row>
    <row r="559" spans="1:1">
      <c r="A559"/>
    </row>
    <row r="560" spans="1:1">
      <c r="A560"/>
    </row>
    <row r="561" spans="1:1">
      <c r="A561"/>
    </row>
    <row r="562" spans="1:1">
      <c r="A562"/>
    </row>
    <row r="563" spans="1:1">
      <c r="A563"/>
    </row>
    <row r="564" spans="1:1">
      <c r="A564"/>
    </row>
    <row r="565" spans="1:1">
      <c r="A565"/>
    </row>
    <row r="566" spans="1:1">
      <c r="A566"/>
    </row>
    <row r="567" spans="1:1">
      <c r="A567"/>
    </row>
    <row r="568" spans="1:1">
      <c r="A568"/>
    </row>
    <row r="569" spans="1:1">
      <c r="A569"/>
    </row>
    <row r="570" spans="1:1">
      <c r="A570"/>
    </row>
    <row r="571" spans="1:1">
      <c r="A571"/>
    </row>
    <row r="572" spans="1:1">
      <c r="A572"/>
    </row>
    <row r="573" spans="1:1">
      <c r="A573"/>
    </row>
    <row r="574" spans="1:1">
      <c r="A574"/>
    </row>
    <row r="575" spans="1:1">
      <c r="A575"/>
    </row>
    <row r="576" spans="1:1">
      <c r="A576"/>
    </row>
    <row r="577" spans="1:1">
      <c r="A577"/>
    </row>
    <row r="578" spans="1:1">
      <c r="A578"/>
    </row>
    <row r="579" spans="1:1">
      <c r="A579"/>
    </row>
    <row r="580" spans="1:1">
      <c r="A580"/>
    </row>
    <row r="581" spans="1:1">
      <c r="A581"/>
    </row>
    <row r="582" spans="1:1">
      <c r="A582"/>
    </row>
    <row r="583" spans="1:1">
      <c r="A583"/>
    </row>
    <row r="584" spans="1:1">
      <c r="A584"/>
    </row>
    <row r="585" spans="1:1">
      <c r="A585"/>
    </row>
    <row r="586" spans="1:1">
      <c r="A586"/>
    </row>
    <row r="587" spans="1:1">
      <c r="A587"/>
    </row>
    <row r="588" spans="1:1">
      <c r="A588"/>
    </row>
    <row r="589" spans="1:1">
      <c r="A589"/>
    </row>
    <row r="590" spans="1:1">
      <c r="A590"/>
    </row>
    <row r="591" spans="1:1">
      <c r="A591"/>
    </row>
    <row r="592" spans="1:1">
      <c r="A592"/>
    </row>
    <row r="593" spans="1:1">
      <c r="A593"/>
    </row>
    <row r="594" spans="1:1">
      <c r="A594"/>
    </row>
    <row r="595" spans="1:1">
      <c r="A595"/>
    </row>
    <row r="596" spans="1:1">
      <c r="A596"/>
    </row>
    <row r="597" spans="1:1">
      <c r="A597"/>
    </row>
    <row r="598" spans="1:1">
      <c r="A598"/>
    </row>
    <row r="599" spans="1:1">
      <c r="A599"/>
    </row>
    <row r="600" spans="1:1">
      <c r="A600"/>
    </row>
    <row r="601" spans="1:1">
      <c r="A601"/>
    </row>
    <row r="602" spans="1:1">
      <c r="A602"/>
    </row>
    <row r="603" spans="1:1">
      <c r="A603"/>
    </row>
    <row r="604" spans="1:1">
      <c r="A604"/>
    </row>
    <row r="605" spans="1:1">
      <c r="A605"/>
    </row>
    <row r="606" spans="1:1">
      <c r="A606"/>
    </row>
    <row r="607" spans="1:1">
      <c r="A607"/>
    </row>
    <row r="608" spans="1:1">
      <c r="A608"/>
    </row>
    <row r="609" spans="1:1">
      <c r="A609"/>
    </row>
    <row r="610" spans="1:1">
      <c r="A610"/>
    </row>
    <row r="611" spans="1:1">
      <c r="A611"/>
    </row>
    <row r="612" spans="1:1">
      <c r="A612"/>
    </row>
    <row r="613" spans="1:1">
      <c r="A613"/>
    </row>
    <row r="614" spans="1:1">
      <c r="A614"/>
    </row>
    <row r="615" spans="1:1">
      <c r="A615"/>
    </row>
    <row r="616" spans="1:1">
      <c r="A616"/>
    </row>
    <row r="617" spans="1:1">
      <c r="A617"/>
    </row>
    <row r="618" spans="1:1">
      <c r="A618"/>
    </row>
    <row r="619" spans="1:1">
      <c r="A619"/>
    </row>
    <row r="620" spans="1:1">
      <c r="A620"/>
    </row>
    <row r="621" spans="1:1">
      <c r="A621"/>
    </row>
    <row r="622" spans="1:1">
      <c r="A622"/>
    </row>
    <row r="623" spans="1:1">
      <c r="A623"/>
    </row>
    <row r="624" spans="1:1">
      <c r="A624"/>
    </row>
    <row r="625" spans="1:1">
      <c r="A625"/>
    </row>
    <row r="626" spans="1:1">
      <c r="A626"/>
    </row>
    <row r="627" spans="1:1">
      <c r="A627"/>
    </row>
    <row r="628" spans="1:1">
      <c r="A628"/>
    </row>
    <row r="629" spans="1:1">
      <c r="A629"/>
    </row>
    <row r="630" spans="1:1">
      <c r="A630"/>
    </row>
    <row r="631" spans="1:1">
      <c r="A631"/>
    </row>
    <row r="632" spans="1:1">
      <c r="A632"/>
    </row>
    <row r="633" spans="1:1">
      <c r="A633"/>
    </row>
    <row r="634" spans="1:1">
      <c r="A634"/>
    </row>
    <row r="635" spans="1:1">
      <c r="A635"/>
    </row>
    <row r="636" spans="1:1">
      <c r="A636"/>
    </row>
    <row r="637" spans="1:1">
      <c r="A637"/>
    </row>
    <row r="638" spans="1:1">
      <c r="A638"/>
    </row>
    <row r="639" spans="1:1">
      <c r="A639"/>
    </row>
    <row r="640" spans="1:1">
      <c r="A640"/>
    </row>
    <row r="641" spans="1:1">
      <c r="A641"/>
    </row>
    <row r="642" spans="1:1">
      <c r="A642"/>
    </row>
    <row r="643" spans="1:1">
      <c r="A643"/>
    </row>
    <row r="644" spans="1:1">
      <c r="A644"/>
    </row>
    <row r="645" spans="1:1">
      <c r="A645"/>
    </row>
    <row r="646" spans="1:1">
      <c r="A646"/>
    </row>
    <row r="647" spans="1:1">
      <c r="A647"/>
    </row>
    <row r="648" spans="1:1">
      <c r="A648"/>
    </row>
    <row r="649" spans="1:1">
      <c r="A649"/>
    </row>
    <row r="650" spans="1:1">
      <c r="A650"/>
    </row>
    <row r="651" spans="1:1">
      <c r="A651"/>
    </row>
    <row r="652" spans="1:1">
      <c r="A652"/>
    </row>
    <row r="653" spans="1:1">
      <c r="A653"/>
    </row>
    <row r="654" spans="1:1">
      <c r="A654"/>
    </row>
    <row r="655" spans="1:1">
      <c r="A655"/>
    </row>
    <row r="656" spans="1:1">
      <c r="A656"/>
    </row>
    <row r="657" spans="1:1">
      <c r="A657"/>
    </row>
    <row r="658" spans="1:1">
      <c r="A658"/>
    </row>
    <row r="659" spans="1:1">
      <c r="A659"/>
    </row>
    <row r="660" spans="1:1">
      <c r="A660"/>
    </row>
    <row r="661" spans="1:1">
      <c r="A661"/>
    </row>
    <row r="662" spans="1:1">
      <c r="A662"/>
    </row>
    <row r="663" spans="1:1">
      <c r="A663"/>
    </row>
    <row r="664" spans="1:1">
      <c r="A664"/>
    </row>
    <row r="665" spans="1:1">
      <c r="A665"/>
    </row>
    <row r="666" spans="1:1">
      <c r="A666"/>
    </row>
    <row r="667" spans="1:1">
      <c r="A667"/>
    </row>
    <row r="668" spans="1:1">
      <c r="A668"/>
    </row>
    <row r="669" spans="1:1">
      <c r="A669"/>
    </row>
    <row r="670" spans="1:1">
      <c r="A670"/>
    </row>
    <row r="671" spans="1:1">
      <c r="A671"/>
    </row>
    <row r="672" spans="1:1">
      <c r="A672"/>
    </row>
    <row r="673" spans="1:1">
      <c r="A673"/>
    </row>
    <row r="674" spans="1:1">
      <c r="A674"/>
    </row>
    <row r="675" spans="1:1">
      <c r="A675"/>
    </row>
    <row r="676" spans="1:1">
      <c r="A676"/>
    </row>
    <row r="677" spans="1:1">
      <c r="A677"/>
    </row>
    <row r="678" spans="1:1">
      <c r="A678"/>
    </row>
    <row r="679" spans="1:1">
      <c r="A679"/>
    </row>
    <row r="680" spans="1:1">
      <c r="A680"/>
    </row>
    <row r="681" spans="1:1">
      <c r="A681"/>
    </row>
    <row r="682" spans="1:1">
      <c r="A682"/>
    </row>
    <row r="683" spans="1:1">
      <c r="A683"/>
    </row>
    <row r="684" spans="1:1">
      <c r="A684"/>
    </row>
    <row r="685" spans="1:1">
      <c r="A685"/>
    </row>
    <row r="686" spans="1:1">
      <c r="A686"/>
    </row>
    <row r="687" spans="1:1">
      <c r="A687"/>
    </row>
    <row r="688" spans="1:1">
      <c r="A688"/>
    </row>
    <row r="689" spans="1:1">
      <c r="A689"/>
    </row>
    <row r="690" spans="1:1">
      <c r="A690"/>
    </row>
    <row r="691" spans="1:1">
      <c r="A691"/>
    </row>
    <row r="692" spans="1:1">
      <c r="A692"/>
    </row>
    <row r="693" spans="1:1">
      <c r="A693"/>
    </row>
    <row r="694" spans="1:1">
      <c r="A694"/>
    </row>
    <row r="695" spans="1:1">
      <c r="A695"/>
    </row>
    <row r="696" spans="1:1">
      <c r="A696"/>
    </row>
    <row r="697" spans="1:1">
      <c r="A697"/>
    </row>
    <row r="698" spans="1:1">
      <c r="A698"/>
    </row>
    <row r="699" spans="1:1">
      <c r="A699"/>
    </row>
    <row r="700" spans="1:1">
      <c r="A700"/>
    </row>
    <row r="701" spans="1:1">
      <c r="A701"/>
    </row>
    <row r="702" spans="1:1">
      <c r="A702"/>
    </row>
    <row r="703" spans="1:1">
      <c r="A703"/>
    </row>
    <row r="704" spans="1:1">
      <c r="A704"/>
    </row>
    <row r="705" spans="1:1">
      <c r="A705"/>
    </row>
    <row r="706" spans="1:1">
      <c r="A706"/>
    </row>
    <row r="707" spans="1:1">
      <c r="A707"/>
    </row>
    <row r="708" spans="1:1">
      <c r="A708"/>
    </row>
    <row r="709" spans="1:1">
      <c r="A709"/>
    </row>
    <row r="710" spans="1:1">
      <c r="A710"/>
    </row>
    <row r="711" spans="1:1">
      <c r="A711"/>
    </row>
    <row r="712" spans="1:1">
      <c r="A712"/>
    </row>
    <row r="713" spans="1:1">
      <c r="A713"/>
    </row>
    <row r="714" spans="1:1">
      <c r="A714"/>
    </row>
    <row r="715" spans="1:1">
      <c r="A715"/>
    </row>
    <row r="716" spans="1:1">
      <c r="A716"/>
    </row>
    <row r="717" spans="1:1">
      <c r="A717"/>
    </row>
    <row r="718" spans="1:1">
      <c r="A718"/>
    </row>
    <row r="719" spans="1:1">
      <c r="A719"/>
    </row>
    <row r="720" spans="1:1">
      <c r="A720"/>
    </row>
    <row r="721" spans="1:1">
      <c r="A721"/>
    </row>
    <row r="722" spans="1:1">
      <c r="A722"/>
    </row>
    <row r="723" spans="1:1">
      <c r="A723"/>
    </row>
    <row r="724" spans="1:1">
      <c r="A724"/>
    </row>
    <row r="725" spans="1:1">
      <c r="A725"/>
    </row>
    <row r="726" spans="1:1">
      <c r="A726"/>
    </row>
    <row r="727" spans="1:1">
      <c r="A727"/>
    </row>
    <row r="728" spans="1:1">
      <c r="A728"/>
    </row>
    <row r="729" spans="1:1">
      <c r="A729"/>
    </row>
    <row r="730" spans="1:1">
      <c r="A730"/>
    </row>
    <row r="731" spans="1:1">
      <c r="A731"/>
    </row>
    <row r="732" spans="1:1">
      <c r="A732"/>
    </row>
    <row r="733" spans="1:1">
      <c r="A733"/>
    </row>
    <row r="734" spans="1:1">
      <c r="A734"/>
    </row>
    <row r="735" spans="1:1">
      <c r="A735"/>
    </row>
    <row r="736" spans="1:1">
      <c r="A736"/>
    </row>
    <row r="737" spans="1:1">
      <c r="A737"/>
    </row>
    <row r="738" spans="1:1">
      <c r="A738"/>
    </row>
    <row r="739" spans="1:1">
      <c r="A739"/>
    </row>
    <row r="740" spans="1:1">
      <c r="A740"/>
    </row>
    <row r="741" spans="1:1">
      <c r="A741"/>
    </row>
    <row r="742" spans="1:1">
      <c r="A742"/>
    </row>
    <row r="743" spans="1:1">
      <c r="A743"/>
    </row>
    <row r="744" spans="1:1">
      <c r="A744"/>
    </row>
    <row r="745" spans="1:1">
      <c r="A745"/>
    </row>
    <row r="746" spans="1:1">
      <c r="A746"/>
    </row>
    <row r="747" spans="1:1">
      <c r="A747"/>
    </row>
    <row r="748" spans="1:1">
      <c r="A748"/>
    </row>
    <row r="749" spans="1:1">
      <c r="A749"/>
    </row>
    <row r="750" spans="1:1">
      <c r="A750"/>
    </row>
    <row r="751" spans="1:1">
      <c r="A751"/>
    </row>
    <row r="752" spans="1:1">
      <c r="A752"/>
    </row>
    <row r="753" spans="1:1">
      <c r="A753"/>
    </row>
    <row r="754" spans="1:1">
      <c r="A754"/>
    </row>
    <row r="755" spans="1:1">
      <c r="A755"/>
    </row>
    <row r="756" spans="1:1">
      <c r="A756"/>
    </row>
    <row r="757" spans="1:1">
      <c r="A757"/>
    </row>
    <row r="758" spans="1:1">
      <c r="A758"/>
    </row>
    <row r="759" spans="1:1">
      <c r="A759"/>
    </row>
    <row r="760" spans="1:1">
      <c r="A760"/>
    </row>
    <row r="761" spans="1:1">
      <c r="A761"/>
    </row>
    <row r="762" spans="1:1">
      <c r="A762"/>
    </row>
    <row r="763" spans="1:1">
      <c r="A763"/>
    </row>
    <row r="764" spans="1:1">
      <c r="A764"/>
    </row>
    <row r="765" spans="1:1">
      <c r="A765"/>
    </row>
    <row r="766" spans="1:1">
      <c r="A766"/>
    </row>
    <row r="767" spans="1:1">
      <c r="A767"/>
    </row>
    <row r="768" spans="1:1">
      <c r="A768"/>
    </row>
    <row r="769" spans="1:1">
      <c r="A769"/>
    </row>
    <row r="770" spans="1:1">
      <c r="A770"/>
    </row>
    <row r="771" spans="1:1">
      <c r="A771"/>
    </row>
    <row r="772" spans="1:1">
      <c r="A772"/>
    </row>
    <row r="773" spans="1:1">
      <c r="A773"/>
    </row>
    <row r="774" spans="1:1">
      <c r="A774"/>
    </row>
    <row r="775" spans="1:1">
      <c r="A775"/>
    </row>
    <row r="776" spans="1:1">
      <c r="A776"/>
    </row>
    <row r="777" spans="1:1">
      <c r="A777"/>
    </row>
    <row r="778" spans="1:1">
      <c r="A778"/>
    </row>
    <row r="779" spans="1:1">
      <c r="A779"/>
    </row>
    <row r="780" spans="1:1">
      <c r="A780"/>
    </row>
    <row r="781" spans="1:1">
      <c r="A781"/>
    </row>
    <row r="782" spans="1:1">
      <c r="A782"/>
    </row>
    <row r="783" spans="1:1">
      <c r="A783"/>
    </row>
    <row r="784" spans="1:1">
      <c r="A784"/>
    </row>
    <row r="785" spans="1:1">
      <c r="A785"/>
    </row>
    <row r="786" spans="1:1">
      <c r="A786"/>
    </row>
    <row r="787" spans="1:1">
      <c r="A787"/>
    </row>
    <row r="788" spans="1:1">
      <c r="A788"/>
    </row>
    <row r="789" spans="1:1">
      <c r="A789"/>
    </row>
    <row r="790" spans="1:1">
      <c r="A790"/>
    </row>
    <row r="791" spans="1:1">
      <c r="A791"/>
    </row>
    <row r="792" spans="1:1">
      <c r="A792"/>
    </row>
    <row r="793" spans="1:1">
      <c r="A793"/>
    </row>
    <row r="794" spans="1:1">
      <c r="A794"/>
    </row>
    <row r="795" spans="1:1">
      <c r="A795"/>
    </row>
    <row r="796" spans="1:1">
      <c r="A796"/>
    </row>
    <row r="797" spans="1:1">
      <c r="A797"/>
    </row>
    <row r="798" spans="1:1">
      <c r="A798"/>
    </row>
    <row r="799" spans="1:1">
      <c r="A799"/>
    </row>
    <row r="800" spans="1:1">
      <c r="A800"/>
    </row>
    <row r="801" spans="1:1">
      <c r="A801"/>
    </row>
    <row r="802" spans="1:1">
      <c r="A802"/>
    </row>
    <row r="803" spans="1:1">
      <c r="A803"/>
    </row>
    <row r="804" spans="1:1">
      <c r="A804"/>
    </row>
    <row r="805" spans="1:1">
      <c r="A805"/>
    </row>
    <row r="806" spans="1:1">
      <c r="A806"/>
    </row>
    <row r="807" spans="1:1">
      <c r="A807"/>
    </row>
    <row r="808" spans="1:1">
      <c r="A808"/>
    </row>
    <row r="809" spans="1:1">
      <c r="A809"/>
    </row>
    <row r="810" spans="1:1">
      <c r="A810"/>
    </row>
    <row r="811" spans="1:1">
      <c r="A811"/>
    </row>
    <row r="812" spans="1:1">
      <c r="A812"/>
    </row>
    <row r="813" spans="1:1">
      <c r="A813"/>
    </row>
    <row r="814" spans="1:1">
      <c r="A814"/>
    </row>
    <row r="815" spans="1:1">
      <c r="A815"/>
    </row>
    <row r="816" spans="1:1">
      <c r="A816"/>
    </row>
    <row r="817" spans="1:1">
      <c r="A817"/>
    </row>
    <row r="818" spans="1:1">
      <c r="A818"/>
    </row>
    <row r="819" spans="1:1">
      <c r="A819"/>
    </row>
    <row r="820" spans="1:1">
      <c r="A820"/>
    </row>
    <row r="821" spans="1:1">
      <c r="A821"/>
    </row>
    <row r="822" spans="1:1">
      <c r="A822"/>
    </row>
    <row r="823" spans="1:1">
      <c r="A823"/>
    </row>
    <row r="824" spans="1:1">
      <c r="A824"/>
    </row>
    <row r="825" spans="1:1">
      <c r="A825"/>
    </row>
    <row r="826" spans="1:1">
      <c r="A826"/>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L496"/>
  <sheetViews>
    <sheetView zoomScale="90" zoomScaleNormal="90" workbookViewId="0">
      <pane ySplit="1" topLeftCell="A23" activePane="bottomLeft" state="frozen"/>
      <selection pane="bottomLeft" activeCell="C50" sqref="C50"/>
    </sheetView>
  </sheetViews>
  <sheetFormatPr defaultColWidth="9" defaultRowHeight="15"/>
  <cols>
    <col min="1" max="1" width="9" style="83"/>
    <col min="2" max="2" width="23.19921875" style="32" customWidth="1"/>
    <col min="3" max="3" width="47" style="32" customWidth="1"/>
    <col min="4" max="4" width="11" style="32" bestFit="1" customWidth="1"/>
    <col min="5" max="9" width="9" style="32"/>
    <col min="10" max="10" width="17" style="32" bestFit="1" customWidth="1"/>
    <col min="11" max="16384" width="9" style="32"/>
  </cols>
  <sheetData>
    <row r="1" spans="1:12" ht="27.6">
      <c r="A1" s="81" t="s">
        <v>20</v>
      </c>
      <c r="B1" s="13" t="s">
        <v>4</v>
      </c>
      <c r="C1" s="13" t="s">
        <v>5</v>
      </c>
      <c r="D1" s="16" t="s">
        <v>44</v>
      </c>
      <c r="E1" s="12" t="s">
        <v>25</v>
      </c>
      <c r="F1" s="12" t="s">
        <v>23</v>
      </c>
      <c r="G1" s="12" t="s">
        <v>1</v>
      </c>
      <c r="H1" s="12" t="s">
        <v>46</v>
      </c>
      <c r="I1" s="12" t="s">
        <v>47</v>
      </c>
      <c r="J1" s="12" t="s">
        <v>53</v>
      </c>
    </row>
    <row r="2" spans="1:12">
      <c r="A2" s="98" t="s">
        <v>155</v>
      </c>
      <c r="B2" s="70" t="str">
        <f>IF(ISBLANK(A2),"",INDEX('Error Log'!$A:$J,MATCH('Scores per segment'!$A2,'Error Log'!$A:$A,0),MATCH('Scores per segment'!B$1,'Error Log'!$A$1:$J$1,0)))</f>
        <v>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v>
      </c>
      <c r="C2" s="70" t="str">
        <f>IF(ISBLANK(A2),"",INDEX('Error Log'!$A:$J,MATCH('Scores per segment'!$A2,'Error Log'!$A:$A,0),MATCH('Scores per segment'!C$1,'Error Log'!$A$1:$J$1,0)))</f>
        <v>lu xincai takes his 84-year-old mother to work with him on the back of his motorbike every day . 
his mother suffers from alzheimer 's and used to get lost when she was left alone . 
he ties a sash around both of their waists to ensure that she does not fall off .</v>
      </c>
      <c r="D2" s="70">
        <f>IF(H2=0,wdct(TRIM(C2)),0)</f>
        <v>51</v>
      </c>
      <c r="E2" s="70">
        <f>COUNTIFS('Error Log'!$A:$A,$A2,'Error Log'!$J:$J,E$1)</f>
        <v>2</v>
      </c>
      <c r="F2" s="70">
        <f>COUNTIFS('Error Log'!$A:$A,$A2,'Error Log'!$J:$J,F$1)</f>
        <v>0</v>
      </c>
      <c r="G2" s="70">
        <f>COUNTIFS('Error Log'!$A:$A,$A2,'Error Log'!$J:$J,G$1)</f>
        <v>0</v>
      </c>
      <c r="H2" s="70">
        <f>COUNTIFS('Error Log'!$A:$A,$A2,'Error Log'!$F:$F,"Source")</f>
        <v>0</v>
      </c>
      <c r="I2" s="70">
        <f>COUNTIFS('Error Log'!$A:$A,$A2,'Error Log'!$F:$F,"Target")</f>
        <v>0</v>
      </c>
      <c r="J2" s="71">
        <f t="shared" ref="J2:J61" si="0">IF(I2=0,IFERROR((((1-((E2*10+F2*5+G2*1)/D2))*100)+100)/2,0),-150)</f>
        <v>80.392156862745097</v>
      </c>
      <c r="L2" s="83"/>
    </row>
    <row r="3" spans="1:12" ht="15.6">
      <c r="A3" t="s">
        <v>338</v>
      </c>
      <c r="B3" s="70" t="str">
        <f>IF(ISBLANK(A3),"",INDEX('Error Log'!$A:$J,MATCH('Scores per segment'!$A3,'Error Log'!$A:$A,0),MATCH('Scores per segment'!B$1,'Error Log'!$A$1:$J$1,0)))</f>
        <v>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v>
      </c>
      <c r="C3" s="70" t="str">
        <f>IF(ISBLANK(A3),"",INDEX('Error Log'!$A:$J,MATCH('Scores per segment'!$A3,'Error Log'!$A:$A,0),MATCH('Scores per segment'!C$1,'Error Log'!$A$1:$J$1,0)))</f>
        <v>five-year-old child is called mai zizhuo and he has been shooting hoops since he was two and a half years old . 
the pint-sized player scored a succession of hoops before running around dribbling two basketballs . 
his incredible skills have won him legions of fans across basketball-mad china .</v>
      </c>
      <c r="D3" s="70">
        <f>IF(H3=0,wdct(TRIM(C3)),0)</f>
        <v>47</v>
      </c>
      <c r="E3" s="70">
        <f>COUNTIFS('Error Log'!$A:$A,$A3,'Error Log'!$J:$J,E$1)</f>
        <v>0</v>
      </c>
      <c r="F3" s="70">
        <f>COUNTIFS('Error Log'!$A:$A,$A3,'Error Log'!$J:$J,F$1)</f>
        <v>0</v>
      </c>
      <c r="G3" s="70">
        <f>COUNTIFS('Error Log'!$A:$A,$A3,'Error Log'!$J:$J,G$1)</f>
        <v>0</v>
      </c>
      <c r="H3" s="70">
        <f>COUNTIFS('Error Log'!$A:$A,$A3,'Error Log'!$F:$F,"Source")</f>
        <v>0</v>
      </c>
      <c r="I3" s="70">
        <f>COUNTIFS('Error Log'!$A:$A,$A3,'Error Log'!$F:$F,"Target")</f>
        <v>0</v>
      </c>
      <c r="J3" s="71">
        <f t="shared" si="0"/>
        <v>100</v>
      </c>
    </row>
    <row r="4" spans="1:12" ht="15.6">
      <c r="A4" t="s">
        <v>339</v>
      </c>
      <c r="B4" s="70" t="str">
        <f>IF(ISBLANK(A4),"",INDEX('Error Log'!$A:$J,MATCH('Scores per segment'!$A4,'Error Log'!$A:$A,0),MATCH('Scores per segment'!B$1,'Error Log'!$A$1:$J$1,0)))</f>
        <v>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v>
      </c>
      <c r="C4" s="70" t="str">
        <f>IF(ISBLANK(A4),"",INDEX('Error Log'!$A:$J,MATCH('Scores per segment'!$A4,'Error Log'!$A:$A,0),MATCH('Scores per segment'!C$1,'Error Log'!$A$1:$J$1,0)))</f>
        <v>a drone carrying traces of a radioactive material was found on the rooftop of japan 's equivalent to the white house .
the discovery came on the same day a japanese court approved a government plan to restart two reactors at the sendai nuclear power plant . 
the drone was equipped with a small camera , smoke flares and a bottle containing small traces of cesium .</v>
      </c>
      <c r="D4" s="70">
        <f>IF(H4=0,wdct(TRIM(C4)),0)</f>
        <v>63</v>
      </c>
      <c r="E4" s="70">
        <f>COUNTIFS('Error Log'!$A:$A,$A4,'Error Log'!$J:$J,E$1)</f>
        <v>1</v>
      </c>
      <c r="F4" s="70">
        <f>COUNTIFS('Error Log'!$A:$A,$A4,'Error Log'!$J:$J,F$1)</f>
        <v>1</v>
      </c>
      <c r="G4" s="70">
        <f>COUNTIFS('Error Log'!$A:$A,$A4,'Error Log'!$J:$J,G$1)</f>
        <v>0</v>
      </c>
      <c r="H4" s="70">
        <f>COUNTIFS('Error Log'!$A:$A,$A4,'Error Log'!$F:$F,"Source")</f>
        <v>0</v>
      </c>
      <c r="I4" s="70">
        <f>COUNTIFS('Error Log'!$A:$A,$A4,'Error Log'!$F:$F,"Target")</f>
        <v>0</v>
      </c>
      <c r="J4" s="71">
        <f t="shared" si="0"/>
        <v>88.095238095238102</v>
      </c>
    </row>
    <row r="5" spans="1:12" ht="15.6">
      <c r="A5" t="s">
        <v>340</v>
      </c>
      <c r="B5" s="70" t="str">
        <f>IF(ISBLANK(A5),"",INDEX('Error Log'!$A:$J,MATCH('Scores per segment'!$A5,'Error Log'!$A:$A,0),MATCH('Scores per segment'!B$1,'Error Log'!$A$1:$J$1,0)))</f>
        <v>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v>
      </c>
      <c r="C5" s="70" t="str">
        <f>IF(ISBLANK(A5),"",INDEX('Error Log'!$A:$J,MATCH('Scores per segment'!$A5,'Error Log'!$A:$A,0),MATCH('Scores per segment'!C$1,'Error Log'!$A$1:$J$1,0)))</f>
        <v>tom o'carroll is a former open university information officer and formerly a key activist for pie . 
he attended a hacked off rally in the houses of parliament on february 25 to lobby mps for state involvement in media regulation . 
the organisation is campaigning against what it sees as the ` biased and unfair ` independent press standards organisation .</v>
      </c>
      <c r="D5" s="70">
        <f>IF(H5=0,wdct(TRIM(C5)),0)</f>
        <v>56</v>
      </c>
      <c r="E5" s="70">
        <f>COUNTIFS('Error Log'!$A:$A,$A5,'Error Log'!$J:$J,E$1)</f>
        <v>2</v>
      </c>
      <c r="F5" s="70">
        <f>COUNTIFS('Error Log'!$A:$A,$A5,'Error Log'!$J:$J,F$1)</f>
        <v>0</v>
      </c>
      <c r="G5" s="70">
        <f>COUNTIFS('Error Log'!$A:$A,$A5,'Error Log'!$J:$J,G$1)</f>
        <v>0</v>
      </c>
      <c r="H5" s="70">
        <f>COUNTIFS('Error Log'!$A:$A,$A5,'Error Log'!$F:$F,"Source")</f>
        <v>0</v>
      </c>
      <c r="I5" s="70">
        <f>COUNTIFS('Error Log'!$A:$A,$A5,'Error Log'!$F:$F,"Target")</f>
        <v>0</v>
      </c>
      <c r="J5" s="71">
        <f t="shared" si="0"/>
        <v>82.142857142857139</v>
      </c>
      <c r="K5" s="78"/>
    </row>
    <row r="6" spans="1:12" ht="15.6">
      <c r="A6" t="s">
        <v>341</v>
      </c>
      <c r="B6" s="70" t="str">
        <f>IF(ISBLANK(A6),"",INDEX('Error Log'!$A:$J,MATCH('Scores per segment'!$A6,'Error Log'!$A:$A,0),MATCH('Scores per segment'!B$1,'Error Log'!$A$1:$J$1,0)))</f>
        <v>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v>
      </c>
      <c r="C6" s="70" t="str">
        <f>IF(ISBLANK(A6),"",INDEX('Error Log'!$A:$J,MATCH('Scores per segment'!$A6,'Error Log'!$A:$A,0),MATCH('Scores per segment'!C$1,'Error Log'!$A$1:$J$1,0)))</f>
        <v>more than 25 women have been airlifted from royal navy ships because of pregnancy . 
one ship - hms ocean -- even had five pregnant sailors removed in emergency medevacs .
ministry of defence spokesman confirmed there was a strict ` no touching ` rule in place at sea . 
this suggests the women conceived before boarding the ships or during leave .</v>
      </c>
      <c r="D6" s="70">
        <f>IF(H6=0,wdct(TRIM(C6)),0)</f>
        <v>55</v>
      </c>
      <c r="E6" s="70">
        <f>COUNTIFS('Error Log'!$A:$A,$A6,'Error Log'!$J:$J,E$1)</f>
        <v>0</v>
      </c>
      <c r="F6" s="70">
        <f>COUNTIFS('Error Log'!$A:$A,$A6,'Error Log'!$J:$J,F$1)</f>
        <v>1</v>
      </c>
      <c r="G6" s="70">
        <f>COUNTIFS('Error Log'!$A:$A,$A6,'Error Log'!$J:$J,G$1)</f>
        <v>0</v>
      </c>
      <c r="H6" s="70">
        <f>COUNTIFS('Error Log'!$A:$A,$A6,'Error Log'!$F:$F,"Source")</f>
        <v>0</v>
      </c>
      <c r="I6" s="70">
        <f>COUNTIFS('Error Log'!$A:$A,$A6,'Error Log'!$F:$F,"Target")</f>
        <v>0</v>
      </c>
      <c r="J6" s="71">
        <f t="shared" si="0"/>
        <v>95.454545454545453</v>
      </c>
    </row>
    <row r="7" spans="1:12" ht="15.6">
      <c r="A7" t="s">
        <v>342</v>
      </c>
      <c r="B7" s="70" t="str">
        <f>IF(ISBLANK(A7),"",INDEX('Error Log'!$A:$J,MATCH('Scores per segment'!$A7,'Error Log'!$A:$A,0),MATCH('Scores per segment'!B$1,'Error Log'!$A$1:$J$1,0)))</f>
        <v>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v>
      </c>
      <c r="C7" s="70" t="str">
        <f>IF(ISBLANK(A7),"",INDEX('Error Log'!$A:$J,MATCH('Scores per segment'!$A7,'Error Log'!$A:$A,0),MATCH('Scores per segment'!C$1,'Error Log'!$A$1:$J$1,0)))</f>
        <v>bondi 's icebergs club pool was drained on thursday to create a unique catwalk for mercedes-benz fashion week australia .
 ten pieces is headed up by icebergs restaurateur maurice terzini and his partner lucy hinckfuss . 
the lifestyle brand produces unisex collections of - you guessed it - ten pieces . 
the collection of ten is designed to be worn in 20 different ways and are suitable for day to night wear .</v>
      </c>
      <c r="D7" s="70">
        <f>IF(H7=0,wdct(TRIM(C7)),0)</f>
        <v>67</v>
      </c>
      <c r="E7" s="70">
        <f>COUNTIFS('Error Log'!$A:$A,$A7,'Error Log'!$J:$J,E$1)</f>
        <v>1</v>
      </c>
      <c r="F7" s="70">
        <f>COUNTIFS('Error Log'!$A:$A,$A7,'Error Log'!$J:$J,F$1)</f>
        <v>2</v>
      </c>
      <c r="G7" s="70">
        <f>COUNTIFS('Error Log'!$A:$A,$A7,'Error Log'!$J:$J,G$1)</f>
        <v>0</v>
      </c>
      <c r="H7" s="70">
        <f>COUNTIFS('Error Log'!$A:$A,$A7,'Error Log'!$F:$F,"Source")</f>
        <v>0</v>
      </c>
      <c r="I7" s="70">
        <f>COUNTIFS('Error Log'!$A:$A,$A7,'Error Log'!$F:$F,"Target")</f>
        <v>0</v>
      </c>
      <c r="J7" s="71">
        <f t="shared" si="0"/>
        <v>85.074626865671647</v>
      </c>
      <c r="K7" s="78"/>
    </row>
    <row r="8" spans="1:12" ht="15.6">
      <c r="A8" t="s">
        <v>343</v>
      </c>
      <c r="B8" s="70" t="str">
        <f>IF(ISBLANK(A8),"",INDEX('Error Log'!$A:$J,MATCH('Scores per segment'!$A8,'Error Log'!$A:$A,0),MATCH('Scores per segment'!B$1,'Error Log'!$A$1:$J$1,0)))</f>
        <v>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v>
      </c>
      <c r="C8" s="70" t="str">
        <f>IF(ISBLANK(A8),"",INDEX('Error Log'!$A:$J,MATCH('Scores per segment'!$A8,'Error Log'!$A:$A,0),MATCH('Scores per segment'!C$1,'Error Log'!$A$1:$J$1,0)))</f>
        <v>breast cancer patients may be spared chemotherapy thanks to new tests . 
tests pinpoint genetic ` markers ` in the tumour and determine its aggressiveness . 
women can be told within days whether they have a high or low risk of the disease returning .
 test can accurately tell if the risk is as low as five per cent , which is as good as if not better than the odds for those who have chemotherapy .</v>
      </c>
      <c r="D8" s="70">
        <f>IF(H8=0,wdct(TRIM(C8)),0)</f>
        <v>70</v>
      </c>
      <c r="E8" s="70">
        <f>COUNTIFS('Error Log'!$A:$A,$A8,'Error Log'!$J:$J,E$1)</f>
        <v>0</v>
      </c>
      <c r="F8" s="70">
        <f>COUNTIFS('Error Log'!$A:$A,$A8,'Error Log'!$J:$J,F$1)</f>
        <v>1</v>
      </c>
      <c r="G8" s="70">
        <f>COUNTIFS('Error Log'!$A:$A,$A8,'Error Log'!$J:$J,G$1)</f>
        <v>0</v>
      </c>
      <c r="H8" s="70">
        <f>COUNTIFS('Error Log'!$A:$A,$A8,'Error Log'!$F:$F,"Source")</f>
        <v>0</v>
      </c>
      <c r="I8" s="70">
        <f>COUNTIFS('Error Log'!$A:$A,$A8,'Error Log'!$F:$F,"Target")</f>
        <v>0</v>
      </c>
      <c r="J8" s="71">
        <f t="shared" si="0"/>
        <v>96.428571428571431</v>
      </c>
    </row>
    <row r="9" spans="1:12" ht="15.6">
      <c r="A9" t="s">
        <v>344</v>
      </c>
      <c r="B9" s="70" t="str">
        <f>IF(ISBLANK(A9),"",INDEX('Error Log'!$A:$J,MATCH('Scores per segment'!$A9,'Error Log'!$A:$A,0),MATCH('Scores per segment'!B$1,'Error Log'!$A$1:$J$1,0)))</f>
        <v>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v>
      </c>
      <c r="C9" s="70" t="str">
        <f>IF(ISBLANK(A9),"",INDEX('Error Log'!$A:$J,MATCH('Scores per segment'!$A9,'Error Log'!$A:$A,0),MATCH('Scores per segment'!C$1,'Error Log'!$A$1:$J$1,0)))</f>
        <v>bolton-born boxer amir khan enjoyed a day a safari park with his family in northern california . 
the 28-year-old was joined by his wife faryal makhdoom khan as well as his daughter lamysa as they all enjoyed some time off . 
khan has announced he will fight former light-welterweight world champion chris algieri on may 30 .</v>
      </c>
      <c r="D9" s="70">
        <f>IF(H9=0,wdct(TRIM(C9)),0)</f>
        <v>54</v>
      </c>
      <c r="E9" s="70">
        <f>COUNTIFS('Error Log'!$A:$A,$A9,'Error Log'!$J:$J,E$1)</f>
        <v>0</v>
      </c>
      <c r="F9" s="70">
        <f>COUNTIFS('Error Log'!$A:$A,$A9,'Error Log'!$J:$J,F$1)</f>
        <v>1</v>
      </c>
      <c r="G9" s="70">
        <f>COUNTIFS('Error Log'!$A:$A,$A9,'Error Log'!$J:$J,G$1)</f>
        <v>0</v>
      </c>
      <c r="H9" s="70">
        <f>COUNTIFS('Error Log'!$A:$A,$A9,'Error Log'!$F:$F,"Source")</f>
        <v>0</v>
      </c>
      <c r="I9" s="70">
        <f>COUNTIFS('Error Log'!$A:$A,$A9,'Error Log'!$F:$F,"Target")</f>
        <v>0</v>
      </c>
      <c r="J9" s="71">
        <f t="shared" si="0"/>
        <v>95.370370370370381</v>
      </c>
    </row>
    <row r="10" spans="1:12" ht="15.6">
      <c r="A10" t="s">
        <v>345</v>
      </c>
      <c r="B10" s="70" t="str">
        <f>IF(ISBLANK(A10),"",INDEX('Error Log'!$A:$J,MATCH('Scores per segment'!$A10,'Error Log'!$A:$A,0),MATCH('Scores per segment'!B$1,'Error Log'!$A$1:$J$1,0)))</f>
        <v>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v>
      </c>
      <c r="C10" s="70" t="str">
        <f>IF(ISBLANK(A10),"",INDEX('Error Log'!$A:$J,MATCH('Scores per segment'!$A10,'Error Log'!$A:$A,0),MATCH('Scores per segment'!C$1,'Error Log'!$A$1:$J$1,0)))</f>
        <v>amazing pictures have emerged of blue fluorescent algae lighting up australia 's east coast . 
the images were taken in jervis bay which is in the south coast of new south wales . 
a similar display was shown in sydney 's manly beach back in august 2014 . 
the glow is caused by noctiluca scintillans which is a single celled phytoplankton - the algae of the sea .</v>
      </c>
      <c r="D10" s="70">
        <f>IF(H10=0,wdct(TRIM(C10)),0)</f>
        <v>63</v>
      </c>
      <c r="E10" s="70">
        <f>COUNTIFS('Error Log'!$A:$A,$A10,'Error Log'!$J:$J,E$1)</f>
        <v>1</v>
      </c>
      <c r="F10" s="70">
        <f>COUNTIFS('Error Log'!$A:$A,$A10,'Error Log'!$J:$J,F$1)</f>
        <v>1</v>
      </c>
      <c r="G10" s="70">
        <f>COUNTIFS('Error Log'!$A:$A,$A10,'Error Log'!$J:$J,G$1)</f>
        <v>0</v>
      </c>
      <c r="H10" s="70">
        <f>COUNTIFS('Error Log'!$A:$A,$A10,'Error Log'!$F:$F,"Source")</f>
        <v>0</v>
      </c>
      <c r="I10" s="70">
        <f>COUNTIFS('Error Log'!$A:$A,$A10,'Error Log'!$F:$F,"Target")</f>
        <v>0</v>
      </c>
      <c r="J10" s="71">
        <f t="shared" si="0"/>
        <v>88.095238095238102</v>
      </c>
    </row>
    <row r="11" spans="1:12" ht="15.6">
      <c r="A11" t="s">
        <v>346</v>
      </c>
      <c r="B11" s="70" t="str">
        <f>IF(ISBLANK(A11),"",INDEX('Error Log'!$A:$J,MATCH('Scores per segment'!$A11,'Error Log'!$A:$A,0),MATCH('Scores per segment'!B$1,'Error Log'!$A$1:$J$1,0)))</f>
        <v>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v>
      </c>
      <c r="C11" s="70" t="str">
        <f>IF(ISBLANK(A11),"",INDEX('Error Log'!$A:$J,MATCH('Scores per segment'!$A11,'Error Log'!$A:$A,0),MATCH('Scores per segment'!C$1,'Error Log'!$A$1:$J$1,0)))</f>
        <v>mohammed abu khdeir 's name appeared this week on the wall at jerusalem 's mount herzl . 
the 16-year-old was beaten and burned alive by three israelis in july , according to prosecutors . 
the teen 's family objected to his inclusion on the memorial wall .</v>
      </c>
      <c r="D11" s="70">
        <f>IF(H11=0,wdct(TRIM(C11)),0)</f>
        <v>43</v>
      </c>
      <c r="E11" s="70">
        <f>COUNTIFS('Error Log'!$A:$A,$A11,'Error Log'!$J:$J,E$1)</f>
        <v>0</v>
      </c>
      <c r="F11" s="70">
        <f>COUNTIFS('Error Log'!$A:$A,$A11,'Error Log'!$J:$J,F$1)</f>
        <v>0</v>
      </c>
      <c r="G11" s="70">
        <f>COUNTIFS('Error Log'!$A:$A,$A11,'Error Log'!$J:$J,G$1)</f>
        <v>0</v>
      </c>
      <c r="H11" s="70">
        <f>COUNTIFS('Error Log'!$A:$A,$A11,'Error Log'!$F:$F,"Source")</f>
        <v>0</v>
      </c>
      <c r="I11" s="70">
        <f>COUNTIFS('Error Log'!$A:$A,$A11,'Error Log'!$F:$F,"Target")</f>
        <v>0</v>
      </c>
      <c r="J11" s="71">
        <f t="shared" si="0"/>
        <v>100</v>
      </c>
    </row>
    <row r="12" spans="1:12" ht="15.6">
      <c r="A12" t="s">
        <v>347</v>
      </c>
      <c r="B12" s="70" t="str">
        <f>IF(ISBLANK(A12),"",INDEX('Error Log'!$A:$J,MATCH('Scores per segment'!$A12,'Error Log'!$A:$A,0),MATCH('Scores per segment'!B$1,'Error Log'!$A$1:$J$1,0)))</f>
        <v>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v>
      </c>
      <c r="C12" s="70" t="str">
        <f>IF(ISBLANK(A12),"",INDEX('Error Log'!$A:$J,MATCH('Scores per segment'!$A12,'Error Log'!$A:$A,0),MATCH('Scores per segment'!C$1,'Error Log'!$A$1:$J$1,0)))</f>
        <v>a 13-year-old maryland boy provided firefighters with instructions during a 911 call and got himself and his little sister rescued after his family 's home caught fire on sunday morning . 
marcus and his nine - year-old sister aaliyah were trapped in a second-floor bedroom after the fire broke out on the first floor of their home in clinton . 
the boy called 911 shortly before 7 am after he smelled smoke and told the dispatcher the siblings were trapped because it was too hot to get out through the hallway .</v>
      </c>
      <c r="D12" s="70">
        <f>IF(H12=0,wdct(TRIM(C12)),0)</f>
        <v>88</v>
      </c>
      <c r="E12" s="70">
        <f>COUNTIFS('Error Log'!$A:$A,$A12,'Error Log'!$J:$J,E$1)</f>
        <v>0</v>
      </c>
      <c r="F12" s="70">
        <f>COUNTIFS('Error Log'!$A:$A,$A12,'Error Log'!$J:$J,F$1)</f>
        <v>1</v>
      </c>
      <c r="G12" s="70">
        <f>COUNTIFS('Error Log'!$A:$A,$A12,'Error Log'!$J:$J,G$1)</f>
        <v>0</v>
      </c>
      <c r="H12" s="70">
        <f>COUNTIFS('Error Log'!$A:$A,$A12,'Error Log'!$F:$F,"Source")</f>
        <v>0</v>
      </c>
      <c r="I12" s="70">
        <f>COUNTIFS('Error Log'!$A:$A,$A12,'Error Log'!$F:$F,"Target")</f>
        <v>0</v>
      </c>
      <c r="J12" s="71">
        <f t="shared" si="0"/>
        <v>97.159090909090907</v>
      </c>
      <c r="K12" s="78"/>
    </row>
    <row r="13" spans="1:12" ht="15.6">
      <c r="A13" t="s">
        <v>348</v>
      </c>
      <c r="B13" s="70" t="str">
        <f>IF(ISBLANK(A13),"",INDEX('Error Log'!$A:$J,MATCH('Scores per segment'!$A13,'Error Log'!$A:$A,0),MATCH('Scores per segment'!B$1,'Error Log'!$A$1:$J$1,0)))</f>
        <v>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v>
      </c>
      <c r="C13" s="70" t="str">
        <f>IF(ISBLANK(A13),"",INDEX('Error Log'!$A:$J,MATCH('Scores per segment'!$A13,'Error Log'!$A:$A,0),MATCH('Scores per segment'!C$1,'Error Log'!$A$1:$J$1,0)))</f>
        <v>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v>
      </c>
      <c r="D13" s="70">
        <f>IF(H13=0,wdct(TRIM(C13)),0)</f>
        <v>58</v>
      </c>
      <c r="E13" s="70">
        <f>COUNTIFS('Error Log'!$A:$A,$A13,'Error Log'!$J:$J,E$1)</f>
        <v>0</v>
      </c>
      <c r="F13" s="70">
        <f>COUNTIFS('Error Log'!$A:$A,$A13,'Error Log'!$J:$J,F$1)</f>
        <v>0</v>
      </c>
      <c r="G13" s="70">
        <f>COUNTIFS('Error Log'!$A:$A,$A13,'Error Log'!$J:$J,G$1)</f>
        <v>0</v>
      </c>
      <c r="H13" s="70">
        <f>COUNTIFS('Error Log'!$A:$A,$A13,'Error Log'!$F:$F,"Source")</f>
        <v>0</v>
      </c>
      <c r="I13" s="70">
        <f>COUNTIFS('Error Log'!$A:$A,$A13,'Error Log'!$F:$F,"Target")</f>
        <v>0</v>
      </c>
      <c r="J13" s="71">
        <f t="shared" si="0"/>
        <v>100</v>
      </c>
    </row>
    <row r="14" spans="1:12" ht="15.6">
      <c r="A14" t="s">
        <v>349</v>
      </c>
      <c r="B14" s="70" t="str">
        <f>IF(ISBLANK(A14),"",INDEX('Error Log'!$A:$J,MATCH('Scores per segment'!$A14,'Error Log'!$A:$A,0),MATCH('Scores per segment'!B$1,'Error Log'!$A$1:$J$1,0)))</f>
        <v>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v>
      </c>
      <c r="C14" s="70" t="str">
        <f>IF(ISBLANK(A14),"",INDEX('Error Log'!$A:$J,MATCH('Scores per segment'!$A14,'Error Log'!$A:$A,0),MATCH('Scores per segment'!C$1,'Error Log'!$A$1:$J$1,0)))</f>
        <v>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to retire . 
hsbc yesterday removed the hyperlink from its main website after realising its embarrassing mistake .</v>
      </c>
      <c r="D14" s="70">
        <f>IF(H14=0,wdct(TRIM(C14)),0)</f>
        <v>66</v>
      </c>
      <c r="E14" s="70">
        <f>COUNTIFS('Error Log'!$A:$A,$A14,'Error Log'!$J:$J,E$1)</f>
        <v>1</v>
      </c>
      <c r="F14" s="70">
        <f>COUNTIFS('Error Log'!$A:$A,$A14,'Error Log'!$J:$J,F$1)</f>
        <v>0</v>
      </c>
      <c r="G14" s="70">
        <f>COUNTIFS('Error Log'!$A:$A,$A14,'Error Log'!$J:$J,G$1)</f>
        <v>0</v>
      </c>
      <c r="H14" s="70">
        <f>COUNTIFS('Error Log'!$A:$A,$A14,'Error Log'!$F:$F,"Source")</f>
        <v>0</v>
      </c>
      <c r="I14" s="70">
        <f>COUNTIFS('Error Log'!$A:$A,$A14,'Error Log'!$F:$F,"Target")</f>
        <v>0</v>
      </c>
      <c r="J14" s="71">
        <f t="shared" si="0"/>
        <v>92.424242424242422</v>
      </c>
      <c r="K14" s="78"/>
    </row>
    <row r="15" spans="1:12" ht="15.6">
      <c r="A15" t="s">
        <v>350</v>
      </c>
      <c r="B15" s="70" t="str">
        <f>IF(ISBLANK(A15),"",INDEX('Error Log'!$A:$J,MATCH('Scores per segment'!$A15,'Error Log'!$A:$A,0),MATCH('Scores per segment'!B$1,'Error Log'!$A$1:$J$1,0)))</f>
        <v>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v>
      </c>
      <c r="C15" s="70" t="str">
        <f>IF(ISBLANK(A15),"",INDEX('Error Log'!$A:$J,MATCH('Scores per segment'!$A15,'Error Log'!$A:$A,0),MATCH('Scores per segment'!C$1,'Error Log'!$A$1:$J$1,0)))</f>
        <v>witness robert kushner lost his varsity coaching job at a private academy after testifying this week about his years selling marijuana . 
he told jurors that some of the undercover officers on trial had stolen $ 81,000 in cash and 7 pounds of marijuana from him during a 2007 arrest . 
he is one of more than a dozen former drug dealers testifying for the federal government .</v>
      </c>
      <c r="D15" s="70">
        <f>IF(H15=0,wdct(TRIM(C15)),0)</f>
        <v>64</v>
      </c>
      <c r="E15" s="70">
        <f>COUNTIFS('Error Log'!$A:$A,$A15,'Error Log'!$J:$J,E$1)</f>
        <v>1</v>
      </c>
      <c r="F15" s="70">
        <f>COUNTIFS('Error Log'!$A:$A,$A15,'Error Log'!$J:$J,F$1)</f>
        <v>1</v>
      </c>
      <c r="G15" s="70">
        <f>COUNTIFS('Error Log'!$A:$A,$A15,'Error Log'!$J:$J,G$1)</f>
        <v>0</v>
      </c>
      <c r="H15" s="70">
        <f>COUNTIFS('Error Log'!$A:$A,$A15,'Error Log'!$F:$F,"Source")</f>
        <v>0</v>
      </c>
      <c r="I15" s="70">
        <f>COUNTIFS('Error Log'!$A:$A,$A15,'Error Log'!$F:$F,"Target")</f>
        <v>0</v>
      </c>
      <c r="J15" s="71">
        <f t="shared" si="0"/>
        <v>88.28125</v>
      </c>
    </row>
    <row r="16" spans="1:12" ht="15.6">
      <c r="A16" s="105" t="s">
        <v>351</v>
      </c>
      <c r="B16" s="70" t="str">
        <f>IF(ISBLANK(A16),"",INDEX('Error Log'!$A:$J,MATCH('Scores per segment'!$A16,'Error Log'!$A:$A,0),MATCH('Scores per segment'!B$1,'Error Log'!$A$1:$J$1,0)))</f>
        <v>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v>
      </c>
      <c r="C16" s="70" t="str">
        <f>IF(ISBLANK(A16),"",INDEX('Error Log'!$A:$J,MATCH('Scores per segment'!$A16,'Error Log'!$A:$A,0),MATCH('Scores per segment'!C$1,'Error Log'!$A$1:$J$1,0)))</f>
        <v>gemma the pit bull was filmed at home in california being fed some treats . 
but in a bid to trick her , her owner throws a broccoli spear into the mix . 
immediately the canine pulls a look of disgust as she chomps on the vegetable . 
she then proceeds to spit it out on the floor .</v>
      </c>
      <c r="D16" s="70">
        <f>IF(H16=0,wdct(TRIM(C16)),0)</f>
        <v>54</v>
      </c>
      <c r="E16" s="70">
        <f>COUNTIFS('Error Log'!$A:$A,$A16,'Error Log'!$J:$J,E$1)</f>
        <v>0</v>
      </c>
      <c r="F16" s="70">
        <f>COUNTIFS('Error Log'!$A:$A,$A16,'Error Log'!$J:$J,F$1)</f>
        <v>0</v>
      </c>
      <c r="G16" s="70">
        <f>COUNTIFS('Error Log'!$A:$A,$A16,'Error Log'!$J:$J,G$1)</f>
        <v>0</v>
      </c>
      <c r="H16" s="70">
        <f>COUNTIFS('Error Log'!$A:$A,$A16,'Error Log'!$F:$F,"Source")</f>
        <v>0</v>
      </c>
      <c r="I16" s="70">
        <f>COUNTIFS('Error Log'!$A:$A,$A16,'Error Log'!$F:$F,"Target")</f>
        <v>0</v>
      </c>
      <c r="J16" s="71">
        <f t="shared" si="0"/>
        <v>100</v>
      </c>
    </row>
    <row r="17" spans="1:11" ht="15.6">
      <c r="A17" t="s">
        <v>352</v>
      </c>
      <c r="B17" s="70" t="str">
        <f>IF(ISBLANK(A17),"",INDEX('Error Log'!$A:$J,MATCH('Scores per segment'!$A17,'Error Log'!$A:$A,0),MATCH('Scores per segment'!B$1,'Error Log'!$A$1:$J$1,0)))</f>
        <v>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v>
      </c>
      <c r="C17" s="70" t="str">
        <f>IF(ISBLANK(A17),"",INDEX('Error Log'!$A:$J,MATCH('Scores per segment'!$A17,'Error Log'!$A:$A,0),MATCH('Scores per segment'!C$1,'Error Log'!$A$1:$J$1,0)))</f>
        <v>the blast occurred at an oil storage facility monday night after an oil leak . 
five out of six people were injured by broken glass and have been sent to the hospital . 
more than 600 firefighters were sent to battle the blaze and the fire is now under control . 
the plant was hit by another explosion in july 2013 , although there were no reports of casualties or toxic leaks at the time .</v>
      </c>
      <c r="D17" s="70">
        <f>IF(H17=0,wdct(TRIM(C17)),0)</f>
        <v>71</v>
      </c>
      <c r="E17" s="70">
        <f>COUNTIFS('Error Log'!$A:$A,$A17,'Error Log'!$J:$J,E$1)</f>
        <v>0</v>
      </c>
      <c r="F17" s="70">
        <f>COUNTIFS('Error Log'!$A:$A,$A17,'Error Log'!$J:$J,F$1)</f>
        <v>1</v>
      </c>
      <c r="G17" s="70">
        <f>COUNTIFS('Error Log'!$A:$A,$A17,'Error Log'!$J:$J,G$1)</f>
        <v>0</v>
      </c>
      <c r="H17" s="70">
        <f>COUNTIFS('Error Log'!$A:$A,$A17,'Error Log'!$F:$F,"Source")</f>
        <v>0</v>
      </c>
      <c r="I17" s="70">
        <f>COUNTIFS('Error Log'!$A:$A,$A17,'Error Log'!$F:$F,"Target")</f>
        <v>0</v>
      </c>
      <c r="J17" s="71">
        <f t="shared" si="0"/>
        <v>96.478873239436609</v>
      </c>
      <c r="K17" s="78"/>
    </row>
    <row r="18" spans="1:11" ht="15.6">
      <c r="A18" t="s">
        <v>353</v>
      </c>
      <c r="B18" s="70" t="str">
        <f>IF(ISBLANK(A18),"",INDEX('Error Log'!$A:$J,MATCH('Scores per segment'!$A18,'Error Log'!$A:$A,0),MATCH('Scores per segment'!B$1,'Error Log'!$A$1:$J$1,0)))</f>
        <v>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v>
      </c>
      <c r="C18" s="70" t="str">
        <f>IF(ISBLANK(A18),"",INDEX('Error Log'!$A:$J,MATCH('Scores per segment'!$A18,'Error Log'!$A:$A,0),MATCH('Scores per segment'!C$1,'Error Log'!$A$1:$J$1,0)))</f>
        <v>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was ` completely justified in her outrage ` 
curtin 's defense attorney said the ex-girlfriend was jealous and bitter that the boyfriend was in a relationship with his client .</v>
      </c>
      <c r="D18" s="70">
        <f>IF(H18=0,wdct(TRIM(C18)),0)</f>
        <v>82</v>
      </c>
      <c r="E18" s="70">
        <f>COUNTIFS('Error Log'!$A:$A,$A18,'Error Log'!$J:$J,E$1)</f>
        <v>1</v>
      </c>
      <c r="F18" s="70">
        <f>COUNTIFS('Error Log'!$A:$A,$A18,'Error Log'!$J:$J,F$1)</f>
        <v>2</v>
      </c>
      <c r="G18" s="70">
        <f>COUNTIFS('Error Log'!$A:$A,$A18,'Error Log'!$J:$J,G$1)</f>
        <v>0</v>
      </c>
      <c r="H18" s="70">
        <f>COUNTIFS('Error Log'!$A:$A,$A18,'Error Log'!$F:$F,"Source")</f>
        <v>0</v>
      </c>
      <c r="I18" s="70">
        <f>COUNTIFS('Error Log'!$A:$A,$A18,'Error Log'!$F:$F,"Target")</f>
        <v>0</v>
      </c>
      <c r="J18" s="71">
        <f t="shared" si="0"/>
        <v>87.804878048780495</v>
      </c>
    </row>
    <row r="19" spans="1:11" ht="15.6">
      <c r="A19" t="s">
        <v>354</v>
      </c>
      <c r="B19" s="70" t="str">
        <f>IF(ISBLANK(A19),"",INDEX('Error Log'!$A:$J,MATCH('Scores per segment'!$A19,'Error Log'!$A:$A,0),MATCH('Scores per segment'!B$1,'Error Log'!$A$1:$J$1,0)))</f>
        <v>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v>
      </c>
      <c r="C19" s="70" t="str">
        <f>IF(ISBLANK(A19),"",INDEX('Error Log'!$A:$J,MATCH('Scores per segment'!$A19,'Error Log'!$A:$A,0),MATCH('Scores per segment'!C$1,'Error Log'!$A$1:$J$1,0)))</f>
        <v>jack grealish is renowned for wearing his socks low when he takes to the field for aston villa . 
the ireland under 21 international wears children 's shinpads - and says is n't about to change . 
his first league start for the club came in the pulsating 3-3 draw against qpr on t tuesday .</v>
      </c>
      <c r="D19" s="70">
        <f>IF(H19=0,wdct(TRIM(C19)),0)</f>
        <v>52</v>
      </c>
      <c r="E19" s="70">
        <f>COUNTIFS('Error Log'!$A:$A,$A19,'Error Log'!$J:$J,E$1)</f>
        <v>0</v>
      </c>
      <c r="F19" s="70">
        <f>COUNTIFS('Error Log'!$A:$A,$A19,'Error Log'!$J:$J,F$1)</f>
        <v>0</v>
      </c>
      <c r="G19" s="70">
        <f>COUNTIFS('Error Log'!$A:$A,$A19,'Error Log'!$J:$J,G$1)</f>
        <v>0</v>
      </c>
      <c r="H19" s="70">
        <f>COUNTIFS('Error Log'!$A:$A,$A19,'Error Log'!$F:$F,"Source")</f>
        <v>0</v>
      </c>
      <c r="I19" s="70">
        <f>COUNTIFS('Error Log'!$A:$A,$A19,'Error Log'!$F:$F,"Target")</f>
        <v>0</v>
      </c>
      <c r="J19" s="71">
        <f t="shared" si="0"/>
        <v>100</v>
      </c>
    </row>
    <row r="20" spans="1:11" ht="15.6">
      <c r="A20" t="s">
        <v>355</v>
      </c>
      <c r="B20" s="70" t="str">
        <f>IF(ISBLANK(A20),"",INDEX('Error Log'!$A:$J,MATCH('Scores per segment'!$A20,'Error Log'!$A:$A,0),MATCH('Scores per segment'!B$1,'Error Log'!$A$1:$J$1,0)))</f>
        <v>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v>
      </c>
      <c r="C20" s="70" t="str">
        <f>IF(ISBLANK(A20),"",INDEX('Error Log'!$A:$J,MATCH('Scores per segment'!$A20,'Error Log'!$A:$A,0),MATCH('Scores per segment'!C$1,'Error Log'!$A$1:$J$1,0)))</f>
        <v>journalist and author of the best-selling book i quit sugar has opened up about her own personal battle with mental illness . 
during a candid interview sarah wilson explained how anxiety drove her to believe she had reached a stage in her life where she could n't see the point of continuing . 
one in three australian women will experience anxiety in their lifetime .</v>
      </c>
      <c r="D20" s="70">
        <f>IF(H20=0,wdct(TRIM(C20)),0)</f>
        <v>62</v>
      </c>
      <c r="E20" s="70">
        <f>COUNTIFS('Error Log'!$A:$A,$A20,'Error Log'!$J:$J,E$1)</f>
        <v>1</v>
      </c>
      <c r="F20" s="70">
        <f>COUNTIFS('Error Log'!$A:$A,$A20,'Error Log'!$J:$J,F$1)</f>
        <v>1</v>
      </c>
      <c r="G20" s="70">
        <f>COUNTIFS('Error Log'!$A:$A,$A20,'Error Log'!$J:$J,G$1)</f>
        <v>0</v>
      </c>
      <c r="H20" s="70">
        <f>COUNTIFS('Error Log'!$A:$A,$A20,'Error Log'!$F:$F,"Source")</f>
        <v>0</v>
      </c>
      <c r="I20" s="70">
        <f>COUNTIFS('Error Log'!$A:$A,$A20,'Error Log'!$F:$F,"Target")</f>
        <v>0</v>
      </c>
      <c r="J20" s="71">
        <f t="shared" si="0"/>
        <v>87.903225806451616</v>
      </c>
    </row>
    <row r="21" spans="1:11" ht="15.6">
      <c r="A21" t="s">
        <v>356</v>
      </c>
      <c r="B21" s="70" t="str">
        <f>IF(ISBLANK(A21),"",INDEX('Error Log'!$A:$J,MATCH('Scores per segment'!$A21,'Error Log'!$A:$A,0),MATCH('Scores per segment'!B$1,'Error Log'!$A$1:$J$1,0)))</f>
        <v>( cnn ) bobbi kristina brown , the daughter of bobby brown and whitney houston , has " global and irreversible brain damage , " according to her grandmother .
though the 22-year-old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v>
      </c>
      <c r="C21" s="70" t="str">
        <f>IF(ISBLANK(A21),"",INDEX('Error Log'!$A:$J,MATCH('Scores per segment'!$A21,'Error Log'!$A:$A,0),MATCH('Scores per segment'!C$1,'Error Log'!$A$1:$J$1,0)))</f>
        <v>bobbi kristina brown has `` global and irreversible brain damage , '' her grandmother says . 
'' meeting with the doctors and understanding that she can live in this condition for a lifetime truly saddens me , '' cissy houston says . 
a source with knowledge of brown 's condition tells cnn that she remains in the same neurological state .</v>
      </c>
      <c r="D21" s="70">
        <f>IF(H21=0,wdct(TRIM(C21)),0)</f>
        <v>52</v>
      </c>
      <c r="E21" s="70">
        <f>COUNTIFS('Error Log'!$A:$A,$A21,'Error Log'!$J:$J,E$1)</f>
        <v>1</v>
      </c>
      <c r="F21" s="70">
        <f>COUNTIFS('Error Log'!$A:$A,$A21,'Error Log'!$J:$J,F$1)</f>
        <v>2</v>
      </c>
      <c r="G21" s="70">
        <f>COUNTIFS('Error Log'!$A:$A,$A21,'Error Log'!$J:$J,G$1)</f>
        <v>0</v>
      </c>
      <c r="H21" s="70">
        <f>COUNTIFS('Error Log'!$A:$A,$A21,'Error Log'!$F:$F,"Source")</f>
        <v>0</v>
      </c>
      <c r="I21" s="70">
        <f>COUNTIFS('Error Log'!$A:$A,$A21,'Error Log'!$F:$F,"Target")</f>
        <v>0</v>
      </c>
      <c r="J21" s="71">
        <f t="shared" si="0"/>
        <v>80.769230769230774</v>
      </c>
    </row>
    <row r="22" spans="1:11" ht="15.6">
      <c r="A22" t="s">
        <v>357</v>
      </c>
      <c r="B22" s="70" t="str">
        <f>IF(ISBLANK(A22),"",INDEX('Error Log'!$A:$J,MATCH('Scores per segment'!$A22,'Error Log'!$A:$A,0),MATCH('Scores per segment'!B$1,'Error Log'!$A$1:$J$1,0)))</f>
        <v>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v>
      </c>
      <c r="C22" s="70" t="str">
        <f>IF(ISBLANK(A22),"",INDEX('Error Log'!$A:$J,MATCH('Scores per segment'!$A22,'Error Log'!$A:$A,0),MATCH('Scores per segment'!C$1,'Error Log'!$A$1:$J$1,0)))</f>
        <v>sickening video captured on security cameras shows crazed milton vieira severiano dragging the limp body of dancer cicera alves de sena into the garden of their apartment in the city of rio de janeiro in eastern brazil . 
he then grabs her by the hair and savagely slams the back of her head into the concrete 11 times before viciously punching her in the face another 10 times . 
leaving the battered and unconscious dancer on the ground he goes into the house and returns with a handgun , shooting her five times at pointblank range . 
severiano later confessed that he 'd carried out the brutal act ` because he was jealous of men looking at</v>
      </c>
      <c r="D22" s="70">
        <f>IF(H22=0,wdct(TRIM(C22)),0)</f>
        <v>112</v>
      </c>
      <c r="E22" s="70">
        <f>COUNTIFS('Error Log'!$A:$A,$A22,'Error Log'!$J:$J,E$1)</f>
        <v>2</v>
      </c>
      <c r="F22" s="70">
        <f>COUNTIFS('Error Log'!$A:$A,$A22,'Error Log'!$J:$J,F$1)</f>
        <v>3</v>
      </c>
      <c r="G22" s="70">
        <f>COUNTIFS('Error Log'!$A:$A,$A22,'Error Log'!$J:$J,G$1)</f>
        <v>0</v>
      </c>
      <c r="H22" s="70">
        <f>COUNTIFS('Error Log'!$A:$A,$A22,'Error Log'!$F:$F,"Source")</f>
        <v>0</v>
      </c>
      <c r="I22" s="70">
        <f>COUNTIFS('Error Log'!$A:$A,$A22,'Error Log'!$F:$F,"Target")</f>
        <v>0</v>
      </c>
      <c r="J22" s="71">
        <f t="shared" si="0"/>
        <v>84.375</v>
      </c>
    </row>
    <row r="23" spans="1:11" ht="15.6">
      <c r="A23" t="s">
        <v>358</v>
      </c>
      <c r="B23" s="70" t="str">
        <f>IF(ISBLANK(A23),"",INDEX('Error Log'!$A:$J,MATCH('Scores per segment'!$A23,'Error Log'!$A:$A,0),MATCH('Scores per segment'!B$1,'Error Log'!$A$1:$J$1,0)))</f>
        <v>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v>
      </c>
      <c r="C23" s="70" t="str">
        <f>IF(ISBLANK(A23),"",INDEX('Error Log'!$A:$J,MATCH('Scores per segment'!$A23,'Error Log'!$A:$A,0),MATCH('Scores per segment'!C$1,'Error Log'!$A$1:$J$1,0)))</f>
        <v>russia are on the brink of making the fed cup final with a 2-0 lead after anastasia pavlyuchenkova saved a match point to beat germany 's sabine lisicki . 
svetlana kuznetsova had earlier beaten julia goerges in straight sets in the opening rubber . 
russia need one win from sunday 's three matches to reach the final and bag a first fed cup title since 2008 .</v>
      </c>
      <c r="D23" s="70">
        <f>IF(H23=0,wdct(TRIM(C23)),0)</f>
        <v>64</v>
      </c>
      <c r="E23" s="70">
        <f>COUNTIFS('Error Log'!$A:$A,$A23,'Error Log'!$J:$J,E$1)</f>
        <v>1</v>
      </c>
      <c r="F23" s="70">
        <f>COUNTIFS('Error Log'!$A:$A,$A23,'Error Log'!$J:$J,F$1)</f>
        <v>2</v>
      </c>
      <c r="G23" s="70">
        <f>COUNTIFS('Error Log'!$A:$A,$A23,'Error Log'!$J:$J,G$1)</f>
        <v>0</v>
      </c>
      <c r="H23" s="70">
        <f>COUNTIFS('Error Log'!$A:$A,$A23,'Error Log'!$F:$F,"Source")</f>
        <v>0</v>
      </c>
      <c r="I23" s="70">
        <f>COUNTIFS('Error Log'!$A:$A,$A23,'Error Log'!$F:$F,"Target")</f>
        <v>0</v>
      </c>
      <c r="J23" s="71">
        <f t="shared" si="0"/>
        <v>84.375</v>
      </c>
    </row>
    <row r="24" spans="1:11" ht="15.6">
      <c r="A24" t="s">
        <v>359</v>
      </c>
      <c r="B24" s="70" t="str">
        <f>IF(ISBLANK(A24),"",INDEX('Error Log'!$A:$J,MATCH('Scores per segment'!$A24,'Error Log'!$A:$A,0),MATCH('Scores per segment'!B$1,'Error Log'!$A$1:$J$1,0)))</f>
        <v>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v>
      </c>
      <c r="C24" s="70" t="str">
        <f>IF(ISBLANK(A24),"",INDEX('Error Log'!$A:$J,MATCH('Scores per segment'!$A24,'Error Log'!$A:$A,0),MATCH('Scores per segment'!C$1,'Error Log'!$A$1:$J$1,0)))</f>
        <v>tire changer todd phillips was injuried when he was struck by the car of francesco dracone during the inaugural indycar grand prix of louisiana on sunday . 
dracone had come in on lap 25 for tires and fuel and spun while exiting his put box . 
phillip was taken to the infield care center where he has received stitches for a cut on his leg and has been released .</v>
      </c>
      <c r="D24" s="70">
        <f>IF(H24=0,wdct(TRIM(C24)),0)</f>
        <v>67</v>
      </c>
      <c r="E24" s="70">
        <f>COUNTIFS('Error Log'!$A:$A,$A24,'Error Log'!$J:$J,E$1)</f>
        <v>1</v>
      </c>
      <c r="F24" s="70">
        <f>COUNTIFS('Error Log'!$A:$A,$A24,'Error Log'!$J:$J,F$1)</f>
        <v>0</v>
      </c>
      <c r="G24" s="70">
        <f>COUNTIFS('Error Log'!$A:$A,$A24,'Error Log'!$J:$J,G$1)</f>
        <v>0</v>
      </c>
      <c r="H24" s="70">
        <f>COUNTIFS('Error Log'!$A:$A,$A24,'Error Log'!$F:$F,"Source")</f>
        <v>0</v>
      </c>
      <c r="I24" s="70">
        <f>COUNTIFS('Error Log'!$A:$A,$A24,'Error Log'!$F:$F,"Target")</f>
        <v>0</v>
      </c>
      <c r="J24" s="71">
        <f t="shared" si="0"/>
        <v>92.537313432835816</v>
      </c>
    </row>
    <row r="25" spans="1:11" ht="15.6">
      <c r="A25" t="s">
        <v>360</v>
      </c>
      <c r="B25" s="70" t="str">
        <f>IF(ISBLANK(A25),"",INDEX('Error Log'!$A:$J,MATCH('Scores per segment'!$A25,'Error Log'!$A:$A,0),MATCH('Scores per segment'!B$1,'Error Log'!$A$1:$J$1,0)))</f>
        <v>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v>
      </c>
      <c r="C25" s="70" t="str">
        <f>IF(ISBLANK(A25),"",INDEX('Error Log'!$A:$J,MATCH('Scores per segment'!$A25,'Error Log'!$A:$A,0),MATCH('Scores per segment'!C$1,'Error Log'!$A$1:$J$1,0)))</f>
        <v>residents of new south wales who are already reeling from last week 's wild weather are being warned to brace for more floods and damage . 
meteorologists say early indicators show that an east coast low -- the same weather system that lashed the state 's east coast for three days last week -- could hit the region . 
the state emergency service was deluged with calls for assistance last week and has more than 4,000 jobs from the 24,196 requests still to be completed .</v>
      </c>
      <c r="D25" s="70">
        <f>IF(H25=0,wdct(TRIM(C25)),0)</f>
        <v>81</v>
      </c>
      <c r="E25" s="70">
        <f>COUNTIFS('Error Log'!$A:$A,$A25,'Error Log'!$J:$J,E$1)</f>
        <v>2</v>
      </c>
      <c r="F25" s="70">
        <f>COUNTIFS('Error Log'!$A:$A,$A25,'Error Log'!$J:$J,F$1)</f>
        <v>2</v>
      </c>
      <c r="G25" s="70">
        <f>COUNTIFS('Error Log'!$A:$A,$A25,'Error Log'!$J:$J,G$1)</f>
        <v>0</v>
      </c>
      <c r="H25" s="70">
        <f>COUNTIFS('Error Log'!$A:$A,$A25,'Error Log'!$F:$F,"Source")</f>
        <v>0</v>
      </c>
      <c r="I25" s="70">
        <f>COUNTIFS('Error Log'!$A:$A,$A25,'Error Log'!$F:$F,"Target")</f>
        <v>0</v>
      </c>
      <c r="J25" s="71">
        <f t="shared" si="0"/>
        <v>81.481481481481481</v>
      </c>
    </row>
    <row r="26" spans="1:11" ht="15.6">
      <c r="A26" t="s">
        <v>361</v>
      </c>
      <c r="B26" s="70" t="str">
        <f>IF(ISBLANK(A26),"",INDEX('Error Log'!$A:$J,MATCH('Scores per segment'!$A26,'Error Log'!$A:$A,0),MATCH('Scores per segment'!B$1,'Error Log'!$A$1:$J$1,0)))</f>
        <v>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v>
      </c>
      <c r="C26" s="70" t="str">
        <f>IF(ISBLANK(A26),"",INDEX('Error Log'!$A:$J,MATCH('Scores per segment'!$A26,'Error Log'!$A:$A,0),MATCH('Scores per segment'!C$1,'Error Log'!$A$1:$J$1,0)))</f>
        <v>the piglet was born with its back legs missing and has mastered the art of balancing on its front trotters . 
the heartwarming clip featured on the people 's daily online shows the young animal taking unsteady steps , wobbling about with its snout to the ground in the hunt for food .</v>
      </c>
      <c r="D26" s="70">
        <f>IF(H26=0,wdct(TRIM(C26)),0)</f>
        <v>50</v>
      </c>
      <c r="E26" s="70">
        <f>COUNTIFS('Error Log'!$A:$A,$A26,'Error Log'!$J:$J,E$1)</f>
        <v>2</v>
      </c>
      <c r="F26" s="70">
        <f>COUNTIFS('Error Log'!$A:$A,$A26,'Error Log'!$J:$J,F$1)</f>
        <v>1</v>
      </c>
      <c r="G26" s="70">
        <f>COUNTIFS('Error Log'!$A:$A,$A26,'Error Log'!$J:$J,G$1)</f>
        <v>0</v>
      </c>
      <c r="H26" s="70">
        <f>COUNTIFS('Error Log'!$A:$A,$A26,'Error Log'!$F:$F,"Source")</f>
        <v>0</v>
      </c>
      <c r="I26" s="70">
        <f>COUNTIFS('Error Log'!$A:$A,$A26,'Error Log'!$F:$F,"Target")</f>
        <v>0</v>
      </c>
      <c r="J26" s="71">
        <f t="shared" si="0"/>
        <v>75</v>
      </c>
    </row>
    <row r="27" spans="1:11" ht="15.6">
      <c r="A27" t="s">
        <v>362</v>
      </c>
      <c r="B27" s="70" t="str">
        <f>IF(ISBLANK(A27),"",INDEX('Error Log'!$A:$J,MATCH('Scores per segment'!$A27,'Error Log'!$A:$A,0),MATCH('Scores per segment'!B$1,'Error Log'!$A$1:$J$1,0)))</f>
        <v>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v>
      </c>
      <c r="C27" s="70" t="str">
        <f>IF(ISBLANK(A27),"",INDEX('Error Log'!$A:$J,MATCH('Scores per segment'!$A27,'Error Log'!$A:$A,0),MATCH('Scores per segment'!C$1,'Error Log'!$A$1:$J$1,0)))</f>
        <v>nina moric posted several photographs of heavy bruising on her arms on her instagram account which has more than 40,000 users . 
italian media reported that ms moric tried to take her own life and was found by her mother in the luxury apartment she shares with her boyfriend in milan . 
the model who appeared in the video for ricky martin 's hit song la vida loco has told followers she did not try to kill herself .</v>
      </c>
      <c r="D27" s="70">
        <f>IF(H27=0,wdct(TRIM(C27)),0)</f>
        <v>76</v>
      </c>
      <c r="E27" s="70">
        <f>COUNTIFS('Error Log'!$A:$A,$A27,'Error Log'!$J:$J,E$1)</f>
        <v>1</v>
      </c>
      <c r="F27" s="70">
        <f>COUNTIFS('Error Log'!$A:$A,$A27,'Error Log'!$J:$J,F$1)</f>
        <v>3</v>
      </c>
      <c r="G27" s="70">
        <f>COUNTIFS('Error Log'!$A:$A,$A27,'Error Log'!$J:$J,G$1)</f>
        <v>0</v>
      </c>
      <c r="H27" s="70">
        <f>COUNTIFS('Error Log'!$A:$A,$A27,'Error Log'!$F:$F,"Source")</f>
        <v>0</v>
      </c>
      <c r="I27" s="70">
        <f>COUNTIFS('Error Log'!$A:$A,$A27,'Error Log'!$F:$F,"Target")</f>
        <v>0</v>
      </c>
      <c r="J27" s="71">
        <f t="shared" si="0"/>
        <v>83.55263157894737</v>
      </c>
    </row>
    <row r="28" spans="1:11" ht="15.6">
      <c r="A28" t="s">
        <v>363</v>
      </c>
      <c r="B28" s="70" t="str">
        <f>IF(ISBLANK(A28),"",INDEX('Error Log'!$A:$J,MATCH('Scores per segment'!$A28,'Error Log'!$A:$A,0),MATCH('Scores per segment'!B$1,'Error Log'!$A$1:$J$1,0)))</f>
        <v>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v>
      </c>
      <c r="C28" s="70" t="str">
        <f>IF(ISBLANK(A28),"",INDEX('Error Log'!$A:$J,MATCH('Scores per segment'!$A28,'Error Log'!$A:$A,0),MATCH('Scores per segment'!C$1,'Error Log'!$A$1:$J$1,0)))</f>
        <v>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v>
      </c>
      <c r="D28" s="70">
        <f>IF(H28=0,wdct(TRIM(C28)),0)</f>
        <v>68</v>
      </c>
      <c r="E28" s="70">
        <f>COUNTIFS('Error Log'!$A:$A,$A28,'Error Log'!$J:$J,E$1)</f>
        <v>0</v>
      </c>
      <c r="F28" s="70">
        <f>COUNTIFS('Error Log'!$A:$A,$A28,'Error Log'!$J:$J,F$1)</f>
        <v>3</v>
      </c>
      <c r="G28" s="70">
        <f>COUNTIFS('Error Log'!$A:$A,$A28,'Error Log'!$J:$J,G$1)</f>
        <v>0</v>
      </c>
      <c r="H28" s="70">
        <f>COUNTIFS('Error Log'!$A:$A,$A28,'Error Log'!$F:$F,"Source")</f>
        <v>0</v>
      </c>
      <c r="I28" s="70">
        <f>COUNTIFS('Error Log'!$A:$A,$A28,'Error Log'!$F:$F,"Target")</f>
        <v>0</v>
      </c>
      <c r="J28" s="71">
        <f t="shared" si="0"/>
        <v>88.970588235294116</v>
      </c>
    </row>
    <row r="29" spans="1:11" ht="15.6">
      <c r="A29" t="s">
        <v>364</v>
      </c>
      <c r="B29" s="70" t="str">
        <f>IF(ISBLANK(A29),"",INDEX('Error Log'!$A:$J,MATCH('Scores per segment'!$A29,'Error Log'!$A:$A,0),MATCH('Scores per segment'!B$1,'Error Log'!$A$1:$J$1,0)))</f>
        <v>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v>
      </c>
      <c r="C29" s="70" t="str">
        <f>IF(ISBLANK(A29),"",INDEX('Error Log'!$A:$J,MATCH('Scores per segment'!$A29,'Error Log'!$A:$A,0),MATCH('Scores per segment'!C$1,'Error Log'!$A$1:$J$1,0)))</f>
        <v>diana is the favourite name for the second royal baby , name after williams mother - the late princess of wales . 
alice and charlotte were next in terms of preference , getting nine per cent of the vote each . 
if the child is a boy then 13 per cent would like him to be called james , with the second favourite name being alexander .</v>
      </c>
      <c r="D29" s="70">
        <f>IF(H29=0,wdct(TRIM(C29)),0)</f>
        <v>60</v>
      </c>
      <c r="E29" s="70">
        <f>COUNTIFS('Error Log'!$A:$A,$A29,'Error Log'!$J:$J,E$1)</f>
        <v>0</v>
      </c>
      <c r="F29" s="70">
        <f>COUNTIFS('Error Log'!$A:$A,$A29,'Error Log'!$J:$J,F$1)</f>
        <v>0</v>
      </c>
      <c r="G29" s="70">
        <f>COUNTIFS('Error Log'!$A:$A,$A29,'Error Log'!$J:$J,G$1)</f>
        <v>0</v>
      </c>
      <c r="H29" s="70">
        <f>COUNTIFS('Error Log'!$A:$A,$A29,'Error Log'!$F:$F,"Source")</f>
        <v>0</v>
      </c>
      <c r="I29" s="70">
        <f>COUNTIFS('Error Log'!$A:$A,$A29,'Error Log'!$F:$F,"Target")</f>
        <v>0</v>
      </c>
      <c r="J29" s="71">
        <f t="shared" si="0"/>
        <v>100</v>
      </c>
    </row>
    <row r="30" spans="1:11" ht="15.6">
      <c r="A30" t="s">
        <v>365</v>
      </c>
      <c r="B30" s="70" t="str">
        <f>IF(ISBLANK(A30),"",INDEX('Error Log'!$A:$J,MATCH('Scores per segment'!$A30,'Error Log'!$A:$A,0),MATCH('Scores per segment'!B$1,'Error Log'!$A$1:$J$1,0)))</f>
        <v>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v>
      </c>
      <c r="C30" s="70" t="str">
        <f>IF(ISBLANK(A30),"",INDEX('Error Log'!$A:$J,MATCH('Scores per segment'!$A30,'Error Log'!$A:$A,0),MATCH('Scores per segment'!C$1,'Error Log'!$A$1:$J$1,0)))</f>
        <v>a new zealand couple needed a home upon returning home after living in the uk so they built one on the back of an old flatbed truck . 
hannah and alex purchased a 1986 hino flatbed and undertook their year and a half labor of love . 
the result was a solar-powered two-bedroom , wood and steel home that now allows them to live almost self-sufficiently in nelson .</v>
      </c>
      <c r="D30" s="70">
        <f>IF(H30=0,wdct(TRIM(C30)),0)</f>
        <v>65</v>
      </c>
      <c r="E30" s="70">
        <f>COUNTIFS('Error Log'!$A:$A,$A30,'Error Log'!$J:$J,E$1)</f>
        <v>1</v>
      </c>
      <c r="F30" s="70">
        <f>COUNTIFS('Error Log'!$A:$A,$A30,'Error Log'!$J:$J,F$1)</f>
        <v>1</v>
      </c>
      <c r="G30" s="70">
        <f>COUNTIFS('Error Log'!$A:$A,$A30,'Error Log'!$J:$J,G$1)</f>
        <v>0</v>
      </c>
      <c r="H30" s="70">
        <f>COUNTIFS('Error Log'!$A:$A,$A30,'Error Log'!$F:$F,"Source")</f>
        <v>0</v>
      </c>
      <c r="I30" s="70">
        <f>COUNTIFS('Error Log'!$A:$A,$A30,'Error Log'!$F:$F,"Target")</f>
        <v>0</v>
      </c>
      <c r="J30" s="71">
        <f t="shared" si="0"/>
        <v>88.461538461538453</v>
      </c>
    </row>
    <row r="31" spans="1:11" ht="15.6">
      <c r="A31" t="s">
        <v>366</v>
      </c>
      <c r="B31" s="70" t="str">
        <f>IF(ISBLANK(A31),"",INDEX('Error Log'!$A:$J,MATCH('Scores per segment'!$A31,'Error Log'!$A:$A,0),MATCH('Scores per segment'!B$1,'Error Log'!$A$1:$J$1,0)))</f>
        <v>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v>
      </c>
      <c r="C31" s="70" t="str">
        <f>IF(ISBLANK(A31),"",INDEX('Error Log'!$A:$J,MATCH('Scores per segment'!$A31,'Error Log'!$A:$A,0),MATCH('Scores per segment'!C$1,'Error Log'!$A$1:$J$1,0)))</f>
        <v>a suicide bomber detonates his explosives near a group of protesters in eastern afghanistan . 
an afghan lawmaker taking part in the protests was among the 64 people wounded . 
taliban spokesman zabiullah mujahid denied his group was responsible for the attack . 
no other organization has so far claimed responsibility .</v>
      </c>
      <c r="D31" s="70">
        <f>IF(H31=0,wdct(TRIM(C31)),0)</f>
        <v>48</v>
      </c>
      <c r="E31" s="70">
        <f>COUNTIFS('Error Log'!$A:$A,$A31,'Error Log'!$J:$J,E$1)</f>
        <v>0</v>
      </c>
      <c r="F31" s="70">
        <f>COUNTIFS('Error Log'!$A:$A,$A31,'Error Log'!$J:$J,F$1)</f>
        <v>0</v>
      </c>
      <c r="G31" s="70">
        <f>COUNTIFS('Error Log'!$A:$A,$A31,'Error Log'!$J:$J,G$1)</f>
        <v>0</v>
      </c>
      <c r="H31" s="70">
        <f>COUNTIFS('Error Log'!$A:$A,$A31,'Error Log'!$F:$F,"Source")</f>
        <v>0</v>
      </c>
      <c r="I31" s="70">
        <f>COUNTIFS('Error Log'!$A:$A,$A31,'Error Log'!$F:$F,"Target")</f>
        <v>0</v>
      </c>
      <c r="J31" s="71">
        <f t="shared" si="0"/>
        <v>100</v>
      </c>
    </row>
    <row r="32" spans="1:11" ht="15.6">
      <c r="A32" t="s">
        <v>367</v>
      </c>
      <c r="B32" s="70" t="str">
        <f>IF(ISBLANK(A32),"",INDEX('Error Log'!$A:$J,MATCH('Scores per segment'!$A32,'Error Log'!$A:$A,0),MATCH('Scores per segment'!B$1,'Error Log'!$A$1:$J$1,0)))</f>
        <v>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v>
      </c>
      <c r="C32" s="70" t="str">
        <f>IF(ISBLANK(A32),"",INDEX('Error Log'!$A:$J,MATCH('Scores per segment'!$A32,'Error Log'!$A:$A,0),MATCH('Scores per segment'!C$1,'Error Log'!$A$1:$J$1,0)))</f>
        <v>nypd has released images of a heart tattoo with the name ` monique ` found on an unnamed woman who died in brooklyn last month . 
the unnamed woman was discovered lying unconscious march 22 in the area near shore parkway and 26th avenue in the gravesend section of brookslyn . 
paramedics who responded to the scene were unable to revive her and she was pronounced dead that evening .</v>
      </c>
      <c r="D32" s="70">
        <f>IF(H32=0,wdct(TRIM(C32)),0)</f>
        <v>65</v>
      </c>
      <c r="E32" s="70">
        <f>COUNTIFS('Error Log'!$A:$A,$A32,'Error Log'!$J:$J,E$1)</f>
        <v>0</v>
      </c>
      <c r="F32" s="70">
        <f>COUNTIFS('Error Log'!$A:$A,$A32,'Error Log'!$J:$J,F$1)</f>
        <v>1</v>
      </c>
      <c r="G32" s="70">
        <f>COUNTIFS('Error Log'!$A:$A,$A32,'Error Log'!$J:$J,G$1)</f>
        <v>0</v>
      </c>
      <c r="H32" s="70">
        <f>COUNTIFS('Error Log'!$A:$A,$A32,'Error Log'!$F:$F,"Source")</f>
        <v>0</v>
      </c>
      <c r="I32" s="70">
        <f>COUNTIFS('Error Log'!$A:$A,$A32,'Error Log'!$F:$F,"Target")</f>
        <v>0</v>
      </c>
      <c r="J32" s="71">
        <f t="shared" si="0"/>
        <v>96.15384615384616</v>
      </c>
    </row>
    <row r="33" spans="1:10" ht="15.6">
      <c r="A33" t="s">
        <v>368</v>
      </c>
      <c r="B33" s="70" t="str">
        <f>IF(ISBLANK(A33),"",INDEX('Error Log'!$A:$J,MATCH('Scores per segment'!$A33,'Error Log'!$A:$A,0),MATCH('Scores per segment'!B$1,'Error Log'!$A$1:$J$1,0)))</f>
        <v>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v>
      </c>
      <c r="C33" s="70" t="str">
        <f>IF(ISBLANK(A33),"",INDEX('Error Log'!$A:$J,MATCH('Scores per segment'!$A33,'Error Log'!$A:$A,0),MATCH('Scores per segment'!C$1,'Error Log'!$A$1:$J$1,0)))</f>
        <v>dani alves looks set to leave barcelona this summer after his representative confirmed the brazilian right-back had rejected the club 's final contract offer . 
alves has enjoyed seven successful years at barcelona winning four spanish titles and the champions league twice . 
the 31-year-old has been unable to agree a new deal with the catalan club and will leave the nou camp this summer .</v>
      </c>
      <c r="D33" s="70">
        <f>IF(H33=0,wdct(TRIM(C33)),0)</f>
        <v>63</v>
      </c>
      <c r="E33" s="70">
        <f>COUNTIFS('Error Log'!$A:$A,$A33,'Error Log'!$J:$J,E$1)</f>
        <v>0</v>
      </c>
      <c r="F33" s="70">
        <f>COUNTIFS('Error Log'!$A:$A,$A33,'Error Log'!$J:$J,F$1)</f>
        <v>3</v>
      </c>
      <c r="G33" s="70">
        <f>COUNTIFS('Error Log'!$A:$A,$A33,'Error Log'!$J:$J,G$1)</f>
        <v>0</v>
      </c>
      <c r="H33" s="70">
        <f>COUNTIFS('Error Log'!$A:$A,$A33,'Error Log'!$F:$F,"Source")</f>
        <v>0</v>
      </c>
      <c r="I33" s="70">
        <f>COUNTIFS('Error Log'!$A:$A,$A33,'Error Log'!$F:$F,"Target")</f>
        <v>0</v>
      </c>
      <c r="J33" s="71">
        <f t="shared" si="0"/>
        <v>88.095238095238102</v>
      </c>
    </row>
    <row r="34" spans="1:10" ht="15.6">
      <c r="A34" t="s">
        <v>369</v>
      </c>
      <c r="B34" s="70" t="str">
        <f>IF(ISBLANK(A34),"",INDEX('Error Log'!$A:$J,MATCH('Scores per segment'!$A34,'Error Log'!$A:$A,0),MATCH('Scores per segment'!B$1,'Error Log'!$A$1:$J$1,0)))</f>
        <v>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v>
      </c>
      <c r="C34" s="70" t="str">
        <f>IF(ISBLANK(A34),"",INDEX('Error Log'!$A:$J,MATCH('Scores per segment'!$A34,'Error Log'!$A:$A,0),MATCH('Scores per segment'!C$1,'Error Log'!$A$1:$J$1,0)))</f>
        <v>fearless atif saeed , 38 , from lahore , pakistan was in the city 's safari park when he spotted the male lion in the distance . 
mr saeed got out of his car and crept up towards the hunter armed only with a camera and fired off a few frames . 
unfortunately the clicking sound of the camera 's shutter alerted the lion to the hunter 's presence .</v>
      </c>
      <c r="D34" s="70">
        <f>IF(H34=0,wdct(TRIM(C34)),0)</f>
        <v>64</v>
      </c>
      <c r="E34" s="70">
        <f>COUNTIFS('Error Log'!$A:$A,$A34,'Error Log'!$J:$J,E$1)</f>
        <v>3</v>
      </c>
      <c r="F34" s="70">
        <f>COUNTIFS('Error Log'!$A:$A,$A34,'Error Log'!$J:$J,F$1)</f>
        <v>0</v>
      </c>
      <c r="G34" s="70">
        <f>COUNTIFS('Error Log'!$A:$A,$A34,'Error Log'!$J:$J,G$1)</f>
        <v>0</v>
      </c>
      <c r="H34" s="70">
        <f>COUNTIFS('Error Log'!$A:$A,$A34,'Error Log'!$F:$F,"Source")</f>
        <v>0</v>
      </c>
      <c r="I34" s="70">
        <f>COUNTIFS('Error Log'!$A:$A,$A34,'Error Log'!$F:$F,"Target")</f>
        <v>0</v>
      </c>
      <c r="J34" s="71">
        <f t="shared" si="0"/>
        <v>76.5625</v>
      </c>
    </row>
    <row r="35" spans="1:10" ht="15.6">
      <c r="A35" t="s">
        <v>370</v>
      </c>
      <c r="B35" s="70" t="str">
        <f>IF(ISBLANK(A35),"",INDEX('Error Log'!$A:$J,MATCH('Scores per segment'!$A35,'Error Log'!$A:$A,0),MATCH('Scores per segment'!B$1,'Error Log'!$A$1:$J$1,0)))</f>
        <v>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v>
      </c>
      <c r="C35" s="70" t="str">
        <f>IF(ISBLANK(A35),"",INDEX('Error Log'!$A:$J,MATCH('Scores per segment'!$A35,'Error Log'!$A:$A,0),MATCH('Scores per segment'!C$1,'Error Log'!$A$1:$J$1,0)))</f>
        <v>pablo osvaldo has urged italian legends andrea pirlo and francisco totti to move continents and join him at argentinian giants boca juniors . 
the 29-year-old moved to his current side on a loan deal from southampton and has become an instant hit - scoring three goals in six games . 
` the bombonera would go absolutely crazy for players like them . '</v>
      </c>
      <c r="D35" s="70">
        <f>IF(H35=0,wdct(TRIM(C35)),0)</f>
        <v>57</v>
      </c>
      <c r="E35" s="70">
        <f>COUNTIFS('Error Log'!$A:$A,$A35,'Error Log'!$J:$J,E$1)</f>
        <v>0</v>
      </c>
      <c r="F35" s="70">
        <f>COUNTIFS('Error Log'!$A:$A,$A35,'Error Log'!$J:$J,F$1)</f>
        <v>2</v>
      </c>
      <c r="G35" s="70">
        <f>COUNTIFS('Error Log'!$A:$A,$A35,'Error Log'!$J:$J,G$1)</f>
        <v>0</v>
      </c>
      <c r="H35" s="70">
        <f>COUNTIFS('Error Log'!$A:$A,$A35,'Error Log'!$F:$F,"Source")</f>
        <v>0</v>
      </c>
      <c r="I35" s="70">
        <f>COUNTIFS('Error Log'!$A:$A,$A35,'Error Log'!$F:$F,"Target")</f>
        <v>0</v>
      </c>
      <c r="J35" s="71">
        <f t="shared" si="0"/>
        <v>91.228070175438603</v>
      </c>
    </row>
    <row r="36" spans="1:10" ht="15.6">
      <c r="A36" t="s">
        <v>371</v>
      </c>
      <c r="B36" s="70" t="str">
        <f>IF(ISBLANK(A36),"",INDEX('Error Log'!$A:$J,MATCH('Scores per segment'!$A36,'Error Log'!$A:$A,0),MATCH('Scores per segment'!B$1,'Error Log'!$A$1:$J$1,0)))</f>
        <v>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v>
      </c>
      <c r="C36" s="70" t="str">
        <f>IF(ISBLANK(A36),"",INDEX('Error Log'!$A:$J,MATCH('Scores per segment'!$A36,'Error Log'!$A:$A,0),MATCH('Scores per segment'!C$1,'Error Log'!$A$1:$J$1,0)))</f>
        <v>agent arthur baldwin was taken into custody at 12:30 am on friday on a residential street in south-eastern d.c. by the metropolitan police . 
he has been hit with a felony charge of attempted burglary and another of destruction of property . 
the agency revoked baldwin 's security clearance and put him on leave in light of the arrest .</v>
      </c>
      <c r="D36" s="70">
        <f>IF(H36=0,wdct(TRIM(C36)),0)</f>
        <v>59</v>
      </c>
      <c r="E36" s="70">
        <f>COUNTIFS('Error Log'!$A:$A,$A36,'Error Log'!$J:$J,E$1)</f>
        <v>0</v>
      </c>
      <c r="F36" s="70">
        <f>COUNTIFS('Error Log'!$A:$A,$A36,'Error Log'!$J:$J,F$1)</f>
        <v>0</v>
      </c>
      <c r="G36" s="70">
        <f>COUNTIFS('Error Log'!$A:$A,$A36,'Error Log'!$J:$J,G$1)</f>
        <v>0</v>
      </c>
      <c r="H36" s="70">
        <f>COUNTIFS('Error Log'!$A:$A,$A36,'Error Log'!$F:$F,"Source")</f>
        <v>0</v>
      </c>
      <c r="I36" s="70">
        <f>COUNTIFS('Error Log'!$A:$A,$A36,'Error Log'!$F:$F,"Target")</f>
        <v>0</v>
      </c>
      <c r="J36" s="71">
        <f t="shared" si="0"/>
        <v>100</v>
      </c>
    </row>
    <row r="37" spans="1:10" ht="15.6">
      <c r="A37" t="s">
        <v>372</v>
      </c>
      <c r="B37" s="70" t="str">
        <f>IF(ISBLANK(A37),"",INDEX('Error Log'!$A:$J,MATCH('Scores per segment'!$A37,'Error Log'!$A:$A,0),MATCH('Scores per segment'!B$1,'Error Log'!$A$1:$J$1,0)))</f>
        <v>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v>
      </c>
      <c r="C37" s="70" t="str">
        <f>IF(ISBLANK(A37),"",INDEX('Error Log'!$A:$J,MATCH('Scores per segment'!$A37,'Error Log'!$A:$A,0),MATCH('Scores per segment'!C$1,'Error Log'!$A$1:$J$1,0)))</f>
        <v>amateur jockey lee lewis ferguson was flung from his horse in spectacular fashion at wincanton . 
the 18-year-old has just a cut on his nose to show for his ordeal . 
ferguson 's spectacular double somersault fall from the favourite merrion square in the 4.20 pm at wincanton has been watched hundreds of thousands of times online .</v>
      </c>
      <c r="D37" s="70">
        <f>IF(H37=0,wdct(TRIM(C37)),0)</f>
        <v>55</v>
      </c>
      <c r="E37" s="70">
        <f>COUNTIFS('Error Log'!$A:$A,$A37,'Error Log'!$J:$J,E$1)</f>
        <v>1</v>
      </c>
      <c r="F37" s="70">
        <f>COUNTIFS('Error Log'!$A:$A,$A37,'Error Log'!$J:$J,F$1)</f>
        <v>0</v>
      </c>
      <c r="G37" s="70">
        <f>COUNTIFS('Error Log'!$A:$A,$A37,'Error Log'!$J:$J,G$1)</f>
        <v>0</v>
      </c>
      <c r="H37" s="70">
        <f>COUNTIFS('Error Log'!$A:$A,$A37,'Error Log'!$F:$F,"Source")</f>
        <v>0</v>
      </c>
      <c r="I37" s="70">
        <f>COUNTIFS('Error Log'!$A:$A,$A37,'Error Log'!$F:$F,"Target")</f>
        <v>0</v>
      </c>
      <c r="J37" s="71">
        <f t="shared" si="0"/>
        <v>90.909090909090907</v>
      </c>
    </row>
    <row r="38" spans="1:10" ht="15.6">
      <c r="A38" t="s">
        <v>373</v>
      </c>
      <c r="B38" s="70" t="str">
        <f>IF(ISBLANK(A38),"",INDEX('Error Log'!$A:$J,MATCH('Scores per segment'!$A38,'Error Log'!$A:$A,0),MATCH('Scores per segment'!B$1,'Error Log'!$A$1:$J$1,0)))</f>
        <v>(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v>
      </c>
      <c r="C38" s="70" t="str">
        <f>IF(ISBLANK(A38),"",INDEX('Error Log'!$A:$J,MATCH('Scores per segment'!$A38,'Error Log'!$A:$A,0),MATCH('Scores per segment'!C$1,'Error Log'!$A$1:$J$1,0)))</f>
        <v>bob barker hosted the tv game show for 35 years before stepping down in 2007 . 
looking spry at 91 , barker handled the first price-guessing game of the show before turning hosting duties over to carey . 
despite being away from the show for most of the past eight years , barker did n't seem to miss a beat .</v>
      </c>
      <c r="D38" s="70">
        <f>IF(H38=0,wdct(TRIM(C38)),0)</f>
        <v>56</v>
      </c>
      <c r="E38" s="70">
        <f>COUNTIFS('Error Log'!$A:$A,$A38,'Error Log'!$J:$J,E$1)</f>
        <v>1</v>
      </c>
      <c r="F38" s="70">
        <f>COUNTIFS('Error Log'!$A:$A,$A38,'Error Log'!$J:$J,F$1)</f>
        <v>2</v>
      </c>
      <c r="G38" s="70">
        <f>COUNTIFS('Error Log'!$A:$A,$A38,'Error Log'!$J:$J,G$1)</f>
        <v>0</v>
      </c>
      <c r="H38" s="70">
        <f>COUNTIFS('Error Log'!$A:$A,$A38,'Error Log'!$F:$F,"Source")</f>
        <v>0</v>
      </c>
      <c r="I38" s="70">
        <f>COUNTIFS('Error Log'!$A:$A,$A38,'Error Log'!$F:$F,"Target")</f>
        <v>0</v>
      </c>
      <c r="J38" s="71">
        <f t="shared" si="0"/>
        <v>82.142857142857139</v>
      </c>
    </row>
    <row r="39" spans="1:10" ht="15.6">
      <c r="A39" t="s">
        <v>374</v>
      </c>
      <c r="B39" s="70" t="str">
        <f>IF(ISBLANK(A39),"",INDEX('Error Log'!$A:$J,MATCH('Scores per segment'!$A39,'Error Log'!$A:$A,0),MATCH('Scores per segment'!B$1,'Error Log'!$A$1:$J$1,0)))</f>
        <v>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v>
      </c>
      <c r="C39" s="70" t="str">
        <f>IF(ISBLANK(A39),"",INDEX('Error Log'!$A:$J,MATCH('Scores per segment'!$A39,'Error Log'!$A:$A,0),MATCH('Scores per segment'!C$1,'Error Log'!$A$1:$J$1,0)))</f>
        <v>england flanker james haskell dressed in iron man costume and posted it on his instagram page . 
the london wasps captain returned to wasps for the 2012 season after spells with stade francais , ricoh black rams and highlanders in new zealand . 
windsor-born haskell first joined wasps in 2002 playing eight seasons for the club and winning his first england cap five years later .</v>
      </c>
      <c r="D39" s="70">
        <f>IF(H39=0,wdct(TRIM(C39)),0)</f>
        <v>62</v>
      </c>
      <c r="E39" s="70">
        <f>COUNTIFS('Error Log'!$A:$A,$A39,'Error Log'!$J:$J,E$1)</f>
        <v>1</v>
      </c>
      <c r="F39" s="70">
        <f>COUNTIFS('Error Log'!$A:$A,$A39,'Error Log'!$J:$J,F$1)</f>
        <v>1</v>
      </c>
      <c r="G39" s="70">
        <f>COUNTIFS('Error Log'!$A:$A,$A39,'Error Log'!$J:$J,G$1)</f>
        <v>0</v>
      </c>
      <c r="H39" s="70">
        <f>COUNTIFS('Error Log'!$A:$A,$A39,'Error Log'!$F:$F,"Source")</f>
        <v>0</v>
      </c>
      <c r="I39" s="70">
        <f>COUNTIFS('Error Log'!$A:$A,$A39,'Error Log'!$F:$F,"Target")</f>
        <v>0</v>
      </c>
      <c r="J39" s="71">
        <f t="shared" si="0"/>
        <v>87.903225806451616</v>
      </c>
    </row>
    <row r="40" spans="1:10" ht="15.6">
      <c r="A40" t="s">
        <v>375</v>
      </c>
      <c r="B40" s="70" t="str">
        <f>IF(ISBLANK(A40),"",INDEX('Error Log'!$A:$J,MATCH('Scores per segment'!$A40,'Error Log'!$A:$A,0),MATCH('Scores per segment'!B$1,'Error Log'!$A$1:$J$1,0)))</f>
        <v>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v>
      </c>
      <c r="C40" s="70" t="str">
        <f>IF(ISBLANK(A40),"",INDEX('Error Log'!$A:$J,MATCH('Scores per segment'!$A40,'Error Log'!$A:$A,0),MATCH('Scores per segment'!C$1,'Error Log'!$A$1:$J$1,0)))</f>
        <v>chelsea manager jose mourinho has revealed that he talks to god every day , but never about football and never discusses the game with his wife . 
the 52-year-old father-of-two said he only prays for things in his personal life , never about the game . 
the former real madrid manager said that he tries his best to separate his professional and family life .</v>
      </c>
      <c r="D40" s="70">
        <f>IF(H40=0,wdct(TRIM(C40)),0)</f>
        <v>60</v>
      </c>
      <c r="E40" s="70">
        <f>COUNTIFS('Error Log'!$A:$A,$A40,'Error Log'!$J:$J,E$1)</f>
        <v>2</v>
      </c>
      <c r="F40" s="70">
        <f>COUNTIFS('Error Log'!$A:$A,$A40,'Error Log'!$J:$J,F$1)</f>
        <v>1</v>
      </c>
      <c r="G40" s="70">
        <f>COUNTIFS('Error Log'!$A:$A,$A40,'Error Log'!$J:$J,G$1)</f>
        <v>0</v>
      </c>
      <c r="H40" s="70">
        <f>COUNTIFS('Error Log'!$A:$A,$A40,'Error Log'!$F:$F,"Source")</f>
        <v>0</v>
      </c>
      <c r="I40" s="70">
        <f>COUNTIFS('Error Log'!$A:$A,$A40,'Error Log'!$F:$F,"Target")</f>
        <v>0</v>
      </c>
      <c r="J40" s="71">
        <f t="shared" si="0"/>
        <v>79.166666666666657</v>
      </c>
    </row>
    <row r="41" spans="1:10" ht="15.6">
      <c r="A41" t="s">
        <v>376</v>
      </c>
      <c r="B41" s="70" t="str">
        <f>IF(ISBLANK(A41),"",INDEX('Error Log'!$A:$J,MATCH('Scores per segment'!$A41,'Error Log'!$A:$A,0),MATCH('Scores per segment'!B$1,'Error Log'!$A$1:$J$1,0)))</f>
        <v>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v>
      </c>
      <c r="C41" s="70" t="str">
        <f>IF(ISBLANK(A41),"",INDEX('Error Log'!$A:$J,MATCH('Scores per segment'!$A41,'Error Log'!$A:$A,0),MATCH('Scores per segment'!C$1,'Error Log'!$A$1:$J$1,0)))</f>
        <v>the wide leg trouser is at the forefront of ss15 trends . 
there 's something effortless about a wide leg that really appeals . 
gucci revisited the seventies with a collection filled with flared jeans in vintage washes . 
celine showcased colourful billowing bottoms on their ss15 runway .</v>
      </c>
      <c r="D41" s="70">
        <f>IF(H41=0,wdct(TRIM(C41)),0)</f>
        <v>45</v>
      </c>
      <c r="E41" s="70">
        <f>COUNTIFS('Error Log'!$A:$A,$A41,'Error Log'!$J:$J,E$1)</f>
        <v>1</v>
      </c>
      <c r="F41" s="70">
        <f>COUNTIFS('Error Log'!$A:$A,$A41,'Error Log'!$J:$J,F$1)</f>
        <v>3</v>
      </c>
      <c r="G41" s="70">
        <f>COUNTIFS('Error Log'!$A:$A,$A41,'Error Log'!$J:$J,G$1)</f>
        <v>0</v>
      </c>
      <c r="H41" s="70">
        <f>COUNTIFS('Error Log'!$A:$A,$A41,'Error Log'!$F:$F,"Source")</f>
        <v>0</v>
      </c>
      <c r="I41" s="70">
        <f>COUNTIFS('Error Log'!$A:$A,$A41,'Error Log'!$F:$F,"Target")</f>
        <v>0</v>
      </c>
      <c r="J41" s="71">
        <f t="shared" si="0"/>
        <v>72.222222222222229</v>
      </c>
    </row>
    <row r="42" spans="1:10" ht="15.6">
      <c r="A42" t="s">
        <v>377</v>
      </c>
      <c r="B42" s="70" t="str">
        <f>IF(ISBLANK(A42),"",INDEX('Error Log'!$A:$J,MATCH('Scores per segment'!$A42,'Error Log'!$A:$A,0),MATCH('Scores per segment'!B$1,'Error Log'!$A$1:$J$1,0)))</f>
        <v>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v>
      </c>
      <c r="C42" s="70" t="str">
        <f>IF(ISBLANK(A42),"",INDEX('Error Log'!$A:$J,MATCH('Scores per segment'!$A42,'Error Log'!$A:$A,0),MATCH('Scores per segment'!C$1,'Error Log'!$A$1:$J$1,0)))</f>
        <v>yulia simonova , 52 , wanted to hire a hitman to torture and murder 15-year-old damian vanya after he ended their relationship . 
police set up a sting operation sending one of their undercover officers to pose as a hitman during a meeting with the teacher . 
a hidden camera filmed the exchange where the teacher said she wanted the boy to slowly bleed to death before she ` finished ` him .</v>
      </c>
      <c r="D42" s="70">
        <f>IF(H42=0,wdct(TRIM(C42)),0)</f>
        <v>66</v>
      </c>
      <c r="E42" s="70">
        <f>COUNTIFS('Error Log'!$A:$A,$A42,'Error Log'!$J:$J,E$1)</f>
        <v>2</v>
      </c>
      <c r="F42" s="70">
        <f>COUNTIFS('Error Log'!$A:$A,$A42,'Error Log'!$J:$J,F$1)</f>
        <v>2</v>
      </c>
      <c r="G42" s="70">
        <f>COUNTIFS('Error Log'!$A:$A,$A42,'Error Log'!$J:$J,G$1)</f>
        <v>0</v>
      </c>
      <c r="H42" s="70">
        <f>COUNTIFS('Error Log'!$A:$A,$A42,'Error Log'!$F:$F,"Source")</f>
        <v>0</v>
      </c>
      <c r="I42" s="70">
        <f>COUNTIFS('Error Log'!$A:$A,$A42,'Error Log'!$F:$F,"Target")</f>
        <v>0</v>
      </c>
      <c r="J42" s="71">
        <f t="shared" si="0"/>
        <v>77.272727272727266</v>
      </c>
    </row>
    <row r="43" spans="1:10" ht="15.6">
      <c r="A43" t="s">
        <v>378</v>
      </c>
      <c r="B43" s="70" t="str">
        <f>IF(ISBLANK(A43),"",INDEX('Error Log'!$A:$J,MATCH('Scores per segment'!$A43,'Error Log'!$A:$A,0),MATCH('Scores per segment'!B$1,'Error Log'!$A$1:$J$1,0)))</f>
        <v>(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v>
      </c>
      <c r="C43" s="70" t="str">
        <f>IF(ISBLANK(A43),"",INDEX('Error Log'!$A:$J,MATCH('Scores per segment'!$A43,'Error Log'!$A:$A,0),MATCH('Scores per segment'!C$1,'Error Log'!$A$1:$J$1,0)))</f>
        <v>the university of michigan has decided to proceed with a screening of the film '' american sniper '' despite objections from some students . 
more than 200 students signed a petition asking the school not to show the movie . 
some students believed the movie 's depiction of the iraq war reflected negatively on the middle east and people from that region .</v>
      </c>
      <c r="D43" s="70">
        <f>IF(H43=0,wdct(TRIM(C43)),0)</f>
        <v>58</v>
      </c>
      <c r="E43" s="70">
        <f>COUNTIFS('Error Log'!$A:$A,$A43,'Error Log'!$J:$J,E$1)</f>
        <v>0</v>
      </c>
      <c r="F43" s="70">
        <f>COUNTIFS('Error Log'!$A:$A,$A43,'Error Log'!$J:$J,F$1)</f>
        <v>0</v>
      </c>
      <c r="G43" s="70">
        <f>COUNTIFS('Error Log'!$A:$A,$A43,'Error Log'!$J:$J,G$1)</f>
        <v>0</v>
      </c>
      <c r="H43" s="70">
        <f>COUNTIFS('Error Log'!$A:$A,$A43,'Error Log'!$F:$F,"Source")</f>
        <v>0</v>
      </c>
      <c r="I43" s="70">
        <f>COUNTIFS('Error Log'!$A:$A,$A43,'Error Log'!$F:$F,"Target")</f>
        <v>0</v>
      </c>
      <c r="J43" s="71">
        <f t="shared" si="0"/>
        <v>100</v>
      </c>
    </row>
    <row r="44" spans="1:10" ht="15.6">
      <c r="A44" t="s">
        <v>379</v>
      </c>
      <c r="B44" s="70" t="str">
        <f>IF(ISBLANK(A44),"",INDEX('Error Log'!$A:$J,MATCH('Scores per segment'!$A44,'Error Log'!$A:$A,0),MATCH('Scores per segment'!B$1,'Error Log'!$A$1:$J$1,0)))</f>
        <v>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v>
      </c>
      <c r="C44" s="70" t="str">
        <f>IF(ISBLANK(A44),"",INDEX('Error Log'!$A:$J,MATCH('Scores per segment'!$A44,'Error Log'!$A:$A,0),MATCH('Scores per segment'!C$1,'Error Log'!$A$1:$J$1,0)))</f>
        <v>leon yeaman , 55 , was allegedly killed by a single punch in the head from 28-year-old shift worker phillip pama during a row in front of their north brisbane homes . 
mr yeaman was reportedly in his yard on muller road making a lot of noise at around 9 pm th thursday night . 
pama then confronted mr yeaman and it was at that point the situation escalated . 
the married father of three was granted conditional bail on friday .</v>
      </c>
      <c r="D44" s="70">
        <f>IF(H44=0,wdct(TRIM(C44)),0)</f>
        <v>76</v>
      </c>
      <c r="E44" s="70">
        <f>COUNTIFS('Error Log'!$A:$A,$A44,'Error Log'!$J:$J,E$1)</f>
        <v>0</v>
      </c>
      <c r="F44" s="70">
        <f>COUNTIFS('Error Log'!$A:$A,$A44,'Error Log'!$J:$J,F$1)</f>
        <v>0</v>
      </c>
      <c r="G44" s="70">
        <f>COUNTIFS('Error Log'!$A:$A,$A44,'Error Log'!$J:$J,G$1)</f>
        <v>1</v>
      </c>
      <c r="H44" s="70">
        <f>COUNTIFS('Error Log'!$A:$A,$A44,'Error Log'!$F:$F,"Source")</f>
        <v>0</v>
      </c>
      <c r="I44" s="70">
        <f>COUNTIFS('Error Log'!$A:$A,$A44,'Error Log'!$F:$F,"Target")</f>
        <v>0</v>
      </c>
      <c r="J44" s="71">
        <f t="shared" si="0"/>
        <v>99.34210526315789</v>
      </c>
    </row>
    <row r="45" spans="1:10" ht="15.6">
      <c r="A45" t="s">
        <v>380</v>
      </c>
      <c r="B45" s="70" t="str">
        <f>IF(ISBLANK(A45),"",INDEX('Error Log'!$A:$J,MATCH('Scores per segment'!$A45,'Error Log'!$A:$A,0),MATCH('Scores per segment'!B$1,'Error Log'!$A$1:$J$1,0)))</f>
        <v>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v>
      </c>
      <c r="C45" s="70" t="str">
        <f>IF(ISBLANK(A45),"",INDEX('Error Log'!$A:$J,MATCH('Scores per segment'!$A45,'Error Log'!$A:$A,0),MATCH('Scores per segment'!C$1,'Error Log'!$A$1:$J$1,0)))</f>
        <v>two french male tourists allegedly ignited an aerosol spray with a lighter causing a large flame to make contact with a quokka on rottnest island off perth in western australia on april 3 . 
the lucky little critter survived the reckless incident but was singed by the flame and the men were charged with animal cruelty .</v>
      </c>
      <c r="D45" s="70">
        <f>IF(H45=0,wdct(TRIM(C45)),0)</f>
        <v>55</v>
      </c>
      <c r="E45" s="70">
        <f>COUNTIFS('Error Log'!$A:$A,$A45,'Error Log'!$J:$J,E$1)</f>
        <v>0</v>
      </c>
      <c r="F45" s="70">
        <f>COUNTIFS('Error Log'!$A:$A,$A45,'Error Log'!$J:$J,F$1)</f>
        <v>0</v>
      </c>
      <c r="G45" s="70">
        <f>COUNTIFS('Error Log'!$A:$A,$A45,'Error Log'!$J:$J,G$1)</f>
        <v>0</v>
      </c>
      <c r="H45" s="70">
        <f>COUNTIFS('Error Log'!$A:$A,$A45,'Error Log'!$F:$F,"Source")</f>
        <v>0</v>
      </c>
      <c r="I45" s="70">
        <f>COUNTIFS('Error Log'!$A:$A,$A45,'Error Log'!$F:$F,"Target")</f>
        <v>0</v>
      </c>
      <c r="J45" s="71">
        <f t="shared" si="0"/>
        <v>100</v>
      </c>
    </row>
    <row r="46" spans="1:10" ht="15.6">
      <c r="A46" t="s">
        <v>381</v>
      </c>
      <c r="B46" s="70" t="str">
        <f>IF(ISBLANK(A46),"",INDEX('Error Log'!$A:$J,MATCH('Scores per segment'!$A46,'Error Log'!$A:$A,0),MATCH('Scores per segment'!B$1,'Error Log'!$A$1:$J$1,0)))</f>
        <v>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v>
      </c>
      <c r="C46" s="70" t="str">
        <f>IF(ISBLANK(A46),"",INDEX('Error Log'!$A:$J,MATCH('Scores per segment'!$A46,'Error Log'!$A:$A,0),MATCH('Scores per segment'!C$1,'Error Log'!$A$1:$J$1,0)))</f>
        <v>the queen , 88 , was spotted trotting through windsor great park aboard her faithful black fell pony , carltonlima emma . 
the queen eschewed a helmet in favour of one of her silk scarves and is reportedly reluctant to wear one because of her hair . 
the monarch is famous for her love of horses and first found herself in the saddle at the age of four after being presented with a shetland pony , named peggy .</v>
      </c>
      <c r="D46" s="70">
        <f>IF(H46=0,wdct(TRIM(C46)),0)</f>
        <v>72</v>
      </c>
      <c r="E46" s="70">
        <f>COUNTIFS('Error Log'!$A:$A,$A46,'Error Log'!$J:$J,E$1)</f>
        <v>0</v>
      </c>
      <c r="F46" s="70">
        <f>COUNTIFS('Error Log'!$A:$A,$A46,'Error Log'!$J:$J,F$1)</f>
        <v>1</v>
      </c>
      <c r="G46" s="70">
        <f>COUNTIFS('Error Log'!$A:$A,$A46,'Error Log'!$J:$J,G$1)</f>
        <v>0</v>
      </c>
      <c r="H46" s="70">
        <f>COUNTIFS('Error Log'!$A:$A,$A46,'Error Log'!$F:$F,"Source")</f>
        <v>0</v>
      </c>
      <c r="I46" s="70">
        <f>COUNTIFS('Error Log'!$A:$A,$A46,'Error Log'!$F:$F,"Target")</f>
        <v>0</v>
      </c>
      <c r="J46" s="71">
        <f t="shared" si="0"/>
        <v>96.527777777777771</v>
      </c>
    </row>
    <row r="47" spans="1:10" ht="15.6">
      <c r="A47" t="s">
        <v>382</v>
      </c>
      <c r="B47" s="70" t="str">
        <f>IF(ISBLANK(A47),"",INDEX('Error Log'!$A:$J,MATCH('Scores per segment'!$A47,'Error Log'!$A:$A,0),MATCH('Scores per segment'!B$1,'Error Log'!$A$1:$J$1,0)))</f>
        <v>(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v>
      </c>
      <c r="C47" s="70" t="str">
        <f>IF(ISBLANK(A47),"",INDEX('Error Log'!$A:$J,MATCH('Scores per segment'!$A47,'Error Log'!$A:$A,0),MATCH('Scores per segment'!C$1,'Error Log'!$A$1:$J$1,0)))</f>
        <v>102-year-old alice barker was a dancer in such new york nightspots as the cotton club and the cafe zanzibar . 
there were motion pictures made of barker , but she had never seen any of them . 
her photographs and memorabilia had all been lost over the years .</v>
      </c>
      <c r="D47" s="70">
        <f>IF(H47=0,wdct(TRIM(C47)),0)</f>
        <v>45</v>
      </c>
      <c r="E47" s="70">
        <f>COUNTIFS('Error Log'!$A:$A,$A47,'Error Log'!$J:$J,E$1)</f>
        <v>1</v>
      </c>
      <c r="F47" s="70">
        <f>COUNTIFS('Error Log'!$A:$A,$A47,'Error Log'!$J:$J,F$1)</f>
        <v>1</v>
      </c>
      <c r="G47" s="70">
        <f>COUNTIFS('Error Log'!$A:$A,$A47,'Error Log'!$J:$J,G$1)</f>
        <v>0</v>
      </c>
      <c r="H47" s="70">
        <f>COUNTIFS('Error Log'!$A:$A,$A47,'Error Log'!$F:$F,"Source")</f>
        <v>0</v>
      </c>
      <c r="I47" s="70">
        <f>COUNTIFS('Error Log'!$A:$A,$A47,'Error Log'!$F:$F,"Target")</f>
        <v>0</v>
      </c>
      <c r="J47" s="71">
        <f t="shared" si="0"/>
        <v>83.333333333333343</v>
      </c>
    </row>
    <row r="48" spans="1:10" ht="15.6">
      <c r="A48" t="s">
        <v>383</v>
      </c>
      <c r="B48" s="70" t="str">
        <f>IF(ISBLANK(A48),"",INDEX('Error Log'!$A:$J,MATCH('Scores per segment'!$A48,'Error Log'!$A:$A,0),MATCH('Scores per segment'!B$1,'Error Log'!$A$1:$J$1,0)))</f>
        <v>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v>
      </c>
      <c r="C48" s="70" t="str">
        <f>IF(ISBLANK(A48),"",INDEX('Error Log'!$A:$J,MATCH('Scores per segment'!$A48,'Error Log'!$A:$A,0),MATCH('Scores per segment'!C$1,'Error Log'!$A$1:$J$1,0)))</f>
        <v>ninety condos on the beach in westhampton were obliterated by flames on wednesday afternoon . 
smoke poured toward the ocean and could be seen from three miles away as 12 fire crews tried to control the flames . 
it is not known what started the blaze which was so intense it melted the paint off nearby buildings . 
the sandpiper complex is open between may and november and is used as a holiday home by residents .</v>
      </c>
      <c r="D48" s="70">
        <f>IF(H48=0,wdct(TRIM(C48)),0)</f>
        <v>73</v>
      </c>
      <c r="E48" s="70">
        <f>COUNTIFS('Error Log'!$A:$A,$A48,'Error Log'!$J:$J,E$1)</f>
        <v>1</v>
      </c>
      <c r="F48" s="70">
        <f>COUNTIFS('Error Log'!$A:$A,$A48,'Error Log'!$J:$J,F$1)</f>
        <v>0</v>
      </c>
      <c r="G48" s="70">
        <f>COUNTIFS('Error Log'!$A:$A,$A48,'Error Log'!$J:$J,G$1)</f>
        <v>0</v>
      </c>
      <c r="H48" s="70">
        <f>COUNTIFS('Error Log'!$A:$A,$A48,'Error Log'!$F:$F,"Source")</f>
        <v>0</v>
      </c>
      <c r="I48" s="70">
        <f>COUNTIFS('Error Log'!$A:$A,$A48,'Error Log'!$F:$F,"Target")</f>
        <v>0</v>
      </c>
      <c r="J48" s="71">
        <f t="shared" si="0"/>
        <v>93.150684931506845</v>
      </c>
    </row>
    <row r="49" spans="1:10" ht="15.6">
      <c r="A49" t="s">
        <v>384</v>
      </c>
      <c r="B49" s="70" t="str">
        <f>IF(ISBLANK(A49),"",INDEX('Error Log'!$A:$J,MATCH('Scores per segment'!$A49,'Error Log'!$A:$A,0),MATCH('Scores per segment'!B$1,'Error Log'!$A$1:$J$1,0)))</f>
        <v>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v>
      </c>
      <c r="C49" s="70" t="str">
        <f>IF(ISBLANK(A49),"",INDEX('Error Log'!$A:$J,MATCH('Scores per segment'!$A49,'Error Log'!$A:$A,0),MATCH('Scores per segment'!C$1,'Error Log'!$A$1:$J$1,0)))</f>
        <v>a third of men have never picked up a bucket and a chamois leather to wash their own car . 
three quarters of women never wash their car with drivers more likely to take it to a car wash on a local forecourt . 
factors behind decline include shops now opening on a sunday and more live football on tv . 
rise of hand car washes and the fact that 4x4 and off-road vehicles are too large to clean .</v>
      </c>
      <c r="D49" s="70">
        <f>IF(H49=0,wdct(TRIM(C49)),0)</f>
        <v>76</v>
      </c>
      <c r="E49" s="70">
        <f>COUNTIFS('Error Log'!$A:$A,$A49,'Error Log'!$J:$J,E$1)</f>
        <v>1</v>
      </c>
      <c r="F49" s="70">
        <f>COUNTIFS('Error Log'!$A:$A,$A49,'Error Log'!$J:$J,F$1)</f>
        <v>1</v>
      </c>
      <c r="G49" s="70">
        <f>COUNTIFS('Error Log'!$A:$A,$A49,'Error Log'!$J:$J,G$1)</f>
        <v>0</v>
      </c>
      <c r="H49" s="70">
        <f>COUNTIFS('Error Log'!$A:$A,$A49,'Error Log'!$F:$F,"Source")</f>
        <v>0</v>
      </c>
      <c r="I49" s="70">
        <f>COUNTIFS('Error Log'!$A:$A,$A49,'Error Log'!$F:$F,"Target")</f>
        <v>0</v>
      </c>
      <c r="J49" s="71">
        <f t="shared" si="0"/>
        <v>90.131578947368411</v>
      </c>
    </row>
    <row r="50" spans="1:10" ht="15.6">
      <c r="A50" t="s">
        <v>385</v>
      </c>
      <c r="B50" s="70" t="str">
        <f>IF(ISBLANK(A50),"",INDEX('Error Log'!$A:$J,MATCH('Scores per segment'!$A50,'Error Log'!$A:$A,0),MATCH('Scores per segment'!B$1,'Error Log'!$A$1:$J$1,0)))</f>
        <v>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v>
      </c>
      <c r="C50" s="70" t="str">
        <f>IF(ISBLANK(A50),"",INDEX('Error Log'!$A:$J,MATCH('Scores per segment'!$A50,'Error Log'!$A:$A,0),MATCH('Scores per segment'!C$1,'Error Log'!$A$1:$J$1,0)))</f>
        <v>jessica kemp from eustis says teachers at seminole county elementary threaten to remove kindergartner logan from class because the oils smell and are a distraction to youngsters around him . 
the family uses detorra oils with scents such as lavender , chamomile and sandalwood . 
lake county school district told the station they would not suspend logan saying it was a health issue .</v>
      </c>
      <c r="D50" s="70">
        <f>IF(H50=0,wdct(TRIM(C50)),0)</f>
        <v>60</v>
      </c>
      <c r="E50" s="70">
        <f>COUNTIFS('Error Log'!$A:$A,$A50,'Error Log'!$J:$J,E$1)</f>
        <v>1</v>
      </c>
      <c r="F50" s="70">
        <f>COUNTIFS('Error Log'!$A:$A,$A50,'Error Log'!$J:$J,F$1)</f>
        <v>1</v>
      </c>
      <c r="G50" s="70">
        <f>COUNTIFS('Error Log'!$A:$A,$A50,'Error Log'!$J:$J,G$1)</f>
        <v>0</v>
      </c>
      <c r="H50" s="70">
        <f>COUNTIFS('Error Log'!$A:$A,$A50,'Error Log'!$F:$F,"Source")</f>
        <v>0</v>
      </c>
      <c r="I50" s="70">
        <f>COUNTIFS('Error Log'!$A:$A,$A50,'Error Log'!$F:$F,"Target")</f>
        <v>0</v>
      </c>
      <c r="J50" s="71">
        <f t="shared" si="0"/>
        <v>87.5</v>
      </c>
    </row>
    <row r="51" spans="1:10" ht="15.6">
      <c r="A51" t="s">
        <v>386</v>
      </c>
      <c r="B51" s="70" t="str">
        <f>IF(ISBLANK(A51),"",INDEX('Error Log'!$A:$J,MATCH('Scores per segment'!$A51,'Error Log'!$A:$A,0),MATCH('Scores per segment'!B$1,'Error Log'!$A$1:$J$1,0)))</f>
        <v>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v>
      </c>
      <c r="C51" s="70" t="str">
        <f>IF(ISBLANK(A51),"",INDEX('Error Log'!$A:$J,MATCH('Scores per segment'!$A51,'Error Log'!$A:$A,0),MATCH('Scores per segment'!C$1,'Error Log'!$A$1:$J$1,0)))</f>
        <v>martin skrtel has praised the impact steven gerrard has had upon him since arriving at anfield in 2008 . 
martin believes liverpool can overcome the difficult challenge of replacing him . 
liverpool face aston villa in the fa cup semi-final at wembley on sunday . 
should liverpool emerge victorious against villa , g errard will sign off his anfield career in the final .</v>
      </c>
      <c r="D51" s="70">
        <f>IF(H51=0,wdct(TRIM(C51)),0)</f>
        <v>59</v>
      </c>
      <c r="E51" s="70">
        <f>COUNTIFS('Error Log'!$A:$A,$A51,'Error Log'!$J:$J,E$1)</f>
        <v>0</v>
      </c>
      <c r="F51" s="70">
        <f>COUNTIFS('Error Log'!$A:$A,$A51,'Error Log'!$J:$J,F$1)</f>
        <v>1</v>
      </c>
      <c r="G51" s="70">
        <f>COUNTIFS('Error Log'!$A:$A,$A51,'Error Log'!$J:$J,G$1)</f>
        <v>0</v>
      </c>
      <c r="H51" s="70">
        <f>COUNTIFS('Error Log'!$A:$A,$A51,'Error Log'!$F:$F,"Source")</f>
        <v>0</v>
      </c>
      <c r="I51" s="70">
        <f>COUNTIFS('Error Log'!$A:$A,$A51,'Error Log'!$F:$F,"Target")</f>
        <v>0</v>
      </c>
      <c r="J51" s="71">
        <f t="shared" si="0"/>
        <v>95.762711864406782</v>
      </c>
    </row>
    <row r="52" spans="1:10" ht="15.6">
      <c r="A52" s="103" t="s">
        <v>387</v>
      </c>
      <c r="B52" s="70" t="str">
        <f>IF(ISBLANK(A52),"",INDEX('Error Log'!$A:$J,MATCH('Scores per segment'!$A52,'Error Log'!$A:$A,0),MATCH('Scores per segment'!B$1,'Error Log'!$A$1:$J$1,0)))</f>
        <v>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i ca n't sleep . '
all three were charged with aggravated assault , conspiracy and false imprisonment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v>
      </c>
      <c r="C52" s="70" t="str">
        <f>IF(ISBLANK(A52),"",INDEX('Error Log'!$A:$J,MATCH('Scores per segment'!$A52,'Error Log'!$A:$A,0),MATCH('Scores per segment'!C$1,'Error Log'!$A$1:$J$1,0)))</f>
        <v>corry ` corey ` campbell , 21 , was the ringleader of a gang dubbed the ` tattoo terrorists ' 
he was sentenced to 20 years in state prison for the abuse of greg valecce , 53 , who was tied to a chair and beaten for three days . 
sandra ng , campbell 's girlfriend , was also sentenced to 23 months in prison for her role in the shocking assault last year . 
another man involved , david thomas , 28 , is awaiting sentencing while another defendant jennifer pratt , 40 , is awaiting trial .</v>
      </c>
      <c r="D52" s="70">
        <f>IF(H52=0,wdct(TRIM(C52)),0)</f>
        <v>81</v>
      </c>
      <c r="E52" s="70">
        <f>COUNTIFS('Error Log'!$A:$A,$A52,'Error Log'!$J:$J,E$1)</f>
        <v>1</v>
      </c>
      <c r="F52" s="70">
        <f>COUNTIFS('Error Log'!$A:$A,$A52,'Error Log'!$J:$J,F$1)</f>
        <v>0</v>
      </c>
      <c r="G52" s="70">
        <f>COUNTIFS('Error Log'!$A:$A,$A52,'Error Log'!$J:$J,G$1)</f>
        <v>0</v>
      </c>
      <c r="H52" s="70">
        <f>COUNTIFS('Error Log'!$A:$A,$A52,'Error Log'!$F:$F,"Source")</f>
        <v>0</v>
      </c>
      <c r="I52" s="70">
        <f>COUNTIFS('Error Log'!$A:$A,$A52,'Error Log'!$F:$F,"Target")</f>
        <v>0</v>
      </c>
      <c r="J52" s="71">
        <f t="shared" si="0"/>
        <v>93.827160493827165</v>
      </c>
    </row>
    <row r="53" spans="1:10">
      <c r="A53" s="104" t="s">
        <v>388</v>
      </c>
      <c r="B53" s="70" t="str">
        <f>IF(ISBLANK(A53),"",INDEX('Error Log'!$A:$J,MATCH('Scores per segment'!$A53,'Error Log'!$A:$A,0),MATCH('Scores per segment'!B$1,'Error Log'!$A$1:$J$1,0)))</f>
        <v>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v>
      </c>
      <c r="C53" s="70" t="str">
        <f>IF(ISBLANK(A53),"",INDEX('Error Log'!$A:$J,MATCH('Scores per segment'!$A53,'Error Log'!$A:$A,0),MATCH('Scores per segment'!C$1,'Error Log'!$A$1:$J$1,0)))</f>
        <v>jack nicklaus added another magic moment to his storied career at augusta national in the par-3 contest . 
the greatest golfer of all time saw his shot sail beyond the flag before spinning back into the hole . 
camilo villegas followed nicklaus with an ace on the fourth and also managed one on the eighth .</v>
      </c>
      <c r="D53" s="70">
        <f>IF(H53=0,wdct(TRIM(C53)),0)</f>
        <v>53</v>
      </c>
      <c r="E53" s="70">
        <f>COUNTIFS('Error Log'!$A:$A,$A53,'Error Log'!$J:$J,E$1)</f>
        <v>3</v>
      </c>
      <c r="F53" s="70">
        <f>COUNTIFS('Error Log'!$A:$A,$A53,'Error Log'!$J:$J,F$1)</f>
        <v>0</v>
      </c>
      <c r="G53" s="70">
        <f>COUNTIFS('Error Log'!$A:$A,$A53,'Error Log'!$J:$J,G$1)</f>
        <v>0</v>
      </c>
      <c r="H53" s="70">
        <f>COUNTIFS('Error Log'!$A:$A,$A53,'Error Log'!$F:$F,"Source")</f>
        <v>0</v>
      </c>
      <c r="I53" s="70">
        <f>COUNTIFS('Error Log'!$A:$A,$A53,'Error Log'!$F:$F,"Target")</f>
        <v>0</v>
      </c>
      <c r="J53" s="71">
        <f t="shared" si="0"/>
        <v>71.698113207547166</v>
      </c>
    </row>
    <row r="54" spans="1:10">
      <c r="A54" s="104" t="s">
        <v>394</v>
      </c>
      <c r="B54" s="70" t="str">
        <f>IF(ISBLANK(A54),"",INDEX('Error Log'!$A:$J,MATCH('Scores per segment'!$A54,'Error Log'!$A:$A,0),MATCH('Scores per segment'!B$1,'Error Log'!$A$1:$J$1,0)))</f>
        <v>(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v>
      </c>
      <c r="C54" s="70" t="str">
        <f>IF(ISBLANK(A54),"",INDEX('Error Log'!$A:$J,MATCH('Scores per segment'!$A54,'Error Log'!$A:$A,0),MATCH('Scores per segment'!C$1,'Error Log'!$A$1:$J$1,0)))</f>
        <v>robert bates , 73 , is accused of fatally shooting eric harris , a man he says he meant to subdue with a taser . 
the judge granted bates permission to go to the bahamas for a family vacation . 
`` we are still mourning the death of a loved one that he shot down in the street , '' the family of harris said .</v>
      </c>
      <c r="D54" s="70">
        <f>IF(H54=0,wdct(TRIM(C54)),0)</f>
        <v>57</v>
      </c>
      <c r="E54" s="70">
        <f>COUNTIFS('Error Log'!$A:$A,$A54,'Error Log'!$J:$J,E$1)</f>
        <v>1</v>
      </c>
      <c r="F54" s="70">
        <f>COUNTIFS('Error Log'!$A:$A,$A54,'Error Log'!$J:$J,F$1)</f>
        <v>1</v>
      </c>
      <c r="G54" s="70">
        <f>COUNTIFS('Error Log'!$A:$A,$A54,'Error Log'!$J:$J,G$1)</f>
        <v>0</v>
      </c>
      <c r="H54" s="70">
        <f>COUNTIFS('Error Log'!$A:$A,$A54,'Error Log'!$F:$F,"Source")</f>
        <v>0</v>
      </c>
      <c r="I54" s="70">
        <f>COUNTIFS('Error Log'!$A:$A,$A54,'Error Log'!$F:$F,"Target")</f>
        <v>0</v>
      </c>
      <c r="J54" s="71">
        <f t="shared" si="0"/>
        <v>86.84210526315789</v>
      </c>
    </row>
    <row r="55" spans="1:10">
      <c r="A55" s="104" t="s">
        <v>399</v>
      </c>
      <c r="B55" s="70" t="str">
        <f>IF(ISBLANK(A55),"",INDEX('Error Log'!$A:$J,MATCH('Scores per segment'!$A55,'Error Log'!$A:$A,0),MATCH('Scores per segment'!B$1,'Error Log'!$A$1:$J$1,0)))</f>
        <v>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point guard derrick rose ( right ) scored 12 points for the bulls as he continued his comeback from injury</v>
      </c>
      <c r="C55" s="70" t="str">
        <f>IF(ISBLANK(A55),"",INDEX('Error Log'!$A:$J,MATCH('Scores per segment'!$A55,'Error Log'!$A:$A,0),MATCH('Scores per segment'!C$1,'Error Log'!$A$1:$J$1,0)))</f>
        <v>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lamarcus aldridge had 27 points and six rebounds , and damian lillard added 20 points and eight assists for the blazer . 
elsewhere , pau gasol had 16 points and 15 rebounds and chicago bulls easily wiped out a 19-point halftime deficit to deal a huge blow to m</v>
      </c>
      <c r="D55" s="70">
        <f>IF(H55=0,wdct(TRIM(C55)),0)</f>
        <v>104</v>
      </c>
      <c r="E55" s="70">
        <f>COUNTIFS('Error Log'!$A:$A,$A55,'Error Log'!$J:$J,E$1)</f>
        <v>2</v>
      </c>
      <c r="F55" s="70">
        <f>COUNTIFS('Error Log'!$A:$A,$A55,'Error Log'!$J:$J,F$1)</f>
        <v>3</v>
      </c>
      <c r="G55" s="70">
        <f>COUNTIFS('Error Log'!$A:$A,$A55,'Error Log'!$J:$J,G$1)</f>
        <v>0</v>
      </c>
      <c r="H55" s="70">
        <f>COUNTIFS('Error Log'!$A:$A,$A55,'Error Log'!$F:$F,"Source")</f>
        <v>0</v>
      </c>
      <c r="I55" s="70">
        <f>COUNTIFS('Error Log'!$A:$A,$A55,'Error Log'!$F:$F,"Target")</f>
        <v>0</v>
      </c>
      <c r="J55" s="71">
        <f t="shared" si="0"/>
        <v>83.17307692307692</v>
      </c>
    </row>
    <row r="56" spans="1:10">
      <c r="A56" s="104" t="s">
        <v>408</v>
      </c>
      <c r="B56" s="70" t="str">
        <f>IF(ISBLANK(A56),"",INDEX('Error Log'!$A:$J,MATCH('Scores per segment'!$A56,'Error Log'!$A:$A,0),MATCH('Scores per segment'!B$1,'Error Log'!$A$1:$J$1,0)))</f>
        <v>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mcgregor claims he has greater motivation to win the title than aldo has to defend it for the eighth time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v>
      </c>
      <c r="C56" s="70" t="str">
        <f>IF(ISBLANK(A56),"",INDEX('Error Log'!$A:$J,MATCH('Scores per segment'!$A56,'Error Log'!$A:$A,0),MATCH('Scores per segment'!C$1,'Error Log'!$A$1:$J$1,0)))</f>
        <v>conor mcgregor is gearing up for a featherweight title challenge against jose aldo on july 11 and has unveiled a fearsome new tattoo ahead of the encounter . 
the 26-year-old irishman has already got a picture of a gorilla eating a heart inked upon his chest and has now revealed a tiger 's face tattooed onto his stomach . 
` if you see the tiger , it 's too late . you 're food , ` he wrote next to the instagram post .</v>
      </c>
      <c r="D56" s="70">
        <f>IF(H56=0,wdct(TRIM(C56)),0)</f>
        <v>76</v>
      </c>
      <c r="E56" s="70">
        <f>COUNTIFS('Error Log'!$A:$A,$A56,'Error Log'!$J:$J,E$1)</f>
        <v>1</v>
      </c>
      <c r="F56" s="70">
        <f>COUNTIFS('Error Log'!$A:$A,$A56,'Error Log'!$J:$J,F$1)</f>
        <v>2</v>
      </c>
      <c r="G56" s="70">
        <f>COUNTIFS('Error Log'!$A:$A,$A56,'Error Log'!$J:$J,G$1)</f>
        <v>0</v>
      </c>
      <c r="H56" s="70">
        <f>COUNTIFS('Error Log'!$A:$A,$A56,'Error Log'!$F:$F,"Source")</f>
        <v>0</v>
      </c>
      <c r="I56" s="70">
        <f>COUNTIFS('Error Log'!$A:$A,$A56,'Error Log'!$F:$F,"Target")</f>
        <v>0</v>
      </c>
      <c r="J56" s="71">
        <f t="shared" si="0"/>
        <v>86.84210526315789</v>
      </c>
    </row>
    <row r="57" spans="1:10">
      <c r="A57" s="104" t="s">
        <v>414</v>
      </c>
      <c r="B57" s="70" t="str">
        <f>IF(ISBLANK(A57),"",INDEX('Error Log'!$A:$J,MATCH('Scores per segment'!$A57,'Error Log'!$A:$A,0),MATCH('Scores per segment'!B$1,'Error Log'!$A$1:$J$1,0)))</f>
        <v>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van velzen lines up his first free-kick of the day as the liverpool stars watch on
balotelli and lambert watch as van velzen showcases his dead-ball skills at melwood
the stand-in keeper was helpless as the youtube star 's strike sailed into the top corner
after a poor first effort , balotelli sends a perfectly-executed free-kick into the top corner
balotelli looks pleased with his effort as markovic ( left ) and van velzen wait for their turn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balotelli wore his famous t-shirt during manchester city 's 6-1 win over united in october 2011</v>
      </c>
      <c r="C57" s="70" t="str">
        <f>IF(ISBLANK(A57),"",INDEX('Error Log'!$A:$J,MATCH('Scores per segment'!$A57,'Error Log'!$A:$A,0),MATCH('Scores per segment'!C$1,'Error Log'!$A$1:$J$1,0)))</f>
        <v>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that they were not dealing with a regular fan .</v>
      </c>
      <c r="D57" s="70">
        <f>IF(H57=0,wdct(TRIM(C57)),0)</f>
        <v>75</v>
      </c>
      <c r="E57" s="70">
        <f>COUNTIFS('Error Log'!$A:$A,$A57,'Error Log'!$J:$J,E$1)</f>
        <v>2</v>
      </c>
      <c r="F57" s="70">
        <f>COUNTIFS('Error Log'!$A:$A,$A57,'Error Log'!$J:$J,F$1)</f>
        <v>2</v>
      </c>
      <c r="G57" s="70">
        <f>COUNTIFS('Error Log'!$A:$A,$A57,'Error Log'!$J:$J,G$1)</f>
        <v>0</v>
      </c>
      <c r="H57" s="70">
        <f>COUNTIFS('Error Log'!$A:$A,$A57,'Error Log'!$F:$F,"Source")</f>
        <v>0</v>
      </c>
      <c r="I57" s="70">
        <f>COUNTIFS('Error Log'!$A:$A,$A57,'Error Log'!$F:$F,"Target")</f>
        <v>0</v>
      </c>
      <c r="J57" s="71">
        <f t="shared" si="0"/>
        <v>80</v>
      </c>
    </row>
    <row r="58" spans="1:10">
      <c r="A58" s="112" t="s">
        <v>422</v>
      </c>
      <c r="B58" s="70" t="str">
        <f>IF(ISBLANK(A58),"",INDEX('Error Log'!$A:$J,MATCH('Scores per segment'!$A58,'Error Log'!$A:$A,0),MATCH('Scores per segment'!B$1,'Error Log'!$A$1:$J$1,0)))</f>
        <v>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v>
      </c>
      <c r="C58" s="70" t="str">
        <f>IF(ISBLANK(A58),"",INDEX('Error Log'!$A:$J,MATCH('Scores per segment'!$A58,'Error Log'!$A:$A,0),MATCH('Scores per segment'!C$1,'Error Log'!$A$1:$J$1,0)))</f>
        <v>jamar nicholson, 15, and his friends were hanging out in an alleyway in south l.a. before school on february 10 when two police officers working for the lapd's criminal gang-homicide unit approached the boys with their guns drawn. 
One of the teenagers was holding a toy gun that the officers thought was real and it prompted the officers to fire. suing la for millions.</v>
      </c>
      <c r="D58" s="70">
        <f>IF(H58=0,wdct(TRIM(C58)),0)</f>
        <v>65</v>
      </c>
      <c r="E58" s="70">
        <f>COUNTIFS('Error Log'!$A:$A,$A58,'Error Log'!$J:$J,E$1)</f>
        <v>3</v>
      </c>
      <c r="F58" s="70">
        <f>COUNTIFS('Error Log'!$A:$A,$A58,'Error Log'!$J:$J,F$1)</f>
        <v>2</v>
      </c>
      <c r="G58" s="70">
        <f>COUNTIFS('Error Log'!$A:$A,$A58,'Error Log'!$J:$J,G$1)</f>
        <v>0</v>
      </c>
      <c r="H58" s="70">
        <f>COUNTIFS('Error Log'!$A:$A,$A58,'Error Log'!$F:$F,"Source")</f>
        <v>0</v>
      </c>
      <c r="I58" s="70">
        <f>COUNTIFS('Error Log'!$A:$A,$A58,'Error Log'!$F:$F,"Target")</f>
        <v>0</v>
      </c>
      <c r="J58" s="71">
        <f t="shared" si="0"/>
        <v>69.230769230769226</v>
      </c>
    </row>
    <row r="59" spans="1:10" ht="15.6">
      <c r="A59" s="107" t="s">
        <v>430</v>
      </c>
      <c r="B59" s="70" t="str">
        <f>IF(ISBLANK(A59),"",INDEX('Error Log'!$A:$J,MATCH('Scores per segment'!$A59,'Error Log'!$A:$A,0),MATCH('Scores per segment'!B$1,'Error Log'!$A$1:$J$1,0)))</f>
        <v>(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v>
      </c>
      <c r="C59" s="70" t="str">
        <f>IF(ISBLANK(A59),"",INDEX('Error Log'!$A:$J,MATCH('Scores per segment'!$A59,'Error Log'!$A:$A,0),MATCH('Scores per segment'!C$1,'Error Log'!$A$1:$J$1,0)))</f>
        <v>Heavy drinking among americans rose 17.2 percent between 2005 and 2012.
 The study is the first to track adult drinking patterns at the county level. 
1 in 5 high school girls binge drink. 
The cost of excessive drinking has been estimated at more than $ 220 billion per year.</v>
      </c>
      <c r="D59" s="70">
        <f>IF(H59=0,wdct(TRIM(C59)),0)</f>
        <v>48</v>
      </c>
      <c r="E59" s="70">
        <f>COUNTIFS('Error Log'!$A:$A,$A59,'Error Log'!$J:$J,E$1)</f>
        <v>2</v>
      </c>
      <c r="F59" s="70">
        <f>COUNTIFS('Error Log'!$A:$A,$A59,'Error Log'!$J:$J,F$1)</f>
        <v>3</v>
      </c>
      <c r="G59" s="70">
        <f>COUNTIFS('Error Log'!$A:$A,$A59,'Error Log'!$J:$J,G$1)</f>
        <v>0</v>
      </c>
      <c r="H59" s="70">
        <f>COUNTIFS('Error Log'!$A:$A,$A59,'Error Log'!$F:$F,"Source")</f>
        <v>0</v>
      </c>
      <c r="I59" s="70">
        <f>COUNTIFS('Error Log'!$A:$A,$A59,'Error Log'!$F:$F,"Target")</f>
        <v>0</v>
      </c>
      <c r="J59" s="71">
        <f t="shared" si="0"/>
        <v>63.541666666666671</v>
      </c>
    </row>
    <row r="60" spans="1:10">
      <c r="A60" s="95" t="s">
        <v>438</v>
      </c>
      <c r="B60" s="70" t="str">
        <f>IF(ISBLANK(A60),"",INDEX('Error Log'!$A:$J,MATCH('Scores per segment'!$A60,'Error Log'!$A:$A,0),MATCH('Scores per segment'!B$1,'Error Log'!$A$1:$J$1,0)))</f>
        <v>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v>
      </c>
      <c r="C60" s="70" t="str">
        <f>IF(ISBLANK(A60),"",INDEX('Error Log'!$A:$J,MATCH('Scores per segment'!$A60,'Error Log'!$A:$A,0),MATCH('Scores per segment'!C$1,'Error Log'!$A$1:$J$1,0)))</f>
        <v>A passenger filmed the driver on a bus in auckland and sent the video to bus company ritchies coachlines along with a complaint. In the footage the driver can be seen flicking through pages of the newspaper while the bus is in motion. as the bus slows to a stop at a set of traffic lights he moves his head to get a good look at one of the pages. Coachlines boss andrew ritchie said he was embarrassed by the driver's actions.</v>
      </c>
      <c r="D60" s="70">
        <f>IF(H60=0,wdct(TRIM(C60)),0)</f>
        <v>82</v>
      </c>
      <c r="E60" s="70">
        <f>COUNTIFS('Error Log'!$A:$A,$A60,'Error Log'!$J:$J,E$1)</f>
        <v>0</v>
      </c>
      <c r="F60" s="70">
        <f>COUNTIFS('Error Log'!$A:$A,$A60,'Error Log'!$J:$J,F$1)</f>
        <v>0</v>
      </c>
      <c r="G60" s="70">
        <f>COUNTIFS('Error Log'!$A:$A,$A60,'Error Log'!$J:$J,G$1)</f>
        <v>0</v>
      </c>
      <c r="H60" s="70">
        <f>COUNTIFS('Error Log'!$A:$A,$A60,'Error Log'!$F:$F,"Source")</f>
        <v>0</v>
      </c>
      <c r="I60" s="70">
        <f>COUNTIFS('Error Log'!$A:$A,$A60,'Error Log'!$F:$F,"Target")</f>
        <v>0</v>
      </c>
      <c r="J60" s="71">
        <f t="shared" si="0"/>
        <v>100</v>
      </c>
    </row>
    <row r="61" spans="1:10">
      <c r="A61" s="111" t="s">
        <v>441</v>
      </c>
      <c r="B61" s="70" t="str">
        <f>IF(ISBLANK(A61),"",INDEX('Error Log'!$A:$J,MATCH('Scores per segment'!$A61,'Error Log'!$A:$A,0),MATCH('Scores per segment'!B$1,'Error Log'!$A$1:$J$1,0)))</f>
        <v>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v>
      </c>
      <c r="C61" s="70" t="str">
        <f>IF(ISBLANK(A61),"",INDEX('Error Log'!$A:$J,MATCH('Scores per segment'!$A61,'Error Log'!$A:$A,0),MATCH('Scores per segment'!C$1,'Error Log'!$A$1:$J$1,0)))</f>
        <v>Just over a quarter of women giving birth in england now have a caesarean. The rate has more than doubled since the early 1990s. This includes a growing number of women who are very anxious about giving birth naturally. Experts say this figure should ideally be between just 10 per cent and 15 per cent.</v>
      </c>
      <c r="D61" s="70">
        <f>IF(H61=0,wdct(TRIM(C61)),0)</f>
        <v>55</v>
      </c>
      <c r="E61" s="70">
        <f>COUNTIFS('Error Log'!$A:$A,$A61,'Error Log'!$J:$J,E$1)</f>
        <v>1</v>
      </c>
      <c r="F61" s="70">
        <f>COUNTIFS('Error Log'!$A:$A,$A61,'Error Log'!$J:$J,F$1)</f>
        <v>2</v>
      </c>
      <c r="G61" s="70">
        <f>COUNTIFS('Error Log'!$A:$A,$A61,'Error Log'!$J:$J,G$1)</f>
        <v>0</v>
      </c>
      <c r="H61" s="70">
        <f>COUNTIFS('Error Log'!$A:$A,$A61,'Error Log'!$F:$F,"Source")</f>
        <v>0</v>
      </c>
      <c r="I61" s="70">
        <f>COUNTIFS('Error Log'!$A:$A,$A61,'Error Log'!$F:$F,"Target")</f>
        <v>0</v>
      </c>
      <c r="J61" s="71">
        <f t="shared" si="0"/>
        <v>81.818181818181813</v>
      </c>
    </row>
    <row r="62" spans="1:10">
      <c r="A62" s="111" t="s">
        <v>447</v>
      </c>
      <c r="B62" s="70" t="str">
        <f>IF(ISBLANK(A62),"",INDEX('Error Log'!$A:$J,MATCH('Scores per segment'!$A62,'Error Log'!$A:$A,0),MATCH('Scores per segment'!B$1,'Error Log'!$A$1:$J$1,0)))</f>
        <v>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v>
      </c>
      <c r="C62" s="70" t="str">
        <f>IF(ISBLANK(A62),"",INDEX('Error Log'!$A:$J,MATCH('Scores per segment'!$A62,'Error Log'!$A:$A,0),MATCH('Scores per segment'!C$1,'Error Log'!$A$1:$J$1,0)))</f>
        <v xml:space="preserve"> james robarge, 45, of vermont was sentenced in court on friday morning for second-degree murder in the death of his wife kelly robarge, 42. kelly had filed for divorce after 24 years of marriage on june 27, 2013 -- the day she disappeared from her charlestown, new hampshire, home and her body was later found. The judge said he took into account the extent to which robarge went to conceal his wife's killing and body as well as the couple's history of domestic violence.</v>
      </c>
      <c r="D62" s="70">
        <f>IF(H62=0,wdct(TRIM(C62)),0)</f>
        <v>83</v>
      </c>
      <c r="E62" s="70">
        <f>COUNTIFS('Error Log'!$A:$A,$A62,'Error Log'!$J:$J,E$1)</f>
        <v>1</v>
      </c>
      <c r="F62" s="70">
        <f>COUNTIFS('Error Log'!$A:$A,$A62,'Error Log'!$J:$J,F$1)</f>
        <v>2</v>
      </c>
      <c r="G62" s="70">
        <f>COUNTIFS('Error Log'!$A:$A,$A62,'Error Log'!$J:$J,G$1)</f>
        <v>0</v>
      </c>
      <c r="H62" s="70">
        <f>COUNTIFS('Error Log'!$A:$A,$A62,'Error Log'!$F:$F,"Source")</f>
        <v>0</v>
      </c>
      <c r="I62" s="70">
        <f>COUNTIFS('Error Log'!$A:$A,$A62,'Error Log'!$F:$F,"Target")</f>
        <v>0</v>
      </c>
      <c r="J62" s="71">
        <f t="shared" ref="J62:J124" si="1">IF(I62=0,IFERROR((((1-((E62*10+F62*5+G62*1)/D62))*100)+100)/2,0),-150)</f>
        <v>87.951807228915669</v>
      </c>
    </row>
    <row r="63" spans="1:10">
      <c r="A63" s="110" t="s">
        <v>453</v>
      </c>
      <c r="B63" s="70" t="str">
        <f>IF(ISBLANK(A63),"",INDEX('Error Log'!$A:$J,MATCH('Scores per segment'!$A63,'Error Log'!$A:$A,0),MATCH('Scores per segment'!B$1,'Error Log'!$A$1:$J$1,0)))</f>
        <v>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v>
      </c>
      <c r="C63" s="70" t="str">
        <f>IF(ISBLANK(A63),"",INDEX('Error Log'!$A:$J,MATCH('Scores per segment'!$A63,'Error Log'!$A:$A,0),MATCH('Scores per segment'!C$1,'Error Log'!$A$1:$J$1,0)))</f>
        <v>michelle filkins, 44, of west wareham has been charged with breaking and entering, larceny over $ 250, and malicious destruction of property. she was discovered at the court street property in edgartown by owner mark conklin on april 17. a construction worker in the neighborhood has told police that he saw filkins outside with items from the home.</v>
      </c>
      <c r="D63" s="70">
        <f>IF(H63=0,wdct(TRIM(C63)),0)</f>
        <v>57</v>
      </c>
      <c r="E63" s="70">
        <f>COUNTIFS('Error Log'!$A:$A,$A63,'Error Log'!$J:$J,E$1)</f>
        <v>0</v>
      </c>
      <c r="F63" s="70">
        <f>COUNTIFS('Error Log'!$A:$A,$A63,'Error Log'!$J:$J,F$1)</f>
        <v>0</v>
      </c>
      <c r="G63" s="70">
        <f>COUNTIFS('Error Log'!$A:$A,$A63,'Error Log'!$J:$J,G$1)</f>
        <v>0</v>
      </c>
      <c r="H63" s="70">
        <f>COUNTIFS('Error Log'!$A:$A,$A63,'Error Log'!$F:$F,"Source")</f>
        <v>0</v>
      </c>
      <c r="I63" s="70">
        <f>COUNTIFS('Error Log'!$A:$A,$A63,'Error Log'!$F:$F,"Target")</f>
        <v>0</v>
      </c>
      <c r="J63" s="71">
        <f t="shared" si="1"/>
        <v>100</v>
      </c>
    </row>
    <row r="64" spans="1:10">
      <c r="A64" s="110" t="s">
        <v>456</v>
      </c>
      <c r="B64" s="70" t="str">
        <f>IF(ISBLANK(A64),"",INDEX('Error Log'!$A:$J,MATCH('Scores per segment'!$A64,'Error Log'!$A:$A,0),MATCH('Scores per segment'!B$1,'Error Log'!$A$1:$J$1,0)))</f>
        <v>(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v>
      </c>
      <c r="C64" s="70" t="str">
        <f>IF(ISBLANK(A64),"",INDEX('Error Log'!$A:$J,MATCH('Scores per segment'!$A64,'Error Log'!$A:$A,0),MATCH('Scores per segment'!C$1,'Error Log'!$A$1:$J$1,0)))</f>
        <v>french customs officers say they have seized more than 2 tons of cocaine aboard a sailboat that was falsely flying an american flag in the caribbean. The drugs, whose value is estimated at more than $ 105 million, are the biggest cocaine seizure ever carried out by french authorities. One venezuelan and two spanish citizens were arrested.</v>
      </c>
      <c r="D64" s="70">
        <f>IF(H64=0,wdct(TRIM(C64)),0)</f>
        <v>56</v>
      </c>
      <c r="E64" s="70">
        <f>COUNTIFS('Error Log'!$A:$A,$A64,'Error Log'!$J:$J,E$1)</f>
        <v>0</v>
      </c>
      <c r="F64" s="70">
        <f>COUNTIFS('Error Log'!$A:$A,$A64,'Error Log'!$J:$J,F$1)</f>
        <v>1</v>
      </c>
      <c r="G64" s="70">
        <f>COUNTIFS('Error Log'!$A:$A,$A64,'Error Log'!$J:$J,G$1)</f>
        <v>0</v>
      </c>
      <c r="H64" s="70">
        <f>COUNTIFS('Error Log'!$A:$A,$A64,'Error Log'!$F:$F,"Source")</f>
        <v>0</v>
      </c>
      <c r="I64" s="70">
        <f>COUNTIFS('Error Log'!$A:$A,$A64,'Error Log'!$F:$F,"Target")</f>
        <v>0</v>
      </c>
      <c r="J64" s="71">
        <f t="shared" si="1"/>
        <v>95.535714285714278</v>
      </c>
    </row>
    <row r="65" spans="1:10">
      <c r="A65" s="110" t="s">
        <v>460</v>
      </c>
      <c r="B65" s="70" t="str">
        <f>IF(ISBLANK(A65),"",INDEX('Error Log'!$A:$J,MATCH('Scores per segment'!$A65,'Error Log'!$A:$A,0),MATCH('Scores per segment'!B$1,'Error Log'!$A$1:$J$1,0)))</f>
        <v>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v>
      </c>
      <c r="C65" s="70" t="str">
        <f>IF(ISBLANK(A65),"",INDEX('Error Log'!$A:$J,MATCH('Scores per segment'!$A65,'Error Log'!$A:$A,0),MATCH('Scores per segment'!C$1,'Error Log'!$A$1:$J$1,0)))</f>
        <v>A lost iphone was reunited with its owner after police posted a series of bizarre photos on the woman's facebook page in a bid to track her down. the phone belonged to bella crooke from melbourne who lost it at a friend's birthday party on saturday night. officers from albury police station on the nsw-victoria border posted selfies on a woman ''s facebook page saying she could come and collect her phone after it was handed in on sunday morning. bella has since put a password on her phone.</v>
      </c>
      <c r="D65" s="70">
        <f>IF(H65=0,wdct(TRIM(C65)),0)</f>
        <v>89</v>
      </c>
      <c r="E65" s="70">
        <f>COUNTIFS('Error Log'!$A:$A,$A65,'Error Log'!$J:$J,E$1)</f>
        <v>0</v>
      </c>
      <c r="F65" s="70">
        <f>COUNTIFS('Error Log'!$A:$A,$A65,'Error Log'!$J:$J,F$1)</f>
        <v>1</v>
      </c>
      <c r="G65" s="70">
        <f>COUNTIFS('Error Log'!$A:$A,$A65,'Error Log'!$J:$J,G$1)</f>
        <v>0</v>
      </c>
      <c r="H65" s="70">
        <f>COUNTIFS('Error Log'!$A:$A,$A65,'Error Log'!$F:$F,"Source")</f>
        <v>0</v>
      </c>
      <c r="I65" s="70">
        <f>COUNTIFS('Error Log'!$A:$A,$A65,'Error Log'!$F:$F,"Target")</f>
        <v>0</v>
      </c>
      <c r="J65" s="71">
        <f t="shared" si="1"/>
        <v>97.191011235955045</v>
      </c>
    </row>
    <row r="66" spans="1:10">
      <c r="A66" s="110" t="s">
        <v>464</v>
      </c>
      <c r="B66" s="70" t="str">
        <f>IF(ISBLANK(A66),"",INDEX('Error Log'!$A:$J,MATCH('Scores per segment'!$A66,'Error Log'!$A:$A,0),MATCH('Scores per segment'!B$1,'Error Log'!$A$1:$J$1,0)))</f>
        <v>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v>
      </c>
      <c r="C66" s="70" t="str">
        <f>IF(ISBLANK(A66),"",INDEX('Error Log'!$A:$J,MATCH('Scores per segment'!$A66,'Error Log'!$A:$A,0),MATCH('Scores per segment'!C$1,'Error Log'!$A$1:$J$1,0)))</f>
        <v xml:space="preserve">A woman was arrested in china after apparently dumping her newborn baby in a rubbish bin in a fast-food restaurant. staff heard the baby girl crying in the ladies'toilet of a burger bar in chengdu, sichuan province. workers who found the baby, who was wrapped in a shirt but was still attached to the umbilical cord and placenta, called the police and ambulance. </v>
      </c>
      <c r="D66" s="70">
        <f>IF(H66=0,wdct(TRIM(C66)),0)</f>
        <v>63</v>
      </c>
      <c r="E66" s="70">
        <f>COUNTIFS('Error Log'!$A:$A,$A66,'Error Log'!$J:$J,E$1)</f>
        <v>1</v>
      </c>
      <c r="F66" s="70">
        <f>COUNTIFS('Error Log'!$A:$A,$A66,'Error Log'!$J:$J,F$1)</f>
        <v>0</v>
      </c>
      <c r="G66" s="70">
        <f>COUNTIFS('Error Log'!$A:$A,$A66,'Error Log'!$J:$J,G$1)</f>
        <v>0</v>
      </c>
      <c r="H66" s="70">
        <f>COUNTIFS('Error Log'!$A:$A,$A66,'Error Log'!$F:$F,"Source")</f>
        <v>0</v>
      </c>
      <c r="I66" s="70">
        <f>COUNTIFS('Error Log'!$A:$A,$A66,'Error Log'!$F:$F,"Target")</f>
        <v>0</v>
      </c>
      <c r="J66" s="71">
        <f t="shared" si="1"/>
        <v>92.063492063492063</v>
      </c>
    </row>
    <row r="67" spans="1:10">
      <c r="A67" s="111" t="s">
        <v>468</v>
      </c>
      <c r="B67" s="70" t="str">
        <f>IF(ISBLANK(A67),"",INDEX('Error Log'!$A:$J,MATCH('Scores per segment'!$A67,'Error Log'!$A:$A,0),MATCH('Scores per segment'!B$1,'Error Log'!$A$1:$J$1,0)))</f>
        <v>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v>
      </c>
      <c r="C67" s="70" t="str">
        <f>IF(ISBLANK(A67),"",INDEX('Error Log'!$A:$J,MATCH('Scores per segment'!$A67,'Error Log'!$A:$A,0),MATCH('Scores per segment'!C$1,'Error Log'!$A$1:$J$1,0)))</f>
        <v>A five-day old baby hippopotamus was thrown into the air as it was mauled to death after getting caught up in a fight between two adults in eastern south africa.  The mother of the calf watched in horror as one of the brawling adults grabbed the calf between its jaws.</v>
      </c>
      <c r="D67" s="70">
        <f>IF(H67=0,wdct(TRIM(C67)),0)</f>
        <v>50</v>
      </c>
      <c r="E67" s="70">
        <f>COUNTIFS('Error Log'!$A:$A,$A67,'Error Log'!$J:$J,E$1)</f>
        <v>1</v>
      </c>
      <c r="F67" s="70">
        <f>COUNTIFS('Error Log'!$A:$A,$A67,'Error Log'!$J:$J,F$1)</f>
        <v>0</v>
      </c>
      <c r="G67" s="70">
        <f>COUNTIFS('Error Log'!$A:$A,$A67,'Error Log'!$J:$J,G$1)</f>
        <v>0</v>
      </c>
      <c r="H67" s="70">
        <f>COUNTIFS('Error Log'!$A:$A,$A67,'Error Log'!$F:$F,"Source")</f>
        <v>0</v>
      </c>
      <c r="I67" s="70">
        <f>COUNTIFS('Error Log'!$A:$A,$A67,'Error Log'!$F:$F,"Target")</f>
        <v>0</v>
      </c>
      <c r="J67" s="71">
        <f t="shared" si="1"/>
        <v>90</v>
      </c>
    </row>
    <row r="68" spans="1:10">
      <c r="A68" s="111" t="s">
        <v>472</v>
      </c>
      <c r="B68" s="70" t="str">
        <f>IF(ISBLANK(A68),"",INDEX('Error Log'!$A:$J,MATCH('Scores per segment'!$A68,'Error Log'!$A:$A,0),MATCH('Scores per segment'!B$1,'Error Log'!$A$1:$J$1,0)))</f>
        <v>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v>
      </c>
      <c r="C68" s="70" t="str">
        <f>IF(ISBLANK(A68),"",INDEX('Error Log'!$A:$J,MATCH('Scores per segment'!$A68,'Error Log'!$A:$A,0),MATCH('Scores per segment'!C$1,'Error Log'!$A$1:$J$1,0)))</f>
        <v>One man has curated a spooky collection of nine old dolls which he claims each have their own personalities. Since then he has spent hundreds of pounds on the creepy collection... and he's on the hunt for more to add. His favourite doll is annabel who he thinks is haunted by a seven-year-old girl who drowned.</v>
      </c>
      <c r="D68" s="70">
        <f>IF(H68=0,wdct(TRIM(C68)),0)</f>
        <v>56</v>
      </c>
      <c r="E68" s="70">
        <f>COUNTIFS('Error Log'!$A:$A,$A68,'Error Log'!$J:$J,E$1)</f>
        <v>0</v>
      </c>
      <c r="F68" s="70">
        <f>COUNTIFS('Error Log'!$A:$A,$A68,'Error Log'!$J:$J,F$1)</f>
        <v>0</v>
      </c>
      <c r="G68" s="70">
        <f>COUNTIFS('Error Log'!$A:$A,$A68,'Error Log'!$J:$J,G$1)</f>
        <v>0</v>
      </c>
      <c r="H68" s="70">
        <f>COUNTIFS('Error Log'!$A:$A,$A68,'Error Log'!$F:$F,"Source")</f>
        <v>0</v>
      </c>
      <c r="I68" s="70">
        <f>COUNTIFS('Error Log'!$A:$A,$A68,'Error Log'!$F:$F,"Target")</f>
        <v>0</v>
      </c>
      <c r="J68" s="71">
        <f t="shared" si="1"/>
        <v>100</v>
      </c>
    </row>
    <row r="69" spans="1:10">
      <c r="A69" s="111" t="s">
        <v>475</v>
      </c>
      <c r="B69" s="70" t="str">
        <f>IF(ISBLANK(A69),"",INDEX('Error Log'!$A:$J,MATCH('Scores per segment'!$A69,'Error Log'!$A:$A,0),MATCH('Scores per segment'!B$1,'Error Log'!$A$1:$J$1,0)))</f>
        <v>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v>
      </c>
      <c r="C69" s="70" t="str">
        <f>IF(ISBLANK(A69),"",INDEX('Error Log'!$A:$J,MATCH('Scores per segment'!$A69,'Error Log'!$A:$A,0),MATCH('Scores per segment'!C$1,'Error Log'!$A$1:$J$1,0)))</f>
        <v xml:space="preserve">A three-bedroom apartment in one of the most expensive areas to live in britain has been put on the market for just £ 575,000. But the property comes with a catch - it has just three years left on the lease. If any buyer decides to extend the lease, the property could be worth upwards of £ 6 million. </v>
      </c>
      <c r="D69" s="70">
        <f>IF(H69=0,wdct(TRIM(C69)),0)</f>
        <v>56</v>
      </c>
      <c r="E69" s="70">
        <f>COUNTIFS('Error Log'!$A:$A,$A69,'Error Log'!$J:$J,E$1)</f>
        <v>1</v>
      </c>
      <c r="F69" s="70">
        <f>COUNTIFS('Error Log'!$A:$A,$A69,'Error Log'!$J:$J,F$1)</f>
        <v>0</v>
      </c>
      <c r="G69" s="70">
        <f>COUNTIFS('Error Log'!$A:$A,$A69,'Error Log'!$J:$J,G$1)</f>
        <v>0</v>
      </c>
      <c r="H69" s="70">
        <f>COUNTIFS('Error Log'!$A:$A,$A69,'Error Log'!$F:$F,"Source")</f>
        <v>0</v>
      </c>
      <c r="I69" s="70">
        <f>COUNTIFS('Error Log'!$A:$A,$A69,'Error Log'!$F:$F,"Target")</f>
        <v>0</v>
      </c>
      <c r="J69" s="71">
        <f t="shared" si="1"/>
        <v>91.071428571428569</v>
      </c>
    </row>
    <row r="70" spans="1:10">
      <c r="A70" s="80"/>
      <c r="B70" s="70" t="str">
        <f>IF(ISBLANK(A70),"",INDEX('Error Log'!$A:$J,MATCH('Scores per segment'!$A70,'Error Log'!$A:$A,0),MATCH('Scores per segment'!B$1,'Error Log'!$A$1:$J$1,0)))</f>
        <v/>
      </c>
      <c r="C70" s="70" t="str">
        <f>IF(ISBLANK(A70),"",INDEX('Error Log'!$A:$J,MATCH('Scores per segment'!$A70,'Error Log'!$A:$A,0),MATCH('Scores per segment'!C$1,'Error Log'!$A$1:$J$1,0)))</f>
        <v/>
      </c>
      <c r="D70" s="70">
        <f>IF(H70=0,wdct(TRIM(C70)),0)</f>
        <v>0</v>
      </c>
      <c r="E70" s="70">
        <f>COUNTIFS('Error Log'!$A:$A,$A70,'Error Log'!$J:$J,E$1)</f>
        <v>0</v>
      </c>
      <c r="F70" s="70">
        <f>COUNTIFS('Error Log'!$A:$A,$A70,'Error Log'!$J:$J,F$1)</f>
        <v>0</v>
      </c>
      <c r="G70" s="70">
        <f>COUNTIFS('Error Log'!$A:$A,$A70,'Error Log'!$J:$J,G$1)</f>
        <v>0</v>
      </c>
      <c r="H70" s="70">
        <f>COUNTIFS('Error Log'!$A:$A,$A70,'Error Log'!$F:$F,"Source")</f>
        <v>0</v>
      </c>
      <c r="I70" s="70">
        <f>COUNTIFS('Error Log'!$A:$A,$A70,'Error Log'!$F:$F,"Target")</f>
        <v>0</v>
      </c>
      <c r="J70" s="71">
        <f t="shared" si="1"/>
        <v>0</v>
      </c>
    </row>
    <row r="71" spans="1:10">
      <c r="A71" s="80"/>
      <c r="B71" s="70" t="str">
        <f>IF(ISBLANK(A71),"",INDEX('Error Log'!$A:$J,MATCH('Scores per segment'!$A71,'Error Log'!$A:$A,0),MATCH('Scores per segment'!B$1,'Error Log'!$A$1:$J$1,0)))</f>
        <v/>
      </c>
      <c r="C71" s="70" t="str">
        <f>IF(ISBLANK(A71),"",INDEX('Error Log'!$A:$J,MATCH('Scores per segment'!$A71,'Error Log'!$A:$A,0),MATCH('Scores per segment'!C$1,'Error Log'!$A$1:$J$1,0)))</f>
        <v/>
      </c>
      <c r="D71" s="70">
        <f>IF(H71=0,wdct(TRIM(C71)),0)</f>
        <v>0</v>
      </c>
      <c r="E71" s="70">
        <f>COUNTIFS('Error Log'!$A:$A,$A71,'Error Log'!$J:$J,E$1)</f>
        <v>0</v>
      </c>
      <c r="F71" s="70">
        <f>COUNTIFS('Error Log'!$A:$A,$A71,'Error Log'!$J:$J,F$1)</f>
        <v>0</v>
      </c>
      <c r="G71" s="70">
        <f>COUNTIFS('Error Log'!$A:$A,$A71,'Error Log'!$J:$J,G$1)</f>
        <v>0</v>
      </c>
      <c r="H71" s="70">
        <f>COUNTIFS('Error Log'!$A:$A,$A71,'Error Log'!$F:$F,"Source")</f>
        <v>0</v>
      </c>
      <c r="I71" s="70">
        <f>COUNTIFS('Error Log'!$A:$A,$A71,'Error Log'!$F:$F,"Target")</f>
        <v>0</v>
      </c>
      <c r="J71" s="71">
        <f t="shared" si="1"/>
        <v>0</v>
      </c>
    </row>
    <row r="72" spans="1:10">
      <c r="A72" s="80"/>
      <c r="B72" s="70" t="str">
        <f>IF(ISBLANK(A72),"",INDEX('Error Log'!$A:$J,MATCH('Scores per segment'!$A72,'Error Log'!$A:$A,0),MATCH('Scores per segment'!B$1,'Error Log'!$A$1:$J$1,0)))</f>
        <v/>
      </c>
      <c r="C72" s="70" t="str">
        <f>IF(ISBLANK(A72),"",INDEX('Error Log'!$A:$J,MATCH('Scores per segment'!$A72,'Error Log'!$A:$A,0),MATCH('Scores per segment'!C$1,'Error Log'!$A$1:$J$1,0)))</f>
        <v/>
      </c>
      <c r="D72" s="70">
        <f>IF(H72=0,wdct(TRIM(C72)),0)</f>
        <v>0</v>
      </c>
      <c r="E72" s="70">
        <f>COUNTIFS('Error Log'!$A:$A,$A72,'Error Log'!$J:$J,E$1)</f>
        <v>0</v>
      </c>
      <c r="F72" s="70">
        <f>COUNTIFS('Error Log'!$A:$A,$A72,'Error Log'!$J:$J,F$1)</f>
        <v>0</v>
      </c>
      <c r="G72" s="70">
        <f>COUNTIFS('Error Log'!$A:$A,$A72,'Error Log'!$J:$J,G$1)</f>
        <v>0</v>
      </c>
      <c r="H72" s="70">
        <f>COUNTIFS('Error Log'!$A:$A,$A72,'Error Log'!$F:$F,"Source")</f>
        <v>0</v>
      </c>
      <c r="I72" s="70">
        <f>COUNTIFS('Error Log'!$A:$A,$A72,'Error Log'!$F:$F,"Target")</f>
        <v>0</v>
      </c>
      <c r="J72" s="71">
        <f t="shared" si="1"/>
        <v>0</v>
      </c>
    </row>
    <row r="73" spans="1:10">
      <c r="A73" s="80"/>
      <c r="B73" s="70" t="str">
        <f>IF(ISBLANK(A73),"",INDEX('Error Log'!$A:$J,MATCH('Scores per segment'!$A73,'Error Log'!$A:$A,0),MATCH('Scores per segment'!B$1,'Error Log'!$A$1:$J$1,0)))</f>
        <v/>
      </c>
      <c r="C73" s="70" t="str">
        <f>IF(ISBLANK(A73),"",INDEX('Error Log'!$A:$J,MATCH('Scores per segment'!$A73,'Error Log'!$A:$A,0),MATCH('Scores per segment'!C$1,'Error Log'!$A$1:$J$1,0)))</f>
        <v/>
      </c>
      <c r="D73" s="70">
        <f>IF(H73=0,wdct(TRIM(C73)),0)</f>
        <v>0</v>
      </c>
      <c r="E73" s="70">
        <f>COUNTIFS('Error Log'!$A:$A,$A73,'Error Log'!$J:$J,E$1)</f>
        <v>0</v>
      </c>
      <c r="F73" s="70">
        <f>COUNTIFS('Error Log'!$A:$A,$A73,'Error Log'!$J:$J,F$1)</f>
        <v>0</v>
      </c>
      <c r="G73" s="70">
        <f>COUNTIFS('Error Log'!$A:$A,$A73,'Error Log'!$J:$J,G$1)</f>
        <v>0</v>
      </c>
      <c r="H73" s="70">
        <f>COUNTIFS('Error Log'!$A:$A,$A73,'Error Log'!$F:$F,"Source")</f>
        <v>0</v>
      </c>
      <c r="I73" s="70">
        <f>COUNTIFS('Error Log'!$A:$A,$A73,'Error Log'!$F:$F,"Target")</f>
        <v>0</v>
      </c>
      <c r="J73" s="71">
        <f t="shared" si="1"/>
        <v>0</v>
      </c>
    </row>
    <row r="74" spans="1:10">
      <c r="A74" s="80"/>
      <c r="B74" s="70" t="str">
        <f>IF(ISBLANK(A74),"",INDEX('Error Log'!$A:$J,MATCH('Scores per segment'!$A74,'Error Log'!$A:$A,0),MATCH('Scores per segment'!B$1,'Error Log'!$A$1:$J$1,0)))</f>
        <v/>
      </c>
      <c r="C74" s="70" t="str">
        <f>IF(ISBLANK(A74),"",INDEX('Error Log'!$A:$J,MATCH('Scores per segment'!$A74,'Error Log'!$A:$A,0),MATCH('Scores per segment'!C$1,'Error Log'!$A$1:$J$1,0)))</f>
        <v/>
      </c>
      <c r="D74" s="70">
        <f>IF(H74=0,wdct(TRIM(C74)),0)</f>
        <v>0</v>
      </c>
      <c r="E74" s="70">
        <f>COUNTIFS('Error Log'!$A:$A,$A74,'Error Log'!$J:$J,E$1)</f>
        <v>0</v>
      </c>
      <c r="F74" s="70">
        <f>COUNTIFS('Error Log'!$A:$A,$A74,'Error Log'!$J:$J,F$1)</f>
        <v>0</v>
      </c>
      <c r="G74" s="70">
        <f>COUNTIFS('Error Log'!$A:$A,$A74,'Error Log'!$J:$J,G$1)</f>
        <v>0</v>
      </c>
      <c r="H74" s="70">
        <f>COUNTIFS('Error Log'!$A:$A,$A74,'Error Log'!$F:$F,"Source")</f>
        <v>0</v>
      </c>
      <c r="I74" s="70">
        <f>COUNTIFS('Error Log'!$A:$A,$A74,'Error Log'!$F:$F,"Target")</f>
        <v>0</v>
      </c>
      <c r="J74" s="71">
        <f t="shared" si="1"/>
        <v>0</v>
      </c>
    </row>
    <row r="75" spans="1:10">
      <c r="A75" s="80"/>
      <c r="B75" s="70" t="str">
        <f>IF(ISBLANK(A75),"",INDEX('Error Log'!$A:$J,MATCH('Scores per segment'!$A75,'Error Log'!$A:$A,0),MATCH('Scores per segment'!B$1,'Error Log'!$A$1:$J$1,0)))</f>
        <v/>
      </c>
      <c r="C75" s="70" t="str">
        <f>IF(ISBLANK(A75),"",INDEX('Error Log'!$A:$J,MATCH('Scores per segment'!$A75,'Error Log'!$A:$A,0),MATCH('Scores per segment'!C$1,'Error Log'!$A$1:$J$1,0)))</f>
        <v/>
      </c>
      <c r="D75" s="70">
        <f>IF(H75=0,wdct(TRIM(C75)),0)</f>
        <v>0</v>
      </c>
      <c r="E75" s="70">
        <f>COUNTIFS('Error Log'!$A:$A,$A75,'Error Log'!$J:$J,E$1)</f>
        <v>0</v>
      </c>
      <c r="F75" s="70">
        <f>COUNTIFS('Error Log'!$A:$A,$A75,'Error Log'!$J:$J,F$1)</f>
        <v>0</v>
      </c>
      <c r="G75" s="70">
        <f>COUNTIFS('Error Log'!$A:$A,$A75,'Error Log'!$J:$J,G$1)</f>
        <v>0</v>
      </c>
      <c r="H75" s="70">
        <f>COUNTIFS('Error Log'!$A:$A,$A75,'Error Log'!$F:$F,"Source")</f>
        <v>0</v>
      </c>
      <c r="I75" s="70">
        <f>COUNTIFS('Error Log'!$A:$A,$A75,'Error Log'!$F:$F,"Target")</f>
        <v>0</v>
      </c>
      <c r="J75" s="71">
        <f t="shared" si="1"/>
        <v>0</v>
      </c>
    </row>
    <row r="76" spans="1:10">
      <c r="A76" s="80"/>
      <c r="B76" s="70" t="str">
        <f>IF(ISBLANK(A76),"",INDEX('Error Log'!$A:$J,MATCH('Scores per segment'!$A76,'Error Log'!$A:$A,0),MATCH('Scores per segment'!B$1,'Error Log'!$A$1:$J$1,0)))</f>
        <v/>
      </c>
      <c r="C76" s="70" t="str">
        <f>IF(ISBLANK(A76),"",INDEX('Error Log'!$A:$J,MATCH('Scores per segment'!$A76,'Error Log'!$A:$A,0),MATCH('Scores per segment'!C$1,'Error Log'!$A$1:$J$1,0)))</f>
        <v/>
      </c>
      <c r="D76" s="70">
        <f>IF(H76=0,wdct(TRIM(C76)),0)</f>
        <v>0</v>
      </c>
      <c r="E76" s="70">
        <f>COUNTIFS('Error Log'!$A:$A,$A76,'Error Log'!$J:$J,E$1)</f>
        <v>0</v>
      </c>
      <c r="F76" s="70">
        <f>COUNTIFS('Error Log'!$A:$A,$A76,'Error Log'!$J:$J,F$1)</f>
        <v>0</v>
      </c>
      <c r="G76" s="70">
        <f>COUNTIFS('Error Log'!$A:$A,$A76,'Error Log'!$J:$J,G$1)</f>
        <v>0</v>
      </c>
      <c r="H76" s="70">
        <f>COUNTIFS('Error Log'!$A:$A,$A76,'Error Log'!$F:$F,"Source")</f>
        <v>0</v>
      </c>
      <c r="I76" s="70">
        <f>COUNTIFS('Error Log'!$A:$A,$A76,'Error Log'!$F:$F,"Target")</f>
        <v>0</v>
      </c>
      <c r="J76" s="71">
        <f t="shared" si="1"/>
        <v>0</v>
      </c>
    </row>
    <row r="77" spans="1:10">
      <c r="A77" s="80"/>
      <c r="B77" s="70" t="str">
        <f>IF(ISBLANK(A77),"",INDEX('Error Log'!$A:$J,MATCH('Scores per segment'!$A77,'Error Log'!$A:$A,0),MATCH('Scores per segment'!B$1,'Error Log'!$A$1:$J$1,0)))</f>
        <v/>
      </c>
      <c r="C77" s="70" t="str">
        <f>IF(ISBLANK(A77),"",INDEX('Error Log'!$A:$J,MATCH('Scores per segment'!$A77,'Error Log'!$A:$A,0),MATCH('Scores per segment'!C$1,'Error Log'!$A$1:$J$1,0)))</f>
        <v/>
      </c>
      <c r="D77" s="70">
        <f>IF(H77=0,wdct(TRIM(C77)),0)</f>
        <v>0</v>
      </c>
      <c r="E77" s="70">
        <f>COUNTIFS('Error Log'!$A:$A,$A77,'Error Log'!$J:$J,E$1)</f>
        <v>0</v>
      </c>
      <c r="F77" s="70">
        <f>COUNTIFS('Error Log'!$A:$A,$A77,'Error Log'!$J:$J,F$1)</f>
        <v>0</v>
      </c>
      <c r="G77" s="70">
        <f>COUNTIFS('Error Log'!$A:$A,$A77,'Error Log'!$J:$J,G$1)</f>
        <v>0</v>
      </c>
      <c r="H77" s="70">
        <f>COUNTIFS('Error Log'!$A:$A,$A77,'Error Log'!$F:$F,"Source")</f>
        <v>0</v>
      </c>
      <c r="I77" s="70">
        <f>COUNTIFS('Error Log'!$A:$A,$A77,'Error Log'!$F:$F,"Target")</f>
        <v>0</v>
      </c>
      <c r="J77" s="71">
        <f t="shared" si="1"/>
        <v>0</v>
      </c>
    </row>
    <row r="78" spans="1:10">
      <c r="A78" s="80"/>
      <c r="B78" s="70" t="str">
        <f>IF(ISBLANK(A78),"",INDEX('Error Log'!$A:$J,MATCH('Scores per segment'!$A78,'Error Log'!$A:$A,0),MATCH('Scores per segment'!B$1,'Error Log'!$A$1:$J$1,0)))</f>
        <v/>
      </c>
      <c r="C78" s="70" t="str">
        <f>IF(ISBLANK(A78),"",INDEX('Error Log'!$A:$J,MATCH('Scores per segment'!$A78,'Error Log'!$A:$A,0),MATCH('Scores per segment'!C$1,'Error Log'!$A$1:$J$1,0)))</f>
        <v/>
      </c>
      <c r="D78" s="70">
        <f>IF(H78=0,wdct(TRIM(C78)),0)</f>
        <v>0</v>
      </c>
      <c r="E78" s="70">
        <f>COUNTIFS('Error Log'!$A:$A,$A78,'Error Log'!$J:$J,E$1)</f>
        <v>0</v>
      </c>
      <c r="F78" s="70">
        <f>COUNTIFS('Error Log'!$A:$A,$A78,'Error Log'!$J:$J,F$1)</f>
        <v>0</v>
      </c>
      <c r="G78" s="70">
        <f>COUNTIFS('Error Log'!$A:$A,$A78,'Error Log'!$J:$J,G$1)</f>
        <v>0</v>
      </c>
      <c r="H78" s="70">
        <f>COUNTIFS('Error Log'!$A:$A,$A78,'Error Log'!$F:$F,"Source")</f>
        <v>0</v>
      </c>
      <c r="I78" s="70">
        <f>COUNTIFS('Error Log'!$A:$A,$A78,'Error Log'!$F:$F,"Target")</f>
        <v>0</v>
      </c>
      <c r="J78" s="71">
        <f t="shared" si="1"/>
        <v>0</v>
      </c>
    </row>
    <row r="79" spans="1:10">
      <c r="A79" s="80"/>
      <c r="B79" s="70" t="str">
        <f>IF(ISBLANK(A79),"",INDEX('Error Log'!$A:$J,MATCH('Scores per segment'!$A79,'Error Log'!$A:$A,0),MATCH('Scores per segment'!B$1,'Error Log'!$A$1:$J$1,0)))</f>
        <v/>
      </c>
      <c r="C79" s="70" t="str">
        <f>IF(ISBLANK(A79),"",INDEX('Error Log'!$A:$J,MATCH('Scores per segment'!$A79,'Error Log'!$A:$A,0),MATCH('Scores per segment'!C$1,'Error Log'!$A$1:$J$1,0)))</f>
        <v/>
      </c>
      <c r="D79" s="70">
        <f>IF(H79=0,wdct(TRIM(C79)),0)</f>
        <v>0</v>
      </c>
      <c r="E79" s="70">
        <f>COUNTIFS('Error Log'!$A:$A,$A79,'Error Log'!$J:$J,E$1)</f>
        <v>0</v>
      </c>
      <c r="F79" s="70">
        <f>COUNTIFS('Error Log'!$A:$A,$A79,'Error Log'!$J:$J,F$1)</f>
        <v>0</v>
      </c>
      <c r="G79" s="70">
        <f>COUNTIFS('Error Log'!$A:$A,$A79,'Error Log'!$J:$J,G$1)</f>
        <v>0</v>
      </c>
      <c r="H79" s="70">
        <f>COUNTIFS('Error Log'!$A:$A,$A79,'Error Log'!$F:$F,"Source")</f>
        <v>0</v>
      </c>
      <c r="I79" s="70">
        <f>COUNTIFS('Error Log'!$A:$A,$A79,'Error Log'!$F:$F,"Target")</f>
        <v>0</v>
      </c>
      <c r="J79" s="71">
        <f t="shared" si="1"/>
        <v>0</v>
      </c>
    </row>
    <row r="80" spans="1:10">
      <c r="A80" s="80"/>
      <c r="B80" s="70" t="str">
        <f>IF(ISBLANK(A80),"",INDEX('Error Log'!$A:$J,MATCH('Scores per segment'!$A80,'Error Log'!$A:$A,0),MATCH('Scores per segment'!B$1,'Error Log'!$A$1:$J$1,0)))</f>
        <v/>
      </c>
      <c r="C80" s="70" t="str">
        <f>IF(ISBLANK(A80),"",INDEX('Error Log'!$A:$J,MATCH('Scores per segment'!$A80,'Error Log'!$A:$A,0),MATCH('Scores per segment'!C$1,'Error Log'!$A$1:$J$1,0)))</f>
        <v/>
      </c>
      <c r="D80" s="70">
        <f>IF(H80=0,wdct(TRIM(C80)),0)</f>
        <v>0</v>
      </c>
      <c r="E80" s="70">
        <f>COUNTIFS('Error Log'!$A:$A,$A80,'Error Log'!$J:$J,E$1)</f>
        <v>0</v>
      </c>
      <c r="F80" s="70">
        <f>COUNTIFS('Error Log'!$A:$A,$A80,'Error Log'!$J:$J,F$1)</f>
        <v>0</v>
      </c>
      <c r="G80" s="70">
        <f>COUNTIFS('Error Log'!$A:$A,$A80,'Error Log'!$J:$J,G$1)</f>
        <v>0</v>
      </c>
      <c r="H80" s="70">
        <f>COUNTIFS('Error Log'!$A:$A,$A80,'Error Log'!$F:$F,"Source")</f>
        <v>0</v>
      </c>
      <c r="I80" s="70">
        <f>COUNTIFS('Error Log'!$A:$A,$A80,'Error Log'!$F:$F,"Target")</f>
        <v>0</v>
      </c>
      <c r="J80" s="71">
        <f t="shared" si="1"/>
        <v>0</v>
      </c>
    </row>
    <row r="81" spans="1:10">
      <c r="A81" s="80"/>
      <c r="B81" s="70" t="str">
        <f>IF(ISBLANK(A81),"",INDEX('Error Log'!$A:$J,MATCH('Scores per segment'!$A81,'Error Log'!$A:$A,0),MATCH('Scores per segment'!B$1,'Error Log'!$A$1:$J$1,0)))</f>
        <v/>
      </c>
      <c r="C81" s="70" t="str">
        <f>IF(ISBLANK(A81),"",INDEX('Error Log'!$A:$J,MATCH('Scores per segment'!$A81,'Error Log'!$A:$A,0),MATCH('Scores per segment'!C$1,'Error Log'!$A$1:$J$1,0)))</f>
        <v/>
      </c>
      <c r="D81" s="70">
        <f>IF(H81=0,wdct(TRIM(C81)),0)</f>
        <v>0</v>
      </c>
      <c r="E81" s="70">
        <f>COUNTIFS('Error Log'!$A:$A,$A81,'Error Log'!$J:$J,E$1)</f>
        <v>0</v>
      </c>
      <c r="F81" s="70">
        <f>COUNTIFS('Error Log'!$A:$A,$A81,'Error Log'!$J:$J,F$1)</f>
        <v>0</v>
      </c>
      <c r="G81" s="70">
        <f>COUNTIFS('Error Log'!$A:$A,$A81,'Error Log'!$J:$J,G$1)</f>
        <v>0</v>
      </c>
      <c r="H81" s="70">
        <f>COUNTIFS('Error Log'!$A:$A,$A81,'Error Log'!$F:$F,"Source")</f>
        <v>0</v>
      </c>
      <c r="I81" s="70">
        <f>COUNTIFS('Error Log'!$A:$A,$A81,'Error Log'!$F:$F,"Target")</f>
        <v>0</v>
      </c>
      <c r="J81" s="71">
        <f t="shared" si="1"/>
        <v>0</v>
      </c>
    </row>
    <row r="82" spans="1:10">
      <c r="A82" s="80"/>
      <c r="B82" s="70" t="str">
        <f>IF(ISBLANK(A82),"",INDEX('Error Log'!$A:$J,MATCH('Scores per segment'!$A82,'Error Log'!$A:$A,0),MATCH('Scores per segment'!B$1,'Error Log'!$A$1:$J$1,0)))</f>
        <v/>
      </c>
      <c r="C82" s="70" t="str">
        <f>IF(ISBLANK(A82),"",INDEX('Error Log'!$A:$J,MATCH('Scores per segment'!$A82,'Error Log'!$A:$A,0),MATCH('Scores per segment'!C$1,'Error Log'!$A$1:$J$1,0)))</f>
        <v/>
      </c>
      <c r="D82" s="70">
        <f>IF(H82=0,wdct(TRIM(C82)),0)</f>
        <v>0</v>
      </c>
      <c r="E82" s="70">
        <f>COUNTIFS('Error Log'!$A:$A,$A82,'Error Log'!$J:$J,E$1)</f>
        <v>0</v>
      </c>
      <c r="F82" s="70">
        <f>COUNTIFS('Error Log'!$A:$A,$A82,'Error Log'!$J:$J,F$1)</f>
        <v>0</v>
      </c>
      <c r="G82" s="70">
        <f>COUNTIFS('Error Log'!$A:$A,$A82,'Error Log'!$J:$J,G$1)</f>
        <v>0</v>
      </c>
      <c r="H82" s="70">
        <f>COUNTIFS('Error Log'!$A:$A,$A82,'Error Log'!$F:$F,"Source")</f>
        <v>0</v>
      </c>
      <c r="I82" s="70">
        <f>COUNTIFS('Error Log'!$A:$A,$A82,'Error Log'!$F:$F,"Target")</f>
        <v>0</v>
      </c>
      <c r="J82" s="71">
        <f t="shared" si="1"/>
        <v>0</v>
      </c>
    </row>
    <row r="83" spans="1:10">
      <c r="A83" s="80"/>
      <c r="B83" s="70" t="str">
        <f>IF(ISBLANK(A83),"",INDEX('Error Log'!$A:$J,MATCH('Scores per segment'!$A83,'Error Log'!$A:$A,0),MATCH('Scores per segment'!B$1,'Error Log'!$A$1:$J$1,0)))</f>
        <v/>
      </c>
      <c r="C83" s="70" t="str">
        <f>IF(ISBLANK(A83),"",INDEX('Error Log'!$A:$J,MATCH('Scores per segment'!$A83,'Error Log'!$A:$A,0),MATCH('Scores per segment'!C$1,'Error Log'!$A$1:$J$1,0)))</f>
        <v/>
      </c>
      <c r="D83" s="70">
        <f>IF(H83=0,wdct(TRIM(C83)),0)</f>
        <v>0</v>
      </c>
      <c r="E83" s="70">
        <f>COUNTIFS('Error Log'!$A:$A,$A83,'Error Log'!$J:$J,E$1)</f>
        <v>0</v>
      </c>
      <c r="F83" s="70">
        <f>COUNTIFS('Error Log'!$A:$A,$A83,'Error Log'!$J:$J,F$1)</f>
        <v>0</v>
      </c>
      <c r="G83" s="70">
        <f>COUNTIFS('Error Log'!$A:$A,$A83,'Error Log'!$J:$J,G$1)</f>
        <v>0</v>
      </c>
      <c r="H83" s="70">
        <f>COUNTIFS('Error Log'!$A:$A,$A83,'Error Log'!$F:$F,"Source")</f>
        <v>0</v>
      </c>
      <c r="I83" s="70">
        <f>COUNTIFS('Error Log'!$A:$A,$A83,'Error Log'!$F:$F,"Target")</f>
        <v>0</v>
      </c>
      <c r="J83" s="71">
        <f t="shared" si="1"/>
        <v>0</v>
      </c>
    </row>
    <row r="84" spans="1:10">
      <c r="A84" s="80"/>
      <c r="B84" s="70" t="str">
        <f>IF(ISBLANK(A84),"",INDEX('Error Log'!$A:$J,MATCH('Scores per segment'!$A84,'Error Log'!$A:$A,0),MATCH('Scores per segment'!B$1,'Error Log'!$A$1:$J$1,0)))</f>
        <v/>
      </c>
      <c r="C84" s="70" t="str">
        <f>IF(ISBLANK(A84),"",INDEX('Error Log'!$A:$J,MATCH('Scores per segment'!$A84,'Error Log'!$A:$A,0),MATCH('Scores per segment'!C$1,'Error Log'!$A$1:$J$1,0)))</f>
        <v/>
      </c>
      <c r="D84" s="70">
        <f>IF(H84=0,wdct(TRIM(C84)),0)</f>
        <v>0</v>
      </c>
      <c r="E84" s="70">
        <f>COUNTIFS('Error Log'!$A:$A,$A84,'Error Log'!$J:$J,E$1)</f>
        <v>0</v>
      </c>
      <c r="F84" s="70">
        <f>COUNTIFS('Error Log'!$A:$A,$A84,'Error Log'!$J:$J,F$1)</f>
        <v>0</v>
      </c>
      <c r="G84" s="70">
        <f>COUNTIFS('Error Log'!$A:$A,$A84,'Error Log'!$J:$J,G$1)</f>
        <v>0</v>
      </c>
      <c r="H84" s="70">
        <f>COUNTIFS('Error Log'!$A:$A,$A84,'Error Log'!$F:$F,"Source")</f>
        <v>0</v>
      </c>
      <c r="I84" s="70">
        <f>COUNTIFS('Error Log'!$A:$A,$A84,'Error Log'!$F:$F,"Target")</f>
        <v>0</v>
      </c>
      <c r="J84" s="71">
        <f t="shared" si="1"/>
        <v>0</v>
      </c>
    </row>
    <row r="85" spans="1:10">
      <c r="A85" s="82"/>
      <c r="B85" s="70" t="str">
        <f>IF(ISBLANK(A85),"",INDEX('Error Log'!$A:$J,MATCH('Scores per segment'!$A85,'Error Log'!$A:$A,0),MATCH('Scores per segment'!B$1,'Error Log'!$A$1:$J$1,0)))</f>
        <v/>
      </c>
      <c r="C85" s="70" t="str">
        <f>IF(ISBLANK(A85),"",INDEX('Error Log'!$A:$J,MATCH('Scores per segment'!$A85,'Error Log'!$A:$A,0),MATCH('Scores per segment'!C$1,'Error Log'!$A$1:$J$1,0)))</f>
        <v/>
      </c>
      <c r="D85" s="70">
        <f>IF(H85=0,wdct(TRIM(C85)),0)</f>
        <v>0</v>
      </c>
      <c r="E85" s="70">
        <f>COUNTIFS('Error Log'!$A:$A,$A85,'Error Log'!$J:$J,E$1)</f>
        <v>0</v>
      </c>
      <c r="F85" s="70">
        <f>COUNTIFS('Error Log'!$A:$A,$A85,'Error Log'!$J:$J,F$1)</f>
        <v>0</v>
      </c>
      <c r="G85" s="70">
        <f>COUNTIFS('Error Log'!$A:$A,$A85,'Error Log'!$J:$J,G$1)</f>
        <v>0</v>
      </c>
      <c r="H85" s="70">
        <f>COUNTIFS('Error Log'!$A:$A,$A85,'Error Log'!$F:$F,"Source")</f>
        <v>0</v>
      </c>
      <c r="I85" s="70">
        <f>COUNTIFS('Error Log'!$A:$A,$A85,'Error Log'!$F:$F,"Target")</f>
        <v>0</v>
      </c>
      <c r="J85" s="71">
        <f t="shared" si="1"/>
        <v>0</v>
      </c>
    </row>
    <row r="86" spans="1:10">
      <c r="A86" s="82"/>
      <c r="B86" s="70" t="str">
        <f>IF(ISBLANK(A86),"",INDEX('Error Log'!$A:$J,MATCH('Scores per segment'!$A86,'Error Log'!$A:$A,0),MATCH('Scores per segment'!B$1,'Error Log'!$A$1:$J$1,0)))</f>
        <v/>
      </c>
      <c r="C86" s="70" t="str">
        <f>IF(ISBLANK(A86),"",INDEX('Error Log'!$A:$J,MATCH('Scores per segment'!$A86,'Error Log'!$A:$A,0),MATCH('Scores per segment'!C$1,'Error Log'!$A$1:$J$1,0)))</f>
        <v/>
      </c>
      <c r="D86" s="70">
        <f>IF(H86=0,wdct(TRIM(C86)),0)</f>
        <v>0</v>
      </c>
      <c r="E86" s="70">
        <f>COUNTIFS('Error Log'!$A:$A,$A86,'Error Log'!$J:$J,E$1)</f>
        <v>0</v>
      </c>
      <c r="F86" s="70">
        <f>COUNTIFS('Error Log'!$A:$A,$A86,'Error Log'!$J:$J,F$1)</f>
        <v>0</v>
      </c>
      <c r="G86" s="70">
        <f>COUNTIFS('Error Log'!$A:$A,$A86,'Error Log'!$J:$J,G$1)</f>
        <v>0</v>
      </c>
      <c r="H86" s="70">
        <f>COUNTIFS('Error Log'!$A:$A,$A86,'Error Log'!$F:$F,"Source")</f>
        <v>0</v>
      </c>
      <c r="I86" s="70">
        <f>COUNTIFS('Error Log'!$A:$A,$A86,'Error Log'!$F:$F,"Target")</f>
        <v>0</v>
      </c>
      <c r="J86" s="71">
        <f t="shared" si="1"/>
        <v>0</v>
      </c>
    </row>
    <row r="87" spans="1:10">
      <c r="A87" s="82"/>
      <c r="B87" s="70" t="str">
        <f>IF(ISBLANK(A87),"",INDEX('Error Log'!$A:$J,MATCH('Scores per segment'!$A87,'Error Log'!$A:$A,0),MATCH('Scores per segment'!B$1,'Error Log'!$A$1:$J$1,0)))</f>
        <v/>
      </c>
      <c r="C87" s="70" t="str">
        <f>IF(ISBLANK(A87),"",INDEX('Error Log'!$A:$J,MATCH('Scores per segment'!$A87,'Error Log'!$A:$A,0),MATCH('Scores per segment'!C$1,'Error Log'!$A$1:$J$1,0)))</f>
        <v/>
      </c>
      <c r="D87" s="70">
        <f>IF(H87=0,wdct(TRIM(C87)),0)</f>
        <v>0</v>
      </c>
      <c r="E87" s="70">
        <f>COUNTIFS('Error Log'!$A:$A,$A87,'Error Log'!$J:$J,E$1)</f>
        <v>0</v>
      </c>
      <c r="F87" s="70">
        <f>COUNTIFS('Error Log'!$A:$A,$A87,'Error Log'!$J:$J,F$1)</f>
        <v>0</v>
      </c>
      <c r="G87" s="70">
        <f>COUNTIFS('Error Log'!$A:$A,$A87,'Error Log'!$J:$J,G$1)</f>
        <v>0</v>
      </c>
      <c r="H87" s="70">
        <f>COUNTIFS('Error Log'!$A:$A,$A87,'Error Log'!$F:$F,"Source")</f>
        <v>0</v>
      </c>
      <c r="I87" s="70">
        <f>COUNTIFS('Error Log'!$A:$A,$A87,'Error Log'!$F:$F,"Target")</f>
        <v>0</v>
      </c>
      <c r="J87" s="71">
        <f t="shared" si="1"/>
        <v>0</v>
      </c>
    </row>
    <row r="88" spans="1:10">
      <c r="A88" s="82"/>
      <c r="B88" s="70" t="str">
        <f>IF(ISBLANK(A88),"",INDEX('Error Log'!$A:$J,MATCH('Scores per segment'!$A88,'Error Log'!$A:$A,0),MATCH('Scores per segment'!B$1,'Error Log'!$A$1:$J$1,0)))</f>
        <v/>
      </c>
      <c r="C88" s="70" t="str">
        <f>IF(ISBLANK(A88),"",INDEX('Error Log'!$A:$J,MATCH('Scores per segment'!$A88,'Error Log'!$A:$A,0),MATCH('Scores per segment'!C$1,'Error Log'!$A$1:$J$1,0)))</f>
        <v/>
      </c>
      <c r="D88" s="70">
        <f>IF(H88=0,wdct(TRIM(C88)),0)</f>
        <v>0</v>
      </c>
      <c r="E88" s="70">
        <f>COUNTIFS('Error Log'!$A:$A,$A88,'Error Log'!$J:$J,E$1)</f>
        <v>0</v>
      </c>
      <c r="F88" s="70">
        <f>COUNTIFS('Error Log'!$A:$A,$A88,'Error Log'!$J:$J,F$1)</f>
        <v>0</v>
      </c>
      <c r="G88" s="70">
        <f>COUNTIFS('Error Log'!$A:$A,$A88,'Error Log'!$J:$J,G$1)</f>
        <v>0</v>
      </c>
      <c r="H88" s="70">
        <f>COUNTIFS('Error Log'!$A:$A,$A88,'Error Log'!$F:$F,"Source")</f>
        <v>0</v>
      </c>
      <c r="I88" s="70">
        <f>COUNTIFS('Error Log'!$A:$A,$A88,'Error Log'!$F:$F,"Target")</f>
        <v>0</v>
      </c>
      <c r="J88" s="71">
        <f t="shared" si="1"/>
        <v>0</v>
      </c>
    </row>
    <row r="89" spans="1:10">
      <c r="A89" s="82"/>
      <c r="B89" s="70" t="str">
        <f>IF(ISBLANK(A89),"",INDEX('Error Log'!$A:$J,MATCH('Scores per segment'!$A89,'Error Log'!$A:$A,0),MATCH('Scores per segment'!B$1,'Error Log'!$A$1:$J$1,0)))</f>
        <v/>
      </c>
      <c r="C89" s="70" t="str">
        <f>IF(ISBLANK(A89),"",INDEX('Error Log'!$A:$J,MATCH('Scores per segment'!$A89,'Error Log'!$A:$A,0),MATCH('Scores per segment'!C$1,'Error Log'!$A$1:$J$1,0)))</f>
        <v/>
      </c>
      <c r="D89" s="70">
        <f>IF(H89=0,wdct(TRIM(C89)),0)</f>
        <v>0</v>
      </c>
      <c r="E89" s="70">
        <f>COUNTIFS('Error Log'!$A:$A,$A89,'Error Log'!$J:$J,E$1)</f>
        <v>0</v>
      </c>
      <c r="F89" s="70">
        <f>COUNTIFS('Error Log'!$A:$A,$A89,'Error Log'!$J:$J,F$1)</f>
        <v>0</v>
      </c>
      <c r="G89" s="70">
        <f>COUNTIFS('Error Log'!$A:$A,$A89,'Error Log'!$J:$J,G$1)</f>
        <v>0</v>
      </c>
      <c r="H89" s="70">
        <f>COUNTIFS('Error Log'!$A:$A,$A89,'Error Log'!$F:$F,"Source")</f>
        <v>0</v>
      </c>
      <c r="I89" s="70">
        <f>COUNTIFS('Error Log'!$A:$A,$A89,'Error Log'!$F:$F,"Target")</f>
        <v>0</v>
      </c>
      <c r="J89" s="71">
        <f t="shared" si="1"/>
        <v>0</v>
      </c>
    </row>
    <row r="90" spans="1:10">
      <c r="A90" s="82"/>
      <c r="B90" s="70" t="str">
        <f>IF(ISBLANK(A90),"",INDEX('Error Log'!$A:$J,MATCH('Scores per segment'!$A90,'Error Log'!$A:$A,0),MATCH('Scores per segment'!B$1,'Error Log'!$A$1:$J$1,0)))</f>
        <v/>
      </c>
      <c r="C90" s="70" t="str">
        <f>IF(ISBLANK(A90),"",INDEX('Error Log'!$A:$J,MATCH('Scores per segment'!$A90,'Error Log'!$A:$A,0),MATCH('Scores per segment'!C$1,'Error Log'!$A$1:$J$1,0)))</f>
        <v/>
      </c>
      <c r="D90" s="70">
        <f>IF(H90=0,wdct(TRIM(C90)),0)</f>
        <v>0</v>
      </c>
      <c r="E90" s="70">
        <f>COUNTIFS('Error Log'!$A:$A,$A90,'Error Log'!$J:$J,E$1)</f>
        <v>0</v>
      </c>
      <c r="F90" s="70">
        <f>COUNTIFS('Error Log'!$A:$A,$A90,'Error Log'!$J:$J,F$1)</f>
        <v>0</v>
      </c>
      <c r="G90" s="70">
        <f>COUNTIFS('Error Log'!$A:$A,$A90,'Error Log'!$J:$J,G$1)</f>
        <v>0</v>
      </c>
      <c r="H90" s="70">
        <f>COUNTIFS('Error Log'!$A:$A,$A90,'Error Log'!$F:$F,"Source")</f>
        <v>0</v>
      </c>
      <c r="I90" s="70">
        <f>COUNTIFS('Error Log'!$A:$A,$A90,'Error Log'!$F:$F,"Target")</f>
        <v>0</v>
      </c>
      <c r="J90" s="71">
        <f t="shared" si="1"/>
        <v>0</v>
      </c>
    </row>
    <row r="91" spans="1:10">
      <c r="A91" s="82"/>
      <c r="B91" s="70" t="str">
        <f>IF(ISBLANK(A91),"",INDEX('Error Log'!$A:$J,MATCH('Scores per segment'!$A91,'Error Log'!$A:$A,0),MATCH('Scores per segment'!B$1,'Error Log'!$A$1:$J$1,0)))</f>
        <v/>
      </c>
      <c r="C91" s="70" t="str">
        <f>IF(ISBLANK(A91),"",INDEX('Error Log'!$A:$J,MATCH('Scores per segment'!$A91,'Error Log'!$A:$A,0),MATCH('Scores per segment'!C$1,'Error Log'!$A$1:$J$1,0)))</f>
        <v/>
      </c>
      <c r="D91" s="70">
        <f>IF(H91=0,wdct(TRIM(C91)),0)</f>
        <v>0</v>
      </c>
      <c r="E91" s="70">
        <f>COUNTIFS('Error Log'!$A:$A,$A91,'Error Log'!$J:$J,E$1)</f>
        <v>0</v>
      </c>
      <c r="F91" s="70">
        <f>COUNTIFS('Error Log'!$A:$A,$A91,'Error Log'!$J:$J,F$1)</f>
        <v>0</v>
      </c>
      <c r="G91" s="70">
        <f>COUNTIFS('Error Log'!$A:$A,$A91,'Error Log'!$J:$J,G$1)</f>
        <v>0</v>
      </c>
      <c r="H91" s="70">
        <f>COUNTIFS('Error Log'!$A:$A,$A91,'Error Log'!$F:$F,"Source")</f>
        <v>0</v>
      </c>
      <c r="I91" s="70">
        <f>COUNTIFS('Error Log'!$A:$A,$A91,'Error Log'!$F:$F,"Target")</f>
        <v>0</v>
      </c>
      <c r="J91" s="71">
        <f t="shared" si="1"/>
        <v>0</v>
      </c>
    </row>
    <row r="92" spans="1:10">
      <c r="A92" s="82"/>
      <c r="B92" s="70" t="str">
        <f>IF(ISBLANK(A92),"",INDEX('Error Log'!$A:$J,MATCH('Scores per segment'!$A92,'Error Log'!$A:$A,0),MATCH('Scores per segment'!B$1,'Error Log'!$A$1:$J$1,0)))</f>
        <v/>
      </c>
      <c r="C92" s="70" t="str">
        <f>IF(ISBLANK(A92),"",INDEX('Error Log'!$A:$J,MATCH('Scores per segment'!$A92,'Error Log'!$A:$A,0),MATCH('Scores per segment'!C$1,'Error Log'!$A$1:$J$1,0)))</f>
        <v/>
      </c>
      <c r="D92" s="70">
        <f>IF(H92=0,wdct(TRIM(C92)),0)</f>
        <v>0</v>
      </c>
      <c r="E92" s="70">
        <f>COUNTIFS('Error Log'!$A:$A,$A92,'Error Log'!$J:$J,E$1)</f>
        <v>0</v>
      </c>
      <c r="F92" s="70">
        <f>COUNTIFS('Error Log'!$A:$A,$A92,'Error Log'!$J:$J,F$1)</f>
        <v>0</v>
      </c>
      <c r="G92" s="70">
        <f>COUNTIFS('Error Log'!$A:$A,$A92,'Error Log'!$J:$J,G$1)</f>
        <v>0</v>
      </c>
      <c r="H92" s="70">
        <f>COUNTIFS('Error Log'!$A:$A,$A92,'Error Log'!$F:$F,"Source")</f>
        <v>0</v>
      </c>
      <c r="I92" s="70">
        <f>COUNTIFS('Error Log'!$A:$A,$A92,'Error Log'!$F:$F,"Target")</f>
        <v>0</v>
      </c>
      <c r="J92" s="71">
        <f t="shared" si="1"/>
        <v>0</v>
      </c>
    </row>
    <row r="93" spans="1:10">
      <c r="A93" s="82"/>
      <c r="B93" s="70" t="str">
        <f>IF(ISBLANK(A93),"",INDEX('Error Log'!$A:$J,MATCH('Scores per segment'!$A93,'Error Log'!$A:$A,0),MATCH('Scores per segment'!B$1,'Error Log'!$A$1:$J$1,0)))</f>
        <v/>
      </c>
      <c r="C93" s="70" t="str">
        <f>IF(ISBLANK(A93),"",INDEX('Error Log'!$A:$J,MATCH('Scores per segment'!$A93,'Error Log'!$A:$A,0),MATCH('Scores per segment'!C$1,'Error Log'!$A$1:$J$1,0)))</f>
        <v/>
      </c>
      <c r="D93" s="70">
        <f>IF(H93=0,wdct(TRIM(C93)),0)</f>
        <v>0</v>
      </c>
      <c r="E93" s="70">
        <f>COUNTIFS('Error Log'!$A:$A,$A93,'Error Log'!$J:$J,E$1)</f>
        <v>0</v>
      </c>
      <c r="F93" s="70">
        <f>COUNTIFS('Error Log'!$A:$A,$A93,'Error Log'!$J:$J,F$1)</f>
        <v>0</v>
      </c>
      <c r="G93" s="70">
        <f>COUNTIFS('Error Log'!$A:$A,$A93,'Error Log'!$J:$J,G$1)</f>
        <v>0</v>
      </c>
      <c r="H93" s="70">
        <f>COUNTIFS('Error Log'!$A:$A,$A93,'Error Log'!$F:$F,"Source")</f>
        <v>0</v>
      </c>
      <c r="I93" s="70">
        <f>COUNTIFS('Error Log'!$A:$A,$A93,'Error Log'!$F:$F,"Target")</f>
        <v>0</v>
      </c>
      <c r="J93" s="71">
        <f t="shared" si="1"/>
        <v>0</v>
      </c>
    </row>
    <row r="94" spans="1:10">
      <c r="A94" s="82"/>
      <c r="B94" s="70" t="str">
        <f>IF(ISBLANK(A94),"",INDEX('Error Log'!$A:$J,MATCH('Scores per segment'!$A94,'Error Log'!$A:$A,0),MATCH('Scores per segment'!B$1,'Error Log'!$A$1:$J$1,0)))</f>
        <v/>
      </c>
      <c r="C94" s="70" t="str">
        <f>IF(ISBLANK(A94),"",INDEX('Error Log'!$A:$J,MATCH('Scores per segment'!$A94,'Error Log'!$A:$A,0),MATCH('Scores per segment'!C$1,'Error Log'!$A$1:$J$1,0)))</f>
        <v/>
      </c>
      <c r="D94" s="70">
        <f>IF(H94=0,wdct(TRIM(C94)),0)</f>
        <v>0</v>
      </c>
      <c r="E94" s="70">
        <f>COUNTIFS('Error Log'!$A:$A,$A94,'Error Log'!$J:$J,E$1)</f>
        <v>0</v>
      </c>
      <c r="F94" s="70">
        <f>COUNTIFS('Error Log'!$A:$A,$A94,'Error Log'!$J:$J,F$1)</f>
        <v>0</v>
      </c>
      <c r="G94" s="70">
        <f>COUNTIFS('Error Log'!$A:$A,$A94,'Error Log'!$J:$J,G$1)</f>
        <v>0</v>
      </c>
      <c r="H94" s="70">
        <f>COUNTIFS('Error Log'!$A:$A,$A94,'Error Log'!$F:$F,"Source")</f>
        <v>0</v>
      </c>
      <c r="I94" s="70">
        <f>COUNTIFS('Error Log'!$A:$A,$A94,'Error Log'!$F:$F,"Target")</f>
        <v>0</v>
      </c>
      <c r="J94" s="71">
        <f t="shared" si="1"/>
        <v>0</v>
      </c>
    </row>
    <row r="95" spans="1:10">
      <c r="A95" s="82"/>
      <c r="B95" s="70" t="str">
        <f>IF(ISBLANK(A95),"",INDEX('Error Log'!$A:$J,MATCH('Scores per segment'!$A95,'Error Log'!$A:$A,0),MATCH('Scores per segment'!B$1,'Error Log'!$A$1:$J$1,0)))</f>
        <v/>
      </c>
      <c r="C95" s="70" t="str">
        <f>IF(ISBLANK(A95),"",INDEX('Error Log'!$A:$J,MATCH('Scores per segment'!$A95,'Error Log'!$A:$A,0),MATCH('Scores per segment'!C$1,'Error Log'!$A$1:$J$1,0)))</f>
        <v/>
      </c>
      <c r="D95" s="70">
        <f>IF(H95=0,wdct(TRIM(C95)),0)</f>
        <v>0</v>
      </c>
      <c r="E95" s="70">
        <f>COUNTIFS('Error Log'!$A:$A,$A95,'Error Log'!$J:$J,E$1)</f>
        <v>0</v>
      </c>
      <c r="F95" s="70">
        <f>COUNTIFS('Error Log'!$A:$A,$A95,'Error Log'!$J:$J,F$1)</f>
        <v>0</v>
      </c>
      <c r="G95" s="70">
        <f>COUNTIFS('Error Log'!$A:$A,$A95,'Error Log'!$J:$J,G$1)</f>
        <v>0</v>
      </c>
      <c r="H95" s="70">
        <f>COUNTIFS('Error Log'!$A:$A,$A95,'Error Log'!$F:$F,"Source")</f>
        <v>0</v>
      </c>
      <c r="I95" s="70">
        <f>COUNTIFS('Error Log'!$A:$A,$A95,'Error Log'!$F:$F,"Target")</f>
        <v>0</v>
      </c>
      <c r="J95" s="71">
        <f t="shared" si="1"/>
        <v>0</v>
      </c>
    </row>
    <row r="96" spans="1:10">
      <c r="A96" s="82"/>
      <c r="B96" s="70" t="str">
        <f>IF(ISBLANK(A96),"",INDEX('Error Log'!$A:$J,MATCH('Scores per segment'!$A96,'Error Log'!$A:$A,0),MATCH('Scores per segment'!B$1,'Error Log'!$A$1:$J$1,0)))</f>
        <v/>
      </c>
      <c r="C96" s="70" t="str">
        <f>IF(ISBLANK(A96),"",INDEX('Error Log'!$A:$J,MATCH('Scores per segment'!$A96,'Error Log'!$A:$A,0),MATCH('Scores per segment'!C$1,'Error Log'!$A$1:$J$1,0)))</f>
        <v/>
      </c>
      <c r="D96" s="70">
        <f>IF(H96=0,wdct(TRIM(C96)),0)</f>
        <v>0</v>
      </c>
      <c r="E96" s="70">
        <f>COUNTIFS('Error Log'!$A:$A,$A96,'Error Log'!$J:$J,E$1)</f>
        <v>0</v>
      </c>
      <c r="F96" s="70">
        <f>COUNTIFS('Error Log'!$A:$A,$A96,'Error Log'!$J:$J,F$1)</f>
        <v>0</v>
      </c>
      <c r="G96" s="70">
        <f>COUNTIFS('Error Log'!$A:$A,$A96,'Error Log'!$J:$J,G$1)</f>
        <v>0</v>
      </c>
      <c r="H96" s="70">
        <f>COUNTIFS('Error Log'!$A:$A,$A96,'Error Log'!$F:$F,"Source")</f>
        <v>0</v>
      </c>
      <c r="I96" s="70">
        <f>COUNTIFS('Error Log'!$A:$A,$A96,'Error Log'!$F:$F,"Target")</f>
        <v>0</v>
      </c>
      <c r="J96" s="71">
        <f t="shared" si="1"/>
        <v>0</v>
      </c>
    </row>
    <row r="97" spans="1:10">
      <c r="A97" s="82"/>
      <c r="B97" s="70" t="str">
        <f>IF(ISBLANK(A97),"",INDEX('Error Log'!$A:$J,MATCH('Scores per segment'!$A97,'Error Log'!$A:$A,0),MATCH('Scores per segment'!B$1,'Error Log'!$A$1:$J$1,0)))</f>
        <v/>
      </c>
      <c r="C97" s="70" t="str">
        <f>IF(ISBLANK(A97),"",INDEX('Error Log'!$A:$J,MATCH('Scores per segment'!$A97,'Error Log'!$A:$A,0),MATCH('Scores per segment'!C$1,'Error Log'!$A$1:$J$1,0)))</f>
        <v/>
      </c>
      <c r="D97" s="70">
        <f>IF(H97=0,wdct(TRIM(C97)),0)</f>
        <v>0</v>
      </c>
      <c r="E97" s="70">
        <f>COUNTIFS('Error Log'!$A:$A,$A97,'Error Log'!$J:$J,E$1)</f>
        <v>0</v>
      </c>
      <c r="F97" s="70">
        <f>COUNTIFS('Error Log'!$A:$A,$A97,'Error Log'!$J:$J,F$1)</f>
        <v>0</v>
      </c>
      <c r="G97" s="70">
        <f>COUNTIFS('Error Log'!$A:$A,$A97,'Error Log'!$J:$J,G$1)</f>
        <v>0</v>
      </c>
      <c r="H97" s="70">
        <f>COUNTIFS('Error Log'!$A:$A,$A97,'Error Log'!$F:$F,"Source")</f>
        <v>0</v>
      </c>
      <c r="I97" s="70">
        <f>COUNTIFS('Error Log'!$A:$A,$A97,'Error Log'!$F:$F,"Target")</f>
        <v>0</v>
      </c>
      <c r="J97" s="71">
        <f t="shared" si="1"/>
        <v>0</v>
      </c>
    </row>
    <row r="98" spans="1:10">
      <c r="A98" s="82"/>
      <c r="B98" s="70" t="str">
        <f>IF(ISBLANK(A98),"",INDEX('Error Log'!$A:$J,MATCH('Scores per segment'!$A98,'Error Log'!$A:$A,0),MATCH('Scores per segment'!B$1,'Error Log'!$A$1:$J$1,0)))</f>
        <v/>
      </c>
      <c r="C98" s="70" t="str">
        <f>IF(ISBLANK(A98),"",INDEX('Error Log'!$A:$J,MATCH('Scores per segment'!$A98,'Error Log'!$A:$A,0),MATCH('Scores per segment'!C$1,'Error Log'!$A$1:$J$1,0)))</f>
        <v/>
      </c>
      <c r="D98" s="70">
        <f>IF(H98=0,wdct(TRIM(C98)),0)</f>
        <v>0</v>
      </c>
      <c r="E98" s="70">
        <f>COUNTIFS('Error Log'!$A:$A,$A98,'Error Log'!$J:$J,E$1)</f>
        <v>0</v>
      </c>
      <c r="F98" s="70">
        <f>COUNTIFS('Error Log'!$A:$A,$A98,'Error Log'!$J:$J,F$1)</f>
        <v>0</v>
      </c>
      <c r="G98" s="70">
        <f>COUNTIFS('Error Log'!$A:$A,$A98,'Error Log'!$J:$J,G$1)</f>
        <v>0</v>
      </c>
      <c r="H98" s="70">
        <f>COUNTIFS('Error Log'!$A:$A,$A98,'Error Log'!$F:$F,"Source")</f>
        <v>0</v>
      </c>
      <c r="I98" s="70">
        <f>COUNTIFS('Error Log'!$A:$A,$A98,'Error Log'!$F:$F,"Target")</f>
        <v>0</v>
      </c>
      <c r="J98" s="71">
        <f t="shared" si="1"/>
        <v>0</v>
      </c>
    </row>
    <row r="99" spans="1:10">
      <c r="A99" s="82"/>
      <c r="B99" s="70" t="str">
        <f>IF(ISBLANK(A99),"",INDEX('Error Log'!$A:$J,MATCH('Scores per segment'!$A99,'Error Log'!$A:$A,0),MATCH('Scores per segment'!B$1,'Error Log'!$A$1:$J$1,0)))</f>
        <v/>
      </c>
      <c r="C99" s="70" t="str">
        <f>IF(ISBLANK(A99),"",INDEX('Error Log'!$A:$J,MATCH('Scores per segment'!$A99,'Error Log'!$A:$A,0),MATCH('Scores per segment'!C$1,'Error Log'!$A$1:$J$1,0)))</f>
        <v/>
      </c>
      <c r="D99" s="70">
        <f>IF(H99=0,wdct(TRIM(C99)),0)</f>
        <v>0</v>
      </c>
      <c r="E99" s="70">
        <f>COUNTIFS('Error Log'!$A:$A,$A99,'Error Log'!$J:$J,E$1)</f>
        <v>0</v>
      </c>
      <c r="F99" s="70">
        <f>COUNTIFS('Error Log'!$A:$A,$A99,'Error Log'!$J:$J,F$1)</f>
        <v>0</v>
      </c>
      <c r="G99" s="70">
        <f>COUNTIFS('Error Log'!$A:$A,$A99,'Error Log'!$J:$J,G$1)</f>
        <v>0</v>
      </c>
      <c r="H99" s="70">
        <f>COUNTIFS('Error Log'!$A:$A,$A99,'Error Log'!$F:$F,"Source")</f>
        <v>0</v>
      </c>
      <c r="I99" s="70">
        <f>COUNTIFS('Error Log'!$A:$A,$A99,'Error Log'!$F:$F,"Target")</f>
        <v>0</v>
      </c>
      <c r="J99" s="71">
        <f t="shared" si="1"/>
        <v>0</v>
      </c>
    </row>
    <row r="100" spans="1:10">
      <c r="A100" s="82"/>
      <c r="B100" s="70" t="str">
        <f>IF(ISBLANK(A100),"",INDEX('Error Log'!$A:$J,MATCH('Scores per segment'!$A100,'Error Log'!$A:$A,0),MATCH('Scores per segment'!B$1,'Error Log'!$A$1:$J$1,0)))</f>
        <v/>
      </c>
      <c r="C100" s="70" t="str">
        <f>IF(ISBLANK(A100),"",INDEX('Error Log'!$A:$J,MATCH('Scores per segment'!$A100,'Error Log'!$A:$A,0),MATCH('Scores per segment'!C$1,'Error Log'!$A$1:$J$1,0)))</f>
        <v/>
      </c>
      <c r="D100" s="70">
        <f>IF(H100=0,wdct(TRIM(C100)),0)</f>
        <v>0</v>
      </c>
      <c r="E100" s="70">
        <f>COUNTIFS('Error Log'!$A:$A,$A100,'Error Log'!$J:$J,E$1)</f>
        <v>0</v>
      </c>
      <c r="F100" s="70">
        <f>COUNTIFS('Error Log'!$A:$A,$A100,'Error Log'!$J:$J,F$1)</f>
        <v>0</v>
      </c>
      <c r="G100" s="70">
        <f>COUNTIFS('Error Log'!$A:$A,$A100,'Error Log'!$J:$J,G$1)</f>
        <v>0</v>
      </c>
      <c r="H100" s="70">
        <f>COUNTIFS('Error Log'!$A:$A,$A100,'Error Log'!$F:$F,"Source")</f>
        <v>0</v>
      </c>
      <c r="I100" s="70">
        <f>COUNTIFS('Error Log'!$A:$A,$A100,'Error Log'!$F:$F,"Target")</f>
        <v>0</v>
      </c>
      <c r="J100" s="71">
        <f t="shared" si="1"/>
        <v>0</v>
      </c>
    </row>
    <row r="101" spans="1:10">
      <c r="A101" s="82"/>
      <c r="B101" s="70" t="str">
        <f>IF(ISBLANK(A101),"",INDEX('Error Log'!$A:$J,MATCH('Scores per segment'!$A101,'Error Log'!$A:$A,0),MATCH('Scores per segment'!B$1,'Error Log'!$A$1:$J$1,0)))</f>
        <v/>
      </c>
      <c r="C101" s="70" t="str">
        <f>IF(ISBLANK(A101),"",INDEX('Error Log'!$A:$J,MATCH('Scores per segment'!$A101,'Error Log'!$A:$A,0),MATCH('Scores per segment'!C$1,'Error Log'!$A$1:$J$1,0)))</f>
        <v/>
      </c>
      <c r="D101" s="70">
        <f>IF(H101=0,wdct(TRIM(C101)),0)</f>
        <v>0</v>
      </c>
      <c r="E101" s="70">
        <f>COUNTIFS('Error Log'!$A:$A,$A101,'Error Log'!$J:$J,E$1)</f>
        <v>0</v>
      </c>
      <c r="F101" s="70">
        <f>COUNTIFS('Error Log'!$A:$A,$A101,'Error Log'!$J:$J,F$1)</f>
        <v>0</v>
      </c>
      <c r="G101" s="70">
        <f>COUNTIFS('Error Log'!$A:$A,$A101,'Error Log'!$J:$J,G$1)</f>
        <v>0</v>
      </c>
      <c r="H101" s="70">
        <f>COUNTIFS('Error Log'!$A:$A,$A101,'Error Log'!$F:$F,"Source")</f>
        <v>0</v>
      </c>
      <c r="I101" s="70">
        <f>COUNTIFS('Error Log'!$A:$A,$A101,'Error Log'!$F:$F,"Target")</f>
        <v>0</v>
      </c>
      <c r="J101" s="71">
        <f t="shared" si="1"/>
        <v>0</v>
      </c>
    </row>
    <row r="102" spans="1:10">
      <c r="A102" s="82"/>
      <c r="B102" s="70" t="str">
        <f>IF(ISBLANK(A102),"",INDEX('Error Log'!$A:$J,MATCH('Scores per segment'!$A102,'Error Log'!$A:$A,0),MATCH('Scores per segment'!B$1,'Error Log'!$A$1:$J$1,0)))</f>
        <v/>
      </c>
      <c r="C102" s="70" t="str">
        <f>IF(ISBLANK(A102),"",INDEX('Error Log'!$A:$J,MATCH('Scores per segment'!$A102,'Error Log'!$A:$A,0),MATCH('Scores per segment'!C$1,'Error Log'!$A$1:$J$1,0)))</f>
        <v/>
      </c>
      <c r="D102" s="70">
        <f>IF(H102=0,wdct(TRIM(C102)),0)</f>
        <v>0</v>
      </c>
      <c r="E102" s="70">
        <f>COUNTIFS('Error Log'!$A:$A,$A102,'Error Log'!$J:$J,E$1)</f>
        <v>0</v>
      </c>
      <c r="F102" s="70">
        <f>COUNTIFS('Error Log'!$A:$A,$A102,'Error Log'!$J:$J,F$1)</f>
        <v>0</v>
      </c>
      <c r="G102" s="70">
        <f>COUNTIFS('Error Log'!$A:$A,$A102,'Error Log'!$J:$J,G$1)</f>
        <v>0</v>
      </c>
      <c r="H102" s="70">
        <f>COUNTIFS('Error Log'!$A:$A,$A102,'Error Log'!$F:$F,"Source")</f>
        <v>0</v>
      </c>
      <c r="I102" s="70">
        <f>COUNTIFS('Error Log'!$A:$A,$A102,'Error Log'!$F:$F,"Target")</f>
        <v>0</v>
      </c>
      <c r="J102" s="71">
        <f t="shared" si="1"/>
        <v>0</v>
      </c>
    </row>
    <row r="103" spans="1:10">
      <c r="A103" s="82"/>
      <c r="B103" s="70" t="str">
        <f>IF(ISBLANK(A103),"",INDEX('Error Log'!$A:$J,MATCH('Scores per segment'!$A103,'Error Log'!$A:$A,0),MATCH('Scores per segment'!B$1,'Error Log'!$A$1:$J$1,0)))</f>
        <v/>
      </c>
      <c r="C103" s="70" t="str">
        <f>IF(ISBLANK(A103),"",INDEX('Error Log'!$A:$J,MATCH('Scores per segment'!$A103,'Error Log'!$A:$A,0),MATCH('Scores per segment'!C$1,'Error Log'!$A$1:$J$1,0)))</f>
        <v/>
      </c>
      <c r="D103" s="70">
        <f>IF(H103=0,wdct(TRIM(C103)),0)</f>
        <v>0</v>
      </c>
      <c r="E103" s="70">
        <f>COUNTIFS('Error Log'!$A:$A,$A103,'Error Log'!$J:$J,E$1)</f>
        <v>0</v>
      </c>
      <c r="F103" s="70">
        <f>COUNTIFS('Error Log'!$A:$A,$A103,'Error Log'!$J:$J,F$1)</f>
        <v>0</v>
      </c>
      <c r="G103" s="70">
        <f>COUNTIFS('Error Log'!$A:$A,$A103,'Error Log'!$J:$J,G$1)</f>
        <v>0</v>
      </c>
      <c r="H103" s="70">
        <f>COUNTIFS('Error Log'!$A:$A,$A103,'Error Log'!$F:$F,"Source")</f>
        <v>0</v>
      </c>
      <c r="I103" s="70">
        <f>COUNTIFS('Error Log'!$A:$A,$A103,'Error Log'!$F:$F,"Target")</f>
        <v>0</v>
      </c>
      <c r="J103" s="71">
        <f t="shared" si="1"/>
        <v>0</v>
      </c>
    </row>
    <row r="104" spans="1:10">
      <c r="A104" s="82"/>
      <c r="B104" s="70" t="str">
        <f>IF(ISBLANK(A104),"",INDEX('Error Log'!$A:$J,MATCH('Scores per segment'!$A104,'Error Log'!$A:$A,0),MATCH('Scores per segment'!B$1,'Error Log'!$A$1:$J$1,0)))</f>
        <v/>
      </c>
      <c r="C104" s="70" t="str">
        <f>IF(ISBLANK(A104),"",INDEX('Error Log'!$A:$J,MATCH('Scores per segment'!$A104,'Error Log'!$A:$A,0),MATCH('Scores per segment'!C$1,'Error Log'!$A$1:$J$1,0)))</f>
        <v/>
      </c>
      <c r="D104" s="70">
        <f>IF(H104=0,wdct(TRIM(C104)),0)</f>
        <v>0</v>
      </c>
      <c r="E104" s="70">
        <f>COUNTIFS('Error Log'!$A:$A,$A104,'Error Log'!$J:$J,E$1)</f>
        <v>0</v>
      </c>
      <c r="F104" s="70">
        <f>COUNTIFS('Error Log'!$A:$A,$A104,'Error Log'!$J:$J,F$1)</f>
        <v>0</v>
      </c>
      <c r="G104" s="70">
        <f>COUNTIFS('Error Log'!$A:$A,$A104,'Error Log'!$J:$J,G$1)</f>
        <v>0</v>
      </c>
      <c r="H104" s="70">
        <f>COUNTIFS('Error Log'!$A:$A,$A104,'Error Log'!$F:$F,"Source")</f>
        <v>0</v>
      </c>
      <c r="I104" s="70">
        <f>COUNTIFS('Error Log'!$A:$A,$A104,'Error Log'!$F:$F,"Target")</f>
        <v>0</v>
      </c>
      <c r="J104" s="71">
        <f t="shared" si="1"/>
        <v>0</v>
      </c>
    </row>
    <row r="105" spans="1:10">
      <c r="A105" s="82"/>
      <c r="B105" s="70" t="str">
        <f>IF(ISBLANK(A105),"",INDEX('Error Log'!$A:$J,MATCH('Scores per segment'!$A105,'Error Log'!$A:$A,0),MATCH('Scores per segment'!B$1,'Error Log'!$A$1:$J$1,0)))</f>
        <v/>
      </c>
      <c r="C105" s="70" t="str">
        <f>IF(ISBLANK(A105),"",INDEX('Error Log'!$A:$J,MATCH('Scores per segment'!$A105,'Error Log'!$A:$A,0),MATCH('Scores per segment'!C$1,'Error Log'!$A$1:$J$1,0)))</f>
        <v/>
      </c>
      <c r="D105" s="70">
        <f>IF(H105=0,wdct(TRIM(C105)),0)</f>
        <v>0</v>
      </c>
      <c r="E105" s="70">
        <f>COUNTIFS('Error Log'!$A:$A,$A105,'Error Log'!$J:$J,E$1)</f>
        <v>0</v>
      </c>
      <c r="F105" s="70">
        <f>COUNTIFS('Error Log'!$A:$A,$A105,'Error Log'!$J:$J,F$1)</f>
        <v>0</v>
      </c>
      <c r="G105" s="70">
        <f>COUNTIFS('Error Log'!$A:$A,$A105,'Error Log'!$J:$J,G$1)</f>
        <v>0</v>
      </c>
      <c r="H105" s="70">
        <f>COUNTIFS('Error Log'!$A:$A,$A105,'Error Log'!$F:$F,"Source")</f>
        <v>0</v>
      </c>
      <c r="I105" s="70">
        <f>COUNTIFS('Error Log'!$A:$A,$A105,'Error Log'!$F:$F,"Target")</f>
        <v>0</v>
      </c>
      <c r="J105" s="71">
        <f t="shared" si="1"/>
        <v>0</v>
      </c>
    </row>
    <row r="106" spans="1:10">
      <c r="A106" s="82"/>
      <c r="B106" s="70" t="str">
        <f>IF(ISBLANK(A106),"",INDEX('Error Log'!$A:$J,MATCH('Scores per segment'!$A106,'Error Log'!$A:$A,0),MATCH('Scores per segment'!B$1,'Error Log'!$A$1:$J$1,0)))</f>
        <v/>
      </c>
      <c r="C106" s="70" t="str">
        <f>IF(ISBLANK(A106),"",INDEX('Error Log'!$A:$J,MATCH('Scores per segment'!$A106,'Error Log'!$A:$A,0),MATCH('Scores per segment'!C$1,'Error Log'!$A$1:$J$1,0)))</f>
        <v/>
      </c>
      <c r="D106" s="70">
        <f>IF(H106=0,wdct(TRIM(C106)),0)</f>
        <v>0</v>
      </c>
      <c r="E106" s="70">
        <f>COUNTIFS('Error Log'!$A:$A,$A106,'Error Log'!$J:$J,E$1)</f>
        <v>0</v>
      </c>
      <c r="F106" s="70">
        <f>COUNTIFS('Error Log'!$A:$A,$A106,'Error Log'!$J:$J,F$1)</f>
        <v>0</v>
      </c>
      <c r="G106" s="70">
        <f>COUNTIFS('Error Log'!$A:$A,$A106,'Error Log'!$J:$J,G$1)</f>
        <v>0</v>
      </c>
      <c r="H106" s="70">
        <f>COUNTIFS('Error Log'!$A:$A,$A106,'Error Log'!$F:$F,"Source")</f>
        <v>0</v>
      </c>
      <c r="I106" s="70">
        <f>COUNTIFS('Error Log'!$A:$A,$A106,'Error Log'!$F:$F,"Target")</f>
        <v>0</v>
      </c>
      <c r="J106" s="71">
        <f t="shared" si="1"/>
        <v>0</v>
      </c>
    </row>
    <row r="107" spans="1:10">
      <c r="A107" s="82"/>
      <c r="B107" s="70" t="str">
        <f>IF(ISBLANK(A107),"",INDEX('Error Log'!$A:$J,MATCH('Scores per segment'!$A107,'Error Log'!$A:$A,0),MATCH('Scores per segment'!B$1,'Error Log'!$A$1:$J$1,0)))</f>
        <v/>
      </c>
      <c r="C107" s="70" t="str">
        <f>IF(ISBLANK(A107),"",INDEX('Error Log'!$A:$J,MATCH('Scores per segment'!$A107,'Error Log'!$A:$A,0),MATCH('Scores per segment'!C$1,'Error Log'!$A$1:$J$1,0)))</f>
        <v/>
      </c>
      <c r="D107" s="70">
        <f>IF(H107=0,wdct(TRIM(C107)),0)</f>
        <v>0</v>
      </c>
      <c r="E107" s="70">
        <f>COUNTIFS('Error Log'!$A:$A,$A107,'Error Log'!$J:$J,E$1)</f>
        <v>0</v>
      </c>
      <c r="F107" s="70">
        <f>COUNTIFS('Error Log'!$A:$A,$A107,'Error Log'!$J:$J,F$1)</f>
        <v>0</v>
      </c>
      <c r="G107" s="70">
        <f>COUNTIFS('Error Log'!$A:$A,$A107,'Error Log'!$J:$J,G$1)</f>
        <v>0</v>
      </c>
      <c r="H107" s="70">
        <f>COUNTIFS('Error Log'!$A:$A,$A107,'Error Log'!$F:$F,"Source")</f>
        <v>0</v>
      </c>
      <c r="I107" s="70">
        <f>COUNTIFS('Error Log'!$A:$A,$A107,'Error Log'!$F:$F,"Target")</f>
        <v>0</v>
      </c>
      <c r="J107" s="71">
        <f t="shared" si="1"/>
        <v>0</v>
      </c>
    </row>
    <row r="108" spans="1:10">
      <c r="A108" s="82"/>
      <c r="B108" s="70" t="str">
        <f>IF(ISBLANK(A108),"",INDEX('Error Log'!$A:$J,MATCH('Scores per segment'!$A108,'Error Log'!$A:$A,0),MATCH('Scores per segment'!B$1,'Error Log'!$A$1:$J$1,0)))</f>
        <v/>
      </c>
      <c r="C108" s="70" t="str">
        <f>IF(ISBLANK(A108),"",INDEX('Error Log'!$A:$J,MATCH('Scores per segment'!$A108,'Error Log'!$A:$A,0),MATCH('Scores per segment'!C$1,'Error Log'!$A$1:$J$1,0)))</f>
        <v/>
      </c>
      <c r="D108" s="70">
        <f>IF(H108=0,wdct(TRIM(C108)),0)</f>
        <v>0</v>
      </c>
      <c r="E108" s="70">
        <f>COUNTIFS('Error Log'!$A:$A,$A108,'Error Log'!$J:$J,E$1)</f>
        <v>0</v>
      </c>
      <c r="F108" s="70">
        <f>COUNTIFS('Error Log'!$A:$A,$A108,'Error Log'!$J:$J,F$1)</f>
        <v>0</v>
      </c>
      <c r="G108" s="70">
        <f>COUNTIFS('Error Log'!$A:$A,$A108,'Error Log'!$J:$J,G$1)</f>
        <v>0</v>
      </c>
      <c r="H108" s="70">
        <f>COUNTIFS('Error Log'!$A:$A,$A108,'Error Log'!$F:$F,"Source")</f>
        <v>0</v>
      </c>
      <c r="I108" s="70">
        <f>COUNTIFS('Error Log'!$A:$A,$A108,'Error Log'!$F:$F,"Target")</f>
        <v>0</v>
      </c>
      <c r="J108" s="71">
        <f t="shared" si="1"/>
        <v>0</v>
      </c>
    </row>
    <row r="109" spans="1:10">
      <c r="A109" s="82"/>
      <c r="B109" s="70" t="str">
        <f>IF(ISBLANK(A109),"",INDEX('Error Log'!$A:$J,MATCH('Scores per segment'!$A109,'Error Log'!$A:$A,0),MATCH('Scores per segment'!B$1,'Error Log'!$A$1:$J$1,0)))</f>
        <v/>
      </c>
      <c r="C109" s="70" t="str">
        <f>IF(ISBLANK(A109),"",INDEX('Error Log'!$A:$J,MATCH('Scores per segment'!$A109,'Error Log'!$A:$A,0),MATCH('Scores per segment'!C$1,'Error Log'!$A$1:$J$1,0)))</f>
        <v/>
      </c>
      <c r="D109" s="70">
        <f>IF(H109=0,wdct(TRIM(C109)),0)</f>
        <v>0</v>
      </c>
      <c r="E109" s="70">
        <f>COUNTIFS('Error Log'!$A:$A,$A109,'Error Log'!$J:$J,E$1)</f>
        <v>0</v>
      </c>
      <c r="F109" s="70">
        <f>COUNTIFS('Error Log'!$A:$A,$A109,'Error Log'!$J:$J,F$1)</f>
        <v>0</v>
      </c>
      <c r="G109" s="70">
        <f>COUNTIFS('Error Log'!$A:$A,$A109,'Error Log'!$J:$J,G$1)</f>
        <v>0</v>
      </c>
      <c r="H109" s="70">
        <f>COUNTIFS('Error Log'!$A:$A,$A109,'Error Log'!$F:$F,"Source")</f>
        <v>0</v>
      </c>
      <c r="I109" s="70">
        <f>COUNTIFS('Error Log'!$A:$A,$A109,'Error Log'!$F:$F,"Target")</f>
        <v>0</v>
      </c>
      <c r="J109" s="71">
        <f t="shared" si="1"/>
        <v>0</v>
      </c>
    </row>
    <row r="110" spans="1:10">
      <c r="A110" s="82"/>
      <c r="B110" s="70" t="str">
        <f>IF(ISBLANK(A110),"",INDEX('Error Log'!$A:$J,MATCH('Scores per segment'!$A110,'Error Log'!$A:$A,0),MATCH('Scores per segment'!B$1,'Error Log'!$A$1:$J$1,0)))</f>
        <v/>
      </c>
      <c r="C110" s="70" t="str">
        <f>IF(ISBLANK(A110),"",INDEX('Error Log'!$A:$J,MATCH('Scores per segment'!$A110,'Error Log'!$A:$A,0),MATCH('Scores per segment'!C$1,'Error Log'!$A$1:$J$1,0)))</f>
        <v/>
      </c>
      <c r="D110" s="70">
        <f>IF(H110=0,wdct(TRIM(C110)),0)</f>
        <v>0</v>
      </c>
      <c r="E110" s="70">
        <f>COUNTIFS('Error Log'!$A:$A,$A110,'Error Log'!$J:$J,E$1)</f>
        <v>0</v>
      </c>
      <c r="F110" s="70">
        <f>COUNTIFS('Error Log'!$A:$A,$A110,'Error Log'!$J:$J,F$1)</f>
        <v>0</v>
      </c>
      <c r="G110" s="70">
        <f>COUNTIFS('Error Log'!$A:$A,$A110,'Error Log'!$J:$J,G$1)</f>
        <v>0</v>
      </c>
      <c r="H110" s="70">
        <f>COUNTIFS('Error Log'!$A:$A,$A110,'Error Log'!$F:$F,"Source")</f>
        <v>0</v>
      </c>
      <c r="I110" s="70">
        <f>COUNTIFS('Error Log'!$A:$A,$A110,'Error Log'!$F:$F,"Target")</f>
        <v>0</v>
      </c>
      <c r="J110" s="71">
        <f t="shared" si="1"/>
        <v>0</v>
      </c>
    </row>
    <row r="111" spans="1:10">
      <c r="A111" s="82"/>
      <c r="B111" s="70" t="str">
        <f>IF(ISBLANK(A111),"",INDEX('Error Log'!$A:$J,MATCH('Scores per segment'!$A111,'Error Log'!$A:$A,0),MATCH('Scores per segment'!B$1,'Error Log'!$A$1:$J$1,0)))</f>
        <v/>
      </c>
      <c r="C111" s="70" t="str">
        <f>IF(ISBLANK(A111),"",INDEX('Error Log'!$A:$J,MATCH('Scores per segment'!$A111,'Error Log'!$A:$A,0),MATCH('Scores per segment'!C$1,'Error Log'!$A$1:$J$1,0)))</f>
        <v/>
      </c>
      <c r="D111" s="70">
        <f>IF(H111=0,wdct(TRIM(C111)),0)</f>
        <v>0</v>
      </c>
      <c r="E111" s="70">
        <f>COUNTIFS('Error Log'!$A:$A,$A111,'Error Log'!$J:$J,E$1)</f>
        <v>0</v>
      </c>
      <c r="F111" s="70">
        <f>COUNTIFS('Error Log'!$A:$A,$A111,'Error Log'!$J:$J,F$1)</f>
        <v>0</v>
      </c>
      <c r="G111" s="70">
        <f>COUNTIFS('Error Log'!$A:$A,$A111,'Error Log'!$J:$J,G$1)</f>
        <v>0</v>
      </c>
      <c r="H111" s="70">
        <f>COUNTIFS('Error Log'!$A:$A,$A111,'Error Log'!$F:$F,"Source")</f>
        <v>0</v>
      </c>
      <c r="I111" s="70">
        <f>COUNTIFS('Error Log'!$A:$A,$A111,'Error Log'!$F:$F,"Target")</f>
        <v>0</v>
      </c>
      <c r="J111" s="71">
        <f t="shared" si="1"/>
        <v>0</v>
      </c>
    </row>
    <row r="112" spans="1:10">
      <c r="A112" s="82"/>
      <c r="B112" s="70" t="str">
        <f>IF(ISBLANK(A112),"",INDEX('Error Log'!$A:$J,MATCH('Scores per segment'!$A112,'Error Log'!$A:$A,0),MATCH('Scores per segment'!B$1,'Error Log'!$A$1:$J$1,0)))</f>
        <v/>
      </c>
      <c r="C112" s="70" t="str">
        <f>IF(ISBLANK(A112),"",INDEX('Error Log'!$A:$J,MATCH('Scores per segment'!$A112,'Error Log'!$A:$A,0),MATCH('Scores per segment'!C$1,'Error Log'!$A$1:$J$1,0)))</f>
        <v/>
      </c>
      <c r="D112" s="70">
        <f>IF(H112=0,wdct(TRIM(C112)),0)</f>
        <v>0</v>
      </c>
      <c r="E112" s="70">
        <f>COUNTIFS('Error Log'!$A:$A,$A112,'Error Log'!$J:$J,E$1)</f>
        <v>0</v>
      </c>
      <c r="F112" s="70">
        <f>COUNTIFS('Error Log'!$A:$A,$A112,'Error Log'!$J:$J,F$1)</f>
        <v>0</v>
      </c>
      <c r="G112" s="70">
        <f>COUNTIFS('Error Log'!$A:$A,$A112,'Error Log'!$J:$J,G$1)</f>
        <v>0</v>
      </c>
      <c r="H112" s="70">
        <f>COUNTIFS('Error Log'!$A:$A,$A112,'Error Log'!$F:$F,"Source")</f>
        <v>0</v>
      </c>
      <c r="I112" s="70">
        <f>COUNTIFS('Error Log'!$A:$A,$A112,'Error Log'!$F:$F,"Target")</f>
        <v>0</v>
      </c>
      <c r="J112" s="71">
        <f t="shared" si="1"/>
        <v>0</v>
      </c>
    </row>
    <row r="113" spans="1:10">
      <c r="A113" s="82"/>
      <c r="B113" s="70" t="str">
        <f>IF(ISBLANK(A113),"",INDEX('Error Log'!$A:$J,MATCH('Scores per segment'!$A113,'Error Log'!$A:$A,0),MATCH('Scores per segment'!B$1,'Error Log'!$A$1:$J$1,0)))</f>
        <v/>
      </c>
      <c r="C113" s="70" t="str">
        <f>IF(ISBLANK(A113),"",INDEX('Error Log'!$A:$J,MATCH('Scores per segment'!$A113,'Error Log'!$A:$A,0),MATCH('Scores per segment'!C$1,'Error Log'!$A$1:$J$1,0)))</f>
        <v/>
      </c>
      <c r="D113" s="70">
        <f>IF(H113=0,wdct(TRIM(C113)),0)</f>
        <v>0</v>
      </c>
      <c r="E113" s="70">
        <f>COUNTIFS('Error Log'!$A:$A,$A113,'Error Log'!$J:$J,E$1)</f>
        <v>0</v>
      </c>
      <c r="F113" s="70">
        <f>COUNTIFS('Error Log'!$A:$A,$A113,'Error Log'!$J:$J,F$1)</f>
        <v>0</v>
      </c>
      <c r="G113" s="70">
        <f>COUNTIFS('Error Log'!$A:$A,$A113,'Error Log'!$J:$J,G$1)</f>
        <v>0</v>
      </c>
      <c r="H113" s="70">
        <f>COUNTIFS('Error Log'!$A:$A,$A113,'Error Log'!$F:$F,"Source")</f>
        <v>0</v>
      </c>
      <c r="I113" s="70">
        <f>COUNTIFS('Error Log'!$A:$A,$A113,'Error Log'!$F:$F,"Target")</f>
        <v>0</v>
      </c>
      <c r="J113" s="71">
        <f t="shared" si="1"/>
        <v>0</v>
      </c>
    </row>
    <row r="114" spans="1:10">
      <c r="A114" s="82"/>
      <c r="B114" s="70" t="str">
        <f>IF(ISBLANK(A114),"",INDEX('Error Log'!$A:$J,MATCH('Scores per segment'!$A114,'Error Log'!$A:$A,0),MATCH('Scores per segment'!B$1,'Error Log'!$A$1:$J$1,0)))</f>
        <v/>
      </c>
      <c r="C114" s="70" t="str">
        <f>IF(ISBLANK(A114),"",INDEX('Error Log'!$A:$J,MATCH('Scores per segment'!$A114,'Error Log'!$A:$A,0),MATCH('Scores per segment'!C$1,'Error Log'!$A$1:$J$1,0)))</f>
        <v/>
      </c>
      <c r="D114" s="70">
        <f>IF(H114=0,wdct(TRIM(C114)),0)</f>
        <v>0</v>
      </c>
      <c r="E114" s="70">
        <f>COUNTIFS('Error Log'!$A:$A,$A114,'Error Log'!$J:$J,E$1)</f>
        <v>0</v>
      </c>
      <c r="F114" s="70">
        <f>COUNTIFS('Error Log'!$A:$A,$A114,'Error Log'!$J:$J,F$1)</f>
        <v>0</v>
      </c>
      <c r="G114" s="70">
        <f>COUNTIFS('Error Log'!$A:$A,$A114,'Error Log'!$J:$J,G$1)</f>
        <v>0</v>
      </c>
      <c r="H114" s="70">
        <f>COUNTIFS('Error Log'!$A:$A,$A114,'Error Log'!$F:$F,"Source")</f>
        <v>0</v>
      </c>
      <c r="I114" s="70">
        <f>COUNTIFS('Error Log'!$A:$A,$A114,'Error Log'!$F:$F,"Target")</f>
        <v>0</v>
      </c>
      <c r="J114" s="71">
        <f t="shared" si="1"/>
        <v>0</v>
      </c>
    </row>
    <row r="115" spans="1:10">
      <c r="A115" s="82"/>
      <c r="B115" s="70" t="str">
        <f>IF(ISBLANK(A115),"",INDEX('Error Log'!$A:$J,MATCH('Scores per segment'!$A115,'Error Log'!$A:$A,0),MATCH('Scores per segment'!B$1,'Error Log'!$A$1:$J$1,0)))</f>
        <v/>
      </c>
      <c r="C115" s="70" t="str">
        <f>IF(ISBLANK(A115),"",INDEX('Error Log'!$A:$J,MATCH('Scores per segment'!$A115,'Error Log'!$A:$A,0),MATCH('Scores per segment'!C$1,'Error Log'!$A$1:$J$1,0)))</f>
        <v/>
      </c>
      <c r="D115" s="70">
        <f>IF(H115=0,wdct(TRIM(C115)),0)</f>
        <v>0</v>
      </c>
      <c r="E115" s="70">
        <f>COUNTIFS('Error Log'!$A:$A,$A115,'Error Log'!$J:$J,E$1)</f>
        <v>0</v>
      </c>
      <c r="F115" s="70">
        <f>COUNTIFS('Error Log'!$A:$A,$A115,'Error Log'!$J:$J,F$1)</f>
        <v>0</v>
      </c>
      <c r="G115" s="70">
        <f>COUNTIFS('Error Log'!$A:$A,$A115,'Error Log'!$J:$J,G$1)</f>
        <v>0</v>
      </c>
      <c r="H115" s="70">
        <f>COUNTIFS('Error Log'!$A:$A,$A115,'Error Log'!$F:$F,"Source")</f>
        <v>0</v>
      </c>
      <c r="I115" s="70">
        <f>COUNTIFS('Error Log'!$A:$A,$A115,'Error Log'!$F:$F,"Target")</f>
        <v>0</v>
      </c>
      <c r="J115" s="71">
        <f t="shared" si="1"/>
        <v>0</v>
      </c>
    </row>
    <row r="116" spans="1:10">
      <c r="A116" s="82"/>
      <c r="B116" s="70" t="str">
        <f>IF(ISBLANK(A116),"",INDEX('Error Log'!$A:$J,MATCH('Scores per segment'!$A116,'Error Log'!$A:$A,0),MATCH('Scores per segment'!B$1,'Error Log'!$A$1:$J$1,0)))</f>
        <v/>
      </c>
      <c r="C116" s="70" t="str">
        <f>IF(ISBLANK(A116),"",INDEX('Error Log'!$A:$J,MATCH('Scores per segment'!$A116,'Error Log'!$A:$A,0),MATCH('Scores per segment'!C$1,'Error Log'!$A$1:$J$1,0)))</f>
        <v/>
      </c>
      <c r="D116" s="70">
        <f>IF(H116=0,wdct(TRIM(C116)),0)</f>
        <v>0</v>
      </c>
      <c r="E116" s="70">
        <f>COUNTIFS('Error Log'!$A:$A,$A116,'Error Log'!$J:$J,E$1)</f>
        <v>0</v>
      </c>
      <c r="F116" s="70">
        <f>COUNTIFS('Error Log'!$A:$A,$A116,'Error Log'!$J:$J,F$1)</f>
        <v>0</v>
      </c>
      <c r="G116" s="70">
        <f>COUNTIFS('Error Log'!$A:$A,$A116,'Error Log'!$J:$J,G$1)</f>
        <v>0</v>
      </c>
      <c r="H116" s="70">
        <f>COUNTIFS('Error Log'!$A:$A,$A116,'Error Log'!$F:$F,"Source")</f>
        <v>0</v>
      </c>
      <c r="I116" s="70">
        <f>COUNTIFS('Error Log'!$A:$A,$A116,'Error Log'!$F:$F,"Target")</f>
        <v>0</v>
      </c>
      <c r="J116" s="71">
        <f t="shared" si="1"/>
        <v>0</v>
      </c>
    </row>
    <row r="117" spans="1:10">
      <c r="A117" s="82"/>
      <c r="B117" s="70" t="str">
        <f>IF(ISBLANK(A117),"",INDEX('Error Log'!$A:$J,MATCH('Scores per segment'!$A117,'Error Log'!$A:$A,0),MATCH('Scores per segment'!B$1,'Error Log'!$A$1:$J$1,0)))</f>
        <v/>
      </c>
      <c r="C117" s="70" t="str">
        <f>IF(ISBLANK(A117),"",INDEX('Error Log'!$A:$J,MATCH('Scores per segment'!$A117,'Error Log'!$A:$A,0),MATCH('Scores per segment'!C$1,'Error Log'!$A$1:$J$1,0)))</f>
        <v/>
      </c>
      <c r="D117" s="70">
        <f>IF(H117=0,wdct(TRIM(C117)),0)</f>
        <v>0</v>
      </c>
      <c r="E117" s="70">
        <f>COUNTIFS('Error Log'!$A:$A,$A117,'Error Log'!$J:$J,E$1)</f>
        <v>0</v>
      </c>
      <c r="F117" s="70">
        <f>COUNTIFS('Error Log'!$A:$A,$A117,'Error Log'!$J:$J,F$1)</f>
        <v>0</v>
      </c>
      <c r="G117" s="70">
        <f>COUNTIFS('Error Log'!$A:$A,$A117,'Error Log'!$J:$J,G$1)</f>
        <v>0</v>
      </c>
      <c r="H117" s="70">
        <f>COUNTIFS('Error Log'!$A:$A,$A117,'Error Log'!$F:$F,"Source")</f>
        <v>0</v>
      </c>
      <c r="I117" s="70">
        <f>COUNTIFS('Error Log'!$A:$A,$A117,'Error Log'!$F:$F,"Target")</f>
        <v>0</v>
      </c>
      <c r="J117" s="71">
        <f t="shared" si="1"/>
        <v>0</v>
      </c>
    </row>
    <row r="118" spans="1:10">
      <c r="A118" s="82"/>
      <c r="B118" s="70" t="str">
        <f>IF(ISBLANK(A118),"",INDEX('Error Log'!$A:$J,MATCH('Scores per segment'!$A118,'Error Log'!$A:$A,0),MATCH('Scores per segment'!B$1,'Error Log'!$A$1:$J$1,0)))</f>
        <v/>
      </c>
      <c r="C118" s="70" t="str">
        <f>IF(ISBLANK(A118),"",INDEX('Error Log'!$A:$J,MATCH('Scores per segment'!$A118,'Error Log'!$A:$A,0),MATCH('Scores per segment'!C$1,'Error Log'!$A$1:$J$1,0)))</f>
        <v/>
      </c>
      <c r="D118" s="70">
        <f>IF(H118=0,wdct(TRIM(C118)),0)</f>
        <v>0</v>
      </c>
      <c r="E118" s="70">
        <f>COUNTIFS('Error Log'!$A:$A,$A118,'Error Log'!$J:$J,E$1)</f>
        <v>0</v>
      </c>
      <c r="F118" s="70">
        <f>COUNTIFS('Error Log'!$A:$A,$A118,'Error Log'!$J:$J,F$1)</f>
        <v>0</v>
      </c>
      <c r="G118" s="70">
        <f>COUNTIFS('Error Log'!$A:$A,$A118,'Error Log'!$J:$J,G$1)</f>
        <v>0</v>
      </c>
      <c r="H118" s="70">
        <f>COUNTIFS('Error Log'!$A:$A,$A118,'Error Log'!$F:$F,"Source")</f>
        <v>0</v>
      </c>
      <c r="I118" s="70">
        <f>COUNTIFS('Error Log'!$A:$A,$A118,'Error Log'!$F:$F,"Target")</f>
        <v>0</v>
      </c>
      <c r="J118" s="71">
        <f t="shared" si="1"/>
        <v>0</v>
      </c>
    </row>
    <row r="119" spans="1:10">
      <c r="A119" s="82"/>
      <c r="B119" s="70" t="str">
        <f>IF(ISBLANK(A119),"",INDEX('Error Log'!$A:$J,MATCH('Scores per segment'!$A119,'Error Log'!$A:$A,0),MATCH('Scores per segment'!B$1,'Error Log'!$A$1:$J$1,0)))</f>
        <v/>
      </c>
      <c r="C119" s="70" t="str">
        <f>IF(ISBLANK(A119),"",INDEX('Error Log'!$A:$J,MATCH('Scores per segment'!$A119,'Error Log'!$A:$A,0),MATCH('Scores per segment'!C$1,'Error Log'!$A$1:$J$1,0)))</f>
        <v/>
      </c>
      <c r="D119" s="70">
        <f>IF(H119=0,wdct(TRIM(C119)),0)</f>
        <v>0</v>
      </c>
      <c r="E119" s="70">
        <f>COUNTIFS('Error Log'!$A:$A,$A119,'Error Log'!$J:$J,E$1)</f>
        <v>0</v>
      </c>
      <c r="F119" s="70">
        <f>COUNTIFS('Error Log'!$A:$A,$A119,'Error Log'!$J:$J,F$1)</f>
        <v>0</v>
      </c>
      <c r="G119" s="70">
        <f>COUNTIFS('Error Log'!$A:$A,$A119,'Error Log'!$J:$J,G$1)</f>
        <v>0</v>
      </c>
      <c r="H119" s="70">
        <f>COUNTIFS('Error Log'!$A:$A,$A119,'Error Log'!$F:$F,"Source")</f>
        <v>0</v>
      </c>
      <c r="I119" s="70">
        <f>COUNTIFS('Error Log'!$A:$A,$A119,'Error Log'!$F:$F,"Target")</f>
        <v>0</v>
      </c>
      <c r="J119" s="71">
        <f t="shared" si="1"/>
        <v>0</v>
      </c>
    </row>
    <row r="120" spans="1:10">
      <c r="A120" s="82"/>
      <c r="B120" s="70" t="str">
        <f>IF(ISBLANK(A120),"",INDEX('Error Log'!$A:$J,MATCH('Scores per segment'!$A120,'Error Log'!$A:$A,0),MATCH('Scores per segment'!B$1,'Error Log'!$A$1:$J$1,0)))</f>
        <v/>
      </c>
      <c r="C120" s="70" t="str">
        <f>IF(ISBLANK(A120),"",INDEX('Error Log'!$A:$J,MATCH('Scores per segment'!$A120,'Error Log'!$A:$A,0),MATCH('Scores per segment'!C$1,'Error Log'!$A$1:$J$1,0)))</f>
        <v/>
      </c>
      <c r="D120" s="70">
        <f>IF(H120=0,wdct(TRIM(C120)),0)</f>
        <v>0</v>
      </c>
      <c r="E120" s="70">
        <f>COUNTIFS('Error Log'!$A:$A,$A120,'Error Log'!$J:$J,E$1)</f>
        <v>0</v>
      </c>
      <c r="F120" s="70">
        <f>COUNTIFS('Error Log'!$A:$A,$A120,'Error Log'!$J:$J,F$1)</f>
        <v>0</v>
      </c>
      <c r="G120" s="70">
        <f>COUNTIFS('Error Log'!$A:$A,$A120,'Error Log'!$J:$J,G$1)</f>
        <v>0</v>
      </c>
      <c r="H120" s="70">
        <f>COUNTIFS('Error Log'!$A:$A,$A120,'Error Log'!$F:$F,"Source")</f>
        <v>0</v>
      </c>
      <c r="I120" s="70">
        <f>COUNTIFS('Error Log'!$A:$A,$A120,'Error Log'!$F:$F,"Target")</f>
        <v>0</v>
      </c>
      <c r="J120" s="71">
        <f t="shared" si="1"/>
        <v>0</v>
      </c>
    </row>
    <row r="121" spans="1:10">
      <c r="A121" s="82"/>
      <c r="B121" s="70" t="str">
        <f>IF(ISBLANK(A121),"",INDEX('Error Log'!$A:$J,MATCH('Scores per segment'!$A121,'Error Log'!$A:$A,0),MATCH('Scores per segment'!B$1,'Error Log'!$A$1:$J$1,0)))</f>
        <v/>
      </c>
      <c r="C121" s="70" t="str">
        <f>IF(ISBLANK(A121),"",INDEX('Error Log'!$A:$J,MATCH('Scores per segment'!$A121,'Error Log'!$A:$A,0),MATCH('Scores per segment'!C$1,'Error Log'!$A$1:$J$1,0)))</f>
        <v/>
      </c>
      <c r="D121" s="70">
        <f>IF(H121=0,wdct(TRIM(C121)),0)</f>
        <v>0</v>
      </c>
      <c r="E121" s="70">
        <f>COUNTIFS('Error Log'!$A:$A,$A121,'Error Log'!$J:$J,E$1)</f>
        <v>0</v>
      </c>
      <c r="F121" s="70">
        <f>COUNTIFS('Error Log'!$A:$A,$A121,'Error Log'!$J:$J,F$1)</f>
        <v>0</v>
      </c>
      <c r="G121" s="70">
        <f>COUNTIFS('Error Log'!$A:$A,$A121,'Error Log'!$J:$J,G$1)</f>
        <v>0</v>
      </c>
      <c r="H121" s="70">
        <f>COUNTIFS('Error Log'!$A:$A,$A121,'Error Log'!$F:$F,"Source")</f>
        <v>0</v>
      </c>
      <c r="I121" s="70">
        <f>COUNTIFS('Error Log'!$A:$A,$A121,'Error Log'!$F:$F,"Target")</f>
        <v>0</v>
      </c>
      <c r="J121" s="71">
        <f t="shared" si="1"/>
        <v>0</v>
      </c>
    </row>
    <row r="122" spans="1:10">
      <c r="A122" s="82"/>
      <c r="B122" s="70" t="str">
        <f>IF(ISBLANK(A122),"",INDEX('Error Log'!$A:$J,MATCH('Scores per segment'!$A122,'Error Log'!$A:$A,0),MATCH('Scores per segment'!B$1,'Error Log'!$A$1:$J$1,0)))</f>
        <v/>
      </c>
      <c r="C122" s="70" t="str">
        <f>IF(ISBLANK(A122),"",INDEX('Error Log'!$A:$J,MATCH('Scores per segment'!$A122,'Error Log'!$A:$A,0),MATCH('Scores per segment'!C$1,'Error Log'!$A$1:$J$1,0)))</f>
        <v/>
      </c>
      <c r="D122" s="70">
        <f>IF(H122=0,wdct(TRIM(C122)),0)</f>
        <v>0</v>
      </c>
      <c r="E122" s="70">
        <f>COUNTIFS('Error Log'!$A:$A,$A122,'Error Log'!$J:$J,E$1)</f>
        <v>0</v>
      </c>
      <c r="F122" s="70">
        <f>COUNTIFS('Error Log'!$A:$A,$A122,'Error Log'!$J:$J,F$1)</f>
        <v>0</v>
      </c>
      <c r="G122" s="70">
        <f>COUNTIFS('Error Log'!$A:$A,$A122,'Error Log'!$J:$J,G$1)</f>
        <v>0</v>
      </c>
      <c r="H122" s="70">
        <f>COUNTIFS('Error Log'!$A:$A,$A122,'Error Log'!$F:$F,"Source")</f>
        <v>0</v>
      </c>
      <c r="I122" s="70">
        <f>COUNTIFS('Error Log'!$A:$A,$A122,'Error Log'!$F:$F,"Target")</f>
        <v>0</v>
      </c>
      <c r="J122" s="71">
        <f t="shared" si="1"/>
        <v>0</v>
      </c>
    </row>
    <row r="123" spans="1:10">
      <c r="A123" s="82"/>
      <c r="B123" s="70" t="str">
        <f>IF(ISBLANK(A123),"",INDEX('Error Log'!$A:$J,MATCH('Scores per segment'!$A123,'Error Log'!$A:$A,0),MATCH('Scores per segment'!B$1,'Error Log'!$A$1:$J$1,0)))</f>
        <v/>
      </c>
      <c r="C123" s="70" t="str">
        <f>IF(ISBLANK(A123),"",INDEX('Error Log'!$A:$J,MATCH('Scores per segment'!$A123,'Error Log'!$A:$A,0),MATCH('Scores per segment'!C$1,'Error Log'!$A$1:$J$1,0)))</f>
        <v/>
      </c>
      <c r="D123" s="70">
        <f>IF(H123=0,wdct(TRIM(C123)),0)</f>
        <v>0</v>
      </c>
      <c r="E123" s="70">
        <f>COUNTIFS('Error Log'!$A:$A,$A123,'Error Log'!$J:$J,E$1)</f>
        <v>0</v>
      </c>
      <c r="F123" s="70">
        <f>COUNTIFS('Error Log'!$A:$A,$A123,'Error Log'!$J:$J,F$1)</f>
        <v>0</v>
      </c>
      <c r="G123" s="70">
        <f>COUNTIFS('Error Log'!$A:$A,$A123,'Error Log'!$J:$J,G$1)</f>
        <v>0</v>
      </c>
      <c r="H123" s="70">
        <f>COUNTIFS('Error Log'!$A:$A,$A123,'Error Log'!$F:$F,"Source")</f>
        <v>0</v>
      </c>
      <c r="I123" s="70">
        <f>COUNTIFS('Error Log'!$A:$A,$A123,'Error Log'!$F:$F,"Target")</f>
        <v>0</v>
      </c>
      <c r="J123" s="71">
        <f t="shared" si="1"/>
        <v>0</v>
      </c>
    </row>
    <row r="124" spans="1:10">
      <c r="A124" s="82"/>
      <c r="B124" s="70" t="str">
        <f>IF(ISBLANK(A124),"",INDEX('Error Log'!$A:$J,MATCH('Scores per segment'!$A124,'Error Log'!$A:$A,0),MATCH('Scores per segment'!B$1,'Error Log'!$A$1:$J$1,0)))</f>
        <v/>
      </c>
      <c r="C124" s="70" t="str">
        <f>IF(ISBLANK(A124),"",INDEX('Error Log'!$A:$J,MATCH('Scores per segment'!$A124,'Error Log'!$A:$A,0),MATCH('Scores per segment'!C$1,'Error Log'!$A$1:$J$1,0)))</f>
        <v/>
      </c>
      <c r="D124" s="70">
        <f>IF(H124=0,wdct(TRIM(C124)),0)</f>
        <v>0</v>
      </c>
      <c r="E124" s="70">
        <f>COUNTIFS('Error Log'!$A:$A,$A124,'Error Log'!$J:$J,E$1)</f>
        <v>0</v>
      </c>
      <c r="F124" s="70">
        <f>COUNTIFS('Error Log'!$A:$A,$A124,'Error Log'!$J:$J,F$1)</f>
        <v>0</v>
      </c>
      <c r="G124" s="70">
        <f>COUNTIFS('Error Log'!$A:$A,$A124,'Error Log'!$J:$J,G$1)</f>
        <v>0</v>
      </c>
      <c r="H124" s="70">
        <f>COUNTIFS('Error Log'!$A:$A,$A124,'Error Log'!$F:$F,"Source")</f>
        <v>0</v>
      </c>
      <c r="I124" s="70">
        <f>COUNTIFS('Error Log'!$A:$A,$A124,'Error Log'!$F:$F,"Target")</f>
        <v>0</v>
      </c>
      <c r="J124" s="71">
        <f t="shared" si="1"/>
        <v>0</v>
      </c>
    </row>
    <row r="125" spans="1:10">
      <c r="A125" s="82"/>
      <c r="B125" s="70" t="str">
        <f>IF(ISBLANK(A125),"",INDEX('Error Log'!$A:$J,MATCH('Scores per segment'!$A125,'Error Log'!$A:$A,0),MATCH('Scores per segment'!B$1,'Error Log'!$A$1:$J$1,0)))</f>
        <v/>
      </c>
      <c r="C125" s="70" t="str">
        <f>IF(ISBLANK(A125),"",INDEX('Error Log'!$A:$J,MATCH('Scores per segment'!$A125,'Error Log'!$A:$A,0),MATCH('Scores per segment'!C$1,'Error Log'!$A$1:$J$1,0)))</f>
        <v/>
      </c>
      <c r="D125" s="70">
        <f>IF(H125=0,wdct(TRIM(C125)),0)</f>
        <v>0</v>
      </c>
      <c r="E125" s="70">
        <f>COUNTIFS('Error Log'!$A:$A,$A125,'Error Log'!$J:$J,E$1)</f>
        <v>0</v>
      </c>
      <c r="F125" s="70">
        <f>COUNTIFS('Error Log'!$A:$A,$A125,'Error Log'!$J:$J,F$1)</f>
        <v>0</v>
      </c>
      <c r="G125" s="70">
        <f>COUNTIFS('Error Log'!$A:$A,$A125,'Error Log'!$J:$J,G$1)</f>
        <v>0</v>
      </c>
      <c r="H125" s="70">
        <f>COUNTIFS('Error Log'!$A:$A,$A125,'Error Log'!$F:$F,"Source")</f>
        <v>0</v>
      </c>
      <c r="I125" s="70">
        <f>COUNTIFS('Error Log'!$A:$A,$A125,'Error Log'!$F:$F,"Target")</f>
        <v>0</v>
      </c>
      <c r="J125" s="71">
        <f t="shared" ref="J125:J188" si="2">IF(I125=0,IFERROR((((1-((E125*10+F125*5+G125*1)/D125))*100)+100)/2,0),-150)</f>
        <v>0</v>
      </c>
    </row>
    <row r="126" spans="1:10">
      <c r="A126" s="82"/>
      <c r="B126" s="70" t="str">
        <f>IF(ISBLANK(A126),"",INDEX('Error Log'!$A:$J,MATCH('Scores per segment'!$A126,'Error Log'!$A:$A,0),MATCH('Scores per segment'!B$1,'Error Log'!$A$1:$J$1,0)))</f>
        <v/>
      </c>
      <c r="C126" s="70" t="str">
        <f>IF(ISBLANK(A126),"",INDEX('Error Log'!$A:$J,MATCH('Scores per segment'!$A126,'Error Log'!$A:$A,0),MATCH('Scores per segment'!C$1,'Error Log'!$A$1:$J$1,0)))</f>
        <v/>
      </c>
      <c r="D126" s="70">
        <f>IF(H126=0,wdct(TRIM(C126)),0)</f>
        <v>0</v>
      </c>
      <c r="E126" s="70">
        <f>COUNTIFS('Error Log'!$A:$A,$A126,'Error Log'!$J:$J,E$1)</f>
        <v>0</v>
      </c>
      <c r="F126" s="70">
        <f>COUNTIFS('Error Log'!$A:$A,$A126,'Error Log'!$J:$J,F$1)</f>
        <v>0</v>
      </c>
      <c r="G126" s="70">
        <f>COUNTIFS('Error Log'!$A:$A,$A126,'Error Log'!$J:$J,G$1)</f>
        <v>0</v>
      </c>
      <c r="H126" s="70">
        <f>COUNTIFS('Error Log'!$A:$A,$A126,'Error Log'!$F:$F,"Source")</f>
        <v>0</v>
      </c>
      <c r="I126" s="70">
        <f>COUNTIFS('Error Log'!$A:$A,$A126,'Error Log'!$F:$F,"Target")</f>
        <v>0</v>
      </c>
      <c r="J126" s="71">
        <f t="shared" si="2"/>
        <v>0</v>
      </c>
    </row>
    <row r="127" spans="1:10">
      <c r="A127" s="82"/>
      <c r="B127" s="70" t="str">
        <f>IF(ISBLANK(A127),"",INDEX('Error Log'!$A:$J,MATCH('Scores per segment'!$A127,'Error Log'!$A:$A,0),MATCH('Scores per segment'!B$1,'Error Log'!$A$1:$J$1,0)))</f>
        <v/>
      </c>
      <c r="C127" s="70" t="str">
        <f>IF(ISBLANK(A127),"",INDEX('Error Log'!$A:$J,MATCH('Scores per segment'!$A127,'Error Log'!$A:$A,0),MATCH('Scores per segment'!C$1,'Error Log'!$A$1:$J$1,0)))</f>
        <v/>
      </c>
      <c r="D127" s="70">
        <f>IF(H127=0,wdct(TRIM(C127)),0)</f>
        <v>0</v>
      </c>
      <c r="E127" s="70">
        <f>COUNTIFS('Error Log'!$A:$A,$A127,'Error Log'!$J:$J,E$1)</f>
        <v>0</v>
      </c>
      <c r="F127" s="70">
        <f>COUNTIFS('Error Log'!$A:$A,$A127,'Error Log'!$J:$J,F$1)</f>
        <v>0</v>
      </c>
      <c r="G127" s="70">
        <f>COUNTIFS('Error Log'!$A:$A,$A127,'Error Log'!$J:$J,G$1)</f>
        <v>0</v>
      </c>
      <c r="H127" s="70">
        <f>COUNTIFS('Error Log'!$A:$A,$A127,'Error Log'!$F:$F,"Source")</f>
        <v>0</v>
      </c>
      <c r="I127" s="70">
        <f>COUNTIFS('Error Log'!$A:$A,$A127,'Error Log'!$F:$F,"Target")</f>
        <v>0</v>
      </c>
      <c r="J127" s="71">
        <f t="shared" si="2"/>
        <v>0</v>
      </c>
    </row>
    <row r="128" spans="1:10">
      <c r="A128" s="82"/>
      <c r="B128" s="70" t="str">
        <f>IF(ISBLANK(A128),"",INDEX('Error Log'!$A:$J,MATCH('Scores per segment'!$A128,'Error Log'!$A:$A,0),MATCH('Scores per segment'!B$1,'Error Log'!$A$1:$J$1,0)))</f>
        <v/>
      </c>
      <c r="C128" s="70" t="str">
        <f>IF(ISBLANK(A128),"",INDEX('Error Log'!$A:$J,MATCH('Scores per segment'!$A128,'Error Log'!$A:$A,0),MATCH('Scores per segment'!C$1,'Error Log'!$A$1:$J$1,0)))</f>
        <v/>
      </c>
      <c r="D128" s="70">
        <f>IF(H128=0,wdct(TRIM(C128)),0)</f>
        <v>0</v>
      </c>
      <c r="E128" s="70">
        <f>COUNTIFS('Error Log'!$A:$A,$A128,'Error Log'!$J:$J,E$1)</f>
        <v>0</v>
      </c>
      <c r="F128" s="70">
        <f>COUNTIFS('Error Log'!$A:$A,$A128,'Error Log'!$J:$J,F$1)</f>
        <v>0</v>
      </c>
      <c r="G128" s="70">
        <f>COUNTIFS('Error Log'!$A:$A,$A128,'Error Log'!$J:$J,G$1)</f>
        <v>0</v>
      </c>
      <c r="H128" s="70">
        <f>COUNTIFS('Error Log'!$A:$A,$A128,'Error Log'!$F:$F,"Source")</f>
        <v>0</v>
      </c>
      <c r="I128" s="70">
        <f>COUNTIFS('Error Log'!$A:$A,$A128,'Error Log'!$F:$F,"Target")</f>
        <v>0</v>
      </c>
      <c r="J128" s="71">
        <f t="shared" si="2"/>
        <v>0</v>
      </c>
    </row>
    <row r="129" spans="1:10">
      <c r="A129" s="82"/>
      <c r="B129" s="70" t="str">
        <f>IF(ISBLANK(A129),"",INDEX('Error Log'!$A:$J,MATCH('Scores per segment'!$A129,'Error Log'!$A:$A,0),MATCH('Scores per segment'!B$1,'Error Log'!$A$1:$J$1,0)))</f>
        <v/>
      </c>
      <c r="C129" s="70" t="str">
        <f>IF(ISBLANK(A129),"",INDEX('Error Log'!$A:$J,MATCH('Scores per segment'!$A129,'Error Log'!$A:$A,0),MATCH('Scores per segment'!C$1,'Error Log'!$A$1:$J$1,0)))</f>
        <v/>
      </c>
      <c r="D129" s="70">
        <f>IF(H129=0,wdct(TRIM(C129)),0)</f>
        <v>0</v>
      </c>
      <c r="E129" s="70">
        <f>COUNTIFS('Error Log'!$A:$A,$A129,'Error Log'!$J:$J,E$1)</f>
        <v>0</v>
      </c>
      <c r="F129" s="70">
        <f>COUNTIFS('Error Log'!$A:$A,$A129,'Error Log'!$J:$J,F$1)</f>
        <v>0</v>
      </c>
      <c r="G129" s="70">
        <f>COUNTIFS('Error Log'!$A:$A,$A129,'Error Log'!$J:$J,G$1)</f>
        <v>0</v>
      </c>
      <c r="H129" s="70">
        <f>COUNTIFS('Error Log'!$A:$A,$A129,'Error Log'!$F:$F,"Source")</f>
        <v>0</v>
      </c>
      <c r="I129" s="70">
        <f>COUNTIFS('Error Log'!$A:$A,$A129,'Error Log'!$F:$F,"Target")</f>
        <v>0</v>
      </c>
      <c r="J129" s="71">
        <f t="shared" si="2"/>
        <v>0</v>
      </c>
    </row>
    <row r="130" spans="1:10">
      <c r="A130" s="82"/>
      <c r="B130" s="70" t="str">
        <f>IF(ISBLANK(A130),"",INDEX('Error Log'!$A:$J,MATCH('Scores per segment'!$A130,'Error Log'!$A:$A,0),MATCH('Scores per segment'!B$1,'Error Log'!$A$1:$J$1,0)))</f>
        <v/>
      </c>
      <c r="C130" s="70" t="str">
        <f>IF(ISBLANK(A130),"",INDEX('Error Log'!$A:$J,MATCH('Scores per segment'!$A130,'Error Log'!$A:$A,0),MATCH('Scores per segment'!C$1,'Error Log'!$A$1:$J$1,0)))</f>
        <v/>
      </c>
      <c r="D130" s="70">
        <f>IF(H130=0,wdct(TRIM(C130)),0)</f>
        <v>0</v>
      </c>
      <c r="E130" s="70">
        <f>COUNTIFS('Error Log'!$A:$A,$A130,'Error Log'!$J:$J,E$1)</f>
        <v>0</v>
      </c>
      <c r="F130" s="70">
        <f>COUNTIFS('Error Log'!$A:$A,$A130,'Error Log'!$J:$J,F$1)</f>
        <v>0</v>
      </c>
      <c r="G130" s="70">
        <f>COUNTIFS('Error Log'!$A:$A,$A130,'Error Log'!$J:$J,G$1)</f>
        <v>0</v>
      </c>
      <c r="H130" s="70">
        <f>COUNTIFS('Error Log'!$A:$A,$A130,'Error Log'!$F:$F,"Source")</f>
        <v>0</v>
      </c>
      <c r="I130" s="70">
        <f>COUNTIFS('Error Log'!$A:$A,$A130,'Error Log'!$F:$F,"Target")</f>
        <v>0</v>
      </c>
      <c r="J130" s="71">
        <f t="shared" si="2"/>
        <v>0</v>
      </c>
    </row>
    <row r="131" spans="1:10">
      <c r="A131" s="82"/>
      <c r="B131" s="70" t="str">
        <f>IF(ISBLANK(A131),"",INDEX('Error Log'!$A:$J,MATCH('Scores per segment'!$A131,'Error Log'!$A:$A,0),MATCH('Scores per segment'!B$1,'Error Log'!$A$1:$J$1,0)))</f>
        <v/>
      </c>
      <c r="C131" s="70" t="str">
        <f>IF(ISBLANK(A131),"",INDEX('Error Log'!$A:$J,MATCH('Scores per segment'!$A131,'Error Log'!$A:$A,0),MATCH('Scores per segment'!C$1,'Error Log'!$A$1:$J$1,0)))</f>
        <v/>
      </c>
      <c r="D131" s="70">
        <f>IF(H131=0,wdct(TRIM(C131)),0)</f>
        <v>0</v>
      </c>
      <c r="E131" s="70">
        <f>COUNTIFS('Error Log'!$A:$A,$A131,'Error Log'!$J:$J,E$1)</f>
        <v>0</v>
      </c>
      <c r="F131" s="70">
        <f>COUNTIFS('Error Log'!$A:$A,$A131,'Error Log'!$J:$J,F$1)</f>
        <v>0</v>
      </c>
      <c r="G131" s="70">
        <f>COUNTIFS('Error Log'!$A:$A,$A131,'Error Log'!$J:$J,G$1)</f>
        <v>0</v>
      </c>
      <c r="H131" s="70">
        <f>COUNTIFS('Error Log'!$A:$A,$A131,'Error Log'!$F:$F,"Source")</f>
        <v>0</v>
      </c>
      <c r="I131" s="70">
        <f>COUNTIFS('Error Log'!$A:$A,$A131,'Error Log'!$F:$F,"Target")</f>
        <v>0</v>
      </c>
      <c r="J131" s="71">
        <f t="shared" si="2"/>
        <v>0</v>
      </c>
    </row>
    <row r="132" spans="1:10">
      <c r="A132" s="82"/>
      <c r="B132" s="70" t="str">
        <f>IF(ISBLANK(A132),"",INDEX('Error Log'!$A:$J,MATCH('Scores per segment'!$A132,'Error Log'!$A:$A,0),MATCH('Scores per segment'!B$1,'Error Log'!$A$1:$J$1,0)))</f>
        <v/>
      </c>
      <c r="C132" s="70" t="str">
        <f>IF(ISBLANK(A132),"",INDEX('Error Log'!$A:$J,MATCH('Scores per segment'!$A132,'Error Log'!$A:$A,0),MATCH('Scores per segment'!C$1,'Error Log'!$A$1:$J$1,0)))</f>
        <v/>
      </c>
      <c r="D132" s="70">
        <f>IF(H132=0,wdct(TRIM(C132)),0)</f>
        <v>0</v>
      </c>
      <c r="E132" s="70">
        <f>COUNTIFS('Error Log'!$A:$A,$A132,'Error Log'!$J:$J,E$1)</f>
        <v>0</v>
      </c>
      <c r="F132" s="70">
        <f>COUNTIFS('Error Log'!$A:$A,$A132,'Error Log'!$J:$J,F$1)</f>
        <v>0</v>
      </c>
      <c r="G132" s="70">
        <f>COUNTIFS('Error Log'!$A:$A,$A132,'Error Log'!$J:$J,G$1)</f>
        <v>0</v>
      </c>
      <c r="H132" s="70">
        <f>COUNTIFS('Error Log'!$A:$A,$A132,'Error Log'!$F:$F,"Source")</f>
        <v>0</v>
      </c>
      <c r="I132" s="70">
        <f>COUNTIFS('Error Log'!$A:$A,$A132,'Error Log'!$F:$F,"Target")</f>
        <v>0</v>
      </c>
      <c r="J132" s="71">
        <f t="shared" si="2"/>
        <v>0</v>
      </c>
    </row>
    <row r="133" spans="1:10">
      <c r="A133" s="82"/>
      <c r="B133" s="70" t="str">
        <f>IF(ISBLANK(A133),"",INDEX('Error Log'!$A:$J,MATCH('Scores per segment'!$A133,'Error Log'!$A:$A,0),MATCH('Scores per segment'!B$1,'Error Log'!$A$1:$J$1,0)))</f>
        <v/>
      </c>
      <c r="C133" s="70" t="str">
        <f>IF(ISBLANK(A133),"",INDEX('Error Log'!$A:$J,MATCH('Scores per segment'!$A133,'Error Log'!$A:$A,0),MATCH('Scores per segment'!C$1,'Error Log'!$A$1:$J$1,0)))</f>
        <v/>
      </c>
      <c r="D133" s="70">
        <f>IF(H133=0,wdct(TRIM(C133)),0)</f>
        <v>0</v>
      </c>
      <c r="E133" s="70">
        <f>COUNTIFS('Error Log'!$A:$A,$A133,'Error Log'!$J:$J,E$1)</f>
        <v>0</v>
      </c>
      <c r="F133" s="70">
        <f>COUNTIFS('Error Log'!$A:$A,$A133,'Error Log'!$J:$J,F$1)</f>
        <v>0</v>
      </c>
      <c r="G133" s="70">
        <f>COUNTIFS('Error Log'!$A:$A,$A133,'Error Log'!$J:$J,G$1)</f>
        <v>0</v>
      </c>
      <c r="H133" s="70">
        <f>COUNTIFS('Error Log'!$A:$A,$A133,'Error Log'!$F:$F,"Source")</f>
        <v>0</v>
      </c>
      <c r="I133" s="70">
        <f>COUNTIFS('Error Log'!$A:$A,$A133,'Error Log'!$F:$F,"Target")</f>
        <v>0</v>
      </c>
      <c r="J133" s="71">
        <f t="shared" si="2"/>
        <v>0</v>
      </c>
    </row>
    <row r="134" spans="1:10">
      <c r="A134" s="82"/>
      <c r="B134" s="70" t="str">
        <f>IF(ISBLANK(A134),"",INDEX('Error Log'!$A:$J,MATCH('Scores per segment'!$A134,'Error Log'!$A:$A,0),MATCH('Scores per segment'!B$1,'Error Log'!$A$1:$J$1,0)))</f>
        <v/>
      </c>
      <c r="C134" s="70" t="str">
        <f>IF(ISBLANK(A134),"",INDEX('Error Log'!$A:$J,MATCH('Scores per segment'!$A134,'Error Log'!$A:$A,0),MATCH('Scores per segment'!C$1,'Error Log'!$A$1:$J$1,0)))</f>
        <v/>
      </c>
      <c r="D134" s="70">
        <f>IF(H134=0,wdct(TRIM(C134)),0)</f>
        <v>0</v>
      </c>
      <c r="E134" s="70">
        <f>COUNTIFS('Error Log'!$A:$A,$A134,'Error Log'!$J:$J,E$1)</f>
        <v>0</v>
      </c>
      <c r="F134" s="70">
        <f>COUNTIFS('Error Log'!$A:$A,$A134,'Error Log'!$J:$J,F$1)</f>
        <v>0</v>
      </c>
      <c r="G134" s="70">
        <f>COUNTIFS('Error Log'!$A:$A,$A134,'Error Log'!$J:$J,G$1)</f>
        <v>0</v>
      </c>
      <c r="H134" s="70">
        <f>COUNTIFS('Error Log'!$A:$A,$A134,'Error Log'!$F:$F,"Source")</f>
        <v>0</v>
      </c>
      <c r="I134" s="70">
        <f>COUNTIFS('Error Log'!$A:$A,$A134,'Error Log'!$F:$F,"Target")</f>
        <v>0</v>
      </c>
      <c r="J134" s="71">
        <f t="shared" si="2"/>
        <v>0</v>
      </c>
    </row>
    <row r="135" spans="1:10">
      <c r="A135" s="82"/>
      <c r="B135" s="70" t="str">
        <f>IF(ISBLANK(A135),"",INDEX('Error Log'!$A:$J,MATCH('Scores per segment'!$A135,'Error Log'!$A:$A,0),MATCH('Scores per segment'!B$1,'Error Log'!$A$1:$J$1,0)))</f>
        <v/>
      </c>
      <c r="C135" s="70" t="str">
        <f>IF(ISBLANK(A135),"",INDEX('Error Log'!$A:$J,MATCH('Scores per segment'!$A135,'Error Log'!$A:$A,0),MATCH('Scores per segment'!C$1,'Error Log'!$A$1:$J$1,0)))</f>
        <v/>
      </c>
      <c r="D135" s="70">
        <f>IF(H135=0,wdct(TRIM(C135)),0)</f>
        <v>0</v>
      </c>
      <c r="E135" s="70">
        <f>COUNTIFS('Error Log'!$A:$A,$A135,'Error Log'!$J:$J,E$1)</f>
        <v>0</v>
      </c>
      <c r="F135" s="70">
        <f>COUNTIFS('Error Log'!$A:$A,$A135,'Error Log'!$J:$J,F$1)</f>
        <v>0</v>
      </c>
      <c r="G135" s="70">
        <f>COUNTIFS('Error Log'!$A:$A,$A135,'Error Log'!$J:$J,G$1)</f>
        <v>0</v>
      </c>
      <c r="H135" s="70">
        <f>COUNTIFS('Error Log'!$A:$A,$A135,'Error Log'!$F:$F,"Source")</f>
        <v>0</v>
      </c>
      <c r="I135" s="70">
        <f>COUNTIFS('Error Log'!$A:$A,$A135,'Error Log'!$F:$F,"Target")</f>
        <v>0</v>
      </c>
      <c r="J135" s="71">
        <f t="shared" si="2"/>
        <v>0</v>
      </c>
    </row>
    <row r="136" spans="1:10">
      <c r="A136" s="82"/>
      <c r="B136" s="70" t="str">
        <f>IF(ISBLANK(A136),"",INDEX('Error Log'!$A:$J,MATCH('Scores per segment'!$A136,'Error Log'!$A:$A,0),MATCH('Scores per segment'!B$1,'Error Log'!$A$1:$J$1,0)))</f>
        <v/>
      </c>
      <c r="C136" s="70" t="str">
        <f>IF(ISBLANK(A136),"",INDEX('Error Log'!$A:$J,MATCH('Scores per segment'!$A136,'Error Log'!$A:$A,0),MATCH('Scores per segment'!C$1,'Error Log'!$A$1:$J$1,0)))</f>
        <v/>
      </c>
      <c r="D136" s="70">
        <f>IF(H136=0,wdct(TRIM(C136)),0)</f>
        <v>0</v>
      </c>
      <c r="E136" s="70">
        <f>COUNTIFS('Error Log'!$A:$A,$A136,'Error Log'!$J:$J,E$1)</f>
        <v>0</v>
      </c>
      <c r="F136" s="70">
        <f>COUNTIFS('Error Log'!$A:$A,$A136,'Error Log'!$J:$J,F$1)</f>
        <v>0</v>
      </c>
      <c r="G136" s="70">
        <f>COUNTIFS('Error Log'!$A:$A,$A136,'Error Log'!$J:$J,G$1)</f>
        <v>0</v>
      </c>
      <c r="H136" s="70">
        <f>COUNTIFS('Error Log'!$A:$A,$A136,'Error Log'!$F:$F,"Source")</f>
        <v>0</v>
      </c>
      <c r="I136" s="70">
        <f>COUNTIFS('Error Log'!$A:$A,$A136,'Error Log'!$F:$F,"Target")</f>
        <v>0</v>
      </c>
      <c r="J136" s="71">
        <f t="shared" si="2"/>
        <v>0</v>
      </c>
    </row>
    <row r="137" spans="1:10">
      <c r="A137" s="82"/>
      <c r="B137" s="70" t="str">
        <f>IF(ISBLANK(A137),"",INDEX('Error Log'!$A:$J,MATCH('Scores per segment'!$A137,'Error Log'!$A:$A,0),MATCH('Scores per segment'!B$1,'Error Log'!$A$1:$J$1,0)))</f>
        <v/>
      </c>
      <c r="C137" s="70" t="str">
        <f>IF(ISBLANK(A137),"",INDEX('Error Log'!$A:$J,MATCH('Scores per segment'!$A137,'Error Log'!$A:$A,0),MATCH('Scores per segment'!C$1,'Error Log'!$A$1:$J$1,0)))</f>
        <v/>
      </c>
      <c r="D137" s="70">
        <f>IF(H137=0,wdct(TRIM(C137)),0)</f>
        <v>0</v>
      </c>
      <c r="E137" s="70">
        <f>COUNTIFS('Error Log'!$A:$A,$A137,'Error Log'!$J:$J,E$1)</f>
        <v>0</v>
      </c>
      <c r="F137" s="70">
        <f>COUNTIFS('Error Log'!$A:$A,$A137,'Error Log'!$J:$J,F$1)</f>
        <v>0</v>
      </c>
      <c r="G137" s="70">
        <f>COUNTIFS('Error Log'!$A:$A,$A137,'Error Log'!$J:$J,G$1)</f>
        <v>0</v>
      </c>
      <c r="H137" s="70">
        <f>COUNTIFS('Error Log'!$A:$A,$A137,'Error Log'!$F:$F,"Source")</f>
        <v>0</v>
      </c>
      <c r="I137" s="70">
        <f>COUNTIFS('Error Log'!$A:$A,$A137,'Error Log'!$F:$F,"Target")</f>
        <v>0</v>
      </c>
      <c r="J137" s="71">
        <f t="shared" si="2"/>
        <v>0</v>
      </c>
    </row>
    <row r="138" spans="1:10">
      <c r="A138" s="82"/>
      <c r="B138" s="70" t="str">
        <f>IF(ISBLANK(A138),"",INDEX('Error Log'!$A:$J,MATCH('Scores per segment'!$A138,'Error Log'!$A:$A,0),MATCH('Scores per segment'!B$1,'Error Log'!$A$1:$J$1,0)))</f>
        <v/>
      </c>
      <c r="C138" s="70" t="str">
        <f>IF(ISBLANK(A138),"",INDEX('Error Log'!$A:$J,MATCH('Scores per segment'!$A138,'Error Log'!$A:$A,0),MATCH('Scores per segment'!C$1,'Error Log'!$A$1:$J$1,0)))</f>
        <v/>
      </c>
      <c r="D138" s="70">
        <f>IF(H138=0,wdct(TRIM(C138)),0)</f>
        <v>0</v>
      </c>
      <c r="E138" s="70">
        <f>COUNTIFS('Error Log'!$A:$A,$A138,'Error Log'!$J:$J,E$1)</f>
        <v>0</v>
      </c>
      <c r="F138" s="70">
        <f>COUNTIFS('Error Log'!$A:$A,$A138,'Error Log'!$J:$J,F$1)</f>
        <v>0</v>
      </c>
      <c r="G138" s="70">
        <f>COUNTIFS('Error Log'!$A:$A,$A138,'Error Log'!$J:$J,G$1)</f>
        <v>0</v>
      </c>
      <c r="H138" s="70">
        <f>COUNTIFS('Error Log'!$A:$A,$A138,'Error Log'!$F:$F,"Source")</f>
        <v>0</v>
      </c>
      <c r="I138" s="70">
        <f>COUNTIFS('Error Log'!$A:$A,$A138,'Error Log'!$F:$F,"Target")</f>
        <v>0</v>
      </c>
      <c r="J138" s="71">
        <f t="shared" si="2"/>
        <v>0</v>
      </c>
    </row>
    <row r="139" spans="1:10">
      <c r="A139" s="82"/>
      <c r="B139" s="70" t="str">
        <f>IF(ISBLANK(A139),"",INDEX('Error Log'!$A:$J,MATCH('Scores per segment'!$A139,'Error Log'!$A:$A,0),MATCH('Scores per segment'!B$1,'Error Log'!$A$1:$J$1,0)))</f>
        <v/>
      </c>
      <c r="C139" s="70" t="str">
        <f>IF(ISBLANK(A139),"",INDEX('Error Log'!$A:$J,MATCH('Scores per segment'!$A139,'Error Log'!$A:$A,0),MATCH('Scores per segment'!C$1,'Error Log'!$A$1:$J$1,0)))</f>
        <v/>
      </c>
      <c r="D139" s="70">
        <f>IF(H139=0,wdct(TRIM(C139)),0)</f>
        <v>0</v>
      </c>
      <c r="E139" s="70">
        <f>COUNTIFS('Error Log'!$A:$A,$A139,'Error Log'!$J:$J,E$1)</f>
        <v>0</v>
      </c>
      <c r="F139" s="70">
        <f>COUNTIFS('Error Log'!$A:$A,$A139,'Error Log'!$J:$J,F$1)</f>
        <v>0</v>
      </c>
      <c r="G139" s="70">
        <f>COUNTIFS('Error Log'!$A:$A,$A139,'Error Log'!$J:$J,G$1)</f>
        <v>0</v>
      </c>
      <c r="H139" s="70">
        <f>COUNTIFS('Error Log'!$A:$A,$A139,'Error Log'!$F:$F,"Source")</f>
        <v>0</v>
      </c>
      <c r="I139" s="70">
        <f>COUNTIFS('Error Log'!$A:$A,$A139,'Error Log'!$F:$F,"Target")</f>
        <v>0</v>
      </c>
      <c r="J139" s="71">
        <f t="shared" si="2"/>
        <v>0</v>
      </c>
    </row>
    <row r="140" spans="1:10">
      <c r="A140" s="82"/>
      <c r="B140" s="70" t="str">
        <f>IF(ISBLANK(A140),"",INDEX('Error Log'!$A:$J,MATCH('Scores per segment'!$A140,'Error Log'!$A:$A,0),MATCH('Scores per segment'!B$1,'Error Log'!$A$1:$J$1,0)))</f>
        <v/>
      </c>
      <c r="C140" s="70" t="str">
        <f>IF(ISBLANK(A140),"",INDEX('Error Log'!$A:$J,MATCH('Scores per segment'!$A140,'Error Log'!$A:$A,0),MATCH('Scores per segment'!C$1,'Error Log'!$A$1:$J$1,0)))</f>
        <v/>
      </c>
      <c r="D140" s="70">
        <f>IF(H140=0,wdct(TRIM(C140)),0)</f>
        <v>0</v>
      </c>
      <c r="E140" s="70">
        <f>COUNTIFS('Error Log'!$A:$A,$A140,'Error Log'!$J:$J,E$1)</f>
        <v>0</v>
      </c>
      <c r="F140" s="70">
        <f>COUNTIFS('Error Log'!$A:$A,$A140,'Error Log'!$J:$J,F$1)</f>
        <v>0</v>
      </c>
      <c r="G140" s="70">
        <f>COUNTIFS('Error Log'!$A:$A,$A140,'Error Log'!$J:$J,G$1)</f>
        <v>0</v>
      </c>
      <c r="H140" s="70">
        <f>COUNTIFS('Error Log'!$A:$A,$A140,'Error Log'!$F:$F,"Source")</f>
        <v>0</v>
      </c>
      <c r="I140" s="70">
        <f>COUNTIFS('Error Log'!$A:$A,$A140,'Error Log'!$F:$F,"Target")</f>
        <v>0</v>
      </c>
      <c r="J140" s="71">
        <f t="shared" si="2"/>
        <v>0</v>
      </c>
    </row>
    <row r="141" spans="1:10">
      <c r="A141" s="82"/>
      <c r="B141" s="70" t="str">
        <f>IF(ISBLANK(A141),"",INDEX('Error Log'!$A:$J,MATCH('Scores per segment'!$A141,'Error Log'!$A:$A,0),MATCH('Scores per segment'!B$1,'Error Log'!$A$1:$J$1,0)))</f>
        <v/>
      </c>
      <c r="C141" s="70" t="str">
        <f>IF(ISBLANK(A141),"",INDEX('Error Log'!$A:$J,MATCH('Scores per segment'!$A141,'Error Log'!$A:$A,0),MATCH('Scores per segment'!C$1,'Error Log'!$A$1:$J$1,0)))</f>
        <v/>
      </c>
      <c r="D141" s="70">
        <f>IF(H141=0,wdct(TRIM(C141)),0)</f>
        <v>0</v>
      </c>
      <c r="E141" s="70">
        <f>COUNTIFS('Error Log'!$A:$A,$A141,'Error Log'!$J:$J,E$1)</f>
        <v>0</v>
      </c>
      <c r="F141" s="70">
        <f>COUNTIFS('Error Log'!$A:$A,$A141,'Error Log'!$J:$J,F$1)</f>
        <v>0</v>
      </c>
      <c r="G141" s="70">
        <f>COUNTIFS('Error Log'!$A:$A,$A141,'Error Log'!$J:$J,G$1)</f>
        <v>0</v>
      </c>
      <c r="H141" s="70">
        <f>COUNTIFS('Error Log'!$A:$A,$A141,'Error Log'!$F:$F,"Source")</f>
        <v>0</v>
      </c>
      <c r="I141" s="70">
        <f>COUNTIFS('Error Log'!$A:$A,$A141,'Error Log'!$F:$F,"Target")</f>
        <v>0</v>
      </c>
      <c r="J141" s="71">
        <f t="shared" si="2"/>
        <v>0</v>
      </c>
    </row>
    <row r="142" spans="1:10">
      <c r="A142" s="82"/>
      <c r="B142" s="70" t="str">
        <f>IF(ISBLANK(A142),"",INDEX('Error Log'!$A:$J,MATCH('Scores per segment'!$A142,'Error Log'!$A:$A,0),MATCH('Scores per segment'!B$1,'Error Log'!$A$1:$J$1,0)))</f>
        <v/>
      </c>
      <c r="C142" s="70" t="str">
        <f>IF(ISBLANK(A142),"",INDEX('Error Log'!$A:$J,MATCH('Scores per segment'!$A142,'Error Log'!$A:$A,0),MATCH('Scores per segment'!C$1,'Error Log'!$A$1:$J$1,0)))</f>
        <v/>
      </c>
      <c r="D142" s="70">
        <f>IF(H142=0,wdct(TRIM(C142)),0)</f>
        <v>0</v>
      </c>
      <c r="E142" s="70">
        <f>COUNTIFS('Error Log'!$A:$A,$A142,'Error Log'!$J:$J,E$1)</f>
        <v>0</v>
      </c>
      <c r="F142" s="70">
        <f>COUNTIFS('Error Log'!$A:$A,$A142,'Error Log'!$J:$J,F$1)</f>
        <v>0</v>
      </c>
      <c r="G142" s="70">
        <f>COUNTIFS('Error Log'!$A:$A,$A142,'Error Log'!$J:$J,G$1)</f>
        <v>0</v>
      </c>
      <c r="H142" s="70">
        <f>COUNTIFS('Error Log'!$A:$A,$A142,'Error Log'!$F:$F,"Source")</f>
        <v>0</v>
      </c>
      <c r="I142" s="70">
        <f>COUNTIFS('Error Log'!$A:$A,$A142,'Error Log'!$F:$F,"Target")</f>
        <v>0</v>
      </c>
      <c r="J142" s="71">
        <f t="shared" si="2"/>
        <v>0</v>
      </c>
    </row>
    <row r="143" spans="1:10">
      <c r="A143" s="82"/>
      <c r="B143" s="70" t="str">
        <f>IF(ISBLANK(A143),"",INDEX('Error Log'!$A:$J,MATCH('Scores per segment'!$A143,'Error Log'!$A:$A,0),MATCH('Scores per segment'!B$1,'Error Log'!$A$1:$J$1,0)))</f>
        <v/>
      </c>
      <c r="C143" s="70" t="str">
        <f>IF(ISBLANK(A143),"",INDEX('Error Log'!$A:$J,MATCH('Scores per segment'!$A143,'Error Log'!$A:$A,0),MATCH('Scores per segment'!C$1,'Error Log'!$A$1:$J$1,0)))</f>
        <v/>
      </c>
      <c r="D143" s="70">
        <f>IF(H143=0,wdct(TRIM(C143)),0)</f>
        <v>0</v>
      </c>
      <c r="E143" s="70">
        <f>COUNTIFS('Error Log'!$A:$A,$A143,'Error Log'!$J:$J,E$1)</f>
        <v>0</v>
      </c>
      <c r="F143" s="70">
        <f>COUNTIFS('Error Log'!$A:$A,$A143,'Error Log'!$J:$J,F$1)</f>
        <v>0</v>
      </c>
      <c r="G143" s="70">
        <f>COUNTIFS('Error Log'!$A:$A,$A143,'Error Log'!$J:$J,G$1)</f>
        <v>0</v>
      </c>
      <c r="H143" s="70">
        <f>COUNTIFS('Error Log'!$A:$A,$A143,'Error Log'!$F:$F,"Source")</f>
        <v>0</v>
      </c>
      <c r="I143" s="70">
        <f>COUNTIFS('Error Log'!$A:$A,$A143,'Error Log'!$F:$F,"Target")</f>
        <v>0</v>
      </c>
      <c r="J143" s="71">
        <f t="shared" si="2"/>
        <v>0</v>
      </c>
    </row>
    <row r="144" spans="1:10">
      <c r="A144" s="82"/>
      <c r="B144" s="70" t="str">
        <f>IF(ISBLANK(A144),"",INDEX('Error Log'!$A:$J,MATCH('Scores per segment'!$A144,'Error Log'!$A:$A,0),MATCH('Scores per segment'!B$1,'Error Log'!$A$1:$J$1,0)))</f>
        <v/>
      </c>
      <c r="C144" s="70" t="str">
        <f>IF(ISBLANK(A144),"",INDEX('Error Log'!$A:$J,MATCH('Scores per segment'!$A144,'Error Log'!$A:$A,0),MATCH('Scores per segment'!C$1,'Error Log'!$A$1:$J$1,0)))</f>
        <v/>
      </c>
      <c r="D144" s="70">
        <f>IF(H144=0,wdct(TRIM(C144)),0)</f>
        <v>0</v>
      </c>
      <c r="E144" s="70">
        <f>COUNTIFS('Error Log'!$A:$A,$A144,'Error Log'!$J:$J,E$1)</f>
        <v>0</v>
      </c>
      <c r="F144" s="70">
        <f>COUNTIFS('Error Log'!$A:$A,$A144,'Error Log'!$J:$J,F$1)</f>
        <v>0</v>
      </c>
      <c r="G144" s="70">
        <f>COUNTIFS('Error Log'!$A:$A,$A144,'Error Log'!$J:$J,G$1)</f>
        <v>0</v>
      </c>
      <c r="H144" s="70">
        <f>COUNTIFS('Error Log'!$A:$A,$A144,'Error Log'!$F:$F,"Source")</f>
        <v>0</v>
      </c>
      <c r="I144" s="70">
        <f>COUNTIFS('Error Log'!$A:$A,$A144,'Error Log'!$F:$F,"Target")</f>
        <v>0</v>
      </c>
      <c r="J144" s="71">
        <f t="shared" si="2"/>
        <v>0</v>
      </c>
    </row>
    <row r="145" spans="1:10">
      <c r="A145" s="82"/>
      <c r="B145" s="70" t="str">
        <f>IF(ISBLANK(A145),"",INDEX('Error Log'!$A:$J,MATCH('Scores per segment'!$A145,'Error Log'!$A:$A,0),MATCH('Scores per segment'!B$1,'Error Log'!$A$1:$J$1,0)))</f>
        <v/>
      </c>
      <c r="C145" s="70" t="str">
        <f>IF(ISBLANK(A145),"",INDEX('Error Log'!$A:$J,MATCH('Scores per segment'!$A145,'Error Log'!$A:$A,0),MATCH('Scores per segment'!C$1,'Error Log'!$A$1:$J$1,0)))</f>
        <v/>
      </c>
      <c r="D145" s="70">
        <f>IF(H145=0,wdct(TRIM(C145)),0)</f>
        <v>0</v>
      </c>
      <c r="E145" s="70">
        <f>COUNTIFS('Error Log'!$A:$A,$A145,'Error Log'!$J:$J,E$1)</f>
        <v>0</v>
      </c>
      <c r="F145" s="70">
        <f>COUNTIFS('Error Log'!$A:$A,$A145,'Error Log'!$J:$J,F$1)</f>
        <v>0</v>
      </c>
      <c r="G145" s="70">
        <f>COUNTIFS('Error Log'!$A:$A,$A145,'Error Log'!$J:$J,G$1)</f>
        <v>0</v>
      </c>
      <c r="H145" s="70">
        <f>COUNTIFS('Error Log'!$A:$A,$A145,'Error Log'!$F:$F,"Source")</f>
        <v>0</v>
      </c>
      <c r="I145" s="70">
        <f>COUNTIFS('Error Log'!$A:$A,$A145,'Error Log'!$F:$F,"Target")</f>
        <v>0</v>
      </c>
      <c r="J145" s="71">
        <f t="shared" si="2"/>
        <v>0</v>
      </c>
    </row>
    <row r="146" spans="1:10">
      <c r="A146" s="82"/>
      <c r="B146" s="70" t="str">
        <f>IF(ISBLANK(A146),"",INDEX('Error Log'!$A:$J,MATCH('Scores per segment'!$A146,'Error Log'!$A:$A,0),MATCH('Scores per segment'!B$1,'Error Log'!$A$1:$J$1,0)))</f>
        <v/>
      </c>
      <c r="C146" s="70" t="str">
        <f>IF(ISBLANK(A146),"",INDEX('Error Log'!$A:$J,MATCH('Scores per segment'!$A146,'Error Log'!$A:$A,0),MATCH('Scores per segment'!C$1,'Error Log'!$A$1:$J$1,0)))</f>
        <v/>
      </c>
      <c r="D146" s="70">
        <f>IF(H146=0,wdct(TRIM(C146)),0)</f>
        <v>0</v>
      </c>
      <c r="E146" s="70">
        <f>COUNTIFS('Error Log'!$A:$A,$A146,'Error Log'!$J:$J,E$1)</f>
        <v>0</v>
      </c>
      <c r="F146" s="70">
        <f>COUNTIFS('Error Log'!$A:$A,$A146,'Error Log'!$J:$J,F$1)</f>
        <v>0</v>
      </c>
      <c r="G146" s="70">
        <f>COUNTIFS('Error Log'!$A:$A,$A146,'Error Log'!$J:$J,G$1)</f>
        <v>0</v>
      </c>
      <c r="H146" s="70">
        <f>COUNTIFS('Error Log'!$A:$A,$A146,'Error Log'!$F:$F,"Source")</f>
        <v>0</v>
      </c>
      <c r="I146" s="70">
        <f>COUNTIFS('Error Log'!$A:$A,$A146,'Error Log'!$F:$F,"Target")</f>
        <v>0</v>
      </c>
      <c r="J146" s="71">
        <f t="shared" si="2"/>
        <v>0</v>
      </c>
    </row>
    <row r="147" spans="1:10">
      <c r="A147" s="82"/>
      <c r="B147" s="70" t="str">
        <f>IF(ISBLANK(A147),"",INDEX('Error Log'!$A:$J,MATCH('Scores per segment'!$A147,'Error Log'!$A:$A,0),MATCH('Scores per segment'!B$1,'Error Log'!$A$1:$J$1,0)))</f>
        <v/>
      </c>
      <c r="C147" s="70" t="str">
        <f>IF(ISBLANK(A147),"",INDEX('Error Log'!$A:$J,MATCH('Scores per segment'!$A147,'Error Log'!$A:$A,0),MATCH('Scores per segment'!C$1,'Error Log'!$A$1:$J$1,0)))</f>
        <v/>
      </c>
      <c r="D147" s="70">
        <f>IF(H147=0,wdct(TRIM(C147)),0)</f>
        <v>0</v>
      </c>
      <c r="E147" s="70">
        <f>COUNTIFS('Error Log'!$A:$A,$A147,'Error Log'!$J:$J,E$1)</f>
        <v>0</v>
      </c>
      <c r="F147" s="70">
        <f>COUNTIFS('Error Log'!$A:$A,$A147,'Error Log'!$J:$J,F$1)</f>
        <v>0</v>
      </c>
      <c r="G147" s="70">
        <f>COUNTIFS('Error Log'!$A:$A,$A147,'Error Log'!$J:$J,G$1)</f>
        <v>0</v>
      </c>
      <c r="H147" s="70">
        <f>COUNTIFS('Error Log'!$A:$A,$A147,'Error Log'!$F:$F,"Source")</f>
        <v>0</v>
      </c>
      <c r="I147" s="70">
        <f>COUNTIFS('Error Log'!$A:$A,$A147,'Error Log'!$F:$F,"Target")</f>
        <v>0</v>
      </c>
      <c r="J147" s="71">
        <f t="shared" si="2"/>
        <v>0</v>
      </c>
    </row>
    <row r="148" spans="1:10">
      <c r="A148" s="82"/>
      <c r="B148" s="70" t="str">
        <f>IF(ISBLANK(A148),"",INDEX('Error Log'!$A:$J,MATCH('Scores per segment'!$A148,'Error Log'!$A:$A,0),MATCH('Scores per segment'!B$1,'Error Log'!$A$1:$J$1,0)))</f>
        <v/>
      </c>
      <c r="C148" s="70" t="str">
        <f>IF(ISBLANK(A148),"",INDEX('Error Log'!$A:$J,MATCH('Scores per segment'!$A148,'Error Log'!$A:$A,0),MATCH('Scores per segment'!C$1,'Error Log'!$A$1:$J$1,0)))</f>
        <v/>
      </c>
      <c r="D148" s="70">
        <f>IF(H148=0,wdct(TRIM(C148)),0)</f>
        <v>0</v>
      </c>
      <c r="E148" s="70">
        <f>COUNTIFS('Error Log'!$A:$A,$A148,'Error Log'!$J:$J,E$1)</f>
        <v>0</v>
      </c>
      <c r="F148" s="70">
        <f>COUNTIFS('Error Log'!$A:$A,$A148,'Error Log'!$J:$J,F$1)</f>
        <v>0</v>
      </c>
      <c r="G148" s="70">
        <f>COUNTIFS('Error Log'!$A:$A,$A148,'Error Log'!$J:$J,G$1)</f>
        <v>0</v>
      </c>
      <c r="H148" s="70">
        <f>COUNTIFS('Error Log'!$A:$A,$A148,'Error Log'!$F:$F,"Source")</f>
        <v>0</v>
      </c>
      <c r="I148" s="70">
        <f>COUNTIFS('Error Log'!$A:$A,$A148,'Error Log'!$F:$F,"Target")</f>
        <v>0</v>
      </c>
      <c r="J148" s="71">
        <f t="shared" si="2"/>
        <v>0</v>
      </c>
    </row>
    <row r="149" spans="1:10">
      <c r="A149" s="82"/>
      <c r="B149" s="70" t="str">
        <f>IF(ISBLANK(A149),"",INDEX('Error Log'!$A:$J,MATCH('Scores per segment'!$A149,'Error Log'!$A:$A,0),MATCH('Scores per segment'!B$1,'Error Log'!$A$1:$J$1,0)))</f>
        <v/>
      </c>
      <c r="C149" s="70" t="str">
        <f>IF(ISBLANK(A149),"",INDEX('Error Log'!$A:$J,MATCH('Scores per segment'!$A149,'Error Log'!$A:$A,0),MATCH('Scores per segment'!C$1,'Error Log'!$A$1:$J$1,0)))</f>
        <v/>
      </c>
      <c r="D149" s="70">
        <f>IF(H149=0,wdct(TRIM(C149)),0)</f>
        <v>0</v>
      </c>
      <c r="E149" s="70">
        <f>COUNTIFS('Error Log'!$A:$A,$A149,'Error Log'!$J:$J,E$1)</f>
        <v>0</v>
      </c>
      <c r="F149" s="70">
        <f>COUNTIFS('Error Log'!$A:$A,$A149,'Error Log'!$J:$J,F$1)</f>
        <v>0</v>
      </c>
      <c r="G149" s="70">
        <f>COUNTIFS('Error Log'!$A:$A,$A149,'Error Log'!$J:$J,G$1)</f>
        <v>0</v>
      </c>
      <c r="H149" s="70">
        <f>COUNTIFS('Error Log'!$A:$A,$A149,'Error Log'!$F:$F,"Source")</f>
        <v>0</v>
      </c>
      <c r="I149" s="70">
        <f>COUNTIFS('Error Log'!$A:$A,$A149,'Error Log'!$F:$F,"Target")</f>
        <v>0</v>
      </c>
      <c r="J149" s="71">
        <f t="shared" si="2"/>
        <v>0</v>
      </c>
    </row>
    <row r="150" spans="1:10">
      <c r="A150" s="82"/>
      <c r="B150" s="70" t="str">
        <f>IF(ISBLANK(A150),"",INDEX('Error Log'!$A:$J,MATCH('Scores per segment'!$A150,'Error Log'!$A:$A,0),MATCH('Scores per segment'!B$1,'Error Log'!$A$1:$J$1,0)))</f>
        <v/>
      </c>
      <c r="C150" s="70" t="str">
        <f>IF(ISBLANK(A150),"",INDEX('Error Log'!$A:$J,MATCH('Scores per segment'!$A150,'Error Log'!$A:$A,0),MATCH('Scores per segment'!C$1,'Error Log'!$A$1:$J$1,0)))</f>
        <v/>
      </c>
      <c r="D150" s="70">
        <f>IF(H150=0,wdct(TRIM(C150)),0)</f>
        <v>0</v>
      </c>
      <c r="E150" s="70">
        <f>COUNTIFS('Error Log'!$A:$A,$A150,'Error Log'!$J:$J,E$1)</f>
        <v>0</v>
      </c>
      <c r="F150" s="70">
        <f>COUNTIFS('Error Log'!$A:$A,$A150,'Error Log'!$J:$J,F$1)</f>
        <v>0</v>
      </c>
      <c r="G150" s="70">
        <f>COUNTIFS('Error Log'!$A:$A,$A150,'Error Log'!$J:$J,G$1)</f>
        <v>0</v>
      </c>
      <c r="H150" s="70">
        <f>COUNTIFS('Error Log'!$A:$A,$A150,'Error Log'!$F:$F,"Source")</f>
        <v>0</v>
      </c>
      <c r="I150" s="70">
        <f>COUNTIFS('Error Log'!$A:$A,$A150,'Error Log'!$F:$F,"Target")</f>
        <v>0</v>
      </c>
      <c r="J150" s="71">
        <f t="shared" si="2"/>
        <v>0</v>
      </c>
    </row>
    <row r="151" spans="1:10">
      <c r="A151" s="82"/>
      <c r="B151" s="70" t="str">
        <f>IF(ISBLANK(A151),"",INDEX('Error Log'!$A:$J,MATCH('Scores per segment'!$A151,'Error Log'!$A:$A,0),MATCH('Scores per segment'!B$1,'Error Log'!$A$1:$J$1,0)))</f>
        <v/>
      </c>
      <c r="C151" s="70" t="str">
        <f>IF(ISBLANK(A151),"",INDEX('Error Log'!$A:$J,MATCH('Scores per segment'!$A151,'Error Log'!$A:$A,0),MATCH('Scores per segment'!C$1,'Error Log'!$A$1:$J$1,0)))</f>
        <v/>
      </c>
      <c r="D151" s="70">
        <f>IF(H151=0,wdct(TRIM(C151)),0)</f>
        <v>0</v>
      </c>
      <c r="E151" s="70">
        <f>COUNTIFS('Error Log'!$A:$A,$A151,'Error Log'!$J:$J,E$1)</f>
        <v>0</v>
      </c>
      <c r="F151" s="70">
        <f>COUNTIFS('Error Log'!$A:$A,$A151,'Error Log'!$J:$J,F$1)</f>
        <v>0</v>
      </c>
      <c r="G151" s="70">
        <f>COUNTIFS('Error Log'!$A:$A,$A151,'Error Log'!$J:$J,G$1)</f>
        <v>0</v>
      </c>
      <c r="H151" s="70">
        <f>COUNTIFS('Error Log'!$A:$A,$A151,'Error Log'!$F:$F,"Source")</f>
        <v>0</v>
      </c>
      <c r="I151" s="70">
        <f>COUNTIFS('Error Log'!$A:$A,$A151,'Error Log'!$F:$F,"Target")</f>
        <v>0</v>
      </c>
      <c r="J151" s="71">
        <f t="shared" si="2"/>
        <v>0</v>
      </c>
    </row>
    <row r="152" spans="1:10">
      <c r="A152" s="82"/>
      <c r="B152" s="70" t="str">
        <f>IF(ISBLANK(A152),"",INDEX('Error Log'!$A:$J,MATCH('Scores per segment'!$A152,'Error Log'!$A:$A,0),MATCH('Scores per segment'!B$1,'Error Log'!$A$1:$J$1,0)))</f>
        <v/>
      </c>
      <c r="C152" s="70" t="str">
        <f>IF(ISBLANK(A152),"",INDEX('Error Log'!$A:$J,MATCH('Scores per segment'!$A152,'Error Log'!$A:$A,0),MATCH('Scores per segment'!C$1,'Error Log'!$A$1:$J$1,0)))</f>
        <v/>
      </c>
      <c r="D152" s="70">
        <f>IF(H152=0,wdct(TRIM(C152)),0)</f>
        <v>0</v>
      </c>
      <c r="E152" s="70">
        <f>COUNTIFS('Error Log'!$A:$A,$A152,'Error Log'!$J:$J,E$1)</f>
        <v>0</v>
      </c>
      <c r="F152" s="70">
        <f>COUNTIFS('Error Log'!$A:$A,$A152,'Error Log'!$J:$J,F$1)</f>
        <v>0</v>
      </c>
      <c r="G152" s="70">
        <f>COUNTIFS('Error Log'!$A:$A,$A152,'Error Log'!$J:$J,G$1)</f>
        <v>0</v>
      </c>
      <c r="H152" s="70">
        <f>COUNTIFS('Error Log'!$A:$A,$A152,'Error Log'!$F:$F,"Source")</f>
        <v>0</v>
      </c>
      <c r="I152" s="70">
        <f>COUNTIFS('Error Log'!$A:$A,$A152,'Error Log'!$F:$F,"Target")</f>
        <v>0</v>
      </c>
      <c r="J152" s="71">
        <f t="shared" si="2"/>
        <v>0</v>
      </c>
    </row>
    <row r="153" spans="1:10">
      <c r="A153" s="82"/>
      <c r="B153" s="70" t="str">
        <f>IF(ISBLANK(A153),"",INDEX('Error Log'!$A:$J,MATCH('Scores per segment'!$A153,'Error Log'!$A:$A,0),MATCH('Scores per segment'!B$1,'Error Log'!$A$1:$J$1,0)))</f>
        <v/>
      </c>
      <c r="C153" s="70" t="str">
        <f>IF(ISBLANK(A153),"",INDEX('Error Log'!$A:$J,MATCH('Scores per segment'!$A153,'Error Log'!$A:$A,0),MATCH('Scores per segment'!C$1,'Error Log'!$A$1:$J$1,0)))</f>
        <v/>
      </c>
      <c r="D153" s="70">
        <f>IF(H153=0,wdct(TRIM(C153)),0)</f>
        <v>0</v>
      </c>
      <c r="E153" s="70">
        <f>COUNTIFS('Error Log'!$A:$A,$A153,'Error Log'!$J:$J,E$1)</f>
        <v>0</v>
      </c>
      <c r="F153" s="70">
        <f>COUNTIFS('Error Log'!$A:$A,$A153,'Error Log'!$J:$J,F$1)</f>
        <v>0</v>
      </c>
      <c r="G153" s="70">
        <f>COUNTIFS('Error Log'!$A:$A,$A153,'Error Log'!$J:$J,G$1)</f>
        <v>0</v>
      </c>
      <c r="H153" s="70">
        <f>COUNTIFS('Error Log'!$A:$A,$A153,'Error Log'!$F:$F,"Source")</f>
        <v>0</v>
      </c>
      <c r="I153" s="70">
        <f>COUNTIFS('Error Log'!$A:$A,$A153,'Error Log'!$F:$F,"Target")</f>
        <v>0</v>
      </c>
      <c r="J153" s="71">
        <f t="shared" si="2"/>
        <v>0</v>
      </c>
    </row>
    <row r="154" spans="1:10">
      <c r="A154" s="82"/>
      <c r="B154" s="70" t="str">
        <f>IF(ISBLANK(A154),"",INDEX('Error Log'!$A:$J,MATCH('Scores per segment'!$A154,'Error Log'!$A:$A,0),MATCH('Scores per segment'!B$1,'Error Log'!$A$1:$J$1,0)))</f>
        <v/>
      </c>
      <c r="C154" s="70" t="str">
        <f>IF(ISBLANK(A154),"",INDEX('Error Log'!$A:$J,MATCH('Scores per segment'!$A154,'Error Log'!$A:$A,0),MATCH('Scores per segment'!C$1,'Error Log'!$A$1:$J$1,0)))</f>
        <v/>
      </c>
      <c r="D154" s="70">
        <f>IF(H154=0,wdct(TRIM(C154)),0)</f>
        <v>0</v>
      </c>
      <c r="E154" s="70">
        <f>COUNTIFS('Error Log'!$A:$A,$A154,'Error Log'!$J:$J,E$1)</f>
        <v>0</v>
      </c>
      <c r="F154" s="70">
        <f>COUNTIFS('Error Log'!$A:$A,$A154,'Error Log'!$J:$J,F$1)</f>
        <v>0</v>
      </c>
      <c r="G154" s="70">
        <f>COUNTIFS('Error Log'!$A:$A,$A154,'Error Log'!$J:$J,G$1)</f>
        <v>0</v>
      </c>
      <c r="H154" s="70">
        <f>COUNTIFS('Error Log'!$A:$A,$A154,'Error Log'!$F:$F,"Source")</f>
        <v>0</v>
      </c>
      <c r="I154" s="70">
        <f>COUNTIFS('Error Log'!$A:$A,$A154,'Error Log'!$F:$F,"Target")</f>
        <v>0</v>
      </c>
      <c r="J154" s="71">
        <f t="shared" si="2"/>
        <v>0</v>
      </c>
    </row>
    <row r="155" spans="1:10">
      <c r="A155" s="82"/>
      <c r="B155" s="70" t="str">
        <f>IF(ISBLANK(A155),"",INDEX('Error Log'!$A:$J,MATCH('Scores per segment'!$A155,'Error Log'!$A:$A,0),MATCH('Scores per segment'!B$1,'Error Log'!$A$1:$J$1,0)))</f>
        <v/>
      </c>
      <c r="C155" s="70" t="str">
        <f>IF(ISBLANK(A155),"",INDEX('Error Log'!$A:$J,MATCH('Scores per segment'!$A155,'Error Log'!$A:$A,0),MATCH('Scores per segment'!C$1,'Error Log'!$A$1:$J$1,0)))</f>
        <v/>
      </c>
      <c r="D155" s="70">
        <f>IF(H155=0,wdct(TRIM(C155)),0)</f>
        <v>0</v>
      </c>
      <c r="E155" s="70">
        <f>COUNTIFS('Error Log'!$A:$A,$A155,'Error Log'!$J:$J,E$1)</f>
        <v>0</v>
      </c>
      <c r="F155" s="70">
        <f>COUNTIFS('Error Log'!$A:$A,$A155,'Error Log'!$J:$J,F$1)</f>
        <v>0</v>
      </c>
      <c r="G155" s="70">
        <f>COUNTIFS('Error Log'!$A:$A,$A155,'Error Log'!$J:$J,G$1)</f>
        <v>0</v>
      </c>
      <c r="H155" s="70">
        <f>COUNTIFS('Error Log'!$A:$A,$A155,'Error Log'!$F:$F,"Source")</f>
        <v>0</v>
      </c>
      <c r="I155" s="70">
        <f>COUNTIFS('Error Log'!$A:$A,$A155,'Error Log'!$F:$F,"Target")</f>
        <v>0</v>
      </c>
      <c r="J155" s="71">
        <f t="shared" si="2"/>
        <v>0</v>
      </c>
    </row>
    <row r="156" spans="1:10">
      <c r="A156" s="82"/>
      <c r="B156" s="70" t="str">
        <f>IF(ISBLANK(A156),"",INDEX('Error Log'!$A:$J,MATCH('Scores per segment'!$A156,'Error Log'!$A:$A,0),MATCH('Scores per segment'!B$1,'Error Log'!$A$1:$J$1,0)))</f>
        <v/>
      </c>
      <c r="C156" s="70" t="str">
        <f>IF(ISBLANK(A156),"",INDEX('Error Log'!$A:$J,MATCH('Scores per segment'!$A156,'Error Log'!$A:$A,0),MATCH('Scores per segment'!C$1,'Error Log'!$A$1:$J$1,0)))</f>
        <v/>
      </c>
      <c r="D156" s="70">
        <f>IF(H156=0,wdct(TRIM(C156)),0)</f>
        <v>0</v>
      </c>
      <c r="E156" s="70">
        <f>COUNTIFS('Error Log'!$A:$A,$A156,'Error Log'!$J:$J,E$1)</f>
        <v>0</v>
      </c>
      <c r="F156" s="70">
        <f>COUNTIFS('Error Log'!$A:$A,$A156,'Error Log'!$J:$J,F$1)</f>
        <v>0</v>
      </c>
      <c r="G156" s="70">
        <f>COUNTIFS('Error Log'!$A:$A,$A156,'Error Log'!$J:$J,G$1)</f>
        <v>0</v>
      </c>
      <c r="H156" s="70">
        <f>COUNTIFS('Error Log'!$A:$A,$A156,'Error Log'!$F:$F,"Source")</f>
        <v>0</v>
      </c>
      <c r="I156" s="70">
        <f>COUNTIFS('Error Log'!$A:$A,$A156,'Error Log'!$F:$F,"Target")</f>
        <v>0</v>
      </c>
      <c r="J156" s="71">
        <f t="shared" si="2"/>
        <v>0</v>
      </c>
    </row>
    <row r="157" spans="1:10">
      <c r="A157" s="82"/>
      <c r="B157" s="70" t="str">
        <f>IF(ISBLANK(A157),"",INDEX('Error Log'!$A:$J,MATCH('Scores per segment'!$A157,'Error Log'!$A:$A,0),MATCH('Scores per segment'!B$1,'Error Log'!$A$1:$J$1,0)))</f>
        <v/>
      </c>
      <c r="C157" s="70" t="str">
        <f>IF(ISBLANK(A157),"",INDEX('Error Log'!$A:$J,MATCH('Scores per segment'!$A157,'Error Log'!$A:$A,0),MATCH('Scores per segment'!C$1,'Error Log'!$A$1:$J$1,0)))</f>
        <v/>
      </c>
      <c r="D157" s="70">
        <f>IF(H157=0,wdct(TRIM(C157)),0)</f>
        <v>0</v>
      </c>
      <c r="E157" s="70">
        <f>COUNTIFS('Error Log'!$A:$A,$A157,'Error Log'!$J:$J,E$1)</f>
        <v>0</v>
      </c>
      <c r="F157" s="70">
        <f>COUNTIFS('Error Log'!$A:$A,$A157,'Error Log'!$J:$J,F$1)</f>
        <v>0</v>
      </c>
      <c r="G157" s="70">
        <f>COUNTIFS('Error Log'!$A:$A,$A157,'Error Log'!$J:$J,G$1)</f>
        <v>0</v>
      </c>
      <c r="H157" s="70">
        <f>COUNTIFS('Error Log'!$A:$A,$A157,'Error Log'!$F:$F,"Source")</f>
        <v>0</v>
      </c>
      <c r="I157" s="70">
        <f>COUNTIFS('Error Log'!$A:$A,$A157,'Error Log'!$F:$F,"Target")</f>
        <v>0</v>
      </c>
      <c r="J157" s="71">
        <f t="shared" si="2"/>
        <v>0</v>
      </c>
    </row>
    <row r="158" spans="1:10">
      <c r="A158" s="82"/>
      <c r="B158" s="70" t="str">
        <f>IF(ISBLANK(A158),"",INDEX('Error Log'!$A:$J,MATCH('Scores per segment'!$A158,'Error Log'!$A:$A,0),MATCH('Scores per segment'!B$1,'Error Log'!$A$1:$J$1,0)))</f>
        <v/>
      </c>
      <c r="C158" s="70" t="str">
        <f>IF(ISBLANK(A158),"",INDEX('Error Log'!$A:$J,MATCH('Scores per segment'!$A158,'Error Log'!$A:$A,0),MATCH('Scores per segment'!C$1,'Error Log'!$A$1:$J$1,0)))</f>
        <v/>
      </c>
      <c r="D158" s="70">
        <f>IF(H158=0,wdct(TRIM(C158)),0)</f>
        <v>0</v>
      </c>
      <c r="E158" s="70">
        <f>COUNTIFS('Error Log'!$A:$A,$A158,'Error Log'!$J:$J,E$1)</f>
        <v>0</v>
      </c>
      <c r="F158" s="70">
        <f>COUNTIFS('Error Log'!$A:$A,$A158,'Error Log'!$J:$J,F$1)</f>
        <v>0</v>
      </c>
      <c r="G158" s="70">
        <f>COUNTIFS('Error Log'!$A:$A,$A158,'Error Log'!$J:$J,G$1)</f>
        <v>0</v>
      </c>
      <c r="H158" s="70">
        <f>COUNTIFS('Error Log'!$A:$A,$A158,'Error Log'!$F:$F,"Source")</f>
        <v>0</v>
      </c>
      <c r="I158" s="70">
        <f>COUNTIFS('Error Log'!$A:$A,$A158,'Error Log'!$F:$F,"Target")</f>
        <v>0</v>
      </c>
      <c r="J158" s="71">
        <f t="shared" si="2"/>
        <v>0</v>
      </c>
    </row>
    <row r="159" spans="1:10">
      <c r="A159" s="82"/>
      <c r="B159" s="70" t="str">
        <f>IF(ISBLANK(A159),"",INDEX('Error Log'!$A:$J,MATCH('Scores per segment'!$A159,'Error Log'!$A:$A,0),MATCH('Scores per segment'!B$1,'Error Log'!$A$1:$J$1,0)))</f>
        <v/>
      </c>
      <c r="C159" s="70" t="str">
        <f>IF(ISBLANK(A159),"",INDEX('Error Log'!$A:$J,MATCH('Scores per segment'!$A159,'Error Log'!$A:$A,0),MATCH('Scores per segment'!C$1,'Error Log'!$A$1:$J$1,0)))</f>
        <v/>
      </c>
      <c r="D159" s="70">
        <f>IF(H159=0,wdct(TRIM(C159)),0)</f>
        <v>0</v>
      </c>
      <c r="E159" s="70">
        <f>COUNTIFS('Error Log'!$A:$A,$A159,'Error Log'!$J:$J,E$1)</f>
        <v>0</v>
      </c>
      <c r="F159" s="70">
        <f>COUNTIFS('Error Log'!$A:$A,$A159,'Error Log'!$J:$J,F$1)</f>
        <v>0</v>
      </c>
      <c r="G159" s="70">
        <f>COUNTIFS('Error Log'!$A:$A,$A159,'Error Log'!$J:$J,G$1)</f>
        <v>0</v>
      </c>
      <c r="H159" s="70">
        <f>COUNTIFS('Error Log'!$A:$A,$A159,'Error Log'!$F:$F,"Source")</f>
        <v>0</v>
      </c>
      <c r="I159" s="70">
        <f>COUNTIFS('Error Log'!$A:$A,$A159,'Error Log'!$F:$F,"Target")</f>
        <v>0</v>
      </c>
      <c r="J159" s="71">
        <f t="shared" si="2"/>
        <v>0</v>
      </c>
    </row>
    <row r="160" spans="1:10">
      <c r="A160" s="82"/>
      <c r="B160" s="70" t="str">
        <f>IF(ISBLANK(A160),"",INDEX('Error Log'!$A:$J,MATCH('Scores per segment'!$A160,'Error Log'!$A:$A,0),MATCH('Scores per segment'!B$1,'Error Log'!$A$1:$J$1,0)))</f>
        <v/>
      </c>
      <c r="C160" s="70" t="str">
        <f>IF(ISBLANK(A160),"",INDEX('Error Log'!$A:$J,MATCH('Scores per segment'!$A160,'Error Log'!$A:$A,0),MATCH('Scores per segment'!C$1,'Error Log'!$A$1:$J$1,0)))</f>
        <v/>
      </c>
      <c r="D160" s="70">
        <f>IF(H160=0,wdct(TRIM(C160)),0)</f>
        <v>0</v>
      </c>
      <c r="E160" s="70">
        <f>COUNTIFS('Error Log'!$A:$A,$A160,'Error Log'!$J:$J,E$1)</f>
        <v>0</v>
      </c>
      <c r="F160" s="70">
        <f>COUNTIFS('Error Log'!$A:$A,$A160,'Error Log'!$J:$J,F$1)</f>
        <v>0</v>
      </c>
      <c r="G160" s="70">
        <f>COUNTIFS('Error Log'!$A:$A,$A160,'Error Log'!$J:$J,G$1)</f>
        <v>0</v>
      </c>
      <c r="H160" s="70">
        <f>COUNTIFS('Error Log'!$A:$A,$A160,'Error Log'!$F:$F,"Source")</f>
        <v>0</v>
      </c>
      <c r="I160" s="70">
        <f>COUNTIFS('Error Log'!$A:$A,$A160,'Error Log'!$F:$F,"Target")</f>
        <v>0</v>
      </c>
      <c r="J160" s="71">
        <f t="shared" si="2"/>
        <v>0</v>
      </c>
    </row>
    <row r="161" spans="1:10">
      <c r="A161" s="82"/>
      <c r="B161" s="70" t="str">
        <f>IF(ISBLANK(A161),"",INDEX('Error Log'!$A:$J,MATCH('Scores per segment'!$A161,'Error Log'!$A:$A,0),MATCH('Scores per segment'!B$1,'Error Log'!$A$1:$J$1,0)))</f>
        <v/>
      </c>
      <c r="C161" s="70" t="str">
        <f>IF(ISBLANK(A161),"",INDEX('Error Log'!$A:$J,MATCH('Scores per segment'!$A161,'Error Log'!$A:$A,0),MATCH('Scores per segment'!C$1,'Error Log'!$A$1:$J$1,0)))</f>
        <v/>
      </c>
      <c r="D161" s="70">
        <f>IF(H161=0,wdct(TRIM(C161)),0)</f>
        <v>0</v>
      </c>
      <c r="E161" s="70">
        <f>COUNTIFS('Error Log'!$A:$A,$A161,'Error Log'!$J:$J,E$1)</f>
        <v>0</v>
      </c>
      <c r="F161" s="70">
        <f>COUNTIFS('Error Log'!$A:$A,$A161,'Error Log'!$J:$J,F$1)</f>
        <v>0</v>
      </c>
      <c r="G161" s="70">
        <f>COUNTIFS('Error Log'!$A:$A,$A161,'Error Log'!$J:$J,G$1)</f>
        <v>0</v>
      </c>
      <c r="H161" s="70">
        <f>COUNTIFS('Error Log'!$A:$A,$A161,'Error Log'!$F:$F,"Source")</f>
        <v>0</v>
      </c>
      <c r="I161" s="70">
        <f>COUNTIFS('Error Log'!$A:$A,$A161,'Error Log'!$F:$F,"Target")</f>
        <v>0</v>
      </c>
      <c r="J161" s="71">
        <f t="shared" si="2"/>
        <v>0</v>
      </c>
    </row>
    <row r="162" spans="1:10">
      <c r="A162" s="82"/>
      <c r="B162" s="70" t="str">
        <f>IF(ISBLANK(A162),"",INDEX('Error Log'!$A:$J,MATCH('Scores per segment'!$A162,'Error Log'!$A:$A,0),MATCH('Scores per segment'!B$1,'Error Log'!$A$1:$J$1,0)))</f>
        <v/>
      </c>
      <c r="C162" s="70" t="str">
        <f>IF(ISBLANK(A162),"",INDEX('Error Log'!$A:$J,MATCH('Scores per segment'!$A162,'Error Log'!$A:$A,0),MATCH('Scores per segment'!C$1,'Error Log'!$A$1:$J$1,0)))</f>
        <v/>
      </c>
      <c r="D162" s="70">
        <f>IF(H162=0,wdct(TRIM(C162)),0)</f>
        <v>0</v>
      </c>
      <c r="E162" s="70">
        <f>COUNTIFS('Error Log'!$A:$A,$A162,'Error Log'!$J:$J,E$1)</f>
        <v>0</v>
      </c>
      <c r="F162" s="70">
        <f>COUNTIFS('Error Log'!$A:$A,$A162,'Error Log'!$J:$J,F$1)</f>
        <v>0</v>
      </c>
      <c r="G162" s="70">
        <f>COUNTIFS('Error Log'!$A:$A,$A162,'Error Log'!$J:$J,G$1)</f>
        <v>0</v>
      </c>
      <c r="H162" s="70">
        <f>COUNTIFS('Error Log'!$A:$A,$A162,'Error Log'!$F:$F,"Source")</f>
        <v>0</v>
      </c>
      <c r="I162" s="70">
        <f>COUNTIFS('Error Log'!$A:$A,$A162,'Error Log'!$F:$F,"Target")</f>
        <v>0</v>
      </c>
      <c r="J162" s="71">
        <f t="shared" si="2"/>
        <v>0</v>
      </c>
    </row>
    <row r="163" spans="1:10">
      <c r="A163" s="82"/>
      <c r="B163" s="70" t="str">
        <f>IF(ISBLANK(A163),"",INDEX('Error Log'!$A:$J,MATCH('Scores per segment'!$A163,'Error Log'!$A:$A,0),MATCH('Scores per segment'!B$1,'Error Log'!$A$1:$J$1,0)))</f>
        <v/>
      </c>
      <c r="C163" s="70" t="str">
        <f>IF(ISBLANK(A163),"",INDEX('Error Log'!$A:$J,MATCH('Scores per segment'!$A163,'Error Log'!$A:$A,0),MATCH('Scores per segment'!C$1,'Error Log'!$A$1:$J$1,0)))</f>
        <v/>
      </c>
      <c r="D163" s="70">
        <f>IF(H163=0,wdct(TRIM(C163)),0)</f>
        <v>0</v>
      </c>
      <c r="E163" s="70">
        <f>COUNTIFS('Error Log'!$A:$A,$A163,'Error Log'!$J:$J,E$1)</f>
        <v>0</v>
      </c>
      <c r="F163" s="70">
        <f>COUNTIFS('Error Log'!$A:$A,$A163,'Error Log'!$J:$J,F$1)</f>
        <v>0</v>
      </c>
      <c r="G163" s="70">
        <f>COUNTIFS('Error Log'!$A:$A,$A163,'Error Log'!$J:$J,G$1)</f>
        <v>0</v>
      </c>
      <c r="H163" s="70">
        <f>COUNTIFS('Error Log'!$A:$A,$A163,'Error Log'!$F:$F,"Source")</f>
        <v>0</v>
      </c>
      <c r="I163" s="70">
        <f>COUNTIFS('Error Log'!$A:$A,$A163,'Error Log'!$F:$F,"Target")</f>
        <v>0</v>
      </c>
      <c r="J163" s="71">
        <f t="shared" si="2"/>
        <v>0</v>
      </c>
    </row>
    <row r="164" spans="1:10">
      <c r="A164" s="82"/>
      <c r="B164" s="70" t="str">
        <f>IF(ISBLANK(A164),"",INDEX('Error Log'!$A:$J,MATCH('Scores per segment'!$A164,'Error Log'!$A:$A,0),MATCH('Scores per segment'!B$1,'Error Log'!$A$1:$J$1,0)))</f>
        <v/>
      </c>
      <c r="C164" s="70" t="str">
        <f>IF(ISBLANK(A164),"",INDEX('Error Log'!$A:$J,MATCH('Scores per segment'!$A164,'Error Log'!$A:$A,0),MATCH('Scores per segment'!C$1,'Error Log'!$A$1:$J$1,0)))</f>
        <v/>
      </c>
      <c r="D164" s="70">
        <f>IF(H164=0,wdct(TRIM(C164)),0)</f>
        <v>0</v>
      </c>
      <c r="E164" s="70">
        <f>COUNTIFS('Error Log'!$A:$A,$A164,'Error Log'!$J:$J,E$1)</f>
        <v>0</v>
      </c>
      <c r="F164" s="70">
        <f>COUNTIFS('Error Log'!$A:$A,$A164,'Error Log'!$J:$J,F$1)</f>
        <v>0</v>
      </c>
      <c r="G164" s="70">
        <f>COUNTIFS('Error Log'!$A:$A,$A164,'Error Log'!$J:$J,G$1)</f>
        <v>0</v>
      </c>
      <c r="H164" s="70">
        <f>COUNTIFS('Error Log'!$A:$A,$A164,'Error Log'!$F:$F,"Source")</f>
        <v>0</v>
      </c>
      <c r="I164" s="70">
        <f>COUNTIFS('Error Log'!$A:$A,$A164,'Error Log'!$F:$F,"Target")</f>
        <v>0</v>
      </c>
      <c r="J164" s="71">
        <f t="shared" si="2"/>
        <v>0</v>
      </c>
    </row>
    <row r="165" spans="1:10">
      <c r="A165" s="82"/>
      <c r="B165" s="70" t="str">
        <f>IF(ISBLANK(A165),"",INDEX('Error Log'!$A:$J,MATCH('Scores per segment'!$A165,'Error Log'!$A:$A,0),MATCH('Scores per segment'!B$1,'Error Log'!$A$1:$J$1,0)))</f>
        <v/>
      </c>
      <c r="C165" s="70" t="str">
        <f>IF(ISBLANK(A165),"",INDEX('Error Log'!$A:$J,MATCH('Scores per segment'!$A165,'Error Log'!$A:$A,0),MATCH('Scores per segment'!C$1,'Error Log'!$A$1:$J$1,0)))</f>
        <v/>
      </c>
      <c r="D165" s="70">
        <f>IF(H165=0,wdct(TRIM(C165)),0)</f>
        <v>0</v>
      </c>
      <c r="E165" s="70">
        <f>COUNTIFS('Error Log'!$A:$A,$A165,'Error Log'!$J:$J,E$1)</f>
        <v>0</v>
      </c>
      <c r="F165" s="70">
        <f>COUNTIFS('Error Log'!$A:$A,$A165,'Error Log'!$J:$J,F$1)</f>
        <v>0</v>
      </c>
      <c r="G165" s="70">
        <f>COUNTIFS('Error Log'!$A:$A,$A165,'Error Log'!$J:$J,G$1)</f>
        <v>0</v>
      </c>
      <c r="H165" s="70">
        <f>COUNTIFS('Error Log'!$A:$A,$A165,'Error Log'!$F:$F,"Source")</f>
        <v>0</v>
      </c>
      <c r="I165" s="70">
        <f>COUNTIFS('Error Log'!$A:$A,$A165,'Error Log'!$F:$F,"Target")</f>
        <v>0</v>
      </c>
      <c r="J165" s="71">
        <f t="shared" si="2"/>
        <v>0</v>
      </c>
    </row>
    <row r="166" spans="1:10">
      <c r="A166" s="82"/>
      <c r="B166" s="70" t="str">
        <f>IF(ISBLANK(A166),"",INDEX('Error Log'!$A:$J,MATCH('Scores per segment'!$A166,'Error Log'!$A:$A,0),MATCH('Scores per segment'!B$1,'Error Log'!$A$1:$J$1,0)))</f>
        <v/>
      </c>
      <c r="C166" s="70" t="str">
        <f>IF(ISBLANK(A166),"",INDEX('Error Log'!$A:$J,MATCH('Scores per segment'!$A166,'Error Log'!$A:$A,0),MATCH('Scores per segment'!C$1,'Error Log'!$A$1:$J$1,0)))</f>
        <v/>
      </c>
      <c r="D166" s="70">
        <f>IF(H166=0,wdct(TRIM(C166)),0)</f>
        <v>0</v>
      </c>
      <c r="E166" s="70">
        <f>COUNTIFS('Error Log'!$A:$A,$A166,'Error Log'!$J:$J,E$1)</f>
        <v>0</v>
      </c>
      <c r="F166" s="70">
        <f>COUNTIFS('Error Log'!$A:$A,$A166,'Error Log'!$J:$J,F$1)</f>
        <v>0</v>
      </c>
      <c r="G166" s="70">
        <f>COUNTIFS('Error Log'!$A:$A,$A166,'Error Log'!$J:$J,G$1)</f>
        <v>0</v>
      </c>
      <c r="H166" s="70">
        <f>COUNTIFS('Error Log'!$A:$A,$A166,'Error Log'!$F:$F,"Source")</f>
        <v>0</v>
      </c>
      <c r="I166" s="70">
        <f>COUNTIFS('Error Log'!$A:$A,$A166,'Error Log'!$F:$F,"Target")</f>
        <v>0</v>
      </c>
      <c r="J166" s="71">
        <f t="shared" si="2"/>
        <v>0</v>
      </c>
    </row>
    <row r="167" spans="1:10">
      <c r="A167" s="82"/>
      <c r="B167" s="70" t="str">
        <f>IF(ISBLANK(A167),"",INDEX('Error Log'!$A:$J,MATCH('Scores per segment'!$A167,'Error Log'!$A:$A,0),MATCH('Scores per segment'!B$1,'Error Log'!$A$1:$J$1,0)))</f>
        <v/>
      </c>
      <c r="C167" s="70" t="str">
        <f>IF(ISBLANK(A167),"",INDEX('Error Log'!$A:$J,MATCH('Scores per segment'!$A167,'Error Log'!$A:$A,0),MATCH('Scores per segment'!C$1,'Error Log'!$A$1:$J$1,0)))</f>
        <v/>
      </c>
      <c r="D167" s="70">
        <f>IF(H167=0,wdct(TRIM(C167)),0)</f>
        <v>0</v>
      </c>
      <c r="E167" s="70">
        <f>COUNTIFS('Error Log'!$A:$A,$A167,'Error Log'!$J:$J,E$1)</f>
        <v>0</v>
      </c>
      <c r="F167" s="70">
        <f>COUNTIFS('Error Log'!$A:$A,$A167,'Error Log'!$J:$J,F$1)</f>
        <v>0</v>
      </c>
      <c r="G167" s="70">
        <f>COUNTIFS('Error Log'!$A:$A,$A167,'Error Log'!$J:$J,G$1)</f>
        <v>0</v>
      </c>
      <c r="H167" s="70">
        <f>COUNTIFS('Error Log'!$A:$A,$A167,'Error Log'!$F:$F,"Source")</f>
        <v>0</v>
      </c>
      <c r="I167" s="70">
        <f>COUNTIFS('Error Log'!$A:$A,$A167,'Error Log'!$F:$F,"Target")</f>
        <v>0</v>
      </c>
      <c r="J167" s="71">
        <f t="shared" si="2"/>
        <v>0</v>
      </c>
    </row>
    <row r="168" spans="1:10">
      <c r="A168" s="82"/>
      <c r="B168" s="70" t="str">
        <f>IF(ISBLANK(A168),"",INDEX('Error Log'!$A:$J,MATCH('Scores per segment'!$A168,'Error Log'!$A:$A,0),MATCH('Scores per segment'!B$1,'Error Log'!$A$1:$J$1,0)))</f>
        <v/>
      </c>
      <c r="C168" s="70" t="str">
        <f>IF(ISBLANK(A168),"",INDEX('Error Log'!$A:$J,MATCH('Scores per segment'!$A168,'Error Log'!$A:$A,0),MATCH('Scores per segment'!C$1,'Error Log'!$A$1:$J$1,0)))</f>
        <v/>
      </c>
      <c r="D168" s="70">
        <f>IF(H168=0,wdct(TRIM(C168)),0)</f>
        <v>0</v>
      </c>
      <c r="E168" s="70">
        <f>COUNTIFS('Error Log'!$A:$A,$A168,'Error Log'!$J:$J,E$1)</f>
        <v>0</v>
      </c>
      <c r="F168" s="70">
        <f>COUNTIFS('Error Log'!$A:$A,$A168,'Error Log'!$J:$J,F$1)</f>
        <v>0</v>
      </c>
      <c r="G168" s="70">
        <f>COUNTIFS('Error Log'!$A:$A,$A168,'Error Log'!$J:$J,G$1)</f>
        <v>0</v>
      </c>
      <c r="H168" s="70">
        <f>COUNTIFS('Error Log'!$A:$A,$A168,'Error Log'!$F:$F,"Source")</f>
        <v>0</v>
      </c>
      <c r="I168" s="70">
        <f>COUNTIFS('Error Log'!$A:$A,$A168,'Error Log'!$F:$F,"Target")</f>
        <v>0</v>
      </c>
      <c r="J168" s="71">
        <f t="shared" si="2"/>
        <v>0</v>
      </c>
    </row>
    <row r="169" spans="1:10">
      <c r="A169" s="82"/>
      <c r="B169" s="70" t="str">
        <f>IF(ISBLANK(A169),"",INDEX('Error Log'!$A:$J,MATCH('Scores per segment'!$A169,'Error Log'!$A:$A,0),MATCH('Scores per segment'!B$1,'Error Log'!$A$1:$J$1,0)))</f>
        <v/>
      </c>
      <c r="C169" s="70" t="str">
        <f>IF(ISBLANK(A169),"",INDEX('Error Log'!$A:$J,MATCH('Scores per segment'!$A169,'Error Log'!$A:$A,0),MATCH('Scores per segment'!C$1,'Error Log'!$A$1:$J$1,0)))</f>
        <v/>
      </c>
      <c r="D169" s="70">
        <f>IF(H169=0,wdct(TRIM(C169)),0)</f>
        <v>0</v>
      </c>
      <c r="E169" s="70">
        <f>COUNTIFS('Error Log'!$A:$A,$A169,'Error Log'!$J:$J,E$1)</f>
        <v>0</v>
      </c>
      <c r="F169" s="70">
        <f>COUNTIFS('Error Log'!$A:$A,$A169,'Error Log'!$J:$J,F$1)</f>
        <v>0</v>
      </c>
      <c r="G169" s="70">
        <f>COUNTIFS('Error Log'!$A:$A,$A169,'Error Log'!$J:$J,G$1)</f>
        <v>0</v>
      </c>
      <c r="H169" s="70">
        <f>COUNTIFS('Error Log'!$A:$A,$A169,'Error Log'!$F:$F,"Source")</f>
        <v>0</v>
      </c>
      <c r="I169" s="70">
        <f>COUNTIFS('Error Log'!$A:$A,$A169,'Error Log'!$F:$F,"Target")</f>
        <v>0</v>
      </c>
      <c r="J169" s="71">
        <f t="shared" si="2"/>
        <v>0</v>
      </c>
    </row>
    <row r="170" spans="1:10">
      <c r="A170" s="82"/>
      <c r="B170" s="70" t="str">
        <f>IF(ISBLANK(A170),"",INDEX('Error Log'!$A:$J,MATCH('Scores per segment'!$A170,'Error Log'!$A:$A,0),MATCH('Scores per segment'!B$1,'Error Log'!$A$1:$J$1,0)))</f>
        <v/>
      </c>
      <c r="C170" s="70" t="str">
        <f>IF(ISBLANK(A170),"",INDEX('Error Log'!$A:$J,MATCH('Scores per segment'!$A170,'Error Log'!$A:$A,0),MATCH('Scores per segment'!C$1,'Error Log'!$A$1:$J$1,0)))</f>
        <v/>
      </c>
      <c r="D170" s="70">
        <f>IF(H170=0,wdct(TRIM(C170)),0)</f>
        <v>0</v>
      </c>
      <c r="E170" s="70">
        <f>COUNTIFS('Error Log'!$A:$A,$A170,'Error Log'!$J:$J,E$1)</f>
        <v>0</v>
      </c>
      <c r="F170" s="70">
        <f>COUNTIFS('Error Log'!$A:$A,$A170,'Error Log'!$J:$J,F$1)</f>
        <v>0</v>
      </c>
      <c r="G170" s="70">
        <f>COUNTIFS('Error Log'!$A:$A,$A170,'Error Log'!$J:$J,G$1)</f>
        <v>0</v>
      </c>
      <c r="H170" s="70">
        <f>COUNTIFS('Error Log'!$A:$A,$A170,'Error Log'!$F:$F,"Source")</f>
        <v>0</v>
      </c>
      <c r="I170" s="70">
        <f>COUNTIFS('Error Log'!$A:$A,$A170,'Error Log'!$F:$F,"Target")</f>
        <v>0</v>
      </c>
      <c r="J170" s="71">
        <f t="shared" si="2"/>
        <v>0</v>
      </c>
    </row>
    <row r="171" spans="1:10">
      <c r="A171" s="82"/>
      <c r="B171" s="70" t="str">
        <f>IF(ISBLANK(A171),"",INDEX('Error Log'!$A:$J,MATCH('Scores per segment'!$A171,'Error Log'!$A:$A,0),MATCH('Scores per segment'!B$1,'Error Log'!$A$1:$J$1,0)))</f>
        <v/>
      </c>
      <c r="C171" s="70" t="str">
        <f>IF(ISBLANK(A171),"",INDEX('Error Log'!$A:$J,MATCH('Scores per segment'!$A171,'Error Log'!$A:$A,0),MATCH('Scores per segment'!C$1,'Error Log'!$A$1:$J$1,0)))</f>
        <v/>
      </c>
      <c r="D171" s="70">
        <f>IF(H171=0,wdct(TRIM(C171)),0)</f>
        <v>0</v>
      </c>
      <c r="E171" s="70">
        <f>COUNTIFS('Error Log'!$A:$A,$A171,'Error Log'!$J:$J,E$1)</f>
        <v>0</v>
      </c>
      <c r="F171" s="70">
        <f>COUNTIFS('Error Log'!$A:$A,$A171,'Error Log'!$J:$J,F$1)</f>
        <v>0</v>
      </c>
      <c r="G171" s="70">
        <f>COUNTIFS('Error Log'!$A:$A,$A171,'Error Log'!$J:$J,G$1)</f>
        <v>0</v>
      </c>
      <c r="H171" s="70">
        <f>COUNTIFS('Error Log'!$A:$A,$A171,'Error Log'!$F:$F,"Source")</f>
        <v>0</v>
      </c>
      <c r="I171" s="70">
        <f>COUNTIFS('Error Log'!$A:$A,$A171,'Error Log'!$F:$F,"Target")</f>
        <v>0</v>
      </c>
      <c r="J171" s="71">
        <f t="shared" si="2"/>
        <v>0</v>
      </c>
    </row>
    <row r="172" spans="1:10">
      <c r="A172" s="82"/>
      <c r="B172" s="70" t="str">
        <f>IF(ISBLANK(A172),"",INDEX('Error Log'!$A:$J,MATCH('Scores per segment'!$A172,'Error Log'!$A:$A,0),MATCH('Scores per segment'!B$1,'Error Log'!$A$1:$J$1,0)))</f>
        <v/>
      </c>
      <c r="C172" s="70" t="str">
        <f>IF(ISBLANK(A172),"",INDEX('Error Log'!$A:$J,MATCH('Scores per segment'!$A172,'Error Log'!$A:$A,0),MATCH('Scores per segment'!C$1,'Error Log'!$A$1:$J$1,0)))</f>
        <v/>
      </c>
      <c r="D172" s="70">
        <f>IF(H172=0,wdct(TRIM(C172)),0)</f>
        <v>0</v>
      </c>
      <c r="E172" s="70">
        <f>COUNTIFS('Error Log'!$A:$A,$A172,'Error Log'!$J:$J,E$1)</f>
        <v>0</v>
      </c>
      <c r="F172" s="70">
        <f>COUNTIFS('Error Log'!$A:$A,$A172,'Error Log'!$J:$J,F$1)</f>
        <v>0</v>
      </c>
      <c r="G172" s="70">
        <f>COUNTIFS('Error Log'!$A:$A,$A172,'Error Log'!$J:$J,G$1)</f>
        <v>0</v>
      </c>
      <c r="H172" s="70">
        <f>COUNTIFS('Error Log'!$A:$A,$A172,'Error Log'!$F:$F,"Source")</f>
        <v>0</v>
      </c>
      <c r="I172" s="70">
        <f>COUNTIFS('Error Log'!$A:$A,$A172,'Error Log'!$F:$F,"Target")</f>
        <v>0</v>
      </c>
      <c r="J172" s="71">
        <f t="shared" si="2"/>
        <v>0</v>
      </c>
    </row>
    <row r="173" spans="1:10">
      <c r="A173" s="82"/>
      <c r="B173" s="70" t="str">
        <f>IF(ISBLANK(A173),"",INDEX('Error Log'!$A:$J,MATCH('Scores per segment'!$A173,'Error Log'!$A:$A,0),MATCH('Scores per segment'!B$1,'Error Log'!$A$1:$J$1,0)))</f>
        <v/>
      </c>
      <c r="C173" s="70" t="str">
        <f>IF(ISBLANK(A173),"",INDEX('Error Log'!$A:$J,MATCH('Scores per segment'!$A173,'Error Log'!$A:$A,0),MATCH('Scores per segment'!C$1,'Error Log'!$A$1:$J$1,0)))</f>
        <v/>
      </c>
      <c r="D173" s="70">
        <f>IF(H173=0,wdct(TRIM(C173)),0)</f>
        <v>0</v>
      </c>
      <c r="E173" s="70">
        <f>COUNTIFS('Error Log'!$A:$A,$A173,'Error Log'!$J:$J,E$1)</f>
        <v>0</v>
      </c>
      <c r="F173" s="70">
        <f>COUNTIFS('Error Log'!$A:$A,$A173,'Error Log'!$J:$J,F$1)</f>
        <v>0</v>
      </c>
      <c r="G173" s="70">
        <f>COUNTIFS('Error Log'!$A:$A,$A173,'Error Log'!$J:$J,G$1)</f>
        <v>0</v>
      </c>
      <c r="H173" s="70">
        <f>COUNTIFS('Error Log'!$A:$A,$A173,'Error Log'!$F:$F,"Source")</f>
        <v>0</v>
      </c>
      <c r="I173" s="70">
        <f>COUNTIFS('Error Log'!$A:$A,$A173,'Error Log'!$F:$F,"Target")</f>
        <v>0</v>
      </c>
      <c r="J173" s="71">
        <f t="shared" si="2"/>
        <v>0</v>
      </c>
    </row>
    <row r="174" spans="1:10">
      <c r="A174" s="82"/>
      <c r="B174" s="70" t="str">
        <f>IF(ISBLANK(A174),"",INDEX('Error Log'!$A:$J,MATCH('Scores per segment'!$A174,'Error Log'!$A:$A,0),MATCH('Scores per segment'!B$1,'Error Log'!$A$1:$J$1,0)))</f>
        <v/>
      </c>
      <c r="C174" s="70" t="str">
        <f>IF(ISBLANK(A174),"",INDEX('Error Log'!$A:$J,MATCH('Scores per segment'!$A174,'Error Log'!$A:$A,0),MATCH('Scores per segment'!C$1,'Error Log'!$A$1:$J$1,0)))</f>
        <v/>
      </c>
      <c r="D174" s="70">
        <f>IF(H174=0,wdct(TRIM(C174)),0)</f>
        <v>0</v>
      </c>
      <c r="E174" s="70">
        <f>COUNTIFS('Error Log'!$A:$A,$A174,'Error Log'!$J:$J,E$1)</f>
        <v>0</v>
      </c>
      <c r="F174" s="70">
        <f>COUNTIFS('Error Log'!$A:$A,$A174,'Error Log'!$J:$J,F$1)</f>
        <v>0</v>
      </c>
      <c r="G174" s="70">
        <f>COUNTIFS('Error Log'!$A:$A,$A174,'Error Log'!$J:$J,G$1)</f>
        <v>0</v>
      </c>
      <c r="H174" s="70">
        <f>COUNTIFS('Error Log'!$A:$A,$A174,'Error Log'!$F:$F,"Source")</f>
        <v>0</v>
      </c>
      <c r="I174" s="70">
        <f>COUNTIFS('Error Log'!$A:$A,$A174,'Error Log'!$F:$F,"Target")</f>
        <v>0</v>
      </c>
      <c r="J174" s="71">
        <f t="shared" si="2"/>
        <v>0</v>
      </c>
    </row>
    <row r="175" spans="1:10">
      <c r="A175" s="82"/>
      <c r="B175" s="70" t="str">
        <f>IF(ISBLANK(A175),"",INDEX('Error Log'!$A:$J,MATCH('Scores per segment'!$A175,'Error Log'!$A:$A,0),MATCH('Scores per segment'!B$1,'Error Log'!$A$1:$J$1,0)))</f>
        <v/>
      </c>
      <c r="C175" s="70" t="str">
        <f>IF(ISBLANK(A175),"",INDEX('Error Log'!$A:$J,MATCH('Scores per segment'!$A175,'Error Log'!$A:$A,0),MATCH('Scores per segment'!C$1,'Error Log'!$A$1:$J$1,0)))</f>
        <v/>
      </c>
      <c r="D175" s="70">
        <f>IF(H175=0,wdct(TRIM(C175)),0)</f>
        <v>0</v>
      </c>
      <c r="E175" s="70">
        <f>COUNTIFS('Error Log'!$A:$A,$A175,'Error Log'!$J:$J,E$1)</f>
        <v>0</v>
      </c>
      <c r="F175" s="70">
        <f>COUNTIFS('Error Log'!$A:$A,$A175,'Error Log'!$J:$J,F$1)</f>
        <v>0</v>
      </c>
      <c r="G175" s="70">
        <f>COUNTIFS('Error Log'!$A:$A,$A175,'Error Log'!$J:$J,G$1)</f>
        <v>0</v>
      </c>
      <c r="H175" s="70">
        <f>COUNTIFS('Error Log'!$A:$A,$A175,'Error Log'!$F:$F,"Source")</f>
        <v>0</v>
      </c>
      <c r="I175" s="70">
        <f>COUNTIFS('Error Log'!$A:$A,$A175,'Error Log'!$F:$F,"Target")</f>
        <v>0</v>
      </c>
      <c r="J175" s="71">
        <f t="shared" si="2"/>
        <v>0</v>
      </c>
    </row>
    <row r="176" spans="1:10">
      <c r="A176" s="82"/>
      <c r="B176" s="70" t="str">
        <f>IF(ISBLANK(A176),"",INDEX('Error Log'!$A:$J,MATCH('Scores per segment'!$A176,'Error Log'!$A:$A,0),MATCH('Scores per segment'!B$1,'Error Log'!$A$1:$J$1,0)))</f>
        <v/>
      </c>
      <c r="C176" s="70" t="str">
        <f>IF(ISBLANK(A176),"",INDEX('Error Log'!$A:$J,MATCH('Scores per segment'!$A176,'Error Log'!$A:$A,0),MATCH('Scores per segment'!C$1,'Error Log'!$A$1:$J$1,0)))</f>
        <v/>
      </c>
      <c r="D176" s="70">
        <f>IF(H176=0,wdct(TRIM(C176)),0)</f>
        <v>0</v>
      </c>
      <c r="E176" s="70">
        <f>COUNTIFS('Error Log'!$A:$A,$A176,'Error Log'!$J:$J,E$1)</f>
        <v>0</v>
      </c>
      <c r="F176" s="70">
        <f>COUNTIFS('Error Log'!$A:$A,$A176,'Error Log'!$J:$J,F$1)</f>
        <v>0</v>
      </c>
      <c r="G176" s="70">
        <f>COUNTIFS('Error Log'!$A:$A,$A176,'Error Log'!$J:$J,G$1)</f>
        <v>0</v>
      </c>
      <c r="H176" s="70">
        <f>COUNTIFS('Error Log'!$A:$A,$A176,'Error Log'!$F:$F,"Source")</f>
        <v>0</v>
      </c>
      <c r="I176" s="70">
        <f>COUNTIFS('Error Log'!$A:$A,$A176,'Error Log'!$F:$F,"Target")</f>
        <v>0</v>
      </c>
      <c r="J176" s="71">
        <f t="shared" si="2"/>
        <v>0</v>
      </c>
    </row>
    <row r="177" spans="1:10">
      <c r="A177" s="82"/>
      <c r="B177" s="70" t="str">
        <f>IF(ISBLANK(A177),"",INDEX('Error Log'!$A:$J,MATCH('Scores per segment'!$A177,'Error Log'!$A:$A,0),MATCH('Scores per segment'!B$1,'Error Log'!$A$1:$J$1,0)))</f>
        <v/>
      </c>
      <c r="C177" s="70" t="str">
        <f>IF(ISBLANK(A177),"",INDEX('Error Log'!$A:$J,MATCH('Scores per segment'!$A177,'Error Log'!$A:$A,0),MATCH('Scores per segment'!C$1,'Error Log'!$A$1:$J$1,0)))</f>
        <v/>
      </c>
      <c r="D177" s="70">
        <f>IF(H177=0,wdct(TRIM(C177)),0)</f>
        <v>0</v>
      </c>
      <c r="E177" s="70">
        <f>COUNTIFS('Error Log'!$A:$A,$A177,'Error Log'!$J:$J,E$1)</f>
        <v>0</v>
      </c>
      <c r="F177" s="70">
        <f>COUNTIFS('Error Log'!$A:$A,$A177,'Error Log'!$J:$J,F$1)</f>
        <v>0</v>
      </c>
      <c r="G177" s="70">
        <f>COUNTIFS('Error Log'!$A:$A,$A177,'Error Log'!$J:$J,G$1)</f>
        <v>0</v>
      </c>
      <c r="H177" s="70">
        <f>COUNTIFS('Error Log'!$A:$A,$A177,'Error Log'!$F:$F,"Source")</f>
        <v>0</v>
      </c>
      <c r="I177" s="70">
        <f>COUNTIFS('Error Log'!$A:$A,$A177,'Error Log'!$F:$F,"Target")</f>
        <v>0</v>
      </c>
      <c r="J177" s="71">
        <f t="shared" si="2"/>
        <v>0</v>
      </c>
    </row>
    <row r="178" spans="1:10">
      <c r="A178" s="82"/>
      <c r="B178" s="70" t="str">
        <f>IF(ISBLANK(A178),"",INDEX('Error Log'!$A:$J,MATCH('Scores per segment'!$A178,'Error Log'!$A:$A,0),MATCH('Scores per segment'!B$1,'Error Log'!$A$1:$J$1,0)))</f>
        <v/>
      </c>
      <c r="C178" s="70" t="str">
        <f>IF(ISBLANK(A178),"",INDEX('Error Log'!$A:$J,MATCH('Scores per segment'!$A178,'Error Log'!$A:$A,0),MATCH('Scores per segment'!C$1,'Error Log'!$A$1:$J$1,0)))</f>
        <v/>
      </c>
      <c r="D178" s="70">
        <f>IF(H178=0,wdct(TRIM(C178)),0)</f>
        <v>0</v>
      </c>
      <c r="E178" s="70">
        <f>COUNTIFS('Error Log'!$A:$A,$A178,'Error Log'!$J:$J,E$1)</f>
        <v>0</v>
      </c>
      <c r="F178" s="70">
        <f>COUNTIFS('Error Log'!$A:$A,$A178,'Error Log'!$J:$J,F$1)</f>
        <v>0</v>
      </c>
      <c r="G178" s="70">
        <f>COUNTIFS('Error Log'!$A:$A,$A178,'Error Log'!$J:$J,G$1)</f>
        <v>0</v>
      </c>
      <c r="H178" s="70">
        <f>COUNTIFS('Error Log'!$A:$A,$A178,'Error Log'!$F:$F,"Source")</f>
        <v>0</v>
      </c>
      <c r="I178" s="70">
        <f>COUNTIFS('Error Log'!$A:$A,$A178,'Error Log'!$F:$F,"Target")</f>
        <v>0</v>
      </c>
      <c r="J178" s="71">
        <f t="shared" si="2"/>
        <v>0</v>
      </c>
    </row>
    <row r="179" spans="1:10">
      <c r="A179" s="82"/>
      <c r="B179" s="70" t="str">
        <f>IF(ISBLANK(A179),"",INDEX('Error Log'!$A:$J,MATCH('Scores per segment'!$A179,'Error Log'!$A:$A,0),MATCH('Scores per segment'!B$1,'Error Log'!$A$1:$J$1,0)))</f>
        <v/>
      </c>
      <c r="C179" s="70" t="str">
        <f>IF(ISBLANK(A179),"",INDEX('Error Log'!$A:$J,MATCH('Scores per segment'!$A179,'Error Log'!$A:$A,0),MATCH('Scores per segment'!C$1,'Error Log'!$A$1:$J$1,0)))</f>
        <v/>
      </c>
      <c r="D179" s="70">
        <f>IF(H179=0,wdct(TRIM(C179)),0)</f>
        <v>0</v>
      </c>
      <c r="E179" s="70">
        <f>COUNTIFS('Error Log'!$A:$A,$A179,'Error Log'!$J:$J,E$1)</f>
        <v>0</v>
      </c>
      <c r="F179" s="70">
        <f>COUNTIFS('Error Log'!$A:$A,$A179,'Error Log'!$J:$J,F$1)</f>
        <v>0</v>
      </c>
      <c r="G179" s="70">
        <f>COUNTIFS('Error Log'!$A:$A,$A179,'Error Log'!$J:$J,G$1)</f>
        <v>0</v>
      </c>
      <c r="H179" s="70">
        <f>COUNTIFS('Error Log'!$A:$A,$A179,'Error Log'!$F:$F,"Source")</f>
        <v>0</v>
      </c>
      <c r="I179" s="70">
        <f>COUNTIFS('Error Log'!$A:$A,$A179,'Error Log'!$F:$F,"Target")</f>
        <v>0</v>
      </c>
      <c r="J179" s="71">
        <f t="shared" si="2"/>
        <v>0</v>
      </c>
    </row>
    <row r="180" spans="1:10">
      <c r="A180" s="82"/>
      <c r="B180" s="70" t="str">
        <f>IF(ISBLANK(A180),"",INDEX('Error Log'!$A:$J,MATCH('Scores per segment'!$A180,'Error Log'!$A:$A,0),MATCH('Scores per segment'!B$1,'Error Log'!$A$1:$J$1,0)))</f>
        <v/>
      </c>
      <c r="C180" s="70" t="str">
        <f>IF(ISBLANK(A180),"",INDEX('Error Log'!$A:$J,MATCH('Scores per segment'!$A180,'Error Log'!$A:$A,0),MATCH('Scores per segment'!C$1,'Error Log'!$A$1:$J$1,0)))</f>
        <v/>
      </c>
      <c r="D180" s="70">
        <f>IF(H180=0,wdct(TRIM(C180)),0)</f>
        <v>0</v>
      </c>
      <c r="E180" s="70">
        <f>COUNTIFS('Error Log'!$A:$A,$A180,'Error Log'!$J:$J,E$1)</f>
        <v>0</v>
      </c>
      <c r="F180" s="70">
        <f>COUNTIFS('Error Log'!$A:$A,$A180,'Error Log'!$J:$J,F$1)</f>
        <v>0</v>
      </c>
      <c r="G180" s="70">
        <f>COUNTIFS('Error Log'!$A:$A,$A180,'Error Log'!$J:$J,G$1)</f>
        <v>0</v>
      </c>
      <c r="H180" s="70">
        <f>COUNTIFS('Error Log'!$A:$A,$A180,'Error Log'!$F:$F,"Source")</f>
        <v>0</v>
      </c>
      <c r="I180" s="70">
        <f>COUNTIFS('Error Log'!$A:$A,$A180,'Error Log'!$F:$F,"Target")</f>
        <v>0</v>
      </c>
      <c r="J180" s="71">
        <f t="shared" si="2"/>
        <v>0</v>
      </c>
    </row>
    <row r="181" spans="1:10">
      <c r="A181" s="82"/>
      <c r="B181" s="70" t="str">
        <f>IF(ISBLANK(A181),"",INDEX('Error Log'!$A:$J,MATCH('Scores per segment'!$A181,'Error Log'!$A:$A,0),MATCH('Scores per segment'!B$1,'Error Log'!$A$1:$J$1,0)))</f>
        <v/>
      </c>
      <c r="C181" s="70" t="str">
        <f>IF(ISBLANK(A181),"",INDEX('Error Log'!$A:$J,MATCH('Scores per segment'!$A181,'Error Log'!$A:$A,0),MATCH('Scores per segment'!C$1,'Error Log'!$A$1:$J$1,0)))</f>
        <v/>
      </c>
      <c r="D181" s="70">
        <f>IF(H181=0,wdct(TRIM(C181)),0)</f>
        <v>0</v>
      </c>
      <c r="E181" s="70">
        <f>COUNTIFS('Error Log'!$A:$A,$A181,'Error Log'!$J:$J,E$1)</f>
        <v>0</v>
      </c>
      <c r="F181" s="70">
        <f>COUNTIFS('Error Log'!$A:$A,$A181,'Error Log'!$J:$J,F$1)</f>
        <v>0</v>
      </c>
      <c r="G181" s="70">
        <f>COUNTIFS('Error Log'!$A:$A,$A181,'Error Log'!$J:$J,G$1)</f>
        <v>0</v>
      </c>
      <c r="H181" s="70">
        <f>COUNTIFS('Error Log'!$A:$A,$A181,'Error Log'!$F:$F,"Source")</f>
        <v>0</v>
      </c>
      <c r="I181" s="70">
        <f>COUNTIFS('Error Log'!$A:$A,$A181,'Error Log'!$F:$F,"Target")</f>
        <v>0</v>
      </c>
      <c r="J181" s="71">
        <f t="shared" si="2"/>
        <v>0</v>
      </c>
    </row>
    <row r="182" spans="1:10">
      <c r="A182" s="82"/>
      <c r="B182" s="70" t="str">
        <f>IF(ISBLANK(A182),"",INDEX('Error Log'!$A:$J,MATCH('Scores per segment'!$A182,'Error Log'!$A:$A,0),MATCH('Scores per segment'!B$1,'Error Log'!$A$1:$J$1,0)))</f>
        <v/>
      </c>
      <c r="C182" s="70" t="str">
        <f>IF(ISBLANK(A182),"",INDEX('Error Log'!$A:$J,MATCH('Scores per segment'!$A182,'Error Log'!$A:$A,0),MATCH('Scores per segment'!C$1,'Error Log'!$A$1:$J$1,0)))</f>
        <v/>
      </c>
      <c r="D182" s="70">
        <f>IF(H182=0,wdct(TRIM(C182)),0)</f>
        <v>0</v>
      </c>
      <c r="E182" s="70">
        <f>COUNTIFS('Error Log'!$A:$A,$A182,'Error Log'!$J:$J,E$1)</f>
        <v>0</v>
      </c>
      <c r="F182" s="70">
        <f>COUNTIFS('Error Log'!$A:$A,$A182,'Error Log'!$J:$J,F$1)</f>
        <v>0</v>
      </c>
      <c r="G182" s="70">
        <f>COUNTIFS('Error Log'!$A:$A,$A182,'Error Log'!$J:$J,G$1)</f>
        <v>0</v>
      </c>
      <c r="H182" s="70">
        <f>COUNTIFS('Error Log'!$A:$A,$A182,'Error Log'!$F:$F,"Source")</f>
        <v>0</v>
      </c>
      <c r="I182" s="70">
        <f>COUNTIFS('Error Log'!$A:$A,$A182,'Error Log'!$F:$F,"Target")</f>
        <v>0</v>
      </c>
      <c r="J182" s="71">
        <f t="shared" si="2"/>
        <v>0</v>
      </c>
    </row>
    <row r="183" spans="1:10">
      <c r="A183" s="82"/>
      <c r="B183" s="70" t="str">
        <f>IF(ISBLANK(A183),"",INDEX('Error Log'!$A:$J,MATCH('Scores per segment'!$A183,'Error Log'!$A:$A,0),MATCH('Scores per segment'!B$1,'Error Log'!$A$1:$J$1,0)))</f>
        <v/>
      </c>
      <c r="C183" s="70" t="str">
        <f>IF(ISBLANK(A183),"",INDEX('Error Log'!$A:$J,MATCH('Scores per segment'!$A183,'Error Log'!$A:$A,0),MATCH('Scores per segment'!C$1,'Error Log'!$A$1:$J$1,0)))</f>
        <v/>
      </c>
      <c r="D183" s="70">
        <f>IF(H183=0,wdct(TRIM(C183)),0)</f>
        <v>0</v>
      </c>
      <c r="E183" s="70">
        <f>COUNTIFS('Error Log'!$A:$A,$A183,'Error Log'!$J:$J,E$1)</f>
        <v>0</v>
      </c>
      <c r="F183" s="70">
        <f>COUNTIFS('Error Log'!$A:$A,$A183,'Error Log'!$J:$J,F$1)</f>
        <v>0</v>
      </c>
      <c r="G183" s="70">
        <f>COUNTIFS('Error Log'!$A:$A,$A183,'Error Log'!$J:$J,G$1)</f>
        <v>0</v>
      </c>
      <c r="H183" s="70">
        <f>COUNTIFS('Error Log'!$A:$A,$A183,'Error Log'!$F:$F,"Source")</f>
        <v>0</v>
      </c>
      <c r="I183" s="70">
        <f>COUNTIFS('Error Log'!$A:$A,$A183,'Error Log'!$F:$F,"Target")</f>
        <v>0</v>
      </c>
      <c r="J183" s="71">
        <f t="shared" si="2"/>
        <v>0</v>
      </c>
    </row>
    <row r="184" spans="1:10">
      <c r="A184" s="82"/>
      <c r="B184" s="70" t="str">
        <f>IF(ISBLANK(A184),"",INDEX('Error Log'!$A:$J,MATCH('Scores per segment'!$A184,'Error Log'!$A:$A,0),MATCH('Scores per segment'!B$1,'Error Log'!$A$1:$J$1,0)))</f>
        <v/>
      </c>
      <c r="C184" s="70" t="str">
        <f>IF(ISBLANK(A184),"",INDEX('Error Log'!$A:$J,MATCH('Scores per segment'!$A184,'Error Log'!$A:$A,0),MATCH('Scores per segment'!C$1,'Error Log'!$A$1:$J$1,0)))</f>
        <v/>
      </c>
      <c r="D184" s="70">
        <f>IF(H184=0,wdct(TRIM(C184)),0)</f>
        <v>0</v>
      </c>
      <c r="E184" s="70">
        <f>COUNTIFS('Error Log'!$A:$A,$A184,'Error Log'!$J:$J,E$1)</f>
        <v>0</v>
      </c>
      <c r="F184" s="70">
        <f>COUNTIFS('Error Log'!$A:$A,$A184,'Error Log'!$J:$J,F$1)</f>
        <v>0</v>
      </c>
      <c r="G184" s="70">
        <f>COUNTIFS('Error Log'!$A:$A,$A184,'Error Log'!$J:$J,G$1)</f>
        <v>0</v>
      </c>
      <c r="H184" s="70">
        <f>COUNTIFS('Error Log'!$A:$A,$A184,'Error Log'!$F:$F,"Source")</f>
        <v>0</v>
      </c>
      <c r="I184" s="70">
        <f>COUNTIFS('Error Log'!$A:$A,$A184,'Error Log'!$F:$F,"Target")</f>
        <v>0</v>
      </c>
      <c r="J184" s="71">
        <f t="shared" si="2"/>
        <v>0</v>
      </c>
    </row>
    <row r="185" spans="1:10">
      <c r="A185" s="82"/>
      <c r="B185" s="70" t="str">
        <f>IF(ISBLANK(A185),"",INDEX('Error Log'!$A:$J,MATCH('Scores per segment'!$A185,'Error Log'!$A:$A,0),MATCH('Scores per segment'!B$1,'Error Log'!$A$1:$J$1,0)))</f>
        <v/>
      </c>
      <c r="C185" s="70" t="str">
        <f>IF(ISBLANK(A185),"",INDEX('Error Log'!$A:$J,MATCH('Scores per segment'!$A185,'Error Log'!$A:$A,0),MATCH('Scores per segment'!C$1,'Error Log'!$A$1:$J$1,0)))</f>
        <v/>
      </c>
      <c r="D185" s="70">
        <f>IF(H185=0,wdct(TRIM(C185)),0)</f>
        <v>0</v>
      </c>
      <c r="E185" s="70">
        <f>COUNTIFS('Error Log'!$A:$A,$A185,'Error Log'!$J:$J,E$1)</f>
        <v>0</v>
      </c>
      <c r="F185" s="70">
        <f>COUNTIFS('Error Log'!$A:$A,$A185,'Error Log'!$J:$J,F$1)</f>
        <v>0</v>
      </c>
      <c r="G185" s="70">
        <f>COUNTIFS('Error Log'!$A:$A,$A185,'Error Log'!$J:$J,G$1)</f>
        <v>0</v>
      </c>
      <c r="H185" s="70">
        <f>COUNTIFS('Error Log'!$A:$A,$A185,'Error Log'!$F:$F,"Source")</f>
        <v>0</v>
      </c>
      <c r="I185" s="70">
        <f>COUNTIFS('Error Log'!$A:$A,$A185,'Error Log'!$F:$F,"Target")</f>
        <v>0</v>
      </c>
      <c r="J185" s="71">
        <f t="shared" si="2"/>
        <v>0</v>
      </c>
    </row>
    <row r="186" spans="1:10">
      <c r="A186" s="82"/>
      <c r="B186" s="70" t="str">
        <f>IF(ISBLANK(A186),"",INDEX('Error Log'!$A:$J,MATCH('Scores per segment'!$A186,'Error Log'!$A:$A,0),MATCH('Scores per segment'!B$1,'Error Log'!$A$1:$J$1,0)))</f>
        <v/>
      </c>
      <c r="C186" s="70" t="str">
        <f>IF(ISBLANK(A186),"",INDEX('Error Log'!$A:$J,MATCH('Scores per segment'!$A186,'Error Log'!$A:$A,0),MATCH('Scores per segment'!C$1,'Error Log'!$A$1:$J$1,0)))</f>
        <v/>
      </c>
      <c r="D186" s="70">
        <f>IF(H186=0,wdct(TRIM(C186)),0)</f>
        <v>0</v>
      </c>
      <c r="E186" s="70">
        <f>COUNTIFS('Error Log'!$A:$A,$A186,'Error Log'!$J:$J,E$1)</f>
        <v>0</v>
      </c>
      <c r="F186" s="70">
        <f>COUNTIFS('Error Log'!$A:$A,$A186,'Error Log'!$J:$J,F$1)</f>
        <v>0</v>
      </c>
      <c r="G186" s="70">
        <f>COUNTIFS('Error Log'!$A:$A,$A186,'Error Log'!$J:$J,G$1)</f>
        <v>0</v>
      </c>
      <c r="H186" s="70">
        <f>COUNTIFS('Error Log'!$A:$A,$A186,'Error Log'!$F:$F,"Source")</f>
        <v>0</v>
      </c>
      <c r="I186" s="70">
        <f>COUNTIFS('Error Log'!$A:$A,$A186,'Error Log'!$F:$F,"Target")</f>
        <v>0</v>
      </c>
      <c r="J186" s="71">
        <f t="shared" si="2"/>
        <v>0</v>
      </c>
    </row>
    <row r="187" spans="1:10">
      <c r="A187" s="82"/>
      <c r="B187" s="70" t="str">
        <f>IF(ISBLANK(A187),"",INDEX('Error Log'!$A:$J,MATCH('Scores per segment'!$A187,'Error Log'!$A:$A,0),MATCH('Scores per segment'!B$1,'Error Log'!$A$1:$J$1,0)))</f>
        <v/>
      </c>
      <c r="C187" s="70" t="str">
        <f>IF(ISBLANK(A187),"",INDEX('Error Log'!$A:$J,MATCH('Scores per segment'!$A187,'Error Log'!$A:$A,0),MATCH('Scores per segment'!C$1,'Error Log'!$A$1:$J$1,0)))</f>
        <v/>
      </c>
      <c r="D187" s="70">
        <f>IF(H187=0,wdct(TRIM(C187)),0)</f>
        <v>0</v>
      </c>
      <c r="E187" s="70">
        <f>COUNTIFS('Error Log'!$A:$A,$A187,'Error Log'!$J:$J,E$1)</f>
        <v>0</v>
      </c>
      <c r="F187" s="70">
        <f>COUNTIFS('Error Log'!$A:$A,$A187,'Error Log'!$J:$J,F$1)</f>
        <v>0</v>
      </c>
      <c r="G187" s="70">
        <f>COUNTIFS('Error Log'!$A:$A,$A187,'Error Log'!$J:$J,G$1)</f>
        <v>0</v>
      </c>
      <c r="H187" s="70">
        <f>COUNTIFS('Error Log'!$A:$A,$A187,'Error Log'!$F:$F,"Source")</f>
        <v>0</v>
      </c>
      <c r="I187" s="70">
        <f>COUNTIFS('Error Log'!$A:$A,$A187,'Error Log'!$F:$F,"Target")</f>
        <v>0</v>
      </c>
      <c r="J187" s="71">
        <f t="shared" si="2"/>
        <v>0</v>
      </c>
    </row>
    <row r="188" spans="1:10">
      <c r="A188" s="82"/>
      <c r="B188" s="70" t="str">
        <f>IF(ISBLANK(A188),"",INDEX('Error Log'!$A:$J,MATCH('Scores per segment'!$A188,'Error Log'!$A:$A,0),MATCH('Scores per segment'!B$1,'Error Log'!$A$1:$J$1,0)))</f>
        <v/>
      </c>
      <c r="C188" s="70" t="str">
        <f>IF(ISBLANK(A188),"",INDEX('Error Log'!$A:$J,MATCH('Scores per segment'!$A188,'Error Log'!$A:$A,0),MATCH('Scores per segment'!C$1,'Error Log'!$A$1:$J$1,0)))</f>
        <v/>
      </c>
      <c r="D188" s="70">
        <f>IF(H188=0,wdct(TRIM(C188)),0)</f>
        <v>0</v>
      </c>
      <c r="E188" s="70">
        <f>COUNTIFS('Error Log'!$A:$A,$A188,'Error Log'!$J:$J,E$1)</f>
        <v>0</v>
      </c>
      <c r="F188" s="70">
        <f>COUNTIFS('Error Log'!$A:$A,$A188,'Error Log'!$J:$J,F$1)</f>
        <v>0</v>
      </c>
      <c r="G188" s="70">
        <f>COUNTIFS('Error Log'!$A:$A,$A188,'Error Log'!$J:$J,G$1)</f>
        <v>0</v>
      </c>
      <c r="H188" s="70">
        <f>COUNTIFS('Error Log'!$A:$A,$A188,'Error Log'!$F:$F,"Source")</f>
        <v>0</v>
      </c>
      <c r="I188" s="70">
        <f>COUNTIFS('Error Log'!$A:$A,$A188,'Error Log'!$F:$F,"Target")</f>
        <v>0</v>
      </c>
      <c r="J188" s="71">
        <f t="shared" si="2"/>
        <v>0</v>
      </c>
    </row>
    <row r="189" spans="1:10">
      <c r="A189" s="82"/>
      <c r="B189" s="70" t="str">
        <f>IF(ISBLANK(A189),"",INDEX('Error Log'!$A:$J,MATCH('Scores per segment'!$A189,'Error Log'!$A:$A,0),MATCH('Scores per segment'!B$1,'Error Log'!$A$1:$J$1,0)))</f>
        <v/>
      </c>
      <c r="C189" s="70" t="str">
        <f>IF(ISBLANK(A189),"",INDEX('Error Log'!$A:$J,MATCH('Scores per segment'!$A189,'Error Log'!$A:$A,0),MATCH('Scores per segment'!C$1,'Error Log'!$A$1:$J$1,0)))</f>
        <v/>
      </c>
      <c r="D189" s="70">
        <f>IF(H189=0,wdct(TRIM(C189)),0)</f>
        <v>0</v>
      </c>
      <c r="E189" s="70">
        <f>COUNTIFS('Error Log'!$A:$A,$A189,'Error Log'!$J:$J,E$1)</f>
        <v>0</v>
      </c>
      <c r="F189" s="70">
        <f>COUNTIFS('Error Log'!$A:$A,$A189,'Error Log'!$J:$J,F$1)</f>
        <v>0</v>
      </c>
      <c r="G189" s="70">
        <f>COUNTIFS('Error Log'!$A:$A,$A189,'Error Log'!$J:$J,G$1)</f>
        <v>0</v>
      </c>
      <c r="H189" s="70">
        <f>COUNTIFS('Error Log'!$A:$A,$A189,'Error Log'!$F:$F,"Source")</f>
        <v>0</v>
      </c>
      <c r="I189" s="70">
        <f>COUNTIFS('Error Log'!$A:$A,$A189,'Error Log'!$F:$F,"Target")</f>
        <v>0</v>
      </c>
      <c r="J189" s="71">
        <f t="shared" ref="J189:J252" si="3">IF(I189=0,IFERROR((((1-((E189*10+F189*5+G189*1)/D189))*100)+100)/2,0),-150)</f>
        <v>0</v>
      </c>
    </row>
    <row r="190" spans="1:10">
      <c r="A190" s="82"/>
      <c r="B190" s="70" t="str">
        <f>IF(ISBLANK(A190),"",INDEX('Error Log'!$A:$J,MATCH('Scores per segment'!$A190,'Error Log'!$A:$A,0),MATCH('Scores per segment'!B$1,'Error Log'!$A$1:$J$1,0)))</f>
        <v/>
      </c>
      <c r="C190" s="70" t="str">
        <f>IF(ISBLANK(A190),"",INDEX('Error Log'!$A:$J,MATCH('Scores per segment'!$A190,'Error Log'!$A:$A,0),MATCH('Scores per segment'!C$1,'Error Log'!$A$1:$J$1,0)))</f>
        <v/>
      </c>
      <c r="D190" s="70">
        <f>IF(H190=0,wdct(TRIM(C190)),0)</f>
        <v>0</v>
      </c>
      <c r="E190" s="70">
        <f>COUNTIFS('Error Log'!$A:$A,$A190,'Error Log'!$J:$J,E$1)</f>
        <v>0</v>
      </c>
      <c r="F190" s="70">
        <f>COUNTIFS('Error Log'!$A:$A,$A190,'Error Log'!$J:$J,F$1)</f>
        <v>0</v>
      </c>
      <c r="G190" s="70">
        <f>COUNTIFS('Error Log'!$A:$A,$A190,'Error Log'!$J:$J,G$1)</f>
        <v>0</v>
      </c>
      <c r="H190" s="70">
        <f>COUNTIFS('Error Log'!$A:$A,$A190,'Error Log'!$F:$F,"Source")</f>
        <v>0</v>
      </c>
      <c r="I190" s="70">
        <f>COUNTIFS('Error Log'!$A:$A,$A190,'Error Log'!$F:$F,"Target")</f>
        <v>0</v>
      </c>
      <c r="J190" s="71">
        <f t="shared" si="3"/>
        <v>0</v>
      </c>
    </row>
    <row r="191" spans="1:10">
      <c r="A191" s="82"/>
      <c r="B191" s="70" t="str">
        <f>IF(ISBLANK(A191),"",INDEX('Error Log'!$A:$J,MATCH('Scores per segment'!$A191,'Error Log'!$A:$A,0),MATCH('Scores per segment'!B$1,'Error Log'!$A$1:$J$1,0)))</f>
        <v/>
      </c>
      <c r="C191" s="70" t="str">
        <f>IF(ISBLANK(A191),"",INDEX('Error Log'!$A:$J,MATCH('Scores per segment'!$A191,'Error Log'!$A:$A,0),MATCH('Scores per segment'!C$1,'Error Log'!$A$1:$J$1,0)))</f>
        <v/>
      </c>
      <c r="D191" s="70">
        <f>IF(H191=0,wdct(TRIM(C191)),0)</f>
        <v>0</v>
      </c>
      <c r="E191" s="70">
        <f>COUNTIFS('Error Log'!$A:$A,$A191,'Error Log'!$J:$J,E$1)</f>
        <v>0</v>
      </c>
      <c r="F191" s="70">
        <f>COUNTIFS('Error Log'!$A:$A,$A191,'Error Log'!$J:$J,F$1)</f>
        <v>0</v>
      </c>
      <c r="G191" s="70">
        <f>COUNTIFS('Error Log'!$A:$A,$A191,'Error Log'!$J:$J,G$1)</f>
        <v>0</v>
      </c>
      <c r="H191" s="70">
        <f>COUNTIFS('Error Log'!$A:$A,$A191,'Error Log'!$F:$F,"Source")</f>
        <v>0</v>
      </c>
      <c r="I191" s="70">
        <f>COUNTIFS('Error Log'!$A:$A,$A191,'Error Log'!$F:$F,"Target")</f>
        <v>0</v>
      </c>
      <c r="J191" s="71">
        <f t="shared" si="3"/>
        <v>0</v>
      </c>
    </row>
    <row r="192" spans="1:10">
      <c r="A192" s="82"/>
      <c r="B192" s="70" t="str">
        <f>IF(ISBLANK(A192),"",INDEX('Error Log'!$A:$J,MATCH('Scores per segment'!$A192,'Error Log'!$A:$A,0),MATCH('Scores per segment'!B$1,'Error Log'!$A$1:$J$1,0)))</f>
        <v/>
      </c>
      <c r="C192" s="70" t="str">
        <f>IF(ISBLANK(A192),"",INDEX('Error Log'!$A:$J,MATCH('Scores per segment'!$A192,'Error Log'!$A:$A,0),MATCH('Scores per segment'!C$1,'Error Log'!$A$1:$J$1,0)))</f>
        <v/>
      </c>
      <c r="D192" s="70">
        <f>IF(H192=0,wdct(TRIM(C192)),0)</f>
        <v>0</v>
      </c>
      <c r="E192" s="70">
        <f>COUNTIFS('Error Log'!$A:$A,$A192,'Error Log'!$J:$J,E$1)</f>
        <v>0</v>
      </c>
      <c r="F192" s="70">
        <f>COUNTIFS('Error Log'!$A:$A,$A192,'Error Log'!$J:$J,F$1)</f>
        <v>0</v>
      </c>
      <c r="G192" s="70">
        <f>COUNTIFS('Error Log'!$A:$A,$A192,'Error Log'!$J:$J,G$1)</f>
        <v>0</v>
      </c>
      <c r="H192" s="70">
        <f>COUNTIFS('Error Log'!$A:$A,$A192,'Error Log'!$F:$F,"Source")</f>
        <v>0</v>
      </c>
      <c r="I192" s="70">
        <f>COUNTIFS('Error Log'!$A:$A,$A192,'Error Log'!$F:$F,"Target")</f>
        <v>0</v>
      </c>
      <c r="J192" s="71">
        <f t="shared" si="3"/>
        <v>0</v>
      </c>
    </row>
    <row r="193" spans="1:10">
      <c r="A193" s="82"/>
      <c r="B193" s="70" t="str">
        <f>IF(ISBLANK(A193),"",INDEX('Error Log'!$A:$J,MATCH('Scores per segment'!$A193,'Error Log'!$A:$A,0),MATCH('Scores per segment'!B$1,'Error Log'!$A$1:$J$1,0)))</f>
        <v/>
      </c>
      <c r="C193" s="70" t="str">
        <f>IF(ISBLANK(A193),"",INDEX('Error Log'!$A:$J,MATCH('Scores per segment'!$A193,'Error Log'!$A:$A,0),MATCH('Scores per segment'!C$1,'Error Log'!$A$1:$J$1,0)))</f>
        <v/>
      </c>
      <c r="D193" s="70">
        <f>IF(H193=0,wdct(TRIM(C193)),0)</f>
        <v>0</v>
      </c>
      <c r="E193" s="70">
        <f>COUNTIFS('Error Log'!$A:$A,$A193,'Error Log'!$J:$J,E$1)</f>
        <v>0</v>
      </c>
      <c r="F193" s="70">
        <f>COUNTIFS('Error Log'!$A:$A,$A193,'Error Log'!$J:$J,F$1)</f>
        <v>0</v>
      </c>
      <c r="G193" s="70">
        <f>COUNTIFS('Error Log'!$A:$A,$A193,'Error Log'!$J:$J,G$1)</f>
        <v>0</v>
      </c>
      <c r="H193" s="70">
        <f>COUNTIFS('Error Log'!$A:$A,$A193,'Error Log'!$F:$F,"Source")</f>
        <v>0</v>
      </c>
      <c r="I193" s="70">
        <f>COUNTIFS('Error Log'!$A:$A,$A193,'Error Log'!$F:$F,"Target")</f>
        <v>0</v>
      </c>
      <c r="J193" s="71">
        <f t="shared" si="3"/>
        <v>0</v>
      </c>
    </row>
    <row r="194" spans="1:10">
      <c r="A194" s="82"/>
      <c r="B194" s="70" t="str">
        <f>IF(ISBLANK(A194),"",INDEX('Error Log'!$A:$J,MATCH('Scores per segment'!$A194,'Error Log'!$A:$A,0),MATCH('Scores per segment'!B$1,'Error Log'!$A$1:$J$1,0)))</f>
        <v/>
      </c>
      <c r="C194" s="70" t="str">
        <f>IF(ISBLANK(A194),"",INDEX('Error Log'!$A:$J,MATCH('Scores per segment'!$A194,'Error Log'!$A:$A,0),MATCH('Scores per segment'!C$1,'Error Log'!$A$1:$J$1,0)))</f>
        <v/>
      </c>
      <c r="D194" s="70">
        <f>IF(H194=0,wdct(TRIM(C194)),0)</f>
        <v>0</v>
      </c>
      <c r="E194" s="70">
        <f>COUNTIFS('Error Log'!$A:$A,$A194,'Error Log'!$J:$J,E$1)</f>
        <v>0</v>
      </c>
      <c r="F194" s="70">
        <f>COUNTIFS('Error Log'!$A:$A,$A194,'Error Log'!$J:$J,F$1)</f>
        <v>0</v>
      </c>
      <c r="G194" s="70">
        <f>COUNTIFS('Error Log'!$A:$A,$A194,'Error Log'!$J:$J,G$1)</f>
        <v>0</v>
      </c>
      <c r="H194" s="70">
        <f>COUNTIFS('Error Log'!$A:$A,$A194,'Error Log'!$F:$F,"Source")</f>
        <v>0</v>
      </c>
      <c r="I194" s="70">
        <f>COUNTIFS('Error Log'!$A:$A,$A194,'Error Log'!$F:$F,"Target")</f>
        <v>0</v>
      </c>
      <c r="J194" s="71">
        <f t="shared" si="3"/>
        <v>0</v>
      </c>
    </row>
    <row r="195" spans="1:10">
      <c r="A195" s="82"/>
      <c r="B195" s="70" t="str">
        <f>IF(ISBLANK(A195),"",INDEX('Error Log'!$A:$J,MATCH('Scores per segment'!$A195,'Error Log'!$A:$A,0),MATCH('Scores per segment'!B$1,'Error Log'!$A$1:$J$1,0)))</f>
        <v/>
      </c>
      <c r="C195" s="70" t="str">
        <f>IF(ISBLANK(A195),"",INDEX('Error Log'!$A:$J,MATCH('Scores per segment'!$A195,'Error Log'!$A:$A,0),MATCH('Scores per segment'!C$1,'Error Log'!$A$1:$J$1,0)))</f>
        <v/>
      </c>
      <c r="D195" s="70">
        <f>IF(H195=0,wdct(TRIM(C195)),0)</f>
        <v>0</v>
      </c>
      <c r="E195" s="70">
        <f>COUNTIFS('Error Log'!$A:$A,$A195,'Error Log'!$J:$J,E$1)</f>
        <v>0</v>
      </c>
      <c r="F195" s="70">
        <f>COUNTIFS('Error Log'!$A:$A,$A195,'Error Log'!$J:$J,F$1)</f>
        <v>0</v>
      </c>
      <c r="G195" s="70">
        <f>COUNTIFS('Error Log'!$A:$A,$A195,'Error Log'!$J:$J,G$1)</f>
        <v>0</v>
      </c>
      <c r="H195" s="70">
        <f>COUNTIFS('Error Log'!$A:$A,$A195,'Error Log'!$F:$F,"Source")</f>
        <v>0</v>
      </c>
      <c r="I195" s="70">
        <f>COUNTIFS('Error Log'!$A:$A,$A195,'Error Log'!$F:$F,"Target")</f>
        <v>0</v>
      </c>
      <c r="J195" s="71">
        <f t="shared" si="3"/>
        <v>0</v>
      </c>
    </row>
    <row r="196" spans="1:10">
      <c r="A196" s="82"/>
      <c r="B196" s="70" t="str">
        <f>IF(ISBLANK(A196),"",INDEX('Error Log'!$A:$J,MATCH('Scores per segment'!$A196,'Error Log'!$A:$A,0),MATCH('Scores per segment'!B$1,'Error Log'!$A$1:$J$1,0)))</f>
        <v/>
      </c>
      <c r="C196" s="70" t="str">
        <f>IF(ISBLANK(A196),"",INDEX('Error Log'!$A:$J,MATCH('Scores per segment'!$A196,'Error Log'!$A:$A,0),MATCH('Scores per segment'!C$1,'Error Log'!$A$1:$J$1,0)))</f>
        <v/>
      </c>
      <c r="D196" s="70">
        <f>IF(H196=0,wdct(TRIM(C196)),0)</f>
        <v>0</v>
      </c>
      <c r="E196" s="70">
        <f>COUNTIFS('Error Log'!$A:$A,$A196,'Error Log'!$J:$J,E$1)</f>
        <v>0</v>
      </c>
      <c r="F196" s="70">
        <f>COUNTIFS('Error Log'!$A:$A,$A196,'Error Log'!$J:$J,F$1)</f>
        <v>0</v>
      </c>
      <c r="G196" s="70">
        <f>COUNTIFS('Error Log'!$A:$A,$A196,'Error Log'!$J:$J,G$1)</f>
        <v>0</v>
      </c>
      <c r="H196" s="70">
        <f>COUNTIFS('Error Log'!$A:$A,$A196,'Error Log'!$F:$F,"Source")</f>
        <v>0</v>
      </c>
      <c r="I196" s="70">
        <f>COUNTIFS('Error Log'!$A:$A,$A196,'Error Log'!$F:$F,"Target")</f>
        <v>0</v>
      </c>
      <c r="J196" s="71">
        <f t="shared" si="3"/>
        <v>0</v>
      </c>
    </row>
    <row r="197" spans="1:10">
      <c r="A197" s="82"/>
      <c r="B197" s="70" t="str">
        <f>IF(ISBLANK(A197),"",INDEX('Error Log'!$A:$J,MATCH('Scores per segment'!$A197,'Error Log'!$A:$A,0),MATCH('Scores per segment'!B$1,'Error Log'!$A$1:$J$1,0)))</f>
        <v/>
      </c>
      <c r="C197" s="70" t="str">
        <f>IF(ISBLANK(A197),"",INDEX('Error Log'!$A:$J,MATCH('Scores per segment'!$A197,'Error Log'!$A:$A,0),MATCH('Scores per segment'!C$1,'Error Log'!$A$1:$J$1,0)))</f>
        <v/>
      </c>
      <c r="D197" s="70">
        <f>IF(H197=0,wdct(TRIM(C197)),0)</f>
        <v>0</v>
      </c>
      <c r="E197" s="70">
        <f>COUNTIFS('Error Log'!$A:$A,$A197,'Error Log'!$J:$J,E$1)</f>
        <v>0</v>
      </c>
      <c r="F197" s="70">
        <f>COUNTIFS('Error Log'!$A:$A,$A197,'Error Log'!$J:$J,F$1)</f>
        <v>0</v>
      </c>
      <c r="G197" s="70">
        <f>COUNTIFS('Error Log'!$A:$A,$A197,'Error Log'!$J:$J,G$1)</f>
        <v>0</v>
      </c>
      <c r="H197" s="70">
        <f>COUNTIFS('Error Log'!$A:$A,$A197,'Error Log'!$F:$F,"Source")</f>
        <v>0</v>
      </c>
      <c r="I197" s="70">
        <f>COUNTIFS('Error Log'!$A:$A,$A197,'Error Log'!$F:$F,"Target")</f>
        <v>0</v>
      </c>
      <c r="J197" s="71">
        <f t="shared" si="3"/>
        <v>0</v>
      </c>
    </row>
    <row r="198" spans="1:10">
      <c r="A198" s="82"/>
      <c r="B198" s="70" t="str">
        <f>IF(ISBLANK(A198),"",INDEX('Error Log'!$A:$J,MATCH('Scores per segment'!$A198,'Error Log'!$A:$A,0),MATCH('Scores per segment'!B$1,'Error Log'!$A$1:$J$1,0)))</f>
        <v/>
      </c>
      <c r="C198" s="70" t="str">
        <f>IF(ISBLANK(A198),"",INDEX('Error Log'!$A:$J,MATCH('Scores per segment'!$A198,'Error Log'!$A:$A,0),MATCH('Scores per segment'!C$1,'Error Log'!$A$1:$J$1,0)))</f>
        <v/>
      </c>
      <c r="D198" s="70">
        <f>IF(H198=0,wdct(TRIM(C198)),0)</f>
        <v>0</v>
      </c>
      <c r="E198" s="70">
        <f>COUNTIFS('Error Log'!$A:$A,$A198,'Error Log'!$J:$J,E$1)</f>
        <v>0</v>
      </c>
      <c r="F198" s="70">
        <f>COUNTIFS('Error Log'!$A:$A,$A198,'Error Log'!$J:$J,F$1)</f>
        <v>0</v>
      </c>
      <c r="G198" s="70">
        <f>COUNTIFS('Error Log'!$A:$A,$A198,'Error Log'!$J:$J,G$1)</f>
        <v>0</v>
      </c>
      <c r="H198" s="70">
        <f>COUNTIFS('Error Log'!$A:$A,$A198,'Error Log'!$F:$F,"Source")</f>
        <v>0</v>
      </c>
      <c r="I198" s="70">
        <f>COUNTIFS('Error Log'!$A:$A,$A198,'Error Log'!$F:$F,"Target")</f>
        <v>0</v>
      </c>
      <c r="J198" s="71">
        <f t="shared" si="3"/>
        <v>0</v>
      </c>
    </row>
    <row r="199" spans="1:10">
      <c r="A199" s="82"/>
      <c r="B199" s="70" t="str">
        <f>IF(ISBLANK(A199),"",INDEX('Error Log'!$A:$J,MATCH('Scores per segment'!$A199,'Error Log'!$A:$A,0),MATCH('Scores per segment'!B$1,'Error Log'!$A$1:$J$1,0)))</f>
        <v/>
      </c>
      <c r="C199" s="70" t="str">
        <f>IF(ISBLANK(A199),"",INDEX('Error Log'!$A:$J,MATCH('Scores per segment'!$A199,'Error Log'!$A:$A,0),MATCH('Scores per segment'!C$1,'Error Log'!$A$1:$J$1,0)))</f>
        <v/>
      </c>
      <c r="D199" s="70">
        <f>IF(H199=0,wdct(TRIM(C199)),0)</f>
        <v>0</v>
      </c>
      <c r="E199" s="70">
        <f>COUNTIFS('Error Log'!$A:$A,$A199,'Error Log'!$J:$J,E$1)</f>
        <v>0</v>
      </c>
      <c r="F199" s="70">
        <f>COUNTIFS('Error Log'!$A:$A,$A199,'Error Log'!$J:$J,F$1)</f>
        <v>0</v>
      </c>
      <c r="G199" s="70">
        <f>COUNTIFS('Error Log'!$A:$A,$A199,'Error Log'!$J:$J,G$1)</f>
        <v>0</v>
      </c>
      <c r="H199" s="70">
        <f>COUNTIFS('Error Log'!$A:$A,$A199,'Error Log'!$F:$F,"Source")</f>
        <v>0</v>
      </c>
      <c r="I199" s="70">
        <f>COUNTIFS('Error Log'!$A:$A,$A199,'Error Log'!$F:$F,"Target")</f>
        <v>0</v>
      </c>
      <c r="J199" s="71">
        <f t="shared" si="3"/>
        <v>0</v>
      </c>
    </row>
    <row r="200" spans="1:10">
      <c r="A200" s="82"/>
      <c r="B200" s="70" t="str">
        <f>IF(ISBLANK(A200),"",INDEX('Error Log'!$A:$J,MATCH('Scores per segment'!$A200,'Error Log'!$A:$A,0),MATCH('Scores per segment'!B$1,'Error Log'!$A$1:$J$1,0)))</f>
        <v/>
      </c>
      <c r="C200" s="70" t="str">
        <f>IF(ISBLANK(A200),"",INDEX('Error Log'!$A:$J,MATCH('Scores per segment'!$A200,'Error Log'!$A:$A,0),MATCH('Scores per segment'!C$1,'Error Log'!$A$1:$J$1,0)))</f>
        <v/>
      </c>
      <c r="D200" s="70">
        <f>IF(H200=0,wdct(TRIM(C200)),0)</f>
        <v>0</v>
      </c>
      <c r="E200" s="70">
        <f>COUNTIFS('Error Log'!$A:$A,$A200,'Error Log'!$J:$J,E$1)</f>
        <v>0</v>
      </c>
      <c r="F200" s="70">
        <f>COUNTIFS('Error Log'!$A:$A,$A200,'Error Log'!$J:$J,F$1)</f>
        <v>0</v>
      </c>
      <c r="G200" s="70">
        <f>COUNTIFS('Error Log'!$A:$A,$A200,'Error Log'!$J:$J,G$1)</f>
        <v>0</v>
      </c>
      <c r="H200" s="70">
        <f>COUNTIFS('Error Log'!$A:$A,$A200,'Error Log'!$F:$F,"Source")</f>
        <v>0</v>
      </c>
      <c r="I200" s="70">
        <f>COUNTIFS('Error Log'!$A:$A,$A200,'Error Log'!$F:$F,"Target")</f>
        <v>0</v>
      </c>
      <c r="J200" s="71">
        <f t="shared" si="3"/>
        <v>0</v>
      </c>
    </row>
    <row r="201" spans="1:10">
      <c r="A201" s="82"/>
      <c r="B201" s="70" t="str">
        <f>IF(ISBLANK(A201),"",INDEX('Error Log'!$A:$J,MATCH('Scores per segment'!$A201,'Error Log'!$A:$A,0),MATCH('Scores per segment'!B$1,'Error Log'!$A$1:$J$1,0)))</f>
        <v/>
      </c>
      <c r="C201" s="70" t="str">
        <f>IF(ISBLANK(A201),"",INDEX('Error Log'!$A:$J,MATCH('Scores per segment'!$A201,'Error Log'!$A:$A,0),MATCH('Scores per segment'!C$1,'Error Log'!$A$1:$J$1,0)))</f>
        <v/>
      </c>
      <c r="D201" s="70">
        <f>IF(H201=0,wdct(TRIM(C201)),0)</f>
        <v>0</v>
      </c>
      <c r="E201" s="70">
        <f>COUNTIFS('Error Log'!$A:$A,$A201,'Error Log'!$J:$J,E$1)</f>
        <v>0</v>
      </c>
      <c r="F201" s="70">
        <f>COUNTIFS('Error Log'!$A:$A,$A201,'Error Log'!$J:$J,F$1)</f>
        <v>0</v>
      </c>
      <c r="G201" s="70">
        <f>COUNTIFS('Error Log'!$A:$A,$A201,'Error Log'!$J:$J,G$1)</f>
        <v>0</v>
      </c>
      <c r="H201" s="70">
        <f>COUNTIFS('Error Log'!$A:$A,$A201,'Error Log'!$F:$F,"Source")</f>
        <v>0</v>
      </c>
      <c r="I201" s="70">
        <f>COUNTIFS('Error Log'!$A:$A,$A201,'Error Log'!$F:$F,"Target")</f>
        <v>0</v>
      </c>
      <c r="J201" s="71">
        <f t="shared" si="3"/>
        <v>0</v>
      </c>
    </row>
    <row r="202" spans="1:10">
      <c r="A202" s="82"/>
      <c r="B202" s="70" t="str">
        <f>IF(ISBLANK(A202),"",INDEX('Error Log'!$A:$J,MATCH('Scores per segment'!$A202,'Error Log'!$A:$A,0),MATCH('Scores per segment'!B$1,'Error Log'!$A$1:$J$1,0)))</f>
        <v/>
      </c>
      <c r="C202" s="70" t="str">
        <f>IF(ISBLANK(A202),"",INDEX('Error Log'!$A:$J,MATCH('Scores per segment'!$A202,'Error Log'!$A:$A,0),MATCH('Scores per segment'!C$1,'Error Log'!$A$1:$J$1,0)))</f>
        <v/>
      </c>
      <c r="D202" s="70">
        <f>IF(H202=0,wdct(TRIM(C202)),0)</f>
        <v>0</v>
      </c>
      <c r="E202" s="70">
        <f>COUNTIFS('Error Log'!$A:$A,$A202,'Error Log'!$J:$J,E$1)</f>
        <v>0</v>
      </c>
      <c r="F202" s="70">
        <f>COUNTIFS('Error Log'!$A:$A,$A202,'Error Log'!$J:$J,F$1)</f>
        <v>0</v>
      </c>
      <c r="G202" s="70">
        <f>COUNTIFS('Error Log'!$A:$A,$A202,'Error Log'!$J:$J,G$1)</f>
        <v>0</v>
      </c>
      <c r="H202" s="70">
        <f>COUNTIFS('Error Log'!$A:$A,$A202,'Error Log'!$F:$F,"Source")</f>
        <v>0</v>
      </c>
      <c r="I202" s="70">
        <f>COUNTIFS('Error Log'!$A:$A,$A202,'Error Log'!$F:$F,"Target")</f>
        <v>0</v>
      </c>
      <c r="J202" s="71">
        <f t="shared" si="3"/>
        <v>0</v>
      </c>
    </row>
    <row r="203" spans="1:10">
      <c r="A203" s="82"/>
      <c r="B203" s="70" t="str">
        <f>IF(ISBLANK(A203),"",INDEX('Error Log'!$A:$J,MATCH('Scores per segment'!$A203,'Error Log'!$A:$A,0),MATCH('Scores per segment'!B$1,'Error Log'!$A$1:$J$1,0)))</f>
        <v/>
      </c>
      <c r="C203" s="70" t="str">
        <f>IF(ISBLANK(A203),"",INDEX('Error Log'!$A:$J,MATCH('Scores per segment'!$A203,'Error Log'!$A:$A,0),MATCH('Scores per segment'!C$1,'Error Log'!$A$1:$J$1,0)))</f>
        <v/>
      </c>
      <c r="D203" s="70">
        <f>IF(H203=0,wdct(TRIM(C203)),0)</f>
        <v>0</v>
      </c>
      <c r="E203" s="70">
        <f>COUNTIFS('Error Log'!$A:$A,$A203,'Error Log'!$J:$J,E$1)</f>
        <v>0</v>
      </c>
      <c r="F203" s="70">
        <f>COUNTIFS('Error Log'!$A:$A,$A203,'Error Log'!$J:$J,F$1)</f>
        <v>0</v>
      </c>
      <c r="G203" s="70">
        <f>COUNTIFS('Error Log'!$A:$A,$A203,'Error Log'!$J:$J,G$1)</f>
        <v>0</v>
      </c>
      <c r="H203" s="70">
        <f>COUNTIFS('Error Log'!$A:$A,$A203,'Error Log'!$F:$F,"Source")</f>
        <v>0</v>
      </c>
      <c r="I203" s="70">
        <f>COUNTIFS('Error Log'!$A:$A,$A203,'Error Log'!$F:$F,"Target")</f>
        <v>0</v>
      </c>
      <c r="J203" s="71">
        <f t="shared" si="3"/>
        <v>0</v>
      </c>
    </row>
    <row r="204" spans="1:10">
      <c r="A204" s="82"/>
      <c r="B204" s="70" t="str">
        <f>IF(ISBLANK(A204),"",INDEX('Error Log'!$A:$J,MATCH('Scores per segment'!$A204,'Error Log'!$A:$A,0),MATCH('Scores per segment'!B$1,'Error Log'!$A$1:$J$1,0)))</f>
        <v/>
      </c>
      <c r="C204" s="70" t="str">
        <f>IF(ISBLANK(A204),"",INDEX('Error Log'!$A:$J,MATCH('Scores per segment'!$A204,'Error Log'!$A:$A,0),MATCH('Scores per segment'!C$1,'Error Log'!$A$1:$J$1,0)))</f>
        <v/>
      </c>
      <c r="D204" s="70">
        <f>IF(H204=0,wdct(TRIM(C204)),0)</f>
        <v>0</v>
      </c>
      <c r="E204" s="70">
        <f>COUNTIFS('Error Log'!$A:$A,$A204,'Error Log'!$J:$J,E$1)</f>
        <v>0</v>
      </c>
      <c r="F204" s="70">
        <f>COUNTIFS('Error Log'!$A:$A,$A204,'Error Log'!$J:$J,F$1)</f>
        <v>0</v>
      </c>
      <c r="G204" s="70">
        <f>COUNTIFS('Error Log'!$A:$A,$A204,'Error Log'!$J:$J,G$1)</f>
        <v>0</v>
      </c>
      <c r="H204" s="70">
        <f>COUNTIFS('Error Log'!$A:$A,$A204,'Error Log'!$F:$F,"Source")</f>
        <v>0</v>
      </c>
      <c r="I204" s="70">
        <f>COUNTIFS('Error Log'!$A:$A,$A204,'Error Log'!$F:$F,"Target")</f>
        <v>0</v>
      </c>
      <c r="J204" s="71">
        <f t="shared" si="3"/>
        <v>0</v>
      </c>
    </row>
    <row r="205" spans="1:10">
      <c r="A205" s="82"/>
      <c r="B205" s="70" t="str">
        <f>IF(ISBLANK(A205),"",INDEX('Error Log'!$A:$J,MATCH('Scores per segment'!$A205,'Error Log'!$A:$A,0),MATCH('Scores per segment'!B$1,'Error Log'!$A$1:$J$1,0)))</f>
        <v/>
      </c>
      <c r="C205" s="70" t="str">
        <f>IF(ISBLANK(A205),"",INDEX('Error Log'!$A:$J,MATCH('Scores per segment'!$A205,'Error Log'!$A:$A,0),MATCH('Scores per segment'!C$1,'Error Log'!$A$1:$J$1,0)))</f>
        <v/>
      </c>
      <c r="D205" s="70">
        <f>IF(H205=0,wdct(TRIM(C205)),0)</f>
        <v>0</v>
      </c>
      <c r="E205" s="70">
        <f>COUNTIFS('Error Log'!$A:$A,$A205,'Error Log'!$J:$J,E$1)</f>
        <v>0</v>
      </c>
      <c r="F205" s="70">
        <f>COUNTIFS('Error Log'!$A:$A,$A205,'Error Log'!$J:$J,F$1)</f>
        <v>0</v>
      </c>
      <c r="G205" s="70">
        <f>COUNTIFS('Error Log'!$A:$A,$A205,'Error Log'!$J:$J,G$1)</f>
        <v>0</v>
      </c>
      <c r="H205" s="70">
        <f>COUNTIFS('Error Log'!$A:$A,$A205,'Error Log'!$F:$F,"Source")</f>
        <v>0</v>
      </c>
      <c r="I205" s="70">
        <f>COUNTIFS('Error Log'!$A:$A,$A205,'Error Log'!$F:$F,"Target")</f>
        <v>0</v>
      </c>
      <c r="J205" s="71">
        <f t="shared" si="3"/>
        <v>0</v>
      </c>
    </row>
    <row r="206" spans="1:10">
      <c r="A206" s="82"/>
      <c r="B206" s="70" t="str">
        <f>IF(ISBLANK(A206),"",INDEX('Error Log'!$A:$J,MATCH('Scores per segment'!$A206,'Error Log'!$A:$A,0),MATCH('Scores per segment'!B$1,'Error Log'!$A$1:$J$1,0)))</f>
        <v/>
      </c>
      <c r="C206" s="70" t="str">
        <f>IF(ISBLANK(A206),"",INDEX('Error Log'!$A:$J,MATCH('Scores per segment'!$A206,'Error Log'!$A:$A,0),MATCH('Scores per segment'!C$1,'Error Log'!$A$1:$J$1,0)))</f>
        <v/>
      </c>
      <c r="D206" s="70">
        <f>IF(H206=0,wdct(TRIM(C206)),0)</f>
        <v>0</v>
      </c>
      <c r="E206" s="70">
        <f>COUNTIFS('Error Log'!$A:$A,$A206,'Error Log'!$J:$J,E$1)</f>
        <v>0</v>
      </c>
      <c r="F206" s="70">
        <f>COUNTIFS('Error Log'!$A:$A,$A206,'Error Log'!$J:$J,F$1)</f>
        <v>0</v>
      </c>
      <c r="G206" s="70">
        <f>COUNTIFS('Error Log'!$A:$A,$A206,'Error Log'!$J:$J,G$1)</f>
        <v>0</v>
      </c>
      <c r="H206" s="70">
        <f>COUNTIFS('Error Log'!$A:$A,$A206,'Error Log'!$F:$F,"Source")</f>
        <v>0</v>
      </c>
      <c r="I206" s="70">
        <f>COUNTIFS('Error Log'!$A:$A,$A206,'Error Log'!$F:$F,"Target")</f>
        <v>0</v>
      </c>
      <c r="J206" s="71">
        <f t="shared" si="3"/>
        <v>0</v>
      </c>
    </row>
    <row r="207" spans="1:10">
      <c r="A207" s="82"/>
      <c r="B207" s="70" t="str">
        <f>IF(ISBLANK(A207),"",INDEX('Error Log'!$A:$J,MATCH('Scores per segment'!$A207,'Error Log'!$A:$A,0),MATCH('Scores per segment'!B$1,'Error Log'!$A$1:$J$1,0)))</f>
        <v/>
      </c>
      <c r="C207" s="70" t="str">
        <f>IF(ISBLANK(A207),"",INDEX('Error Log'!$A:$J,MATCH('Scores per segment'!$A207,'Error Log'!$A:$A,0),MATCH('Scores per segment'!C$1,'Error Log'!$A$1:$J$1,0)))</f>
        <v/>
      </c>
      <c r="D207" s="70">
        <f>IF(H207=0,wdct(TRIM(C207)),0)</f>
        <v>0</v>
      </c>
      <c r="E207" s="70">
        <f>COUNTIFS('Error Log'!$A:$A,$A207,'Error Log'!$J:$J,E$1)</f>
        <v>0</v>
      </c>
      <c r="F207" s="70">
        <f>COUNTIFS('Error Log'!$A:$A,$A207,'Error Log'!$J:$J,F$1)</f>
        <v>0</v>
      </c>
      <c r="G207" s="70">
        <f>COUNTIFS('Error Log'!$A:$A,$A207,'Error Log'!$J:$J,G$1)</f>
        <v>0</v>
      </c>
      <c r="H207" s="70">
        <f>COUNTIFS('Error Log'!$A:$A,$A207,'Error Log'!$F:$F,"Source")</f>
        <v>0</v>
      </c>
      <c r="I207" s="70">
        <f>COUNTIFS('Error Log'!$A:$A,$A207,'Error Log'!$F:$F,"Target")</f>
        <v>0</v>
      </c>
      <c r="J207" s="71">
        <f t="shared" si="3"/>
        <v>0</v>
      </c>
    </row>
    <row r="208" spans="1:10">
      <c r="A208" s="82"/>
      <c r="B208" s="70" t="str">
        <f>IF(ISBLANK(A208),"",INDEX('Error Log'!$A:$J,MATCH('Scores per segment'!$A208,'Error Log'!$A:$A,0),MATCH('Scores per segment'!B$1,'Error Log'!$A$1:$J$1,0)))</f>
        <v/>
      </c>
      <c r="C208" s="70" t="str">
        <f>IF(ISBLANK(A208),"",INDEX('Error Log'!$A:$J,MATCH('Scores per segment'!$A208,'Error Log'!$A:$A,0),MATCH('Scores per segment'!C$1,'Error Log'!$A$1:$J$1,0)))</f>
        <v/>
      </c>
      <c r="D208" s="70">
        <f>IF(H208=0,wdct(TRIM(C208)),0)</f>
        <v>0</v>
      </c>
      <c r="E208" s="70">
        <f>COUNTIFS('Error Log'!$A:$A,$A208,'Error Log'!$J:$J,E$1)</f>
        <v>0</v>
      </c>
      <c r="F208" s="70">
        <f>COUNTIFS('Error Log'!$A:$A,$A208,'Error Log'!$J:$J,F$1)</f>
        <v>0</v>
      </c>
      <c r="G208" s="70">
        <f>COUNTIFS('Error Log'!$A:$A,$A208,'Error Log'!$J:$J,G$1)</f>
        <v>0</v>
      </c>
      <c r="H208" s="70">
        <f>COUNTIFS('Error Log'!$A:$A,$A208,'Error Log'!$F:$F,"Source")</f>
        <v>0</v>
      </c>
      <c r="I208" s="70">
        <f>COUNTIFS('Error Log'!$A:$A,$A208,'Error Log'!$F:$F,"Target")</f>
        <v>0</v>
      </c>
      <c r="J208" s="71">
        <f t="shared" si="3"/>
        <v>0</v>
      </c>
    </row>
    <row r="209" spans="1:10">
      <c r="A209" s="82"/>
      <c r="B209" s="70" t="str">
        <f>IF(ISBLANK(A209),"",INDEX('Error Log'!$A:$J,MATCH('Scores per segment'!$A209,'Error Log'!$A:$A,0),MATCH('Scores per segment'!B$1,'Error Log'!$A$1:$J$1,0)))</f>
        <v/>
      </c>
      <c r="C209" s="70" t="str">
        <f>IF(ISBLANK(A209),"",INDEX('Error Log'!$A:$J,MATCH('Scores per segment'!$A209,'Error Log'!$A:$A,0),MATCH('Scores per segment'!C$1,'Error Log'!$A$1:$J$1,0)))</f>
        <v/>
      </c>
      <c r="D209" s="70">
        <f>IF(H209=0,wdct(TRIM(C209)),0)</f>
        <v>0</v>
      </c>
      <c r="E209" s="70">
        <f>COUNTIFS('Error Log'!$A:$A,$A209,'Error Log'!$J:$J,E$1)</f>
        <v>0</v>
      </c>
      <c r="F209" s="70">
        <f>COUNTIFS('Error Log'!$A:$A,$A209,'Error Log'!$J:$J,F$1)</f>
        <v>0</v>
      </c>
      <c r="G209" s="70">
        <f>COUNTIFS('Error Log'!$A:$A,$A209,'Error Log'!$J:$J,G$1)</f>
        <v>0</v>
      </c>
      <c r="H209" s="70">
        <f>COUNTIFS('Error Log'!$A:$A,$A209,'Error Log'!$F:$F,"Source")</f>
        <v>0</v>
      </c>
      <c r="I209" s="70">
        <f>COUNTIFS('Error Log'!$A:$A,$A209,'Error Log'!$F:$F,"Target")</f>
        <v>0</v>
      </c>
      <c r="J209" s="71">
        <f t="shared" si="3"/>
        <v>0</v>
      </c>
    </row>
    <row r="210" spans="1:10">
      <c r="A210" s="82"/>
      <c r="B210" s="70" t="str">
        <f>IF(ISBLANK(A210),"",INDEX('Error Log'!$A:$J,MATCH('Scores per segment'!$A210,'Error Log'!$A:$A,0),MATCH('Scores per segment'!B$1,'Error Log'!$A$1:$J$1,0)))</f>
        <v/>
      </c>
      <c r="C210" s="70" t="str">
        <f>IF(ISBLANK(A210),"",INDEX('Error Log'!$A:$J,MATCH('Scores per segment'!$A210,'Error Log'!$A:$A,0),MATCH('Scores per segment'!C$1,'Error Log'!$A$1:$J$1,0)))</f>
        <v/>
      </c>
      <c r="D210" s="70">
        <f>IF(H210=0,wdct(TRIM(C210)),0)</f>
        <v>0</v>
      </c>
      <c r="E210" s="70">
        <f>COUNTIFS('Error Log'!$A:$A,$A210,'Error Log'!$J:$J,E$1)</f>
        <v>0</v>
      </c>
      <c r="F210" s="70">
        <f>COUNTIFS('Error Log'!$A:$A,$A210,'Error Log'!$J:$J,F$1)</f>
        <v>0</v>
      </c>
      <c r="G210" s="70">
        <f>COUNTIFS('Error Log'!$A:$A,$A210,'Error Log'!$J:$J,G$1)</f>
        <v>0</v>
      </c>
      <c r="H210" s="70">
        <f>COUNTIFS('Error Log'!$A:$A,$A210,'Error Log'!$F:$F,"Source")</f>
        <v>0</v>
      </c>
      <c r="I210" s="70">
        <f>COUNTIFS('Error Log'!$A:$A,$A210,'Error Log'!$F:$F,"Target")</f>
        <v>0</v>
      </c>
      <c r="J210" s="71">
        <f t="shared" si="3"/>
        <v>0</v>
      </c>
    </row>
    <row r="211" spans="1:10">
      <c r="A211" s="82"/>
      <c r="B211" s="70" t="str">
        <f>IF(ISBLANK(A211),"",INDEX('Error Log'!$A:$J,MATCH('Scores per segment'!$A211,'Error Log'!$A:$A,0),MATCH('Scores per segment'!B$1,'Error Log'!$A$1:$J$1,0)))</f>
        <v/>
      </c>
      <c r="C211" s="70" t="str">
        <f>IF(ISBLANK(A211),"",INDEX('Error Log'!$A:$J,MATCH('Scores per segment'!$A211,'Error Log'!$A:$A,0),MATCH('Scores per segment'!C$1,'Error Log'!$A$1:$J$1,0)))</f>
        <v/>
      </c>
      <c r="D211" s="70">
        <f>IF(H211=0,wdct(TRIM(C211)),0)</f>
        <v>0</v>
      </c>
      <c r="E211" s="70">
        <f>COUNTIFS('Error Log'!$A:$A,$A211,'Error Log'!$J:$J,E$1)</f>
        <v>0</v>
      </c>
      <c r="F211" s="70">
        <f>COUNTIFS('Error Log'!$A:$A,$A211,'Error Log'!$J:$J,F$1)</f>
        <v>0</v>
      </c>
      <c r="G211" s="70">
        <f>COUNTIFS('Error Log'!$A:$A,$A211,'Error Log'!$J:$J,G$1)</f>
        <v>0</v>
      </c>
      <c r="H211" s="70">
        <f>COUNTIFS('Error Log'!$A:$A,$A211,'Error Log'!$F:$F,"Source")</f>
        <v>0</v>
      </c>
      <c r="I211" s="70">
        <f>COUNTIFS('Error Log'!$A:$A,$A211,'Error Log'!$F:$F,"Target")</f>
        <v>0</v>
      </c>
      <c r="J211" s="71">
        <f t="shared" si="3"/>
        <v>0</v>
      </c>
    </row>
    <row r="212" spans="1:10">
      <c r="A212" s="82"/>
      <c r="B212" s="70" t="str">
        <f>IF(ISBLANK(A212),"",INDEX('Error Log'!$A:$J,MATCH('Scores per segment'!$A212,'Error Log'!$A:$A,0),MATCH('Scores per segment'!B$1,'Error Log'!$A$1:$J$1,0)))</f>
        <v/>
      </c>
      <c r="C212" s="70" t="str">
        <f>IF(ISBLANK(A212),"",INDEX('Error Log'!$A:$J,MATCH('Scores per segment'!$A212,'Error Log'!$A:$A,0),MATCH('Scores per segment'!C$1,'Error Log'!$A$1:$J$1,0)))</f>
        <v/>
      </c>
      <c r="D212" s="70">
        <f>IF(H212=0,wdct(TRIM(C212)),0)</f>
        <v>0</v>
      </c>
      <c r="E212" s="70">
        <f>COUNTIFS('Error Log'!$A:$A,$A212,'Error Log'!$J:$J,E$1)</f>
        <v>0</v>
      </c>
      <c r="F212" s="70">
        <f>COUNTIFS('Error Log'!$A:$A,$A212,'Error Log'!$J:$J,F$1)</f>
        <v>0</v>
      </c>
      <c r="G212" s="70">
        <f>COUNTIFS('Error Log'!$A:$A,$A212,'Error Log'!$J:$J,G$1)</f>
        <v>0</v>
      </c>
      <c r="H212" s="70">
        <f>COUNTIFS('Error Log'!$A:$A,$A212,'Error Log'!$F:$F,"Source")</f>
        <v>0</v>
      </c>
      <c r="I212" s="70">
        <f>COUNTIFS('Error Log'!$A:$A,$A212,'Error Log'!$F:$F,"Target")</f>
        <v>0</v>
      </c>
      <c r="J212" s="71">
        <f t="shared" si="3"/>
        <v>0</v>
      </c>
    </row>
    <row r="213" spans="1:10">
      <c r="A213" s="82"/>
      <c r="B213" s="70" t="str">
        <f>IF(ISBLANK(A213),"",INDEX('Error Log'!$A:$J,MATCH('Scores per segment'!$A213,'Error Log'!$A:$A,0),MATCH('Scores per segment'!B$1,'Error Log'!$A$1:$J$1,0)))</f>
        <v/>
      </c>
      <c r="C213" s="70" t="str">
        <f>IF(ISBLANK(A213),"",INDEX('Error Log'!$A:$J,MATCH('Scores per segment'!$A213,'Error Log'!$A:$A,0),MATCH('Scores per segment'!C$1,'Error Log'!$A$1:$J$1,0)))</f>
        <v/>
      </c>
      <c r="D213" s="70">
        <f>IF(H213=0,wdct(TRIM(C213)),0)</f>
        <v>0</v>
      </c>
      <c r="E213" s="70">
        <f>COUNTIFS('Error Log'!$A:$A,$A213,'Error Log'!$J:$J,E$1)</f>
        <v>0</v>
      </c>
      <c r="F213" s="70">
        <f>COUNTIFS('Error Log'!$A:$A,$A213,'Error Log'!$J:$J,F$1)</f>
        <v>0</v>
      </c>
      <c r="G213" s="70">
        <f>COUNTIFS('Error Log'!$A:$A,$A213,'Error Log'!$J:$J,G$1)</f>
        <v>0</v>
      </c>
      <c r="H213" s="70">
        <f>COUNTIFS('Error Log'!$A:$A,$A213,'Error Log'!$F:$F,"Source")</f>
        <v>0</v>
      </c>
      <c r="I213" s="70">
        <f>COUNTIFS('Error Log'!$A:$A,$A213,'Error Log'!$F:$F,"Target")</f>
        <v>0</v>
      </c>
      <c r="J213" s="71">
        <f t="shared" si="3"/>
        <v>0</v>
      </c>
    </row>
    <row r="214" spans="1:10">
      <c r="A214" s="82"/>
      <c r="B214" s="70" t="str">
        <f>IF(ISBLANK(A214),"",INDEX('Error Log'!$A:$J,MATCH('Scores per segment'!$A214,'Error Log'!$A:$A,0),MATCH('Scores per segment'!B$1,'Error Log'!$A$1:$J$1,0)))</f>
        <v/>
      </c>
      <c r="C214" s="70" t="str">
        <f>IF(ISBLANK(A214),"",INDEX('Error Log'!$A:$J,MATCH('Scores per segment'!$A214,'Error Log'!$A:$A,0),MATCH('Scores per segment'!C$1,'Error Log'!$A$1:$J$1,0)))</f>
        <v/>
      </c>
      <c r="D214" s="70">
        <f>IF(H214=0,wdct(TRIM(C214)),0)</f>
        <v>0</v>
      </c>
      <c r="E214" s="70">
        <f>COUNTIFS('Error Log'!$A:$A,$A214,'Error Log'!$J:$J,E$1)</f>
        <v>0</v>
      </c>
      <c r="F214" s="70">
        <f>COUNTIFS('Error Log'!$A:$A,$A214,'Error Log'!$J:$J,F$1)</f>
        <v>0</v>
      </c>
      <c r="G214" s="70">
        <f>COUNTIFS('Error Log'!$A:$A,$A214,'Error Log'!$J:$J,G$1)</f>
        <v>0</v>
      </c>
      <c r="H214" s="70">
        <f>COUNTIFS('Error Log'!$A:$A,$A214,'Error Log'!$F:$F,"Source")</f>
        <v>0</v>
      </c>
      <c r="I214" s="70">
        <f>COUNTIFS('Error Log'!$A:$A,$A214,'Error Log'!$F:$F,"Target")</f>
        <v>0</v>
      </c>
      <c r="J214" s="71">
        <f t="shared" si="3"/>
        <v>0</v>
      </c>
    </row>
    <row r="215" spans="1:10">
      <c r="A215" s="82"/>
      <c r="B215" s="70" t="str">
        <f>IF(ISBLANK(A215),"",INDEX('Error Log'!$A:$J,MATCH('Scores per segment'!$A215,'Error Log'!$A:$A,0),MATCH('Scores per segment'!B$1,'Error Log'!$A$1:$J$1,0)))</f>
        <v/>
      </c>
      <c r="C215" s="70" t="str">
        <f>IF(ISBLANK(A215),"",INDEX('Error Log'!$A:$J,MATCH('Scores per segment'!$A215,'Error Log'!$A:$A,0),MATCH('Scores per segment'!C$1,'Error Log'!$A$1:$J$1,0)))</f>
        <v/>
      </c>
      <c r="D215" s="70">
        <f>IF(H215=0,wdct(TRIM(C215)),0)</f>
        <v>0</v>
      </c>
      <c r="E215" s="70">
        <f>COUNTIFS('Error Log'!$A:$A,$A215,'Error Log'!$J:$J,E$1)</f>
        <v>0</v>
      </c>
      <c r="F215" s="70">
        <f>COUNTIFS('Error Log'!$A:$A,$A215,'Error Log'!$J:$J,F$1)</f>
        <v>0</v>
      </c>
      <c r="G215" s="70">
        <f>COUNTIFS('Error Log'!$A:$A,$A215,'Error Log'!$J:$J,G$1)</f>
        <v>0</v>
      </c>
      <c r="H215" s="70">
        <f>COUNTIFS('Error Log'!$A:$A,$A215,'Error Log'!$F:$F,"Source")</f>
        <v>0</v>
      </c>
      <c r="I215" s="70">
        <f>COUNTIFS('Error Log'!$A:$A,$A215,'Error Log'!$F:$F,"Target")</f>
        <v>0</v>
      </c>
      <c r="J215" s="71">
        <f t="shared" si="3"/>
        <v>0</v>
      </c>
    </row>
    <row r="216" spans="1:10">
      <c r="A216" s="82"/>
      <c r="B216" s="70" t="str">
        <f>IF(ISBLANK(A216),"",INDEX('Error Log'!$A:$J,MATCH('Scores per segment'!$A216,'Error Log'!$A:$A,0),MATCH('Scores per segment'!B$1,'Error Log'!$A$1:$J$1,0)))</f>
        <v/>
      </c>
      <c r="C216" s="70" t="str">
        <f>IF(ISBLANK(A216),"",INDEX('Error Log'!$A:$J,MATCH('Scores per segment'!$A216,'Error Log'!$A:$A,0),MATCH('Scores per segment'!C$1,'Error Log'!$A$1:$J$1,0)))</f>
        <v/>
      </c>
      <c r="D216" s="70">
        <f>IF(H216=0,wdct(TRIM(C216)),0)</f>
        <v>0</v>
      </c>
      <c r="E216" s="70">
        <f>COUNTIFS('Error Log'!$A:$A,$A216,'Error Log'!$J:$J,E$1)</f>
        <v>0</v>
      </c>
      <c r="F216" s="70">
        <f>COUNTIFS('Error Log'!$A:$A,$A216,'Error Log'!$J:$J,F$1)</f>
        <v>0</v>
      </c>
      <c r="G216" s="70">
        <f>COUNTIFS('Error Log'!$A:$A,$A216,'Error Log'!$J:$J,G$1)</f>
        <v>0</v>
      </c>
      <c r="H216" s="70">
        <f>COUNTIFS('Error Log'!$A:$A,$A216,'Error Log'!$F:$F,"Source")</f>
        <v>0</v>
      </c>
      <c r="I216" s="70">
        <f>COUNTIFS('Error Log'!$A:$A,$A216,'Error Log'!$F:$F,"Target")</f>
        <v>0</v>
      </c>
      <c r="J216" s="71">
        <f t="shared" si="3"/>
        <v>0</v>
      </c>
    </row>
    <row r="217" spans="1:10">
      <c r="A217" s="82"/>
      <c r="B217" s="70" t="str">
        <f>IF(ISBLANK(A217),"",INDEX('Error Log'!$A:$J,MATCH('Scores per segment'!$A217,'Error Log'!$A:$A,0),MATCH('Scores per segment'!B$1,'Error Log'!$A$1:$J$1,0)))</f>
        <v/>
      </c>
      <c r="C217" s="70" t="str">
        <f>IF(ISBLANK(A217),"",INDEX('Error Log'!$A:$J,MATCH('Scores per segment'!$A217,'Error Log'!$A:$A,0),MATCH('Scores per segment'!C$1,'Error Log'!$A$1:$J$1,0)))</f>
        <v/>
      </c>
      <c r="D217" s="70">
        <f>IF(H217=0,wdct(TRIM(C217)),0)</f>
        <v>0</v>
      </c>
      <c r="E217" s="70">
        <f>COUNTIFS('Error Log'!$A:$A,$A217,'Error Log'!$J:$J,E$1)</f>
        <v>0</v>
      </c>
      <c r="F217" s="70">
        <f>COUNTIFS('Error Log'!$A:$A,$A217,'Error Log'!$J:$J,F$1)</f>
        <v>0</v>
      </c>
      <c r="G217" s="70">
        <f>COUNTIFS('Error Log'!$A:$A,$A217,'Error Log'!$J:$J,G$1)</f>
        <v>0</v>
      </c>
      <c r="H217" s="70">
        <f>COUNTIFS('Error Log'!$A:$A,$A217,'Error Log'!$F:$F,"Source")</f>
        <v>0</v>
      </c>
      <c r="I217" s="70">
        <f>COUNTIFS('Error Log'!$A:$A,$A217,'Error Log'!$F:$F,"Target")</f>
        <v>0</v>
      </c>
      <c r="J217" s="71">
        <f t="shared" si="3"/>
        <v>0</v>
      </c>
    </row>
    <row r="218" spans="1:10">
      <c r="A218" s="82"/>
      <c r="B218" s="70" t="str">
        <f>IF(ISBLANK(A218),"",INDEX('Error Log'!$A:$J,MATCH('Scores per segment'!$A218,'Error Log'!$A:$A,0),MATCH('Scores per segment'!B$1,'Error Log'!$A$1:$J$1,0)))</f>
        <v/>
      </c>
      <c r="C218" s="70" t="str">
        <f>IF(ISBLANK(A218),"",INDEX('Error Log'!$A:$J,MATCH('Scores per segment'!$A218,'Error Log'!$A:$A,0),MATCH('Scores per segment'!C$1,'Error Log'!$A$1:$J$1,0)))</f>
        <v/>
      </c>
      <c r="D218" s="70">
        <f>IF(H218=0,wdct(TRIM(C218)),0)</f>
        <v>0</v>
      </c>
      <c r="E218" s="70">
        <f>COUNTIFS('Error Log'!$A:$A,$A218,'Error Log'!$J:$J,E$1)</f>
        <v>0</v>
      </c>
      <c r="F218" s="70">
        <f>COUNTIFS('Error Log'!$A:$A,$A218,'Error Log'!$J:$J,F$1)</f>
        <v>0</v>
      </c>
      <c r="G218" s="70">
        <f>COUNTIFS('Error Log'!$A:$A,$A218,'Error Log'!$J:$J,G$1)</f>
        <v>0</v>
      </c>
      <c r="H218" s="70">
        <f>COUNTIFS('Error Log'!$A:$A,$A218,'Error Log'!$F:$F,"Source")</f>
        <v>0</v>
      </c>
      <c r="I218" s="70">
        <f>COUNTIFS('Error Log'!$A:$A,$A218,'Error Log'!$F:$F,"Target")</f>
        <v>0</v>
      </c>
      <c r="J218" s="71">
        <f t="shared" si="3"/>
        <v>0</v>
      </c>
    </row>
    <row r="219" spans="1:10">
      <c r="A219" s="82"/>
      <c r="B219" s="70" t="str">
        <f>IF(ISBLANK(A219),"",INDEX('Error Log'!$A:$J,MATCH('Scores per segment'!$A219,'Error Log'!$A:$A,0),MATCH('Scores per segment'!B$1,'Error Log'!$A$1:$J$1,0)))</f>
        <v/>
      </c>
      <c r="C219" s="70" t="str">
        <f>IF(ISBLANK(A219),"",INDEX('Error Log'!$A:$J,MATCH('Scores per segment'!$A219,'Error Log'!$A:$A,0),MATCH('Scores per segment'!C$1,'Error Log'!$A$1:$J$1,0)))</f>
        <v/>
      </c>
      <c r="D219" s="70">
        <f>IF(H219=0,wdct(TRIM(C219)),0)</f>
        <v>0</v>
      </c>
      <c r="E219" s="70">
        <f>COUNTIFS('Error Log'!$A:$A,$A219,'Error Log'!$J:$J,E$1)</f>
        <v>0</v>
      </c>
      <c r="F219" s="70">
        <f>COUNTIFS('Error Log'!$A:$A,$A219,'Error Log'!$J:$J,F$1)</f>
        <v>0</v>
      </c>
      <c r="G219" s="70">
        <f>COUNTIFS('Error Log'!$A:$A,$A219,'Error Log'!$J:$J,G$1)</f>
        <v>0</v>
      </c>
      <c r="H219" s="70">
        <f>COUNTIFS('Error Log'!$A:$A,$A219,'Error Log'!$F:$F,"Source")</f>
        <v>0</v>
      </c>
      <c r="I219" s="70">
        <f>COUNTIFS('Error Log'!$A:$A,$A219,'Error Log'!$F:$F,"Target")</f>
        <v>0</v>
      </c>
      <c r="J219" s="71">
        <f t="shared" si="3"/>
        <v>0</v>
      </c>
    </row>
    <row r="220" spans="1:10">
      <c r="A220" s="82"/>
      <c r="B220" s="70" t="str">
        <f>IF(ISBLANK(A220),"",INDEX('Error Log'!$A:$J,MATCH('Scores per segment'!$A220,'Error Log'!$A:$A,0),MATCH('Scores per segment'!B$1,'Error Log'!$A$1:$J$1,0)))</f>
        <v/>
      </c>
      <c r="C220" s="70" t="str">
        <f>IF(ISBLANK(A220),"",INDEX('Error Log'!$A:$J,MATCH('Scores per segment'!$A220,'Error Log'!$A:$A,0),MATCH('Scores per segment'!C$1,'Error Log'!$A$1:$J$1,0)))</f>
        <v/>
      </c>
      <c r="D220" s="70">
        <f>IF(H220=0,wdct(TRIM(C220)),0)</f>
        <v>0</v>
      </c>
      <c r="E220" s="70">
        <f>COUNTIFS('Error Log'!$A:$A,$A220,'Error Log'!$J:$J,E$1)</f>
        <v>0</v>
      </c>
      <c r="F220" s="70">
        <f>COUNTIFS('Error Log'!$A:$A,$A220,'Error Log'!$J:$J,F$1)</f>
        <v>0</v>
      </c>
      <c r="G220" s="70">
        <f>COUNTIFS('Error Log'!$A:$A,$A220,'Error Log'!$J:$J,G$1)</f>
        <v>0</v>
      </c>
      <c r="H220" s="70">
        <f>COUNTIFS('Error Log'!$A:$A,$A220,'Error Log'!$F:$F,"Source")</f>
        <v>0</v>
      </c>
      <c r="I220" s="70">
        <f>COUNTIFS('Error Log'!$A:$A,$A220,'Error Log'!$F:$F,"Target")</f>
        <v>0</v>
      </c>
      <c r="J220" s="71">
        <f t="shared" si="3"/>
        <v>0</v>
      </c>
    </row>
    <row r="221" spans="1:10">
      <c r="A221" s="82"/>
      <c r="B221" s="70" t="str">
        <f>IF(ISBLANK(A221),"",INDEX('Error Log'!$A:$J,MATCH('Scores per segment'!$A221,'Error Log'!$A:$A,0),MATCH('Scores per segment'!B$1,'Error Log'!$A$1:$J$1,0)))</f>
        <v/>
      </c>
      <c r="C221" s="70" t="str">
        <f>IF(ISBLANK(A221),"",INDEX('Error Log'!$A:$J,MATCH('Scores per segment'!$A221,'Error Log'!$A:$A,0),MATCH('Scores per segment'!C$1,'Error Log'!$A$1:$J$1,0)))</f>
        <v/>
      </c>
      <c r="D221" s="70">
        <f>IF(H221=0,wdct(TRIM(C221)),0)</f>
        <v>0</v>
      </c>
      <c r="E221" s="70">
        <f>COUNTIFS('Error Log'!$A:$A,$A221,'Error Log'!$J:$J,E$1)</f>
        <v>0</v>
      </c>
      <c r="F221" s="70">
        <f>COUNTIFS('Error Log'!$A:$A,$A221,'Error Log'!$J:$J,F$1)</f>
        <v>0</v>
      </c>
      <c r="G221" s="70">
        <f>COUNTIFS('Error Log'!$A:$A,$A221,'Error Log'!$J:$J,G$1)</f>
        <v>0</v>
      </c>
      <c r="H221" s="70">
        <f>COUNTIFS('Error Log'!$A:$A,$A221,'Error Log'!$F:$F,"Source")</f>
        <v>0</v>
      </c>
      <c r="I221" s="70">
        <f>COUNTIFS('Error Log'!$A:$A,$A221,'Error Log'!$F:$F,"Target")</f>
        <v>0</v>
      </c>
      <c r="J221" s="71">
        <f t="shared" si="3"/>
        <v>0</v>
      </c>
    </row>
    <row r="222" spans="1:10">
      <c r="A222" s="82"/>
      <c r="B222" s="70" t="str">
        <f>IF(ISBLANK(A222),"",INDEX('Error Log'!$A:$J,MATCH('Scores per segment'!$A222,'Error Log'!$A:$A,0),MATCH('Scores per segment'!B$1,'Error Log'!$A$1:$J$1,0)))</f>
        <v/>
      </c>
      <c r="C222" s="70" t="str">
        <f>IF(ISBLANK(A222),"",INDEX('Error Log'!$A:$J,MATCH('Scores per segment'!$A222,'Error Log'!$A:$A,0),MATCH('Scores per segment'!C$1,'Error Log'!$A$1:$J$1,0)))</f>
        <v/>
      </c>
      <c r="D222" s="70">
        <f>IF(H222=0,wdct(TRIM(C222)),0)</f>
        <v>0</v>
      </c>
      <c r="E222" s="70">
        <f>COUNTIFS('Error Log'!$A:$A,$A222,'Error Log'!$J:$J,E$1)</f>
        <v>0</v>
      </c>
      <c r="F222" s="70">
        <f>COUNTIFS('Error Log'!$A:$A,$A222,'Error Log'!$J:$J,F$1)</f>
        <v>0</v>
      </c>
      <c r="G222" s="70">
        <f>COUNTIFS('Error Log'!$A:$A,$A222,'Error Log'!$J:$J,G$1)</f>
        <v>0</v>
      </c>
      <c r="H222" s="70">
        <f>COUNTIFS('Error Log'!$A:$A,$A222,'Error Log'!$F:$F,"Source")</f>
        <v>0</v>
      </c>
      <c r="I222" s="70">
        <f>COUNTIFS('Error Log'!$A:$A,$A222,'Error Log'!$F:$F,"Target")</f>
        <v>0</v>
      </c>
      <c r="J222" s="71">
        <f t="shared" si="3"/>
        <v>0</v>
      </c>
    </row>
    <row r="223" spans="1:10">
      <c r="A223" s="82"/>
      <c r="B223" s="70" t="str">
        <f>IF(ISBLANK(A223),"",INDEX('Error Log'!$A:$J,MATCH('Scores per segment'!$A223,'Error Log'!$A:$A,0),MATCH('Scores per segment'!B$1,'Error Log'!$A$1:$J$1,0)))</f>
        <v/>
      </c>
      <c r="C223" s="70" t="str">
        <f>IF(ISBLANK(A223),"",INDEX('Error Log'!$A:$J,MATCH('Scores per segment'!$A223,'Error Log'!$A:$A,0),MATCH('Scores per segment'!C$1,'Error Log'!$A$1:$J$1,0)))</f>
        <v/>
      </c>
      <c r="D223" s="70">
        <f>IF(H223=0,wdct(TRIM(C223)),0)</f>
        <v>0</v>
      </c>
      <c r="E223" s="70">
        <f>COUNTIFS('Error Log'!$A:$A,$A223,'Error Log'!$J:$J,E$1)</f>
        <v>0</v>
      </c>
      <c r="F223" s="70">
        <f>COUNTIFS('Error Log'!$A:$A,$A223,'Error Log'!$J:$J,F$1)</f>
        <v>0</v>
      </c>
      <c r="G223" s="70">
        <f>COUNTIFS('Error Log'!$A:$A,$A223,'Error Log'!$J:$J,G$1)</f>
        <v>0</v>
      </c>
      <c r="H223" s="70">
        <f>COUNTIFS('Error Log'!$A:$A,$A223,'Error Log'!$F:$F,"Source")</f>
        <v>0</v>
      </c>
      <c r="I223" s="70">
        <f>COUNTIFS('Error Log'!$A:$A,$A223,'Error Log'!$F:$F,"Target")</f>
        <v>0</v>
      </c>
      <c r="J223" s="71">
        <f t="shared" si="3"/>
        <v>0</v>
      </c>
    </row>
    <row r="224" spans="1:10">
      <c r="A224" s="82"/>
      <c r="B224" s="70" t="str">
        <f>IF(ISBLANK(A224),"",INDEX('Error Log'!$A:$J,MATCH('Scores per segment'!$A224,'Error Log'!$A:$A,0),MATCH('Scores per segment'!B$1,'Error Log'!$A$1:$J$1,0)))</f>
        <v/>
      </c>
      <c r="C224" s="70" t="str">
        <f>IF(ISBLANK(A224),"",INDEX('Error Log'!$A:$J,MATCH('Scores per segment'!$A224,'Error Log'!$A:$A,0),MATCH('Scores per segment'!C$1,'Error Log'!$A$1:$J$1,0)))</f>
        <v/>
      </c>
      <c r="D224" s="70">
        <f>IF(H224=0,wdct(TRIM(C224)),0)</f>
        <v>0</v>
      </c>
      <c r="E224" s="70">
        <f>COUNTIFS('Error Log'!$A:$A,$A224,'Error Log'!$J:$J,E$1)</f>
        <v>0</v>
      </c>
      <c r="F224" s="70">
        <f>COUNTIFS('Error Log'!$A:$A,$A224,'Error Log'!$J:$J,F$1)</f>
        <v>0</v>
      </c>
      <c r="G224" s="70">
        <f>COUNTIFS('Error Log'!$A:$A,$A224,'Error Log'!$J:$J,G$1)</f>
        <v>0</v>
      </c>
      <c r="H224" s="70">
        <f>COUNTIFS('Error Log'!$A:$A,$A224,'Error Log'!$F:$F,"Source")</f>
        <v>0</v>
      </c>
      <c r="I224" s="70">
        <f>COUNTIFS('Error Log'!$A:$A,$A224,'Error Log'!$F:$F,"Target")</f>
        <v>0</v>
      </c>
      <c r="J224" s="71">
        <f t="shared" si="3"/>
        <v>0</v>
      </c>
    </row>
    <row r="225" spans="1:10">
      <c r="A225" s="82"/>
      <c r="B225" s="70" t="str">
        <f>IF(ISBLANK(A225),"",INDEX('Error Log'!$A:$J,MATCH('Scores per segment'!$A225,'Error Log'!$A:$A,0),MATCH('Scores per segment'!B$1,'Error Log'!$A$1:$J$1,0)))</f>
        <v/>
      </c>
      <c r="C225" s="70" t="str">
        <f>IF(ISBLANK(A225),"",INDEX('Error Log'!$A:$J,MATCH('Scores per segment'!$A225,'Error Log'!$A:$A,0),MATCH('Scores per segment'!C$1,'Error Log'!$A$1:$J$1,0)))</f>
        <v/>
      </c>
      <c r="D225" s="70">
        <f>IF(H225=0,wdct(TRIM(C225)),0)</f>
        <v>0</v>
      </c>
      <c r="E225" s="70">
        <f>COUNTIFS('Error Log'!$A:$A,$A225,'Error Log'!$J:$J,E$1)</f>
        <v>0</v>
      </c>
      <c r="F225" s="70">
        <f>COUNTIFS('Error Log'!$A:$A,$A225,'Error Log'!$J:$J,F$1)</f>
        <v>0</v>
      </c>
      <c r="G225" s="70">
        <f>COUNTIFS('Error Log'!$A:$A,$A225,'Error Log'!$J:$J,G$1)</f>
        <v>0</v>
      </c>
      <c r="H225" s="70">
        <f>COUNTIFS('Error Log'!$A:$A,$A225,'Error Log'!$F:$F,"Source")</f>
        <v>0</v>
      </c>
      <c r="I225" s="70">
        <f>COUNTIFS('Error Log'!$A:$A,$A225,'Error Log'!$F:$F,"Target")</f>
        <v>0</v>
      </c>
      <c r="J225" s="71">
        <f t="shared" si="3"/>
        <v>0</v>
      </c>
    </row>
    <row r="226" spans="1:10">
      <c r="A226" s="82"/>
      <c r="B226" s="70" t="str">
        <f>IF(ISBLANK(A226),"",INDEX('Error Log'!$A:$J,MATCH('Scores per segment'!$A226,'Error Log'!$A:$A,0),MATCH('Scores per segment'!B$1,'Error Log'!$A$1:$J$1,0)))</f>
        <v/>
      </c>
      <c r="C226" s="70" t="str">
        <f>IF(ISBLANK(A226),"",INDEX('Error Log'!$A:$J,MATCH('Scores per segment'!$A226,'Error Log'!$A:$A,0),MATCH('Scores per segment'!C$1,'Error Log'!$A$1:$J$1,0)))</f>
        <v/>
      </c>
      <c r="D226" s="70">
        <f>IF(H226=0,wdct(TRIM(C226)),0)</f>
        <v>0</v>
      </c>
      <c r="E226" s="70">
        <f>COUNTIFS('Error Log'!$A:$A,$A226,'Error Log'!$J:$J,E$1)</f>
        <v>0</v>
      </c>
      <c r="F226" s="70">
        <f>COUNTIFS('Error Log'!$A:$A,$A226,'Error Log'!$J:$J,F$1)</f>
        <v>0</v>
      </c>
      <c r="G226" s="70">
        <f>COUNTIFS('Error Log'!$A:$A,$A226,'Error Log'!$J:$J,G$1)</f>
        <v>0</v>
      </c>
      <c r="H226" s="70">
        <f>COUNTIFS('Error Log'!$A:$A,$A226,'Error Log'!$F:$F,"Source")</f>
        <v>0</v>
      </c>
      <c r="I226" s="70">
        <f>COUNTIFS('Error Log'!$A:$A,$A226,'Error Log'!$F:$F,"Target")</f>
        <v>0</v>
      </c>
      <c r="J226" s="71">
        <f t="shared" si="3"/>
        <v>0</v>
      </c>
    </row>
    <row r="227" spans="1:10">
      <c r="A227" s="82"/>
      <c r="B227" s="70" t="str">
        <f>IF(ISBLANK(A227),"",INDEX('Error Log'!$A:$J,MATCH('Scores per segment'!$A227,'Error Log'!$A:$A,0),MATCH('Scores per segment'!B$1,'Error Log'!$A$1:$J$1,0)))</f>
        <v/>
      </c>
      <c r="C227" s="70" t="str">
        <f>IF(ISBLANK(A227),"",INDEX('Error Log'!$A:$J,MATCH('Scores per segment'!$A227,'Error Log'!$A:$A,0),MATCH('Scores per segment'!C$1,'Error Log'!$A$1:$J$1,0)))</f>
        <v/>
      </c>
      <c r="D227" s="70">
        <f>IF(H227=0,wdct(TRIM(C227)),0)</f>
        <v>0</v>
      </c>
      <c r="E227" s="70">
        <f>COUNTIFS('Error Log'!$A:$A,$A227,'Error Log'!$J:$J,E$1)</f>
        <v>0</v>
      </c>
      <c r="F227" s="70">
        <f>COUNTIFS('Error Log'!$A:$A,$A227,'Error Log'!$J:$J,F$1)</f>
        <v>0</v>
      </c>
      <c r="G227" s="70">
        <f>COUNTIFS('Error Log'!$A:$A,$A227,'Error Log'!$J:$J,G$1)</f>
        <v>0</v>
      </c>
      <c r="H227" s="70">
        <f>COUNTIFS('Error Log'!$A:$A,$A227,'Error Log'!$F:$F,"Source")</f>
        <v>0</v>
      </c>
      <c r="I227" s="70">
        <f>COUNTIFS('Error Log'!$A:$A,$A227,'Error Log'!$F:$F,"Target")</f>
        <v>0</v>
      </c>
      <c r="J227" s="71">
        <f t="shared" si="3"/>
        <v>0</v>
      </c>
    </row>
    <row r="228" spans="1:10">
      <c r="A228" s="82"/>
      <c r="B228" s="70" t="str">
        <f>IF(ISBLANK(A228),"",INDEX('Error Log'!$A:$J,MATCH('Scores per segment'!$A228,'Error Log'!$A:$A,0),MATCH('Scores per segment'!B$1,'Error Log'!$A$1:$J$1,0)))</f>
        <v/>
      </c>
      <c r="C228" s="70" t="str">
        <f>IF(ISBLANK(A228),"",INDEX('Error Log'!$A:$J,MATCH('Scores per segment'!$A228,'Error Log'!$A:$A,0),MATCH('Scores per segment'!C$1,'Error Log'!$A$1:$J$1,0)))</f>
        <v/>
      </c>
      <c r="D228" s="70">
        <f>IF(H228=0,wdct(TRIM(C228)),0)</f>
        <v>0</v>
      </c>
      <c r="E228" s="70">
        <f>COUNTIFS('Error Log'!$A:$A,$A228,'Error Log'!$J:$J,E$1)</f>
        <v>0</v>
      </c>
      <c r="F228" s="70">
        <f>COUNTIFS('Error Log'!$A:$A,$A228,'Error Log'!$J:$J,F$1)</f>
        <v>0</v>
      </c>
      <c r="G228" s="70">
        <f>COUNTIFS('Error Log'!$A:$A,$A228,'Error Log'!$J:$J,G$1)</f>
        <v>0</v>
      </c>
      <c r="H228" s="70">
        <f>COUNTIFS('Error Log'!$A:$A,$A228,'Error Log'!$F:$F,"Source")</f>
        <v>0</v>
      </c>
      <c r="I228" s="70">
        <f>COUNTIFS('Error Log'!$A:$A,$A228,'Error Log'!$F:$F,"Target")</f>
        <v>0</v>
      </c>
      <c r="J228" s="71">
        <f t="shared" si="3"/>
        <v>0</v>
      </c>
    </row>
    <row r="229" spans="1:10">
      <c r="A229" s="82"/>
      <c r="B229" s="70" t="str">
        <f>IF(ISBLANK(A229),"",INDEX('Error Log'!$A:$J,MATCH('Scores per segment'!$A229,'Error Log'!$A:$A,0),MATCH('Scores per segment'!B$1,'Error Log'!$A$1:$J$1,0)))</f>
        <v/>
      </c>
      <c r="C229" s="70" t="str">
        <f>IF(ISBLANK(A229),"",INDEX('Error Log'!$A:$J,MATCH('Scores per segment'!$A229,'Error Log'!$A:$A,0),MATCH('Scores per segment'!C$1,'Error Log'!$A$1:$J$1,0)))</f>
        <v/>
      </c>
      <c r="D229" s="70">
        <f>IF(H229=0,wdct(TRIM(C229)),0)</f>
        <v>0</v>
      </c>
      <c r="E229" s="70">
        <f>COUNTIFS('Error Log'!$A:$A,$A229,'Error Log'!$J:$J,E$1)</f>
        <v>0</v>
      </c>
      <c r="F229" s="70">
        <f>COUNTIFS('Error Log'!$A:$A,$A229,'Error Log'!$J:$J,F$1)</f>
        <v>0</v>
      </c>
      <c r="G229" s="70">
        <f>COUNTIFS('Error Log'!$A:$A,$A229,'Error Log'!$J:$J,G$1)</f>
        <v>0</v>
      </c>
      <c r="H229" s="70">
        <f>COUNTIFS('Error Log'!$A:$A,$A229,'Error Log'!$F:$F,"Source")</f>
        <v>0</v>
      </c>
      <c r="I229" s="70">
        <f>COUNTIFS('Error Log'!$A:$A,$A229,'Error Log'!$F:$F,"Target")</f>
        <v>0</v>
      </c>
      <c r="J229" s="71">
        <f t="shared" si="3"/>
        <v>0</v>
      </c>
    </row>
    <row r="230" spans="1:10">
      <c r="A230" s="82"/>
      <c r="B230" s="70" t="str">
        <f>IF(ISBLANK(A230),"",INDEX('Error Log'!$A:$J,MATCH('Scores per segment'!$A230,'Error Log'!$A:$A,0),MATCH('Scores per segment'!B$1,'Error Log'!$A$1:$J$1,0)))</f>
        <v/>
      </c>
      <c r="C230" s="70" t="str">
        <f>IF(ISBLANK(A230),"",INDEX('Error Log'!$A:$J,MATCH('Scores per segment'!$A230,'Error Log'!$A:$A,0),MATCH('Scores per segment'!C$1,'Error Log'!$A$1:$J$1,0)))</f>
        <v/>
      </c>
      <c r="D230" s="70">
        <f>IF(H230=0,wdct(TRIM(C230)),0)</f>
        <v>0</v>
      </c>
      <c r="E230" s="70">
        <f>COUNTIFS('Error Log'!$A:$A,$A230,'Error Log'!$J:$J,E$1)</f>
        <v>0</v>
      </c>
      <c r="F230" s="70">
        <f>COUNTIFS('Error Log'!$A:$A,$A230,'Error Log'!$J:$J,F$1)</f>
        <v>0</v>
      </c>
      <c r="G230" s="70">
        <f>COUNTIFS('Error Log'!$A:$A,$A230,'Error Log'!$J:$J,G$1)</f>
        <v>0</v>
      </c>
      <c r="H230" s="70">
        <f>COUNTIFS('Error Log'!$A:$A,$A230,'Error Log'!$F:$F,"Source")</f>
        <v>0</v>
      </c>
      <c r="I230" s="70">
        <f>COUNTIFS('Error Log'!$A:$A,$A230,'Error Log'!$F:$F,"Target")</f>
        <v>0</v>
      </c>
      <c r="J230" s="71">
        <f t="shared" si="3"/>
        <v>0</v>
      </c>
    </row>
    <row r="231" spans="1:10">
      <c r="A231" s="82"/>
      <c r="B231" s="70" t="str">
        <f>IF(ISBLANK(A231),"",INDEX('Error Log'!$A:$J,MATCH('Scores per segment'!$A231,'Error Log'!$A:$A,0),MATCH('Scores per segment'!B$1,'Error Log'!$A$1:$J$1,0)))</f>
        <v/>
      </c>
      <c r="C231" s="70" t="str">
        <f>IF(ISBLANK(A231),"",INDEX('Error Log'!$A:$J,MATCH('Scores per segment'!$A231,'Error Log'!$A:$A,0),MATCH('Scores per segment'!C$1,'Error Log'!$A$1:$J$1,0)))</f>
        <v/>
      </c>
      <c r="D231" s="70">
        <f>IF(H231=0,wdct(TRIM(C231)),0)</f>
        <v>0</v>
      </c>
      <c r="E231" s="70">
        <f>COUNTIFS('Error Log'!$A:$A,$A231,'Error Log'!$J:$J,E$1)</f>
        <v>0</v>
      </c>
      <c r="F231" s="70">
        <f>COUNTIFS('Error Log'!$A:$A,$A231,'Error Log'!$J:$J,F$1)</f>
        <v>0</v>
      </c>
      <c r="G231" s="70">
        <f>COUNTIFS('Error Log'!$A:$A,$A231,'Error Log'!$J:$J,G$1)</f>
        <v>0</v>
      </c>
      <c r="H231" s="70">
        <f>COUNTIFS('Error Log'!$A:$A,$A231,'Error Log'!$F:$F,"Source")</f>
        <v>0</v>
      </c>
      <c r="I231" s="70">
        <f>COUNTIFS('Error Log'!$A:$A,$A231,'Error Log'!$F:$F,"Target")</f>
        <v>0</v>
      </c>
      <c r="J231" s="71">
        <f t="shared" si="3"/>
        <v>0</v>
      </c>
    </row>
    <row r="232" spans="1:10">
      <c r="A232" s="82"/>
      <c r="B232" s="70" t="str">
        <f>IF(ISBLANK(A232),"",INDEX('Error Log'!$A:$J,MATCH('Scores per segment'!$A232,'Error Log'!$A:$A,0),MATCH('Scores per segment'!B$1,'Error Log'!$A$1:$J$1,0)))</f>
        <v/>
      </c>
      <c r="C232" s="70" t="str">
        <f>IF(ISBLANK(A232),"",INDEX('Error Log'!$A:$J,MATCH('Scores per segment'!$A232,'Error Log'!$A:$A,0),MATCH('Scores per segment'!C$1,'Error Log'!$A$1:$J$1,0)))</f>
        <v/>
      </c>
      <c r="D232" s="70">
        <f>IF(H232=0,wdct(TRIM(C232)),0)</f>
        <v>0</v>
      </c>
      <c r="E232" s="70">
        <f>COUNTIFS('Error Log'!$A:$A,$A232,'Error Log'!$J:$J,E$1)</f>
        <v>0</v>
      </c>
      <c r="F232" s="70">
        <f>COUNTIFS('Error Log'!$A:$A,$A232,'Error Log'!$J:$J,F$1)</f>
        <v>0</v>
      </c>
      <c r="G232" s="70">
        <f>COUNTIFS('Error Log'!$A:$A,$A232,'Error Log'!$J:$J,G$1)</f>
        <v>0</v>
      </c>
      <c r="H232" s="70">
        <f>COUNTIFS('Error Log'!$A:$A,$A232,'Error Log'!$F:$F,"Source")</f>
        <v>0</v>
      </c>
      <c r="I232" s="70">
        <f>COUNTIFS('Error Log'!$A:$A,$A232,'Error Log'!$F:$F,"Target")</f>
        <v>0</v>
      </c>
      <c r="J232" s="71">
        <f t="shared" si="3"/>
        <v>0</v>
      </c>
    </row>
    <row r="233" spans="1:10">
      <c r="A233" s="82"/>
      <c r="B233" s="70" t="str">
        <f>IF(ISBLANK(A233),"",INDEX('Error Log'!$A:$J,MATCH('Scores per segment'!$A233,'Error Log'!$A:$A,0),MATCH('Scores per segment'!B$1,'Error Log'!$A$1:$J$1,0)))</f>
        <v/>
      </c>
      <c r="C233" s="70" t="str">
        <f>IF(ISBLANK(A233),"",INDEX('Error Log'!$A:$J,MATCH('Scores per segment'!$A233,'Error Log'!$A:$A,0),MATCH('Scores per segment'!C$1,'Error Log'!$A$1:$J$1,0)))</f>
        <v/>
      </c>
      <c r="D233" s="70">
        <f>IF(H233=0,wdct(TRIM(C233)),0)</f>
        <v>0</v>
      </c>
      <c r="E233" s="70">
        <f>COUNTIFS('Error Log'!$A:$A,$A233,'Error Log'!$J:$J,E$1)</f>
        <v>0</v>
      </c>
      <c r="F233" s="70">
        <f>COUNTIFS('Error Log'!$A:$A,$A233,'Error Log'!$J:$J,F$1)</f>
        <v>0</v>
      </c>
      <c r="G233" s="70">
        <f>COUNTIFS('Error Log'!$A:$A,$A233,'Error Log'!$J:$J,G$1)</f>
        <v>0</v>
      </c>
      <c r="H233" s="70">
        <f>COUNTIFS('Error Log'!$A:$A,$A233,'Error Log'!$F:$F,"Source")</f>
        <v>0</v>
      </c>
      <c r="I233" s="70">
        <f>COUNTIFS('Error Log'!$A:$A,$A233,'Error Log'!$F:$F,"Target")</f>
        <v>0</v>
      </c>
      <c r="J233" s="71">
        <f t="shared" si="3"/>
        <v>0</v>
      </c>
    </row>
    <row r="234" spans="1:10">
      <c r="A234" s="82"/>
      <c r="B234" s="70" t="str">
        <f>IF(ISBLANK(A234),"",INDEX('Error Log'!$A:$J,MATCH('Scores per segment'!$A234,'Error Log'!$A:$A,0),MATCH('Scores per segment'!B$1,'Error Log'!$A$1:$J$1,0)))</f>
        <v/>
      </c>
      <c r="C234" s="70" t="str">
        <f>IF(ISBLANK(A234),"",INDEX('Error Log'!$A:$J,MATCH('Scores per segment'!$A234,'Error Log'!$A:$A,0),MATCH('Scores per segment'!C$1,'Error Log'!$A$1:$J$1,0)))</f>
        <v/>
      </c>
      <c r="D234" s="70">
        <f>IF(H234=0,wdct(TRIM(C234)),0)</f>
        <v>0</v>
      </c>
      <c r="E234" s="70">
        <f>COUNTIFS('Error Log'!$A:$A,$A234,'Error Log'!$J:$J,E$1)</f>
        <v>0</v>
      </c>
      <c r="F234" s="70">
        <f>COUNTIFS('Error Log'!$A:$A,$A234,'Error Log'!$J:$J,F$1)</f>
        <v>0</v>
      </c>
      <c r="G234" s="70">
        <f>COUNTIFS('Error Log'!$A:$A,$A234,'Error Log'!$J:$J,G$1)</f>
        <v>0</v>
      </c>
      <c r="H234" s="70">
        <f>COUNTIFS('Error Log'!$A:$A,$A234,'Error Log'!$F:$F,"Source")</f>
        <v>0</v>
      </c>
      <c r="I234" s="70">
        <f>COUNTIFS('Error Log'!$A:$A,$A234,'Error Log'!$F:$F,"Target")</f>
        <v>0</v>
      </c>
      <c r="J234" s="71">
        <f t="shared" si="3"/>
        <v>0</v>
      </c>
    </row>
    <row r="235" spans="1:10">
      <c r="A235" s="82"/>
      <c r="B235" s="70" t="str">
        <f>IF(ISBLANK(A235),"",INDEX('Error Log'!$A:$J,MATCH('Scores per segment'!$A235,'Error Log'!$A:$A,0),MATCH('Scores per segment'!B$1,'Error Log'!$A$1:$J$1,0)))</f>
        <v/>
      </c>
      <c r="C235" s="70" t="str">
        <f>IF(ISBLANK(A235),"",INDEX('Error Log'!$A:$J,MATCH('Scores per segment'!$A235,'Error Log'!$A:$A,0),MATCH('Scores per segment'!C$1,'Error Log'!$A$1:$J$1,0)))</f>
        <v/>
      </c>
      <c r="D235" s="70">
        <f>IF(H235=0,wdct(TRIM(C235)),0)</f>
        <v>0</v>
      </c>
      <c r="E235" s="70">
        <f>COUNTIFS('Error Log'!$A:$A,$A235,'Error Log'!$J:$J,E$1)</f>
        <v>0</v>
      </c>
      <c r="F235" s="70">
        <f>COUNTIFS('Error Log'!$A:$A,$A235,'Error Log'!$J:$J,F$1)</f>
        <v>0</v>
      </c>
      <c r="G235" s="70">
        <f>COUNTIFS('Error Log'!$A:$A,$A235,'Error Log'!$J:$J,G$1)</f>
        <v>0</v>
      </c>
      <c r="H235" s="70">
        <f>COUNTIFS('Error Log'!$A:$A,$A235,'Error Log'!$F:$F,"Source")</f>
        <v>0</v>
      </c>
      <c r="I235" s="70">
        <f>COUNTIFS('Error Log'!$A:$A,$A235,'Error Log'!$F:$F,"Target")</f>
        <v>0</v>
      </c>
      <c r="J235" s="71">
        <f t="shared" si="3"/>
        <v>0</v>
      </c>
    </row>
    <row r="236" spans="1:10">
      <c r="A236" s="82"/>
      <c r="B236" s="70" t="str">
        <f>IF(ISBLANK(A236),"",INDEX('Error Log'!$A:$J,MATCH('Scores per segment'!$A236,'Error Log'!$A:$A,0),MATCH('Scores per segment'!B$1,'Error Log'!$A$1:$J$1,0)))</f>
        <v/>
      </c>
      <c r="C236" s="70" t="str">
        <f>IF(ISBLANK(A236),"",INDEX('Error Log'!$A:$J,MATCH('Scores per segment'!$A236,'Error Log'!$A:$A,0),MATCH('Scores per segment'!C$1,'Error Log'!$A$1:$J$1,0)))</f>
        <v/>
      </c>
      <c r="D236" s="70">
        <f>IF(H236=0,wdct(TRIM(C236)),0)</f>
        <v>0</v>
      </c>
      <c r="E236" s="70">
        <f>COUNTIFS('Error Log'!$A:$A,$A236,'Error Log'!$J:$J,E$1)</f>
        <v>0</v>
      </c>
      <c r="F236" s="70">
        <f>COUNTIFS('Error Log'!$A:$A,$A236,'Error Log'!$J:$J,F$1)</f>
        <v>0</v>
      </c>
      <c r="G236" s="70">
        <f>COUNTIFS('Error Log'!$A:$A,$A236,'Error Log'!$J:$J,G$1)</f>
        <v>0</v>
      </c>
      <c r="H236" s="70">
        <f>COUNTIFS('Error Log'!$A:$A,$A236,'Error Log'!$F:$F,"Source")</f>
        <v>0</v>
      </c>
      <c r="I236" s="70">
        <f>COUNTIFS('Error Log'!$A:$A,$A236,'Error Log'!$F:$F,"Target")</f>
        <v>0</v>
      </c>
      <c r="J236" s="71">
        <f t="shared" si="3"/>
        <v>0</v>
      </c>
    </row>
    <row r="237" spans="1:10">
      <c r="A237" s="82"/>
      <c r="B237" s="70" t="str">
        <f>IF(ISBLANK(A237),"",INDEX('Error Log'!$A:$J,MATCH('Scores per segment'!$A237,'Error Log'!$A:$A,0),MATCH('Scores per segment'!B$1,'Error Log'!$A$1:$J$1,0)))</f>
        <v/>
      </c>
      <c r="C237" s="70" t="str">
        <f>IF(ISBLANK(A237),"",INDEX('Error Log'!$A:$J,MATCH('Scores per segment'!$A237,'Error Log'!$A:$A,0),MATCH('Scores per segment'!C$1,'Error Log'!$A$1:$J$1,0)))</f>
        <v/>
      </c>
      <c r="D237" s="70">
        <f>IF(H237=0,wdct(TRIM(C237)),0)</f>
        <v>0</v>
      </c>
      <c r="E237" s="70">
        <f>COUNTIFS('Error Log'!$A:$A,$A237,'Error Log'!$J:$J,E$1)</f>
        <v>0</v>
      </c>
      <c r="F237" s="70">
        <f>COUNTIFS('Error Log'!$A:$A,$A237,'Error Log'!$J:$J,F$1)</f>
        <v>0</v>
      </c>
      <c r="G237" s="70">
        <f>COUNTIFS('Error Log'!$A:$A,$A237,'Error Log'!$J:$J,G$1)</f>
        <v>0</v>
      </c>
      <c r="H237" s="70">
        <f>COUNTIFS('Error Log'!$A:$A,$A237,'Error Log'!$F:$F,"Source")</f>
        <v>0</v>
      </c>
      <c r="I237" s="70">
        <f>COUNTIFS('Error Log'!$A:$A,$A237,'Error Log'!$F:$F,"Target")</f>
        <v>0</v>
      </c>
      <c r="J237" s="71">
        <f t="shared" si="3"/>
        <v>0</v>
      </c>
    </row>
    <row r="238" spans="1:10">
      <c r="A238" s="82"/>
      <c r="B238" s="70" t="str">
        <f>IF(ISBLANK(A238),"",INDEX('Error Log'!$A:$J,MATCH('Scores per segment'!$A238,'Error Log'!$A:$A,0),MATCH('Scores per segment'!B$1,'Error Log'!$A$1:$J$1,0)))</f>
        <v/>
      </c>
      <c r="C238" s="70" t="str">
        <f>IF(ISBLANK(A238),"",INDEX('Error Log'!$A:$J,MATCH('Scores per segment'!$A238,'Error Log'!$A:$A,0),MATCH('Scores per segment'!C$1,'Error Log'!$A$1:$J$1,0)))</f>
        <v/>
      </c>
      <c r="D238" s="70">
        <f>IF(H238=0,wdct(TRIM(C238)),0)</f>
        <v>0</v>
      </c>
      <c r="E238" s="70">
        <f>COUNTIFS('Error Log'!$A:$A,$A238,'Error Log'!$J:$J,E$1)</f>
        <v>0</v>
      </c>
      <c r="F238" s="70">
        <f>COUNTIFS('Error Log'!$A:$A,$A238,'Error Log'!$J:$J,F$1)</f>
        <v>0</v>
      </c>
      <c r="G238" s="70">
        <f>COUNTIFS('Error Log'!$A:$A,$A238,'Error Log'!$J:$J,G$1)</f>
        <v>0</v>
      </c>
      <c r="H238" s="70">
        <f>COUNTIFS('Error Log'!$A:$A,$A238,'Error Log'!$F:$F,"Source")</f>
        <v>0</v>
      </c>
      <c r="I238" s="70">
        <f>COUNTIFS('Error Log'!$A:$A,$A238,'Error Log'!$F:$F,"Target")</f>
        <v>0</v>
      </c>
      <c r="J238" s="71">
        <f t="shared" si="3"/>
        <v>0</v>
      </c>
    </row>
    <row r="239" spans="1:10">
      <c r="A239" s="82"/>
      <c r="B239" s="70" t="str">
        <f>IF(ISBLANK(A239),"",INDEX('Error Log'!$A:$J,MATCH('Scores per segment'!$A239,'Error Log'!$A:$A,0),MATCH('Scores per segment'!B$1,'Error Log'!$A$1:$J$1,0)))</f>
        <v/>
      </c>
      <c r="C239" s="70" t="str">
        <f>IF(ISBLANK(A239),"",INDEX('Error Log'!$A:$J,MATCH('Scores per segment'!$A239,'Error Log'!$A:$A,0),MATCH('Scores per segment'!C$1,'Error Log'!$A$1:$J$1,0)))</f>
        <v/>
      </c>
      <c r="D239" s="70">
        <f>IF(H239=0,wdct(TRIM(C239)),0)</f>
        <v>0</v>
      </c>
      <c r="E239" s="70">
        <f>COUNTIFS('Error Log'!$A:$A,$A239,'Error Log'!$J:$J,E$1)</f>
        <v>0</v>
      </c>
      <c r="F239" s="70">
        <f>COUNTIFS('Error Log'!$A:$A,$A239,'Error Log'!$J:$J,F$1)</f>
        <v>0</v>
      </c>
      <c r="G239" s="70">
        <f>COUNTIFS('Error Log'!$A:$A,$A239,'Error Log'!$J:$J,G$1)</f>
        <v>0</v>
      </c>
      <c r="H239" s="70">
        <f>COUNTIFS('Error Log'!$A:$A,$A239,'Error Log'!$F:$F,"Source")</f>
        <v>0</v>
      </c>
      <c r="I239" s="70">
        <f>COUNTIFS('Error Log'!$A:$A,$A239,'Error Log'!$F:$F,"Target")</f>
        <v>0</v>
      </c>
      <c r="J239" s="71">
        <f t="shared" si="3"/>
        <v>0</v>
      </c>
    </row>
    <row r="240" spans="1:10">
      <c r="A240" s="82"/>
      <c r="B240" s="70" t="str">
        <f>IF(ISBLANK(A240),"",INDEX('Error Log'!$A:$J,MATCH('Scores per segment'!$A240,'Error Log'!$A:$A,0),MATCH('Scores per segment'!B$1,'Error Log'!$A$1:$J$1,0)))</f>
        <v/>
      </c>
      <c r="C240" s="70" t="str">
        <f>IF(ISBLANK(A240),"",INDEX('Error Log'!$A:$J,MATCH('Scores per segment'!$A240,'Error Log'!$A:$A,0),MATCH('Scores per segment'!C$1,'Error Log'!$A$1:$J$1,0)))</f>
        <v/>
      </c>
      <c r="D240" s="70">
        <f>IF(H240=0,wdct(TRIM(C240)),0)</f>
        <v>0</v>
      </c>
      <c r="E240" s="70">
        <f>COUNTIFS('Error Log'!$A:$A,$A240,'Error Log'!$J:$J,E$1)</f>
        <v>0</v>
      </c>
      <c r="F240" s="70">
        <f>COUNTIFS('Error Log'!$A:$A,$A240,'Error Log'!$J:$J,F$1)</f>
        <v>0</v>
      </c>
      <c r="G240" s="70">
        <f>COUNTIFS('Error Log'!$A:$A,$A240,'Error Log'!$J:$J,G$1)</f>
        <v>0</v>
      </c>
      <c r="H240" s="70">
        <f>COUNTIFS('Error Log'!$A:$A,$A240,'Error Log'!$F:$F,"Source")</f>
        <v>0</v>
      </c>
      <c r="I240" s="70">
        <f>COUNTIFS('Error Log'!$A:$A,$A240,'Error Log'!$F:$F,"Target")</f>
        <v>0</v>
      </c>
      <c r="J240" s="71">
        <f t="shared" si="3"/>
        <v>0</v>
      </c>
    </row>
    <row r="241" spans="1:10">
      <c r="A241" s="82"/>
      <c r="B241" s="70" t="str">
        <f>IF(ISBLANK(A241),"",INDEX('Error Log'!$A:$J,MATCH('Scores per segment'!$A241,'Error Log'!$A:$A,0),MATCH('Scores per segment'!B$1,'Error Log'!$A$1:$J$1,0)))</f>
        <v/>
      </c>
      <c r="C241" s="70" t="str">
        <f>IF(ISBLANK(A241),"",INDEX('Error Log'!$A:$J,MATCH('Scores per segment'!$A241,'Error Log'!$A:$A,0),MATCH('Scores per segment'!C$1,'Error Log'!$A$1:$J$1,0)))</f>
        <v/>
      </c>
      <c r="D241" s="70">
        <f>IF(H241=0,wdct(TRIM(C241)),0)</f>
        <v>0</v>
      </c>
      <c r="E241" s="70">
        <f>COUNTIFS('Error Log'!$A:$A,$A241,'Error Log'!$J:$J,E$1)</f>
        <v>0</v>
      </c>
      <c r="F241" s="70">
        <f>COUNTIFS('Error Log'!$A:$A,$A241,'Error Log'!$J:$J,F$1)</f>
        <v>0</v>
      </c>
      <c r="G241" s="70">
        <f>COUNTIFS('Error Log'!$A:$A,$A241,'Error Log'!$J:$J,G$1)</f>
        <v>0</v>
      </c>
      <c r="H241" s="70">
        <f>COUNTIFS('Error Log'!$A:$A,$A241,'Error Log'!$F:$F,"Source")</f>
        <v>0</v>
      </c>
      <c r="I241" s="70">
        <f>COUNTIFS('Error Log'!$A:$A,$A241,'Error Log'!$F:$F,"Target")</f>
        <v>0</v>
      </c>
      <c r="J241" s="71">
        <f t="shared" si="3"/>
        <v>0</v>
      </c>
    </row>
    <row r="242" spans="1:10">
      <c r="A242" s="82"/>
      <c r="B242" s="70" t="str">
        <f>IF(ISBLANK(A242),"",INDEX('Error Log'!$A:$J,MATCH('Scores per segment'!$A242,'Error Log'!$A:$A,0),MATCH('Scores per segment'!B$1,'Error Log'!$A$1:$J$1,0)))</f>
        <v/>
      </c>
      <c r="C242" s="70" t="str">
        <f>IF(ISBLANK(A242),"",INDEX('Error Log'!$A:$J,MATCH('Scores per segment'!$A242,'Error Log'!$A:$A,0),MATCH('Scores per segment'!C$1,'Error Log'!$A$1:$J$1,0)))</f>
        <v/>
      </c>
      <c r="D242" s="70">
        <f>IF(H242=0,wdct(TRIM(C242)),0)</f>
        <v>0</v>
      </c>
      <c r="E242" s="70">
        <f>COUNTIFS('Error Log'!$A:$A,$A242,'Error Log'!$J:$J,E$1)</f>
        <v>0</v>
      </c>
      <c r="F242" s="70">
        <f>COUNTIFS('Error Log'!$A:$A,$A242,'Error Log'!$J:$J,F$1)</f>
        <v>0</v>
      </c>
      <c r="G242" s="70">
        <f>COUNTIFS('Error Log'!$A:$A,$A242,'Error Log'!$J:$J,G$1)</f>
        <v>0</v>
      </c>
      <c r="H242" s="70">
        <f>COUNTIFS('Error Log'!$A:$A,$A242,'Error Log'!$F:$F,"Source")</f>
        <v>0</v>
      </c>
      <c r="I242" s="70">
        <f>COUNTIFS('Error Log'!$A:$A,$A242,'Error Log'!$F:$F,"Target")</f>
        <v>0</v>
      </c>
      <c r="J242" s="71">
        <f t="shared" si="3"/>
        <v>0</v>
      </c>
    </row>
    <row r="243" spans="1:10">
      <c r="A243" s="82"/>
      <c r="B243" s="70" t="str">
        <f>IF(ISBLANK(A243),"",INDEX('Error Log'!$A:$J,MATCH('Scores per segment'!$A243,'Error Log'!$A:$A,0),MATCH('Scores per segment'!B$1,'Error Log'!$A$1:$J$1,0)))</f>
        <v/>
      </c>
      <c r="C243" s="70" t="str">
        <f>IF(ISBLANK(A243),"",INDEX('Error Log'!$A:$J,MATCH('Scores per segment'!$A243,'Error Log'!$A:$A,0),MATCH('Scores per segment'!C$1,'Error Log'!$A$1:$J$1,0)))</f>
        <v/>
      </c>
      <c r="D243" s="70">
        <f>IF(H243=0,wdct(TRIM(C243)),0)</f>
        <v>0</v>
      </c>
      <c r="E243" s="70">
        <f>COUNTIFS('Error Log'!$A:$A,$A243,'Error Log'!$J:$J,E$1)</f>
        <v>0</v>
      </c>
      <c r="F243" s="70">
        <f>COUNTIFS('Error Log'!$A:$A,$A243,'Error Log'!$J:$J,F$1)</f>
        <v>0</v>
      </c>
      <c r="G243" s="70">
        <f>COUNTIFS('Error Log'!$A:$A,$A243,'Error Log'!$J:$J,G$1)</f>
        <v>0</v>
      </c>
      <c r="H243" s="70">
        <f>COUNTIFS('Error Log'!$A:$A,$A243,'Error Log'!$F:$F,"Source")</f>
        <v>0</v>
      </c>
      <c r="I243" s="70">
        <f>COUNTIFS('Error Log'!$A:$A,$A243,'Error Log'!$F:$F,"Target")</f>
        <v>0</v>
      </c>
      <c r="J243" s="71">
        <f t="shared" si="3"/>
        <v>0</v>
      </c>
    </row>
    <row r="244" spans="1:10">
      <c r="A244" s="82"/>
      <c r="B244" s="70" t="str">
        <f>IF(ISBLANK(A244),"",INDEX('Error Log'!$A:$J,MATCH('Scores per segment'!$A244,'Error Log'!$A:$A,0),MATCH('Scores per segment'!B$1,'Error Log'!$A$1:$J$1,0)))</f>
        <v/>
      </c>
      <c r="C244" s="70" t="str">
        <f>IF(ISBLANK(A244),"",INDEX('Error Log'!$A:$J,MATCH('Scores per segment'!$A244,'Error Log'!$A:$A,0),MATCH('Scores per segment'!C$1,'Error Log'!$A$1:$J$1,0)))</f>
        <v/>
      </c>
      <c r="D244" s="70">
        <f>IF(H244=0,wdct(TRIM(C244)),0)</f>
        <v>0</v>
      </c>
      <c r="E244" s="70">
        <f>COUNTIFS('Error Log'!$A:$A,$A244,'Error Log'!$J:$J,E$1)</f>
        <v>0</v>
      </c>
      <c r="F244" s="70">
        <f>COUNTIFS('Error Log'!$A:$A,$A244,'Error Log'!$J:$J,F$1)</f>
        <v>0</v>
      </c>
      <c r="G244" s="70">
        <f>COUNTIFS('Error Log'!$A:$A,$A244,'Error Log'!$J:$J,G$1)</f>
        <v>0</v>
      </c>
      <c r="H244" s="70">
        <f>COUNTIFS('Error Log'!$A:$A,$A244,'Error Log'!$F:$F,"Source")</f>
        <v>0</v>
      </c>
      <c r="I244" s="70">
        <f>COUNTIFS('Error Log'!$A:$A,$A244,'Error Log'!$F:$F,"Target")</f>
        <v>0</v>
      </c>
      <c r="J244" s="71">
        <f t="shared" si="3"/>
        <v>0</v>
      </c>
    </row>
    <row r="245" spans="1:10">
      <c r="A245" s="82"/>
      <c r="B245" s="70" t="str">
        <f>IF(ISBLANK(A245),"",INDEX('Error Log'!$A:$J,MATCH('Scores per segment'!$A245,'Error Log'!$A:$A,0),MATCH('Scores per segment'!B$1,'Error Log'!$A$1:$J$1,0)))</f>
        <v/>
      </c>
      <c r="C245" s="70" t="str">
        <f>IF(ISBLANK(A245),"",INDEX('Error Log'!$A:$J,MATCH('Scores per segment'!$A245,'Error Log'!$A:$A,0),MATCH('Scores per segment'!C$1,'Error Log'!$A$1:$J$1,0)))</f>
        <v/>
      </c>
      <c r="D245" s="70">
        <f>IF(H245=0,wdct(TRIM(C245)),0)</f>
        <v>0</v>
      </c>
      <c r="E245" s="70">
        <f>COUNTIFS('Error Log'!$A:$A,$A245,'Error Log'!$J:$J,E$1)</f>
        <v>0</v>
      </c>
      <c r="F245" s="70">
        <f>COUNTIFS('Error Log'!$A:$A,$A245,'Error Log'!$J:$J,F$1)</f>
        <v>0</v>
      </c>
      <c r="G245" s="70">
        <f>COUNTIFS('Error Log'!$A:$A,$A245,'Error Log'!$J:$J,G$1)</f>
        <v>0</v>
      </c>
      <c r="H245" s="70">
        <f>COUNTIFS('Error Log'!$A:$A,$A245,'Error Log'!$F:$F,"Source")</f>
        <v>0</v>
      </c>
      <c r="I245" s="70">
        <f>COUNTIFS('Error Log'!$A:$A,$A245,'Error Log'!$F:$F,"Target")</f>
        <v>0</v>
      </c>
      <c r="J245" s="71">
        <f t="shared" si="3"/>
        <v>0</v>
      </c>
    </row>
    <row r="246" spans="1:10">
      <c r="A246" s="82"/>
      <c r="B246" s="70" t="str">
        <f>IF(ISBLANK(A246),"",INDEX('Error Log'!$A:$J,MATCH('Scores per segment'!$A246,'Error Log'!$A:$A,0),MATCH('Scores per segment'!B$1,'Error Log'!$A$1:$J$1,0)))</f>
        <v/>
      </c>
      <c r="C246" s="70" t="str">
        <f>IF(ISBLANK(A246),"",INDEX('Error Log'!$A:$J,MATCH('Scores per segment'!$A246,'Error Log'!$A:$A,0),MATCH('Scores per segment'!C$1,'Error Log'!$A$1:$J$1,0)))</f>
        <v/>
      </c>
      <c r="D246" s="70">
        <f>IF(H246=0,wdct(TRIM(C246)),0)</f>
        <v>0</v>
      </c>
      <c r="E246" s="70">
        <f>COUNTIFS('Error Log'!$A:$A,$A246,'Error Log'!$J:$J,E$1)</f>
        <v>0</v>
      </c>
      <c r="F246" s="70">
        <f>COUNTIFS('Error Log'!$A:$A,$A246,'Error Log'!$J:$J,F$1)</f>
        <v>0</v>
      </c>
      <c r="G246" s="70">
        <f>COUNTIFS('Error Log'!$A:$A,$A246,'Error Log'!$J:$J,G$1)</f>
        <v>0</v>
      </c>
      <c r="H246" s="70">
        <f>COUNTIFS('Error Log'!$A:$A,$A246,'Error Log'!$F:$F,"Source")</f>
        <v>0</v>
      </c>
      <c r="I246" s="70">
        <f>COUNTIFS('Error Log'!$A:$A,$A246,'Error Log'!$F:$F,"Target")</f>
        <v>0</v>
      </c>
      <c r="J246" s="71">
        <f t="shared" si="3"/>
        <v>0</v>
      </c>
    </row>
    <row r="247" spans="1:10">
      <c r="A247" s="82"/>
      <c r="B247" s="70" t="str">
        <f>IF(ISBLANK(A247),"",INDEX('Error Log'!$A:$J,MATCH('Scores per segment'!$A247,'Error Log'!$A:$A,0),MATCH('Scores per segment'!B$1,'Error Log'!$A$1:$J$1,0)))</f>
        <v/>
      </c>
      <c r="C247" s="70" t="str">
        <f>IF(ISBLANK(A247),"",INDEX('Error Log'!$A:$J,MATCH('Scores per segment'!$A247,'Error Log'!$A:$A,0),MATCH('Scores per segment'!C$1,'Error Log'!$A$1:$J$1,0)))</f>
        <v/>
      </c>
      <c r="D247" s="70">
        <f>IF(H247=0,wdct(TRIM(C247)),0)</f>
        <v>0</v>
      </c>
      <c r="E247" s="70">
        <f>COUNTIFS('Error Log'!$A:$A,$A247,'Error Log'!$J:$J,E$1)</f>
        <v>0</v>
      </c>
      <c r="F247" s="70">
        <f>COUNTIFS('Error Log'!$A:$A,$A247,'Error Log'!$J:$J,F$1)</f>
        <v>0</v>
      </c>
      <c r="G247" s="70">
        <f>COUNTIFS('Error Log'!$A:$A,$A247,'Error Log'!$J:$J,G$1)</f>
        <v>0</v>
      </c>
      <c r="H247" s="70">
        <f>COUNTIFS('Error Log'!$A:$A,$A247,'Error Log'!$F:$F,"Source")</f>
        <v>0</v>
      </c>
      <c r="I247" s="70">
        <f>COUNTIFS('Error Log'!$A:$A,$A247,'Error Log'!$F:$F,"Target")</f>
        <v>0</v>
      </c>
      <c r="J247" s="71">
        <f t="shared" si="3"/>
        <v>0</v>
      </c>
    </row>
    <row r="248" spans="1:10">
      <c r="A248" s="82"/>
      <c r="B248" s="70" t="str">
        <f>IF(ISBLANK(A248),"",INDEX('Error Log'!$A:$J,MATCH('Scores per segment'!$A248,'Error Log'!$A:$A,0),MATCH('Scores per segment'!B$1,'Error Log'!$A$1:$J$1,0)))</f>
        <v/>
      </c>
      <c r="C248" s="70" t="str">
        <f>IF(ISBLANK(A248),"",INDEX('Error Log'!$A:$J,MATCH('Scores per segment'!$A248,'Error Log'!$A:$A,0),MATCH('Scores per segment'!C$1,'Error Log'!$A$1:$J$1,0)))</f>
        <v/>
      </c>
      <c r="D248" s="70">
        <f>IF(H248=0,wdct(TRIM(C248)),0)</f>
        <v>0</v>
      </c>
      <c r="E248" s="70">
        <f>COUNTIFS('Error Log'!$A:$A,$A248,'Error Log'!$J:$J,E$1)</f>
        <v>0</v>
      </c>
      <c r="F248" s="70">
        <f>COUNTIFS('Error Log'!$A:$A,$A248,'Error Log'!$J:$J,F$1)</f>
        <v>0</v>
      </c>
      <c r="G248" s="70">
        <f>COUNTIFS('Error Log'!$A:$A,$A248,'Error Log'!$J:$J,G$1)</f>
        <v>0</v>
      </c>
      <c r="H248" s="70">
        <f>COUNTIFS('Error Log'!$A:$A,$A248,'Error Log'!$F:$F,"Source")</f>
        <v>0</v>
      </c>
      <c r="I248" s="70">
        <f>COUNTIFS('Error Log'!$A:$A,$A248,'Error Log'!$F:$F,"Target")</f>
        <v>0</v>
      </c>
      <c r="J248" s="71">
        <f t="shared" si="3"/>
        <v>0</v>
      </c>
    </row>
    <row r="249" spans="1:10">
      <c r="A249" s="82"/>
      <c r="B249" s="70" t="str">
        <f>IF(ISBLANK(A249),"",INDEX('Error Log'!$A:$J,MATCH('Scores per segment'!$A249,'Error Log'!$A:$A,0),MATCH('Scores per segment'!B$1,'Error Log'!$A$1:$J$1,0)))</f>
        <v/>
      </c>
      <c r="C249" s="70" t="str">
        <f>IF(ISBLANK(A249),"",INDEX('Error Log'!$A:$J,MATCH('Scores per segment'!$A249,'Error Log'!$A:$A,0),MATCH('Scores per segment'!C$1,'Error Log'!$A$1:$J$1,0)))</f>
        <v/>
      </c>
      <c r="D249" s="70">
        <f>IF(H249=0,wdct(TRIM(C249)),0)</f>
        <v>0</v>
      </c>
      <c r="E249" s="70">
        <f>COUNTIFS('Error Log'!$A:$A,$A249,'Error Log'!$J:$J,E$1)</f>
        <v>0</v>
      </c>
      <c r="F249" s="70">
        <f>COUNTIFS('Error Log'!$A:$A,$A249,'Error Log'!$J:$J,F$1)</f>
        <v>0</v>
      </c>
      <c r="G249" s="70">
        <f>COUNTIFS('Error Log'!$A:$A,$A249,'Error Log'!$J:$J,G$1)</f>
        <v>0</v>
      </c>
      <c r="H249" s="70">
        <f>COUNTIFS('Error Log'!$A:$A,$A249,'Error Log'!$F:$F,"Source")</f>
        <v>0</v>
      </c>
      <c r="I249" s="70">
        <f>COUNTIFS('Error Log'!$A:$A,$A249,'Error Log'!$F:$F,"Target")</f>
        <v>0</v>
      </c>
      <c r="J249" s="71">
        <f t="shared" si="3"/>
        <v>0</v>
      </c>
    </row>
    <row r="250" spans="1:10">
      <c r="A250" s="82"/>
      <c r="B250" s="70" t="str">
        <f>IF(ISBLANK(A250),"",INDEX('Error Log'!$A:$J,MATCH('Scores per segment'!$A250,'Error Log'!$A:$A,0),MATCH('Scores per segment'!B$1,'Error Log'!$A$1:$J$1,0)))</f>
        <v/>
      </c>
      <c r="C250" s="70" t="str">
        <f>IF(ISBLANK(A250),"",INDEX('Error Log'!$A:$J,MATCH('Scores per segment'!$A250,'Error Log'!$A:$A,0),MATCH('Scores per segment'!C$1,'Error Log'!$A$1:$J$1,0)))</f>
        <v/>
      </c>
      <c r="D250" s="70">
        <f>IF(H250=0,wdct(TRIM(C250)),0)</f>
        <v>0</v>
      </c>
      <c r="E250" s="70">
        <f>COUNTIFS('Error Log'!$A:$A,$A250,'Error Log'!$J:$J,E$1)</f>
        <v>0</v>
      </c>
      <c r="F250" s="70">
        <f>COUNTIFS('Error Log'!$A:$A,$A250,'Error Log'!$J:$J,F$1)</f>
        <v>0</v>
      </c>
      <c r="G250" s="70">
        <f>COUNTIFS('Error Log'!$A:$A,$A250,'Error Log'!$J:$J,G$1)</f>
        <v>0</v>
      </c>
      <c r="H250" s="70">
        <f>COUNTIFS('Error Log'!$A:$A,$A250,'Error Log'!$F:$F,"Source")</f>
        <v>0</v>
      </c>
      <c r="I250" s="70">
        <f>COUNTIFS('Error Log'!$A:$A,$A250,'Error Log'!$F:$F,"Target")</f>
        <v>0</v>
      </c>
      <c r="J250" s="71">
        <f t="shared" si="3"/>
        <v>0</v>
      </c>
    </row>
    <row r="251" spans="1:10">
      <c r="A251" s="82"/>
      <c r="B251" s="70" t="str">
        <f>IF(ISBLANK(A251),"",INDEX('Error Log'!$A:$J,MATCH('Scores per segment'!$A251,'Error Log'!$A:$A,0),MATCH('Scores per segment'!B$1,'Error Log'!$A$1:$J$1,0)))</f>
        <v/>
      </c>
      <c r="C251" s="70" t="str">
        <f>IF(ISBLANK(A251),"",INDEX('Error Log'!$A:$J,MATCH('Scores per segment'!$A251,'Error Log'!$A:$A,0),MATCH('Scores per segment'!C$1,'Error Log'!$A$1:$J$1,0)))</f>
        <v/>
      </c>
      <c r="D251" s="70">
        <f>IF(H251=0,wdct(TRIM(C251)),0)</f>
        <v>0</v>
      </c>
      <c r="E251" s="70">
        <f>COUNTIFS('Error Log'!$A:$A,$A251,'Error Log'!$J:$J,E$1)</f>
        <v>0</v>
      </c>
      <c r="F251" s="70">
        <f>COUNTIFS('Error Log'!$A:$A,$A251,'Error Log'!$J:$J,F$1)</f>
        <v>0</v>
      </c>
      <c r="G251" s="70">
        <f>COUNTIFS('Error Log'!$A:$A,$A251,'Error Log'!$J:$J,G$1)</f>
        <v>0</v>
      </c>
      <c r="H251" s="70">
        <f>COUNTIFS('Error Log'!$A:$A,$A251,'Error Log'!$F:$F,"Source")</f>
        <v>0</v>
      </c>
      <c r="I251" s="70">
        <f>COUNTIFS('Error Log'!$A:$A,$A251,'Error Log'!$F:$F,"Target")</f>
        <v>0</v>
      </c>
      <c r="J251" s="71">
        <f t="shared" si="3"/>
        <v>0</v>
      </c>
    </row>
    <row r="252" spans="1:10">
      <c r="A252" s="82"/>
      <c r="B252" s="70" t="str">
        <f>IF(ISBLANK(A252),"",INDEX('Error Log'!$A:$J,MATCH('Scores per segment'!$A252,'Error Log'!$A:$A,0),MATCH('Scores per segment'!B$1,'Error Log'!$A$1:$J$1,0)))</f>
        <v/>
      </c>
      <c r="C252" s="70" t="str">
        <f>IF(ISBLANK(A252),"",INDEX('Error Log'!$A:$J,MATCH('Scores per segment'!$A252,'Error Log'!$A:$A,0),MATCH('Scores per segment'!C$1,'Error Log'!$A$1:$J$1,0)))</f>
        <v/>
      </c>
      <c r="D252" s="70">
        <f>IF(H252=0,wdct(TRIM(C252)),0)</f>
        <v>0</v>
      </c>
      <c r="E252" s="70">
        <f>COUNTIFS('Error Log'!$A:$A,$A252,'Error Log'!$J:$J,E$1)</f>
        <v>0</v>
      </c>
      <c r="F252" s="70">
        <f>COUNTIFS('Error Log'!$A:$A,$A252,'Error Log'!$J:$J,F$1)</f>
        <v>0</v>
      </c>
      <c r="G252" s="70">
        <f>COUNTIFS('Error Log'!$A:$A,$A252,'Error Log'!$J:$J,G$1)</f>
        <v>0</v>
      </c>
      <c r="H252" s="70">
        <f>COUNTIFS('Error Log'!$A:$A,$A252,'Error Log'!$F:$F,"Source")</f>
        <v>0</v>
      </c>
      <c r="I252" s="70">
        <f>COUNTIFS('Error Log'!$A:$A,$A252,'Error Log'!$F:$F,"Target")</f>
        <v>0</v>
      </c>
      <c r="J252" s="71">
        <f t="shared" si="3"/>
        <v>0</v>
      </c>
    </row>
    <row r="253" spans="1:10">
      <c r="A253" s="82"/>
      <c r="B253" s="70" t="str">
        <f>IF(ISBLANK(A253),"",INDEX('Error Log'!$A:$J,MATCH('Scores per segment'!$A253,'Error Log'!$A:$A,0),MATCH('Scores per segment'!B$1,'Error Log'!$A$1:$J$1,0)))</f>
        <v/>
      </c>
      <c r="C253" s="70" t="str">
        <f>IF(ISBLANK(A253),"",INDEX('Error Log'!$A:$J,MATCH('Scores per segment'!$A253,'Error Log'!$A:$A,0),MATCH('Scores per segment'!C$1,'Error Log'!$A$1:$J$1,0)))</f>
        <v/>
      </c>
      <c r="D253" s="70">
        <f>IF(H253=0,wdct(TRIM(C253)),0)</f>
        <v>0</v>
      </c>
      <c r="E253" s="70">
        <f>COUNTIFS('Error Log'!$A:$A,$A253,'Error Log'!$J:$J,E$1)</f>
        <v>0</v>
      </c>
      <c r="F253" s="70">
        <f>COUNTIFS('Error Log'!$A:$A,$A253,'Error Log'!$J:$J,F$1)</f>
        <v>0</v>
      </c>
      <c r="G253" s="70">
        <f>COUNTIFS('Error Log'!$A:$A,$A253,'Error Log'!$J:$J,G$1)</f>
        <v>0</v>
      </c>
      <c r="H253" s="70">
        <f>COUNTIFS('Error Log'!$A:$A,$A253,'Error Log'!$F:$F,"Source")</f>
        <v>0</v>
      </c>
      <c r="I253" s="70">
        <f>COUNTIFS('Error Log'!$A:$A,$A253,'Error Log'!$F:$F,"Target")</f>
        <v>0</v>
      </c>
      <c r="J253" s="71">
        <f t="shared" ref="J253:J316" si="4">IF(I253=0,IFERROR((((1-((E253*10+F253*5+G253*1)/D253))*100)+100)/2,0),-150)</f>
        <v>0</v>
      </c>
    </row>
    <row r="254" spans="1:10">
      <c r="A254" s="82"/>
      <c r="B254" s="70" t="str">
        <f>IF(ISBLANK(A254),"",INDEX('Error Log'!$A:$J,MATCH('Scores per segment'!$A254,'Error Log'!$A:$A,0),MATCH('Scores per segment'!B$1,'Error Log'!$A$1:$J$1,0)))</f>
        <v/>
      </c>
      <c r="C254" s="70" t="str">
        <f>IF(ISBLANK(A254),"",INDEX('Error Log'!$A:$J,MATCH('Scores per segment'!$A254,'Error Log'!$A:$A,0),MATCH('Scores per segment'!C$1,'Error Log'!$A$1:$J$1,0)))</f>
        <v/>
      </c>
      <c r="D254" s="70">
        <f>IF(H254=0,wdct(TRIM(C254)),0)</f>
        <v>0</v>
      </c>
      <c r="E254" s="70">
        <f>COUNTIFS('Error Log'!$A:$A,$A254,'Error Log'!$J:$J,E$1)</f>
        <v>0</v>
      </c>
      <c r="F254" s="70">
        <f>COUNTIFS('Error Log'!$A:$A,$A254,'Error Log'!$J:$J,F$1)</f>
        <v>0</v>
      </c>
      <c r="G254" s="70">
        <f>COUNTIFS('Error Log'!$A:$A,$A254,'Error Log'!$J:$J,G$1)</f>
        <v>0</v>
      </c>
      <c r="H254" s="70">
        <f>COUNTIFS('Error Log'!$A:$A,$A254,'Error Log'!$F:$F,"Source")</f>
        <v>0</v>
      </c>
      <c r="I254" s="70">
        <f>COUNTIFS('Error Log'!$A:$A,$A254,'Error Log'!$F:$F,"Target")</f>
        <v>0</v>
      </c>
      <c r="J254" s="71">
        <f t="shared" si="4"/>
        <v>0</v>
      </c>
    </row>
    <row r="255" spans="1:10">
      <c r="A255" s="82"/>
      <c r="B255" s="70" t="str">
        <f>IF(ISBLANK(A255),"",INDEX('Error Log'!$A:$J,MATCH('Scores per segment'!$A255,'Error Log'!$A:$A,0),MATCH('Scores per segment'!B$1,'Error Log'!$A$1:$J$1,0)))</f>
        <v/>
      </c>
      <c r="C255" s="70" t="str">
        <f>IF(ISBLANK(A255),"",INDEX('Error Log'!$A:$J,MATCH('Scores per segment'!$A255,'Error Log'!$A:$A,0),MATCH('Scores per segment'!C$1,'Error Log'!$A$1:$J$1,0)))</f>
        <v/>
      </c>
      <c r="D255" s="70">
        <f>IF(H255=0,wdct(TRIM(C255)),0)</f>
        <v>0</v>
      </c>
      <c r="E255" s="70">
        <f>COUNTIFS('Error Log'!$A:$A,$A255,'Error Log'!$J:$J,E$1)</f>
        <v>0</v>
      </c>
      <c r="F255" s="70">
        <f>COUNTIFS('Error Log'!$A:$A,$A255,'Error Log'!$J:$J,F$1)</f>
        <v>0</v>
      </c>
      <c r="G255" s="70">
        <f>COUNTIFS('Error Log'!$A:$A,$A255,'Error Log'!$J:$J,G$1)</f>
        <v>0</v>
      </c>
      <c r="H255" s="70">
        <f>COUNTIFS('Error Log'!$A:$A,$A255,'Error Log'!$F:$F,"Source")</f>
        <v>0</v>
      </c>
      <c r="I255" s="70">
        <f>COUNTIFS('Error Log'!$A:$A,$A255,'Error Log'!$F:$F,"Target")</f>
        <v>0</v>
      </c>
      <c r="J255" s="71">
        <f t="shared" si="4"/>
        <v>0</v>
      </c>
    </row>
    <row r="256" spans="1:10">
      <c r="A256" s="82"/>
      <c r="B256" s="70" t="str">
        <f>IF(ISBLANK(A256),"",INDEX('Error Log'!$A:$J,MATCH('Scores per segment'!$A256,'Error Log'!$A:$A,0),MATCH('Scores per segment'!B$1,'Error Log'!$A$1:$J$1,0)))</f>
        <v/>
      </c>
      <c r="C256" s="70" t="str">
        <f>IF(ISBLANK(A256),"",INDEX('Error Log'!$A:$J,MATCH('Scores per segment'!$A256,'Error Log'!$A:$A,0),MATCH('Scores per segment'!C$1,'Error Log'!$A$1:$J$1,0)))</f>
        <v/>
      </c>
      <c r="D256" s="70">
        <f>IF(H256=0,wdct(TRIM(C256)),0)</f>
        <v>0</v>
      </c>
      <c r="E256" s="70">
        <f>COUNTIFS('Error Log'!$A:$A,$A256,'Error Log'!$J:$J,E$1)</f>
        <v>0</v>
      </c>
      <c r="F256" s="70">
        <f>COUNTIFS('Error Log'!$A:$A,$A256,'Error Log'!$J:$J,F$1)</f>
        <v>0</v>
      </c>
      <c r="G256" s="70">
        <f>COUNTIFS('Error Log'!$A:$A,$A256,'Error Log'!$J:$J,G$1)</f>
        <v>0</v>
      </c>
      <c r="H256" s="70">
        <f>COUNTIFS('Error Log'!$A:$A,$A256,'Error Log'!$F:$F,"Source")</f>
        <v>0</v>
      </c>
      <c r="I256" s="70">
        <f>COUNTIFS('Error Log'!$A:$A,$A256,'Error Log'!$F:$F,"Target")</f>
        <v>0</v>
      </c>
      <c r="J256" s="71">
        <f t="shared" si="4"/>
        <v>0</v>
      </c>
    </row>
    <row r="257" spans="1:10">
      <c r="A257" s="82"/>
      <c r="B257" s="70" t="str">
        <f>IF(ISBLANK(A257),"",INDEX('Error Log'!$A:$J,MATCH('Scores per segment'!$A257,'Error Log'!$A:$A,0),MATCH('Scores per segment'!B$1,'Error Log'!$A$1:$J$1,0)))</f>
        <v/>
      </c>
      <c r="C257" s="70" t="str">
        <f>IF(ISBLANK(A257),"",INDEX('Error Log'!$A:$J,MATCH('Scores per segment'!$A257,'Error Log'!$A:$A,0),MATCH('Scores per segment'!C$1,'Error Log'!$A$1:$J$1,0)))</f>
        <v/>
      </c>
      <c r="D257" s="70">
        <f>IF(H257=0,wdct(TRIM(C257)),0)</f>
        <v>0</v>
      </c>
      <c r="E257" s="70">
        <f>COUNTIFS('Error Log'!$A:$A,$A257,'Error Log'!$J:$J,E$1)</f>
        <v>0</v>
      </c>
      <c r="F257" s="70">
        <f>COUNTIFS('Error Log'!$A:$A,$A257,'Error Log'!$J:$J,F$1)</f>
        <v>0</v>
      </c>
      <c r="G257" s="70">
        <f>COUNTIFS('Error Log'!$A:$A,$A257,'Error Log'!$J:$J,G$1)</f>
        <v>0</v>
      </c>
      <c r="H257" s="70">
        <f>COUNTIFS('Error Log'!$A:$A,$A257,'Error Log'!$F:$F,"Source")</f>
        <v>0</v>
      </c>
      <c r="I257" s="70">
        <f>COUNTIFS('Error Log'!$A:$A,$A257,'Error Log'!$F:$F,"Target")</f>
        <v>0</v>
      </c>
      <c r="J257" s="71">
        <f t="shared" si="4"/>
        <v>0</v>
      </c>
    </row>
    <row r="258" spans="1:10">
      <c r="A258" s="82"/>
      <c r="B258" s="70" t="str">
        <f>IF(ISBLANK(A258),"",INDEX('Error Log'!$A:$J,MATCH('Scores per segment'!$A258,'Error Log'!$A:$A,0),MATCH('Scores per segment'!B$1,'Error Log'!$A$1:$J$1,0)))</f>
        <v/>
      </c>
      <c r="C258" s="70" t="str">
        <f>IF(ISBLANK(A258),"",INDEX('Error Log'!$A:$J,MATCH('Scores per segment'!$A258,'Error Log'!$A:$A,0),MATCH('Scores per segment'!C$1,'Error Log'!$A$1:$J$1,0)))</f>
        <v/>
      </c>
      <c r="D258" s="70">
        <f>IF(H258=0,wdct(TRIM(C258)),0)</f>
        <v>0</v>
      </c>
      <c r="E258" s="70">
        <f>COUNTIFS('Error Log'!$A:$A,$A258,'Error Log'!$J:$J,E$1)</f>
        <v>0</v>
      </c>
      <c r="F258" s="70">
        <f>COUNTIFS('Error Log'!$A:$A,$A258,'Error Log'!$J:$J,F$1)</f>
        <v>0</v>
      </c>
      <c r="G258" s="70">
        <f>COUNTIFS('Error Log'!$A:$A,$A258,'Error Log'!$J:$J,G$1)</f>
        <v>0</v>
      </c>
      <c r="H258" s="70">
        <f>COUNTIFS('Error Log'!$A:$A,$A258,'Error Log'!$F:$F,"Source")</f>
        <v>0</v>
      </c>
      <c r="I258" s="70">
        <f>COUNTIFS('Error Log'!$A:$A,$A258,'Error Log'!$F:$F,"Target")</f>
        <v>0</v>
      </c>
      <c r="J258" s="71">
        <f t="shared" si="4"/>
        <v>0</v>
      </c>
    </row>
    <row r="259" spans="1:10">
      <c r="A259" s="82"/>
      <c r="B259" s="70" t="str">
        <f>IF(ISBLANK(A259),"",INDEX('Error Log'!$A:$J,MATCH('Scores per segment'!$A259,'Error Log'!$A:$A,0),MATCH('Scores per segment'!B$1,'Error Log'!$A$1:$J$1,0)))</f>
        <v/>
      </c>
      <c r="C259" s="70" t="str">
        <f>IF(ISBLANK(A259),"",INDEX('Error Log'!$A:$J,MATCH('Scores per segment'!$A259,'Error Log'!$A:$A,0),MATCH('Scores per segment'!C$1,'Error Log'!$A$1:$J$1,0)))</f>
        <v/>
      </c>
      <c r="D259" s="70">
        <f>IF(H259=0,wdct(TRIM(C259)),0)</f>
        <v>0</v>
      </c>
      <c r="E259" s="70">
        <f>COUNTIFS('Error Log'!$A:$A,$A259,'Error Log'!$J:$J,E$1)</f>
        <v>0</v>
      </c>
      <c r="F259" s="70">
        <f>COUNTIFS('Error Log'!$A:$A,$A259,'Error Log'!$J:$J,F$1)</f>
        <v>0</v>
      </c>
      <c r="G259" s="70">
        <f>COUNTIFS('Error Log'!$A:$A,$A259,'Error Log'!$J:$J,G$1)</f>
        <v>0</v>
      </c>
      <c r="H259" s="70">
        <f>COUNTIFS('Error Log'!$A:$A,$A259,'Error Log'!$F:$F,"Source")</f>
        <v>0</v>
      </c>
      <c r="I259" s="70">
        <f>COUNTIFS('Error Log'!$A:$A,$A259,'Error Log'!$F:$F,"Target")</f>
        <v>0</v>
      </c>
      <c r="J259" s="71">
        <f t="shared" si="4"/>
        <v>0</v>
      </c>
    </row>
    <row r="260" spans="1:10">
      <c r="A260" s="82"/>
      <c r="B260" s="70" t="str">
        <f>IF(ISBLANK(A260),"",INDEX('Error Log'!$A:$J,MATCH('Scores per segment'!$A260,'Error Log'!$A:$A,0),MATCH('Scores per segment'!B$1,'Error Log'!$A$1:$J$1,0)))</f>
        <v/>
      </c>
      <c r="C260" s="70" t="str">
        <f>IF(ISBLANK(A260),"",INDEX('Error Log'!$A:$J,MATCH('Scores per segment'!$A260,'Error Log'!$A:$A,0),MATCH('Scores per segment'!C$1,'Error Log'!$A$1:$J$1,0)))</f>
        <v/>
      </c>
      <c r="D260" s="70">
        <f>IF(H260=0,wdct(TRIM(C260)),0)</f>
        <v>0</v>
      </c>
      <c r="E260" s="70">
        <f>COUNTIFS('Error Log'!$A:$A,$A260,'Error Log'!$J:$J,E$1)</f>
        <v>0</v>
      </c>
      <c r="F260" s="70">
        <f>COUNTIFS('Error Log'!$A:$A,$A260,'Error Log'!$J:$J,F$1)</f>
        <v>0</v>
      </c>
      <c r="G260" s="70">
        <f>COUNTIFS('Error Log'!$A:$A,$A260,'Error Log'!$J:$J,G$1)</f>
        <v>0</v>
      </c>
      <c r="H260" s="70">
        <f>COUNTIFS('Error Log'!$A:$A,$A260,'Error Log'!$F:$F,"Source")</f>
        <v>0</v>
      </c>
      <c r="I260" s="70">
        <f>COUNTIFS('Error Log'!$A:$A,$A260,'Error Log'!$F:$F,"Target")</f>
        <v>0</v>
      </c>
      <c r="J260" s="71">
        <f t="shared" si="4"/>
        <v>0</v>
      </c>
    </row>
    <row r="261" spans="1:10">
      <c r="A261" s="82"/>
      <c r="B261" s="70" t="str">
        <f>IF(ISBLANK(A261),"",INDEX('Error Log'!$A:$J,MATCH('Scores per segment'!$A261,'Error Log'!$A:$A,0),MATCH('Scores per segment'!B$1,'Error Log'!$A$1:$J$1,0)))</f>
        <v/>
      </c>
      <c r="C261" s="70" t="str">
        <f>IF(ISBLANK(A261),"",INDEX('Error Log'!$A:$J,MATCH('Scores per segment'!$A261,'Error Log'!$A:$A,0),MATCH('Scores per segment'!C$1,'Error Log'!$A$1:$J$1,0)))</f>
        <v/>
      </c>
      <c r="D261" s="70">
        <f>IF(H261=0,wdct(TRIM(C261)),0)</f>
        <v>0</v>
      </c>
      <c r="E261" s="70">
        <f>COUNTIFS('Error Log'!$A:$A,$A261,'Error Log'!$J:$J,E$1)</f>
        <v>0</v>
      </c>
      <c r="F261" s="70">
        <f>COUNTIFS('Error Log'!$A:$A,$A261,'Error Log'!$J:$J,F$1)</f>
        <v>0</v>
      </c>
      <c r="G261" s="70">
        <f>COUNTIFS('Error Log'!$A:$A,$A261,'Error Log'!$J:$J,G$1)</f>
        <v>0</v>
      </c>
      <c r="H261" s="70">
        <f>COUNTIFS('Error Log'!$A:$A,$A261,'Error Log'!$F:$F,"Source")</f>
        <v>0</v>
      </c>
      <c r="I261" s="70">
        <f>COUNTIFS('Error Log'!$A:$A,$A261,'Error Log'!$F:$F,"Target")</f>
        <v>0</v>
      </c>
      <c r="J261" s="71">
        <f t="shared" si="4"/>
        <v>0</v>
      </c>
    </row>
    <row r="262" spans="1:10">
      <c r="A262" s="82"/>
      <c r="B262" s="70" t="str">
        <f>IF(ISBLANK(A262),"",INDEX('Error Log'!$A:$J,MATCH('Scores per segment'!$A262,'Error Log'!$A:$A,0),MATCH('Scores per segment'!B$1,'Error Log'!$A$1:$J$1,0)))</f>
        <v/>
      </c>
      <c r="C262" s="70" t="str">
        <f>IF(ISBLANK(A262),"",INDEX('Error Log'!$A:$J,MATCH('Scores per segment'!$A262,'Error Log'!$A:$A,0),MATCH('Scores per segment'!C$1,'Error Log'!$A$1:$J$1,0)))</f>
        <v/>
      </c>
      <c r="D262" s="70">
        <f>IF(H262=0,wdct(TRIM(C262)),0)</f>
        <v>0</v>
      </c>
      <c r="E262" s="70">
        <f>COUNTIFS('Error Log'!$A:$A,$A262,'Error Log'!$J:$J,E$1)</f>
        <v>0</v>
      </c>
      <c r="F262" s="70">
        <f>COUNTIFS('Error Log'!$A:$A,$A262,'Error Log'!$J:$J,F$1)</f>
        <v>0</v>
      </c>
      <c r="G262" s="70">
        <f>COUNTIFS('Error Log'!$A:$A,$A262,'Error Log'!$J:$J,G$1)</f>
        <v>0</v>
      </c>
      <c r="H262" s="70">
        <f>COUNTIFS('Error Log'!$A:$A,$A262,'Error Log'!$F:$F,"Source")</f>
        <v>0</v>
      </c>
      <c r="I262" s="70">
        <f>COUNTIFS('Error Log'!$A:$A,$A262,'Error Log'!$F:$F,"Target")</f>
        <v>0</v>
      </c>
      <c r="J262" s="71">
        <f t="shared" si="4"/>
        <v>0</v>
      </c>
    </row>
    <row r="263" spans="1:10">
      <c r="A263" s="82"/>
      <c r="B263" s="70" t="str">
        <f>IF(ISBLANK(A263),"",INDEX('Error Log'!$A:$J,MATCH('Scores per segment'!$A263,'Error Log'!$A:$A,0),MATCH('Scores per segment'!B$1,'Error Log'!$A$1:$J$1,0)))</f>
        <v/>
      </c>
      <c r="C263" s="70" t="str">
        <f>IF(ISBLANK(A263),"",INDEX('Error Log'!$A:$J,MATCH('Scores per segment'!$A263,'Error Log'!$A:$A,0),MATCH('Scores per segment'!C$1,'Error Log'!$A$1:$J$1,0)))</f>
        <v/>
      </c>
      <c r="D263" s="70">
        <f>IF(H263=0,wdct(TRIM(C263)),0)</f>
        <v>0</v>
      </c>
      <c r="E263" s="70">
        <f>COUNTIFS('Error Log'!$A:$A,$A263,'Error Log'!$J:$J,E$1)</f>
        <v>0</v>
      </c>
      <c r="F263" s="70">
        <f>COUNTIFS('Error Log'!$A:$A,$A263,'Error Log'!$J:$J,F$1)</f>
        <v>0</v>
      </c>
      <c r="G263" s="70">
        <f>COUNTIFS('Error Log'!$A:$A,$A263,'Error Log'!$J:$J,G$1)</f>
        <v>0</v>
      </c>
      <c r="H263" s="70">
        <f>COUNTIFS('Error Log'!$A:$A,$A263,'Error Log'!$F:$F,"Source")</f>
        <v>0</v>
      </c>
      <c r="I263" s="70">
        <f>COUNTIFS('Error Log'!$A:$A,$A263,'Error Log'!$F:$F,"Target")</f>
        <v>0</v>
      </c>
      <c r="J263" s="71">
        <f t="shared" si="4"/>
        <v>0</v>
      </c>
    </row>
    <row r="264" spans="1:10">
      <c r="A264" s="82"/>
      <c r="B264" s="70" t="str">
        <f>IF(ISBLANK(A264),"",INDEX('Error Log'!$A:$J,MATCH('Scores per segment'!$A264,'Error Log'!$A:$A,0),MATCH('Scores per segment'!B$1,'Error Log'!$A$1:$J$1,0)))</f>
        <v/>
      </c>
      <c r="C264" s="70" t="str">
        <f>IF(ISBLANK(A264),"",INDEX('Error Log'!$A:$J,MATCH('Scores per segment'!$A264,'Error Log'!$A:$A,0),MATCH('Scores per segment'!C$1,'Error Log'!$A$1:$J$1,0)))</f>
        <v/>
      </c>
      <c r="D264" s="70">
        <f>IF(H264=0,wdct(TRIM(C264)),0)</f>
        <v>0</v>
      </c>
      <c r="E264" s="70">
        <f>COUNTIFS('Error Log'!$A:$A,$A264,'Error Log'!$J:$J,E$1)</f>
        <v>0</v>
      </c>
      <c r="F264" s="70">
        <f>COUNTIFS('Error Log'!$A:$A,$A264,'Error Log'!$J:$J,F$1)</f>
        <v>0</v>
      </c>
      <c r="G264" s="70">
        <f>COUNTIFS('Error Log'!$A:$A,$A264,'Error Log'!$J:$J,G$1)</f>
        <v>0</v>
      </c>
      <c r="H264" s="70">
        <f>COUNTIFS('Error Log'!$A:$A,$A264,'Error Log'!$F:$F,"Source")</f>
        <v>0</v>
      </c>
      <c r="I264" s="70">
        <f>COUNTIFS('Error Log'!$A:$A,$A264,'Error Log'!$F:$F,"Target")</f>
        <v>0</v>
      </c>
      <c r="J264" s="71">
        <f t="shared" si="4"/>
        <v>0</v>
      </c>
    </row>
    <row r="265" spans="1:10">
      <c r="A265" s="82"/>
      <c r="B265" s="70" t="str">
        <f>IF(ISBLANK(A265),"",INDEX('Error Log'!$A:$J,MATCH('Scores per segment'!$A265,'Error Log'!$A:$A,0),MATCH('Scores per segment'!B$1,'Error Log'!$A$1:$J$1,0)))</f>
        <v/>
      </c>
      <c r="C265" s="70" t="str">
        <f>IF(ISBLANK(A265),"",INDEX('Error Log'!$A:$J,MATCH('Scores per segment'!$A265,'Error Log'!$A:$A,0),MATCH('Scores per segment'!C$1,'Error Log'!$A$1:$J$1,0)))</f>
        <v/>
      </c>
      <c r="D265" s="70">
        <f>IF(H265=0,wdct(TRIM(C265)),0)</f>
        <v>0</v>
      </c>
      <c r="E265" s="70">
        <f>COUNTIFS('Error Log'!$A:$A,$A265,'Error Log'!$J:$J,E$1)</f>
        <v>0</v>
      </c>
      <c r="F265" s="70">
        <f>COUNTIFS('Error Log'!$A:$A,$A265,'Error Log'!$J:$J,F$1)</f>
        <v>0</v>
      </c>
      <c r="G265" s="70">
        <f>COUNTIFS('Error Log'!$A:$A,$A265,'Error Log'!$J:$J,G$1)</f>
        <v>0</v>
      </c>
      <c r="H265" s="70">
        <f>COUNTIFS('Error Log'!$A:$A,$A265,'Error Log'!$F:$F,"Source")</f>
        <v>0</v>
      </c>
      <c r="I265" s="70">
        <f>COUNTIFS('Error Log'!$A:$A,$A265,'Error Log'!$F:$F,"Target")</f>
        <v>0</v>
      </c>
      <c r="J265" s="71">
        <f t="shared" si="4"/>
        <v>0</v>
      </c>
    </row>
    <row r="266" spans="1:10">
      <c r="A266" s="82"/>
      <c r="B266" s="70" t="str">
        <f>IF(ISBLANK(A266),"",INDEX('Error Log'!$A:$J,MATCH('Scores per segment'!$A266,'Error Log'!$A:$A,0),MATCH('Scores per segment'!B$1,'Error Log'!$A$1:$J$1,0)))</f>
        <v/>
      </c>
      <c r="C266" s="70" t="str">
        <f>IF(ISBLANK(A266),"",INDEX('Error Log'!$A:$J,MATCH('Scores per segment'!$A266,'Error Log'!$A:$A,0),MATCH('Scores per segment'!C$1,'Error Log'!$A$1:$J$1,0)))</f>
        <v/>
      </c>
      <c r="D266" s="70">
        <f>IF(H266=0,wdct(TRIM(C266)),0)</f>
        <v>0</v>
      </c>
      <c r="E266" s="70">
        <f>COUNTIFS('Error Log'!$A:$A,$A266,'Error Log'!$J:$J,E$1)</f>
        <v>0</v>
      </c>
      <c r="F266" s="70">
        <f>COUNTIFS('Error Log'!$A:$A,$A266,'Error Log'!$J:$J,F$1)</f>
        <v>0</v>
      </c>
      <c r="G266" s="70">
        <f>COUNTIFS('Error Log'!$A:$A,$A266,'Error Log'!$J:$J,G$1)</f>
        <v>0</v>
      </c>
      <c r="H266" s="70">
        <f>COUNTIFS('Error Log'!$A:$A,$A266,'Error Log'!$F:$F,"Source")</f>
        <v>0</v>
      </c>
      <c r="I266" s="70">
        <f>COUNTIFS('Error Log'!$A:$A,$A266,'Error Log'!$F:$F,"Target")</f>
        <v>0</v>
      </c>
      <c r="J266" s="71">
        <f t="shared" si="4"/>
        <v>0</v>
      </c>
    </row>
    <row r="267" spans="1:10">
      <c r="A267" s="82"/>
      <c r="B267" s="70" t="str">
        <f>IF(ISBLANK(A267),"",INDEX('Error Log'!$A:$J,MATCH('Scores per segment'!$A267,'Error Log'!$A:$A,0),MATCH('Scores per segment'!B$1,'Error Log'!$A$1:$J$1,0)))</f>
        <v/>
      </c>
      <c r="C267" s="70" t="str">
        <f>IF(ISBLANK(A267),"",INDEX('Error Log'!$A:$J,MATCH('Scores per segment'!$A267,'Error Log'!$A:$A,0),MATCH('Scores per segment'!C$1,'Error Log'!$A$1:$J$1,0)))</f>
        <v/>
      </c>
      <c r="D267" s="70">
        <f>IF(H267=0,wdct(TRIM(C267)),0)</f>
        <v>0</v>
      </c>
      <c r="E267" s="70">
        <f>COUNTIFS('Error Log'!$A:$A,$A267,'Error Log'!$J:$J,E$1)</f>
        <v>0</v>
      </c>
      <c r="F267" s="70">
        <f>COUNTIFS('Error Log'!$A:$A,$A267,'Error Log'!$J:$J,F$1)</f>
        <v>0</v>
      </c>
      <c r="G267" s="70">
        <f>COUNTIFS('Error Log'!$A:$A,$A267,'Error Log'!$J:$J,G$1)</f>
        <v>0</v>
      </c>
      <c r="H267" s="70">
        <f>COUNTIFS('Error Log'!$A:$A,$A267,'Error Log'!$F:$F,"Source")</f>
        <v>0</v>
      </c>
      <c r="I267" s="70">
        <f>COUNTIFS('Error Log'!$A:$A,$A267,'Error Log'!$F:$F,"Target")</f>
        <v>0</v>
      </c>
      <c r="J267" s="71">
        <f t="shared" si="4"/>
        <v>0</v>
      </c>
    </row>
    <row r="268" spans="1:10">
      <c r="A268" s="82"/>
      <c r="B268" s="70" t="str">
        <f>IF(ISBLANK(A268),"",INDEX('Error Log'!$A:$J,MATCH('Scores per segment'!$A268,'Error Log'!$A:$A,0),MATCH('Scores per segment'!B$1,'Error Log'!$A$1:$J$1,0)))</f>
        <v/>
      </c>
      <c r="C268" s="70" t="str">
        <f>IF(ISBLANK(A268),"",INDEX('Error Log'!$A:$J,MATCH('Scores per segment'!$A268,'Error Log'!$A:$A,0),MATCH('Scores per segment'!C$1,'Error Log'!$A$1:$J$1,0)))</f>
        <v/>
      </c>
      <c r="D268" s="70">
        <f>IF(H268=0,wdct(TRIM(C268)),0)</f>
        <v>0</v>
      </c>
      <c r="E268" s="70">
        <f>COUNTIFS('Error Log'!$A:$A,$A268,'Error Log'!$J:$J,E$1)</f>
        <v>0</v>
      </c>
      <c r="F268" s="70">
        <f>COUNTIFS('Error Log'!$A:$A,$A268,'Error Log'!$J:$J,F$1)</f>
        <v>0</v>
      </c>
      <c r="G268" s="70">
        <f>COUNTIFS('Error Log'!$A:$A,$A268,'Error Log'!$J:$J,G$1)</f>
        <v>0</v>
      </c>
      <c r="H268" s="70">
        <f>COUNTIFS('Error Log'!$A:$A,$A268,'Error Log'!$F:$F,"Source")</f>
        <v>0</v>
      </c>
      <c r="I268" s="70">
        <f>COUNTIFS('Error Log'!$A:$A,$A268,'Error Log'!$F:$F,"Target")</f>
        <v>0</v>
      </c>
      <c r="J268" s="71">
        <f t="shared" si="4"/>
        <v>0</v>
      </c>
    </row>
    <row r="269" spans="1:10">
      <c r="A269" s="82"/>
      <c r="B269" s="70" t="str">
        <f>IF(ISBLANK(A269),"",INDEX('Error Log'!$A:$J,MATCH('Scores per segment'!$A269,'Error Log'!$A:$A,0),MATCH('Scores per segment'!B$1,'Error Log'!$A$1:$J$1,0)))</f>
        <v/>
      </c>
      <c r="C269" s="70" t="str">
        <f>IF(ISBLANK(A269),"",INDEX('Error Log'!$A:$J,MATCH('Scores per segment'!$A269,'Error Log'!$A:$A,0),MATCH('Scores per segment'!C$1,'Error Log'!$A$1:$J$1,0)))</f>
        <v/>
      </c>
      <c r="D269" s="70">
        <f>IF(H269=0,wdct(TRIM(C269)),0)</f>
        <v>0</v>
      </c>
      <c r="E269" s="70">
        <f>COUNTIFS('Error Log'!$A:$A,$A269,'Error Log'!$J:$J,E$1)</f>
        <v>0</v>
      </c>
      <c r="F269" s="70">
        <f>COUNTIFS('Error Log'!$A:$A,$A269,'Error Log'!$J:$J,F$1)</f>
        <v>0</v>
      </c>
      <c r="G269" s="70">
        <f>COUNTIFS('Error Log'!$A:$A,$A269,'Error Log'!$J:$J,G$1)</f>
        <v>0</v>
      </c>
      <c r="H269" s="70">
        <f>COUNTIFS('Error Log'!$A:$A,$A269,'Error Log'!$F:$F,"Source")</f>
        <v>0</v>
      </c>
      <c r="I269" s="70">
        <f>COUNTIFS('Error Log'!$A:$A,$A269,'Error Log'!$F:$F,"Target")</f>
        <v>0</v>
      </c>
      <c r="J269" s="71">
        <f t="shared" si="4"/>
        <v>0</v>
      </c>
    </row>
    <row r="270" spans="1:10">
      <c r="A270" s="82"/>
      <c r="B270" s="70" t="str">
        <f>IF(ISBLANK(A270),"",INDEX('Error Log'!$A:$J,MATCH('Scores per segment'!$A270,'Error Log'!$A:$A,0),MATCH('Scores per segment'!B$1,'Error Log'!$A$1:$J$1,0)))</f>
        <v/>
      </c>
      <c r="C270" s="70" t="str">
        <f>IF(ISBLANK(A270),"",INDEX('Error Log'!$A:$J,MATCH('Scores per segment'!$A270,'Error Log'!$A:$A,0),MATCH('Scores per segment'!C$1,'Error Log'!$A$1:$J$1,0)))</f>
        <v/>
      </c>
      <c r="D270" s="70">
        <f>IF(H270=0,wdct(TRIM(C270)),0)</f>
        <v>0</v>
      </c>
      <c r="E270" s="70">
        <f>COUNTIFS('Error Log'!$A:$A,$A270,'Error Log'!$J:$J,E$1)</f>
        <v>0</v>
      </c>
      <c r="F270" s="70">
        <f>COUNTIFS('Error Log'!$A:$A,$A270,'Error Log'!$J:$J,F$1)</f>
        <v>0</v>
      </c>
      <c r="G270" s="70">
        <f>COUNTIFS('Error Log'!$A:$A,$A270,'Error Log'!$J:$J,G$1)</f>
        <v>0</v>
      </c>
      <c r="H270" s="70">
        <f>COUNTIFS('Error Log'!$A:$A,$A270,'Error Log'!$F:$F,"Source")</f>
        <v>0</v>
      </c>
      <c r="I270" s="70">
        <f>COUNTIFS('Error Log'!$A:$A,$A270,'Error Log'!$F:$F,"Target")</f>
        <v>0</v>
      </c>
      <c r="J270" s="71">
        <f t="shared" si="4"/>
        <v>0</v>
      </c>
    </row>
    <row r="271" spans="1:10">
      <c r="A271" s="82"/>
      <c r="B271" s="70" t="str">
        <f>IF(ISBLANK(A271),"",INDEX('Error Log'!$A:$J,MATCH('Scores per segment'!$A271,'Error Log'!$A:$A,0),MATCH('Scores per segment'!B$1,'Error Log'!$A$1:$J$1,0)))</f>
        <v/>
      </c>
      <c r="C271" s="70" t="str">
        <f>IF(ISBLANK(A271),"",INDEX('Error Log'!$A:$J,MATCH('Scores per segment'!$A271,'Error Log'!$A:$A,0),MATCH('Scores per segment'!C$1,'Error Log'!$A$1:$J$1,0)))</f>
        <v/>
      </c>
      <c r="D271" s="70">
        <f>IF(H271=0,wdct(TRIM(C271)),0)</f>
        <v>0</v>
      </c>
      <c r="E271" s="70">
        <f>COUNTIFS('Error Log'!$A:$A,$A271,'Error Log'!$J:$J,E$1)</f>
        <v>0</v>
      </c>
      <c r="F271" s="70">
        <f>COUNTIFS('Error Log'!$A:$A,$A271,'Error Log'!$J:$J,F$1)</f>
        <v>0</v>
      </c>
      <c r="G271" s="70">
        <f>COUNTIFS('Error Log'!$A:$A,$A271,'Error Log'!$J:$J,G$1)</f>
        <v>0</v>
      </c>
      <c r="H271" s="70">
        <f>COUNTIFS('Error Log'!$A:$A,$A271,'Error Log'!$F:$F,"Source")</f>
        <v>0</v>
      </c>
      <c r="I271" s="70">
        <f>COUNTIFS('Error Log'!$A:$A,$A271,'Error Log'!$F:$F,"Target")</f>
        <v>0</v>
      </c>
      <c r="J271" s="71">
        <f t="shared" si="4"/>
        <v>0</v>
      </c>
    </row>
    <row r="272" spans="1:10">
      <c r="A272" s="82"/>
      <c r="B272" s="70" t="str">
        <f>IF(ISBLANK(A272),"",INDEX('Error Log'!$A:$J,MATCH('Scores per segment'!$A272,'Error Log'!$A:$A,0),MATCH('Scores per segment'!B$1,'Error Log'!$A$1:$J$1,0)))</f>
        <v/>
      </c>
      <c r="C272" s="70" t="str">
        <f>IF(ISBLANK(A272),"",INDEX('Error Log'!$A:$J,MATCH('Scores per segment'!$A272,'Error Log'!$A:$A,0),MATCH('Scores per segment'!C$1,'Error Log'!$A$1:$J$1,0)))</f>
        <v/>
      </c>
      <c r="D272" s="70">
        <f>IF(H272=0,wdct(TRIM(C272)),0)</f>
        <v>0</v>
      </c>
      <c r="E272" s="70">
        <f>COUNTIFS('Error Log'!$A:$A,$A272,'Error Log'!$J:$J,E$1)</f>
        <v>0</v>
      </c>
      <c r="F272" s="70">
        <f>COUNTIFS('Error Log'!$A:$A,$A272,'Error Log'!$J:$J,F$1)</f>
        <v>0</v>
      </c>
      <c r="G272" s="70">
        <f>COUNTIFS('Error Log'!$A:$A,$A272,'Error Log'!$J:$J,G$1)</f>
        <v>0</v>
      </c>
      <c r="H272" s="70">
        <f>COUNTIFS('Error Log'!$A:$A,$A272,'Error Log'!$F:$F,"Source")</f>
        <v>0</v>
      </c>
      <c r="I272" s="70">
        <f>COUNTIFS('Error Log'!$A:$A,$A272,'Error Log'!$F:$F,"Target")</f>
        <v>0</v>
      </c>
      <c r="J272" s="71">
        <f t="shared" si="4"/>
        <v>0</v>
      </c>
    </row>
    <row r="273" spans="1:10">
      <c r="A273" s="82"/>
      <c r="B273" s="70" t="str">
        <f>IF(ISBLANK(A273),"",INDEX('Error Log'!$A:$J,MATCH('Scores per segment'!$A273,'Error Log'!$A:$A,0),MATCH('Scores per segment'!B$1,'Error Log'!$A$1:$J$1,0)))</f>
        <v/>
      </c>
      <c r="C273" s="70" t="str">
        <f>IF(ISBLANK(A273),"",INDEX('Error Log'!$A:$J,MATCH('Scores per segment'!$A273,'Error Log'!$A:$A,0),MATCH('Scores per segment'!C$1,'Error Log'!$A$1:$J$1,0)))</f>
        <v/>
      </c>
      <c r="D273" s="70">
        <f>IF(H273=0,wdct(TRIM(C273)),0)</f>
        <v>0</v>
      </c>
      <c r="E273" s="70">
        <f>COUNTIFS('Error Log'!$A:$A,$A273,'Error Log'!$J:$J,E$1)</f>
        <v>0</v>
      </c>
      <c r="F273" s="70">
        <f>COUNTIFS('Error Log'!$A:$A,$A273,'Error Log'!$J:$J,F$1)</f>
        <v>0</v>
      </c>
      <c r="G273" s="70">
        <f>COUNTIFS('Error Log'!$A:$A,$A273,'Error Log'!$J:$J,G$1)</f>
        <v>0</v>
      </c>
      <c r="H273" s="70">
        <f>COUNTIFS('Error Log'!$A:$A,$A273,'Error Log'!$F:$F,"Source")</f>
        <v>0</v>
      </c>
      <c r="I273" s="70">
        <f>COUNTIFS('Error Log'!$A:$A,$A273,'Error Log'!$F:$F,"Target")</f>
        <v>0</v>
      </c>
      <c r="J273" s="71">
        <f t="shared" si="4"/>
        <v>0</v>
      </c>
    </row>
    <row r="274" spans="1:10">
      <c r="A274" s="82"/>
      <c r="B274" s="70" t="str">
        <f>IF(ISBLANK(A274),"",INDEX('Error Log'!$A:$J,MATCH('Scores per segment'!$A274,'Error Log'!$A:$A,0),MATCH('Scores per segment'!B$1,'Error Log'!$A$1:$J$1,0)))</f>
        <v/>
      </c>
      <c r="C274" s="70" t="str">
        <f>IF(ISBLANK(A274),"",INDEX('Error Log'!$A:$J,MATCH('Scores per segment'!$A274,'Error Log'!$A:$A,0),MATCH('Scores per segment'!C$1,'Error Log'!$A$1:$J$1,0)))</f>
        <v/>
      </c>
      <c r="D274" s="70">
        <f>IF(H274=0,wdct(TRIM(C274)),0)</f>
        <v>0</v>
      </c>
      <c r="E274" s="70">
        <f>COUNTIFS('Error Log'!$A:$A,$A274,'Error Log'!$J:$J,E$1)</f>
        <v>0</v>
      </c>
      <c r="F274" s="70">
        <f>COUNTIFS('Error Log'!$A:$A,$A274,'Error Log'!$J:$J,F$1)</f>
        <v>0</v>
      </c>
      <c r="G274" s="70">
        <f>COUNTIFS('Error Log'!$A:$A,$A274,'Error Log'!$J:$J,G$1)</f>
        <v>0</v>
      </c>
      <c r="H274" s="70">
        <f>COUNTIFS('Error Log'!$A:$A,$A274,'Error Log'!$F:$F,"Source")</f>
        <v>0</v>
      </c>
      <c r="I274" s="70">
        <f>COUNTIFS('Error Log'!$A:$A,$A274,'Error Log'!$F:$F,"Target")</f>
        <v>0</v>
      </c>
      <c r="J274" s="71">
        <f t="shared" si="4"/>
        <v>0</v>
      </c>
    </row>
    <row r="275" spans="1:10">
      <c r="A275" s="82"/>
      <c r="B275" s="70" t="str">
        <f>IF(ISBLANK(A275),"",INDEX('Error Log'!$A:$J,MATCH('Scores per segment'!$A275,'Error Log'!$A:$A,0),MATCH('Scores per segment'!B$1,'Error Log'!$A$1:$J$1,0)))</f>
        <v/>
      </c>
      <c r="C275" s="70" t="str">
        <f>IF(ISBLANK(A275),"",INDEX('Error Log'!$A:$J,MATCH('Scores per segment'!$A275,'Error Log'!$A:$A,0),MATCH('Scores per segment'!C$1,'Error Log'!$A$1:$J$1,0)))</f>
        <v/>
      </c>
      <c r="D275" s="70">
        <f>IF(H275=0,wdct(TRIM(C275)),0)</f>
        <v>0</v>
      </c>
      <c r="E275" s="70">
        <f>COUNTIFS('Error Log'!$A:$A,$A275,'Error Log'!$J:$J,E$1)</f>
        <v>0</v>
      </c>
      <c r="F275" s="70">
        <f>COUNTIFS('Error Log'!$A:$A,$A275,'Error Log'!$J:$J,F$1)</f>
        <v>0</v>
      </c>
      <c r="G275" s="70">
        <f>COUNTIFS('Error Log'!$A:$A,$A275,'Error Log'!$J:$J,G$1)</f>
        <v>0</v>
      </c>
      <c r="H275" s="70">
        <f>COUNTIFS('Error Log'!$A:$A,$A275,'Error Log'!$F:$F,"Source")</f>
        <v>0</v>
      </c>
      <c r="I275" s="70">
        <f>COUNTIFS('Error Log'!$A:$A,$A275,'Error Log'!$F:$F,"Target")</f>
        <v>0</v>
      </c>
      <c r="J275" s="71">
        <f t="shared" si="4"/>
        <v>0</v>
      </c>
    </row>
    <row r="276" spans="1:10">
      <c r="A276" s="82"/>
      <c r="B276" s="70" t="str">
        <f>IF(ISBLANK(A276),"",INDEX('Error Log'!$A:$J,MATCH('Scores per segment'!$A276,'Error Log'!$A:$A,0),MATCH('Scores per segment'!B$1,'Error Log'!$A$1:$J$1,0)))</f>
        <v/>
      </c>
      <c r="C276" s="70" t="str">
        <f>IF(ISBLANK(A276),"",INDEX('Error Log'!$A:$J,MATCH('Scores per segment'!$A276,'Error Log'!$A:$A,0),MATCH('Scores per segment'!C$1,'Error Log'!$A$1:$J$1,0)))</f>
        <v/>
      </c>
      <c r="D276" s="70">
        <f>IF(H276=0,wdct(TRIM(C276)),0)</f>
        <v>0</v>
      </c>
      <c r="E276" s="70">
        <f>COUNTIFS('Error Log'!$A:$A,$A276,'Error Log'!$J:$J,E$1)</f>
        <v>0</v>
      </c>
      <c r="F276" s="70">
        <f>COUNTIFS('Error Log'!$A:$A,$A276,'Error Log'!$J:$J,F$1)</f>
        <v>0</v>
      </c>
      <c r="G276" s="70">
        <f>COUNTIFS('Error Log'!$A:$A,$A276,'Error Log'!$J:$J,G$1)</f>
        <v>0</v>
      </c>
      <c r="H276" s="70">
        <f>COUNTIFS('Error Log'!$A:$A,$A276,'Error Log'!$F:$F,"Source")</f>
        <v>0</v>
      </c>
      <c r="I276" s="70">
        <f>COUNTIFS('Error Log'!$A:$A,$A276,'Error Log'!$F:$F,"Target")</f>
        <v>0</v>
      </c>
      <c r="J276" s="71">
        <f t="shared" si="4"/>
        <v>0</v>
      </c>
    </row>
    <row r="277" spans="1:10">
      <c r="A277" s="82"/>
      <c r="B277" s="70" t="str">
        <f>IF(ISBLANK(A277),"",INDEX('Error Log'!$A:$J,MATCH('Scores per segment'!$A277,'Error Log'!$A:$A,0),MATCH('Scores per segment'!B$1,'Error Log'!$A$1:$J$1,0)))</f>
        <v/>
      </c>
      <c r="C277" s="70" t="str">
        <f>IF(ISBLANK(A277),"",INDEX('Error Log'!$A:$J,MATCH('Scores per segment'!$A277,'Error Log'!$A:$A,0),MATCH('Scores per segment'!C$1,'Error Log'!$A$1:$J$1,0)))</f>
        <v/>
      </c>
      <c r="D277" s="70">
        <f>IF(H277=0,wdct(TRIM(C277)),0)</f>
        <v>0</v>
      </c>
      <c r="E277" s="70">
        <f>COUNTIFS('Error Log'!$A:$A,$A277,'Error Log'!$J:$J,E$1)</f>
        <v>0</v>
      </c>
      <c r="F277" s="70">
        <f>COUNTIFS('Error Log'!$A:$A,$A277,'Error Log'!$J:$J,F$1)</f>
        <v>0</v>
      </c>
      <c r="G277" s="70">
        <f>COUNTIFS('Error Log'!$A:$A,$A277,'Error Log'!$J:$J,G$1)</f>
        <v>0</v>
      </c>
      <c r="H277" s="70">
        <f>COUNTIFS('Error Log'!$A:$A,$A277,'Error Log'!$F:$F,"Source")</f>
        <v>0</v>
      </c>
      <c r="I277" s="70">
        <f>COUNTIFS('Error Log'!$A:$A,$A277,'Error Log'!$F:$F,"Target")</f>
        <v>0</v>
      </c>
      <c r="J277" s="71">
        <f t="shared" si="4"/>
        <v>0</v>
      </c>
    </row>
    <row r="278" spans="1:10">
      <c r="A278" s="82"/>
      <c r="B278" s="70" t="str">
        <f>IF(ISBLANK(A278),"",INDEX('Error Log'!$A:$J,MATCH('Scores per segment'!$A278,'Error Log'!$A:$A,0),MATCH('Scores per segment'!B$1,'Error Log'!$A$1:$J$1,0)))</f>
        <v/>
      </c>
      <c r="C278" s="70" t="str">
        <f>IF(ISBLANK(A278),"",INDEX('Error Log'!$A:$J,MATCH('Scores per segment'!$A278,'Error Log'!$A:$A,0),MATCH('Scores per segment'!C$1,'Error Log'!$A$1:$J$1,0)))</f>
        <v/>
      </c>
      <c r="D278" s="70">
        <f>IF(H278=0,wdct(TRIM(C278)),0)</f>
        <v>0</v>
      </c>
      <c r="E278" s="70">
        <f>COUNTIFS('Error Log'!$A:$A,$A278,'Error Log'!$J:$J,E$1)</f>
        <v>0</v>
      </c>
      <c r="F278" s="70">
        <f>COUNTIFS('Error Log'!$A:$A,$A278,'Error Log'!$J:$J,F$1)</f>
        <v>0</v>
      </c>
      <c r="G278" s="70">
        <f>COUNTIFS('Error Log'!$A:$A,$A278,'Error Log'!$J:$J,G$1)</f>
        <v>0</v>
      </c>
      <c r="H278" s="70">
        <f>COUNTIFS('Error Log'!$A:$A,$A278,'Error Log'!$F:$F,"Source")</f>
        <v>0</v>
      </c>
      <c r="I278" s="70">
        <f>COUNTIFS('Error Log'!$A:$A,$A278,'Error Log'!$F:$F,"Target")</f>
        <v>0</v>
      </c>
      <c r="J278" s="71">
        <f t="shared" si="4"/>
        <v>0</v>
      </c>
    </row>
    <row r="279" spans="1:10">
      <c r="A279" s="82"/>
      <c r="B279" s="70" t="str">
        <f>IF(ISBLANK(A279),"",INDEX('Error Log'!$A:$J,MATCH('Scores per segment'!$A279,'Error Log'!$A:$A,0),MATCH('Scores per segment'!B$1,'Error Log'!$A$1:$J$1,0)))</f>
        <v/>
      </c>
      <c r="C279" s="70" t="str">
        <f>IF(ISBLANK(A279),"",INDEX('Error Log'!$A:$J,MATCH('Scores per segment'!$A279,'Error Log'!$A:$A,0),MATCH('Scores per segment'!C$1,'Error Log'!$A$1:$J$1,0)))</f>
        <v/>
      </c>
      <c r="D279" s="70">
        <f>IF(H279=0,wdct(TRIM(C279)),0)</f>
        <v>0</v>
      </c>
      <c r="E279" s="70">
        <f>COUNTIFS('Error Log'!$A:$A,$A279,'Error Log'!$J:$J,E$1)</f>
        <v>0</v>
      </c>
      <c r="F279" s="70">
        <f>COUNTIFS('Error Log'!$A:$A,$A279,'Error Log'!$J:$J,F$1)</f>
        <v>0</v>
      </c>
      <c r="G279" s="70">
        <f>COUNTIFS('Error Log'!$A:$A,$A279,'Error Log'!$J:$J,G$1)</f>
        <v>0</v>
      </c>
      <c r="H279" s="70">
        <f>COUNTIFS('Error Log'!$A:$A,$A279,'Error Log'!$F:$F,"Source")</f>
        <v>0</v>
      </c>
      <c r="I279" s="70">
        <f>COUNTIFS('Error Log'!$A:$A,$A279,'Error Log'!$F:$F,"Target")</f>
        <v>0</v>
      </c>
      <c r="J279" s="71">
        <f t="shared" si="4"/>
        <v>0</v>
      </c>
    </row>
    <row r="280" spans="1:10">
      <c r="A280" s="82"/>
      <c r="B280" s="70" t="str">
        <f>IF(ISBLANK(A280),"",INDEX('Error Log'!$A:$J,MATCH('Scores per segment'!$A280,'Error Log'!$A:$A,0),MATCH('Scores per segment'!B$1,'Error Log'!$A$1:$J$1,0)))</f>
        <v/>
      </c>
      <c r="C280" s="70" t="str">
        <f>IF(ISBLANK(A280),"",INDEX('Error Log'!$A:$J,MATCH('Scores per segment'!$A280,'Error Log'!$A:$A,0),MATCH('Scores per segment'!C$1,'Error Log'!$A$1:$J$1,0)))</f>
        <v/>
      </c>
      <c r="D280" s="70">
        <f>IF(H280=0,wdct(TRIM(C280)),0)</f>
        <v>0</v>
      </c>
      <c r="E280" s="70">
        <f>COUNTIFS('Error Log'!$A:$A,$A280,'Error Log'!$J:$J,E$1)</f>
        <v>0</v>
      </c>
      <c r="F280" s="70">
        <f>COUNTIFS('Error Log'!$A:$A,$A280,'Error Log'!$J:$J,F$1)</f>
        <v>0</v>
      </c>
      <c r="G280" s="70">
        <f>COUNTIFS('Error Log'!$A:$A,$A280,'Error Log'!$J:$J,G$1)</f>
        <v>0</v>
      </c>
      <c r="H280" s="70">
        <f>COUNTIFS('Error Log'!$A:$A,$A280,'Error Log'!$F:$F,"Source")</f>
        <v>0</v>
      </c>
      <c r="I280" s="70">
        <f>COUNTIFS('Error Log'!$A:$A,$A280,'Error Log'!$F:$F,"Target")</f>
        <v>0</v>
      </c>
      <c r="J280" s="71">
        <f t="shared" si="4"/>
        <v>0</v>
      </c>
    </row>
    <row r="281" spans="1:10">
      <c r="A281" s="82"/>
      <c r="B281" s="70" t="str">
        <f>IF(ISBLANK(A281),"",INDEX('Error Log'!$A:$J,MATCH('Scores per segment'!$A281,'Error Log'!$A:$A,0),MATCH('Scores per segment'!B$1,'Error Log'!$A$1:$J$1,0)))</f>
        <v/>
      </c>
      <c r="C281" s="70" t="str">
        <f>IF(ISBLANK(A281),"",INDEX('Error Log'!$A:$J,MATCH('Scores per segment'!$A281,'Error Log'!$A:$A,0),MATCH('Scores per segment'!C$1,'Error Log'!$A$1:$J$1,0)))</f>
        <v/>
      </c>
      <c r="D281" s="70">
        <f>IF(H281=0,wdct(TRIM(C281)),0)</f>
        <v>0</v>
      </c>
      <c r="E281" s="70">
        <f>COUNTIFS('Error Log'!$A:$A,$A281,'Error Log'!$J:$J,E$1)</f>
        <v>0</v>
      </c>
      <c r="F281" s="70">
        <f>COUNTIFS('Error Log'!$A:$A,$A281,'Error Log'!$J:$J,F$1)</f>
        <v>0</v>
      </c>
      <c r="G281" s="70">
        <f>COUNTIFS('Error Log'!$A:$A,$A281,'Error Log'!$J:$J,G$1)</f>
        <v>0</v>
      </c>
      <c r="H281" s="70">
        <f>COUNTIFS('Error Log'!$A:$A,$A281,'Error Log'!$F:$F,"Source")</f>
        <v>0</v>
      </c>
      <c r="I281" s="70">
        <f>COUNTIFS('Error Log'!$A:$A,$A281,'Error Log'!$F:$F,"Target")</f>
        <v>0</v>
      </c>
      <c r="J281" s="71">
        <f t="shared" si="4"/>
        <v>0</v>
      </c>
    </row>
    <row r="282" spans="1:10">
      <c r="A282" s="82"/>
      <c r="B282" s="70" t="str">
        <f>IF(ISBLANK(A282),"",INDEX('Error Log'!$A:$J,MATCH('Scores per segment'!$A282,'Error Log'!$A:$A,0),MATCH('Scores per segment'!B$1,'Error Log'!$A$1:$J$1,0)))</f>
        <v/>
      </c>
      <c r="C282" s="70" t="str">
        <f>IF(ISBLANK(A282),"",INDEX('Error Log'!$A:$J,MATCH('Scores per segment'!$A282,'Error Log'!$A:$A,0),MATCH('Scores per segment'!C$1,'Error Log'!$A$1:$J$1,0)))</f>
        <v/>
      </c>
      <c r="D282" s="70">
        <f>IF(H282=0,wdct(TRIM(C282)),0)</f>
        <v>0</v>
      </c>
      <c r="E282" s="70">
        <f>COUNTIFS('Error Log'!$A:$A,$A282,'Error Log'!$J:$J,E$1)</f>
        <v>0</v>
      </c>
      <c r="F282" s="70">
        <f>COUNTIFS('Error Log'!$A:$A,$A282,'Error Log'!$J:$J,F$1)</f>
        <v>0</v>
      </c>
      <c r="G282" s="70">
        <f>COUNTIFS('Error Log'!$A:$A,$A282,'Error Log'!$J:$J,G$1)</f>
        <v>0</v>
      </c>
      <c r="H282" s="70">
        <f>COUNTIFS('Error Log'!$A:$A,$A282,'Error Log'!$F:$F,"Source")</f>
        <v>0</v>
      </c>
      <c r="I282" s="70">
        <f>COUNTIFS('Error Log'!$A:$A,$A282,'Error Log'!$F:$F,"Target")</f>
        <v>0</v>
      </c>
      <c r="J282" s="71">
        <f t="shared" si="4"/>
        <v>0</v>
      </c>
    </row>
    <row r="283" spans="1:10">
      <c r="A283" s="82"/>
      <c r="B283" s="70" t="str">
        <f>IF(ISBLANK(A283),"",INDEX('Error Log'!$A:$J,MATCH('Scores per segment'!$A283,'Error Log'!$A:$A,0),MATCH('Scores per segment'!B$1,'Error Log'!$A$1:$J$1,0)))</f>
        <v/>
      </c>
      <c r="C283" s="70" t="str">
        <f>IF(ISBLANK(A283),"",INDEX('Error Log'!$A:$J,MATCH('Scores per segment'!$A283,'Error Log'!$A:$A,0),MATCH('Scores per segment'!C$1,'Error Log'!$A$1:$J$1,0)))</f>
        <v/>
      </c>
      <c r="D283" s="70">
        <f>IF(H283=0,wdct(TRIM(C283)),0)</f>
        <v>0</v>
      </c>
      <c r="E283" s="70">
        <f>COUNTIFS('Error Log'!$A:$A,$A283,'Error Log'!$J:$J,E$1)</f>
        <v>0</v>
      </c>
      <c r="F283" s="70">
        <f>COUNTIFS('Error Log'!$A:$A,$A283,'Error Log'!$J:$J,F$1)</f>
        <v>0</v>
      </c>
      <c r="G283" s="70">
        <f>COUNTIFS('Error Log'!$A:$A,$A283,'Error Log'!$J:$J,G$1)</f>
        <v>0</v>
      </c>
      <c r="H283" s="70">
        <f>COUNTIFS('Error Log'!$A:$A,$A283,'Error Log'!$F:$F,"Source")</f>
        <v>0</v>
      </c>
      <c r="I283" s="70">
        <f>COUNTIFS('Error Log'!$A:$A,$A283,'Error Log'!$F:$F,"Target")</f>
        <v>0</v>
      </c>
      <c r="J283" s="71">
        <f t="shared" si="4"/>
        <v>0</v>
      </c>
    </row>
    <row r="284" spans="1:10">
      <c r="A284" s="82"/>
      <c r="B284" s="70" t="str">
        <f>IF(ISBLANK(A284),"",INDEX('Error Log'!$A:$J,MATCH('Scores per segment'!$A284,'Error Log'!$A:$A,0),MATCH('Scores per segment'!B$1,'Error Log'!$A$1:$J$1,0)))</f>
        <v/>
      </c>
      <c r="C284" s="70" t="str">
        <f>IF(ISBLANK(A284),"",INDEX('Error Log'!$A:$J,MATCH('Scores per segment'!$A284,'Error Log'!$A:$A,0),MATCH('Scores per segment'!C$1,'Error Log'!$A$1:$J$1,0)))</f>
        <v/>
      </c>
      <c r="D284" s="70">
        <f>IF(H284=0,wdct(TRIM(C284)),0)</f>
        <v>0</v>
      </c>
      <c r="E284" s="70">
        <f>COUNTIFS('Error Log'!$A:$A,$A284,'Error Log'!$J:$J,E$1)</f>
        <v>0</v>
      </c>
      <c r="F284" s="70">
        <f>COUNTIFS('Error Log'!$A:$A,$A284,'Error Log'!$J:$J,F$1)</f>
        <v>0</v>
      </c>
      <c r="G284" s="70">
        <f>COUNTIFS('Error Log'!$A:$A,$A284,'Error Log'!$J:$J,G$1)</f>
        <v>0</v>
      </c>
      <c r="H284" s="70">
        <f>COUNTIFS('Error Log'!$A:$A,$A284,'Error Log'!$F:$F,"Source")</f>
        <v>0</v>
      </c>
      <c r="I284" s="70">
        <f>COUNTIFS('Error Log'!$A:$A,$A284,'Error Log'!$F:$F,"Target")</f>
        <v>0</v>
      </c>
      <c r="J284" s="71">
        <f t="shared" si="4"/>
        <v>0</v>
      </c>
    </row>
    <row r="285" spans="1:10">
      <c r="A285" s="82"/>
      <c r="B285" s="70" t="str">
        <f>IF(ISBLANK(A285),"",INDEX('Error Log'!$A:$J,MATCH('Scores per segment'!$A285,'Error Log'!$A:$A,0),MATCH('Scores per segment'!B$1,'Error Log'!$A$1:$J$1,0)))</f>
        <v/>
      </c>
      <c r="C285" s="70" t="str">
        <f>IF(ISBLANK(A285),"",INDEX('Error Log'!$A:$J,MATCH('Scores per segment'!$A285,'Error Log'!$A:$A,0),MATCH('Scores per segment'!C$1,'Error Log'!$A$1:$J$1,0)))</f>
        <v/>
      </c>
      <c r="D285" s="70">
        <f>IF(H285=0,wdct(TRIM(C285)),0)</f>
        <v>0</v>
      </c>
      <c r="E285" s="70">
        <f>COUNTIFS('Error Log'!$A:$A,$A285,'Error Log'!$J:$J,E$1)</f>
        <v>0</v>
      </c>
      <c r="F285" s="70">
        <f>COUNTIFS('Error Log'!$A:$A,$A285,'Error Log'!$J:$J,F$1)</f>
        <v>0</v>
      </c>
      <c r="G285" s="70">
        <f>COUNTIFS('Error Log'!$A:$A,$A285,'Error Log'!$J:$J,G$1)</f>
        <v>0</v>
      </c>
      <c r="H285" s="70">
        <f>COUNTIFS('Error Log'!$A:$A,$A285,'Error Log'!$F:$F,"Source")</f>
        <v>0</v>
      </c>
      <c r="I285" s="70">
        <f>COUNTIFS('Error Log'!$A:$A,$A285,'Error Log'!$F:$F,"Target")</f>
        <v>0</v>
      </c>
      <c r="J285" s="71">
        <f t="shared" si="4"/>
        <v>0</v>
      </c>
    </row>
    <row r="286" spans="1:10">
      <c r="A286" s="82"/>
      <c r="B286" s="70" t="str">
        <f>IF(ISBLANK(A286),"",INDEX('Error Log'!$A:$J,MATCH('Scores per segment'!$A286,'Error Log'!$A:$A,0),MATCH('Scores per segment'!B$1,'Error Log'!$A$1:$J$1,0)))</f>
        <v/>
      </c>
      <c r="C286" s="70" t="str">
        <f>IF(ISBLANK(A286),"",INDEX('Error Log'!$A:$J,MATCH('Scores per segment'!$A286,'Error Log'!$A:$A,0),MATCH('Scores per segment'!C$1,'Error Log'!$A$1:$J$1,0)))</f>
        <v/>
      </c>
      <c r="D286" s="70">
        <f>IF(H286=0,wdct(TRIM(C286)),0)</f>
        <v>0</v>
      </c>
      <c r="E286" s="70">
        <f>COUNTIFS('Error Log'!$A:$A,$A286,'Error Log'!$J:$J,E$1)</f>
        <v>0</v>
      </c>
      <c r="F286" s="70">
        <f>COUNTIFS('Error Log'!$A:$A,$A286,'Error Log'!$J:$J,F$1)</f>
        <v>0</v>
      </c>
      <c r="G286" s="70">
        <f>COUNTIFS('Error Log'!$A:$A,$A286,'Error Log'!$J:$J,G$1)</f>
        <v>0</v>
      </c>
      <c r="H286" s="70">
        <f>COUNTIFS('Error Log'!$A:$A,$A286,'Error Log'!$F:$F,"Source")</f>
        <v>0</v>
      </c>
      <c r="I286" s="70">
        <f>COUNTIFS('Error Log'!$A:$A,$A286,'Error Log'!$F:$F,"Target")</f>
        <v>0</v>
      </c>
      <c r="J286" s="71">
        <f t="shared" si="4"/>
        <v>0</v>
      </c>
    </row>
    <row r="287" spans="1:10">
      <c r="A287" s="82"/>
      <c r="B287" s="70" t="str">
        <f>IF(ISBLANK(A287),"",INDEX('Error Log'!$A:$J,MATCH('Scores per segment'!$A287,'Error Log'!$A:$A,0),MATCH('Scores per segment'!B$1,'Error Log'!$A$1:$J$1,0)))</f>
        <v/>
      </c>
      <c r="C287" s="70" t="str">
        <f>IF(ISBLANK(A287),"",INDEX('Error Log'!$A:$J,MATCH('Scores per segment'!$A287,'Error Log'!$A:$A,0),MATCH('Scores per segment'!C$1,'Error Log'!$A$1:$J$1,0)))</f>
        <v/>
      </c>
      <c r="D287" s="70">
        <f>IF(H287=0,wdct(TRIM(C287)),0)</f>
        <v>0</v>
      </c>
      <c r="E287" s="70">
        <f>COUNTIFS('Error Log'!$A:$A,$A287,'Error Log'!$J:$J,E$1)</f>
        <v>0</v>
      </c>
      <c r="F287" s="70">
        <f>COUNTIFS('Error Log'!$A:$A,$A287,'Error Log'!$J:$J,F$1)</f>
        <v>0</v>
      </c>
      <c r="G287" s="70">
        <f>COUNTIFS('Error Log'!$A:$A,$A287,'Error Log'!$J:$J,G$1)</f>
        <v>0</v>
      </c>
      <c r="H287" s="70">
        <f>COUNTIFS('Error Log'!$A:$A,$A287,'Error Log'!$F:$F,"Source")</f>
        <v>0</v>
      </c>
      <c r="I287" s="70">
        <f>COUNTIFS('Error Log'!$A:$A,$A287,'Error Log'!$F:$F,"Target")</f>
        <v>0</v>
      </c>
      <c r="J287" s="71">
        <f t="shared" si="4"/>
        <v>0</v>
      </c>
    </row>
    <row r="288" spans="1:10">
      <c r="A288" s="82"/>
      <c r="B288" s="70" t="str">
        <f>IF(ISBLANK(A288),"",INDEX('Error Log'!$A:$J,MATCH('Scores per segment'!$A288,'Error Log'!$A:$A,0),MATCH('Scores per segment'!B$1,'Error Log'!$A$1:$J$1,0)))</f>
        <v/>
      </c>
      <c r="C288" s="70" t="str">
        <f>IF(ISBLANK(A288),"",INDEX('Error Log'!$A:$J,MATCH('Scores per segment'!$A288,'Error Log'!$A:$A,0),MATCH('Scores per segment'!C$1,'Error Log'!$A$1:$J$1,0)))</f>
        <v/>
      </c>
      <c r="D288" s="70">
        <f>IF(H288=0,wdct(TRIM(C288)),0)</f>
        <v>0</v>
      </c>
      <c r="E288" s="70">
        <f>COUNTIFS('Error Log'!$A:$A,$A288,'Error Log'!$J:$J,E$1)</f>
        <v>0</v>
      </c>
      <c r="F288" s="70">
        <f>COUNTIFS('Error Log'!$A:$A,$A288,'Error Log'!$J:$J,F$1)</f>
        <v>0</v>
      </c>
      <c r="G288" s="70">
        <f>COUNTIFS('Error Log'!$A:$A,$A288,'Error Log'!$J:$J,G$1)</f>
        <v>0</v>
      </c>
      <c r="H288" s="70">
        <f>COUNTIFS('Error Log'!$A:$A,$A288,'Error Log'!$F:$F,"Source")</f>
        <v>0</v>
      </c>
      <c r="I288" s="70">
        <f>COUNTIFS('Error Log'!$A:$A,$A288,'Error Log'!$F:$F,"Target")</f>
        <v>0</v>
      </c>
      <c r="J288" s="71">
        <f t="shared" si="4"/>
        <v>0</v>
      </c>
    </row>
    <row r="289" spans="1:10">
      <c r="A289" s="82"/>
      <c r="B289" s="70" t="str">
        <f>IF(ISBLANK(A289),"",INDEX('Error Log'!$A:$J,MATCH('Scores per segment'!$A289,'Error Log'!$A:$A,0),MATCH('Scores per segment'!B$1,'Error Log'!$A$1:$J$1,0)))</f>
        <v/>
      </c>
      <c r="C289" s="70" t="str">
        <f>IF(ISBLANK(A289),"",INDEX('Error Log'!$A:$J,MATCH('Scores per segment'!$A289,'Error Log'!$A:$A,0),MATCH('Scores per segment'!C$1,'Error Log'!$A$1:$J$1,0)))</f>
        <v/>
      </c>
      <c r="D289" s="70">
        <f>IF(H289=0,wdct(TRIM(C289)),0)</f>
        <v>0</v>
      </c>
      <c r="E289" s="70">
        <f>COUNTIFS('Error Log'!$A:$A,$A289,'Error Log'!$J:$J,E$1)</f>
        <v>0</v>
      </c>
      <c r="F289" s="70">
        <f>COUNTIFS('Error Log'!$A:$A,$A289,'Error Log'!$J:$J,F$1)</f>
        <v>0</v>
      </c>
      <c r="G289" s="70">
        <f>COUNTIFS('Error Log'!$A:$A,$A289,'Error Log'!$J:$J,G$1)</f>
        <v>0</v>
      </c>
      <c r="H289" s="70">
        <f>COUNTIFS('Error Log'!$A:$A,$A289,'Error Log'!$F:$F,"Source")</f>
        <v>0</v>
      </c>
      <c r="I289" s="70">
        <f>COUNTIFS('Error Log'!$A:$A,$A289,'Error Log'!$F:$F,"Target")</f>
        <v>0</v>
      </c>
      <c r="J289" s="71">
        <f t="shared" si="4"/>
        <v>0</v>
      </c>
    </row>
    <row r="290" spans="1:10">
      <c r="A290" s="82"/>
      <c r="B290" s="70" t="str">
        <f>IF(ISBLANK(A290),"",INDEX('Error Log'!$A:$J,MATCH('Scores per segment'!$A290,'Error Log'!$A:$A,0),MATCH('Scores per segment'!B$1,'Error Log'!$A$1:$J$1,0)))</f>
        <v/>
      </c>
      <c r="C290" s="70" t="str">
        <f>IF(ISBLANK(A290),"",INDEX('Error Log'!$A:$J,MATCH('Scores per segment'!$A290,'Error Log'!$A:$A,0),MATCH('Scores per segment'!C$1,'Error Log'!$A$1:$J$1,0)))</f>
        <v/>
      </c>
      <c r="D290" s="70">
        <f>IF(H290=0,wdct(TRIM(C290)),0)</f>
        <v>0</v>
      </c>
      <c r="E290" s="70">
        <f>COUNTIFS('Error Log'!$A:$A,$A290,'Error Log'!$J:$J,E$1)</f>
        <v>0</v>
      </c>
      <c r="F290" s="70">
        <f>COUNTIFS('Error Log'!$A:$A,$A290,'Error Log'!$J:$J,F$1)</f>
        <v>0</v>
      </c>
      <c r="G290" s="70">
        <f>COUNTIFS('Error Log'!$A:$A,$A290,'Error Log'!$J:$J,G$1)</f>
        <v>0</v>
      </c>
      <c r="H290" s="70">
        <f>COUNTIFS('Error Log'!$A:$A,$A290,'Error Log'!$F:$F,"Source")</f>
        <v>0</v>
      </c>
      <c r="I290" s="70">
        <f>COUNTIFS('Error Log'!$A:$A,$A290,'Error Log'!$F:$F,"Target")</f>
        <v>0</v>
      </c>
      <c r="J290" s="71">
        <f t="shared" si="4"/>
        <v>0</v>
      </c>
    </row>
    <row r="291" spans="1:10">
      <c r="A291" s="82"/>
      <c r="B291" s="70" t="str">
        <f>IF(ISBLANK(A291),"",INDEX('Error Log'!$A:$J,MATCH('Scores per segment'!$A291,'Error Log'!$A:$A,0),MATCH('Scores per segment'!B$1,'Error Log'!$A$1:$J$1,0)))</f>
        <v/>
      </c>
      <c r="C291" s="70" t="str">
        <f>IF(ISBLANK(A291),"",INDEX('Error Log'!$A:$J,MATCH('Scores per segment'!$A291,'Error Log'!$A:$A,0),MATCH('Scores per segment'!C$1,'Error Log'!$A$1:$J$1,0)))</f>
        <v/>
      </c>
      <c r="D291" s="70">
        <f>IF(H291=0,wdct(TRIM(C291)),0)</f>
        <v>0</v>
      </c>
      <c r="E291" s="70">
        <f>COUNTIFS('Error Log'!$A:$A,$A291,'Error Log'!$J:$J,E$1)</f>
        <v>0</v>
      </c>
      <c r="F291" s="70">
        <f>COUNTIFS('Error Log'!$A:$A,$A291,'Error Log'!$J:$J,F$1)</f>
        <v>0</v>
      </c>
      <c r="G291" s="70">
        <f>COUNTIFS('Error Log'!$A:$A,$A291,'Error Log'!$J:$J,G$1)</f>
        <v>0</v>
      </c>
      <c r="H291" s="70">
        <f>COUNTIFS('Error Log'!$A:$A,$A291,'Error Log'!$F:$F,"Source")</f>
        <v>0</v>
      </c>
      <c r="I291" s="70">
        <f>COUNTIFS('Error Log'!$A:$A,$A291,'Error Log'!$F:$F,"Target")</f>
        <v>0</v>
      </c>
      <c r="J291" s="71">
        <f t="shared" si="4"/>
        <v>0</v>
      </c>
    </row>
    <row r="292" spans="1:10">
      <c r="A292" s="82"/>
      <c r="B292" s="70" t="str">
        <f>IF(ISBLANK(A292),"",INDEX('Error Log'!$A:$J,MATCH('Scores per segment'!$A292,'Error Log'!$A:$A,0),MATCH('Scores per segment'!B$1,'Error Log'!$A$1:$J$1,0)))</f>
        <v/>
      </c>
      <c r="C292" s="70" t="str">
        <f>IF(ISBLANK(A292),"",INDEX('Error Log'!$A:$J,MATCH('Scores per segment'!$A292,'Error Log'!$A:$A,0),MATCH('Scores per segment'!C$1,'Error Log'!$A$1:$J$1,0)))</f>
        <v/>
      </c>
      <c r="D292" s="70">
        <f>IF(H292=0,wdct(TRIM(C292)),0)</f>
        <v>0</v>
      </c>
      <c r="E292" s="70">
        <f>COUNTIFS('Error Log'!$A:$A,$A292,'Error Log'!$J:$J,E$1)</f>
        <v>0</v>
      </c>
      <c r="F292" s="70">
        <f>COUNTIFS('Error Log'!$A:$A,$A292,'Error Log'!$J:$J,F$1)</f>
        <v>0</v>
      </c>
      <c r="G292" s="70">
        <f>COUNTIFS('Error Log'!$A:$A,$A292,'Error Log'!$J:$J,G$1)</f>
        <v>0</v>
      </c>
      <c r="H292" s="70">
        <f>COUNTIFS('Error Log'!$A:$A,$A292,'Error Log'!$F:$F,"Source")</f>
        <v>0</v>
      </c>
      <c r="I292" s="70">
        <f>COUNTIFS('Error Log'!$A:$A,$A292,'Error Log'!$F:$F,"Target")</f>
        <v>0</v>
      </c>
      <c r="J292" s="71">
        <f t="shared" si="4"/>
        <v>0</v>
      </c>
    </row>
    <row r="293" spans="1:10">
      <c r="A293" s="82"/>
      <c r="B293" s="70" t="str">
        <f>IF(ISBLANK(A293),"",INDEX('Error Log'!$A:$J,MATCH('Scores per segment'!$A293,'Error Log'!$A:$A,0),MATCH('Scores per segment'!B$1,'Error Log'!$A$1:$J$1,0)))</f>
        <v/>
      </c>
      <c r="C293" s="70" t="str">
        <f>IF(ISBLANK(A293),"",INDEX('Error Log'!$A:$J,MATCH('Scores per segment'!$A293,'Error Log'!$A:$A,0),MATCH('Scores per segment'!C$1,'Error Log'!$A$1:$J$1,0)))</f>
        <v/>
      </c>
      <c r="D293" s="70">
        <f>IF(H293=0,wdct(TRIM(C293)),0)</f>
        <v>0</v>
      </c>
      <c r="E293" s="70">
        <f>COUNTIFS('Error Log'!$A:$A,$A293,'Error Log'!$J:$J,E$1)</f>
        <v>0</v>
      </c>
      <c r="F293" s="70">
        <f>COUNTIFS('Error Log'!$A:$A,$A293,'Error Log'!$J:$J,F$1)</f>
        <v>0</v>
      </c>
      <c r="G293" s="70">
        <f>COUNTIFS('Error Log'!$A:$A,$A293,'Error Log'!$J:$J,G$1)</f>
        <v>0</v>
      </c>
      <c r="H293" s="70">
        <f>COUNTIFS('Error Log'!$A:$A,$A293,'Error Log'!$F:$F,"Source")</f>
        <v>0</v>
      </c>
      <c r="I293" s="70">
        <f>COUNTIFS('Error Log'!$A:$A,$A293,'Error Log'!$F:$F,"Target")</f>
        <v>0</v>
      </c>
      <c r="J293" s="71">
        <f t="shared" si="4"/>
        <v>0</v>
      </c>
    </row>
    <row r="294" spans="1:10">
      <c r="A294" s="82"/>
      <c r="B294" s="70" t="str">
        <f>IF(ISBLANK(A294),"",INDEX('Error Log'!$A:$J,MATCH('Scores per segment'!$A294,'Error Log'!$A:$A,0),MATCH('Scores per segment'!B$1,'Error Log'!$A$1:$J$1,0)))</f>
        <v/>
      </c>
      <c r="C294" s="70" t="str">
        <f>IF(ISBLANK(A294),"",INDEX('Error Log'!$A:$J,MATCH('Scores per segment'!$A294,'Error Log'!$A:$A,0),MATCH('Scores per segment'!C$1,'Error Log'!$A$1:$J$1,0)))</f>
        <v/>
      </c>
      <c r="D294" s="70">
        <f>IF(H294=0,wdct(TRIM(C294)),0)</f>
        <v>0</v>
      </c>
      <c r="E294" s="70">
        <f>COUNTIFS('Error Log'!$A:$A,$A294,'Error Log'!$J:$J,E$1)</f>
        <v>0</v>
      </c>
      <c r="F294" s="70">
        <f>COUNTIFS('Error Log'!$A:$A,$A294,'Error Log'!$J:$J,F$1)</f>
        <v>0</v>
      </c>
      <c r="G294" s="70">
        <f>COUNTIFS('Error Log'!$A:$A,$A294,'Error Log'!$J:$J,G$1)</f>
        <v>0</v>
      </c>
      <c r="H294" s="70">
        <f>COUNTIFS('Error Log'!$A:$A,$A294,'Error Log'!$F:$F,"Source")</f>
        <v>0</v>
      </c>
      <c r="I294" s="70">
        <f>COUNTIFS('Error Log'!$A:$A,$A294,'Error Log'!$F:$F,"Target")</f>
        <v>0</v>
      </c>
      <c r="J294" s="71">
        <f t="shared" si="4"/>
        <v>0</v>
      </c>
    </row>
    <row r="295" spans="1:10">
      <c r="A295" s="82"/>
      <c r="B295" s="70" t="str">
        <f>IF(ISBLANK(A295),"",INDEX('Error Log'!$A:$J,MATCH('Scores per segment'!$A295,'Error Log'!$A:$A,0),MATCH('Scores per segment'!B$1,'Error Log'!$A$1:$J$1,0)))</f>
        <v/>
      </c>
      <c r="C295" s="70" t="str">
        <f>IF(ISBLANK(A295),"",INDEX('Error Log'!$A:$J,MATCH('Scores per segment'!$A295,'Error Log'!$A:$A,0),MATCH('Scores per segment'!C$1,'Error Log'!$A$1:$J$1,0)))</f>
        <v/>
      </c>
      <c r="D295" s="70">
        <f>IF(H295=0,wdct(TRIM(C295)),0)</f>
        <v>0</v>
      </c>
      <c r="E295" s="70">
        <f>COUNTIFS('Error Log'!$A:$A,$A295,'Error Log'!$J:$J,E$1)</f>
        <v>0</v>
      </c>
      <c r="F295" s="70">
        <f>COUNTIFS('Error Log'!$A:$A,$A295,'Error Log'!$J:$J,F$1)</f>
        <v>0</v>
      </c>
      <c r="G295" s="70">
        <f>COUNTIFS('Error Log'!$A:$A,$A295,'Error Log'!$J:$J,G$1)</f>
        <v>0</v>
      </c>
      <c r="H295" s="70">
        <f>COUNTIFS('Error Log'!$A:$A,$A295,'Error Log'!$F:$F,"Source")</f>
        <v>0</v>
      </c>
      <c r="I295" s="70">
        <f>COUNTIFS('Error Log'!$A:$A,$A295,'Error Log'!$F:$F,"Target")</f>
        <v>0</v>
      </c>
      <c r="J295" s="71">
        <f t="shared" si="4"/>
        <v>0</v>
      </c>
    </row>
    <row r="296" spans="1:10">
      <c r="A296" s="82"/>
      <c r="B296" s="70" t="str">
        <f>IF(ISBLANK(A296),"",INDEX('Error Log'!$A:$J,MATCH('Scores per segment'!$A296,'Error Log'!$A:$A,0),MATCH('Scores per segment'!B$1,'Error Log'!$A$1:$J$1,0)))</f>
        <v/>
      </c>
      <c r="C296" s="70" t="str">
        <f>IF(ISBLANK(A296),"",INDEX('Error Log'!$A:$J,MATCH('Scores per segment'!$A296,'Error Log'!$A:$A,0),MATCH('Scores per segment'!C$1,'Error Log'!$A$1:$J$1,0)))</f>
        <v/>
      </c>
      <c r="D296" s="70">
        <f>IF(H296=0,wdct(TRIM(C296)),0)</f>
        <v>0</v>
      </c>
      <c r="E296" s="70">
        <f>COUNTIFS('Error Log'!$A:$A,$A296,'Error Log'!$J:$J,E$1)</f>
        <v>0</v>
      </c>
      <c r="F296" s="70">
        <f>COUNTIFS('Error Log'!$A:$A,$A296,'Error Log'!$J:$J,F$1)</f>
        <v>0</v>
      </c>
      <c r="G296" s="70">
        <f>COUNTIFS('Error Log'!$A:$A,$A296,'Error Log'!$J:$J,G$1)</f>
        <v>0</v>
      </c>
      <c r="H296" s="70">
        <f>COUNTIFS('Error Log'!$A:$A,$A296,'Error Log'!$F:$F,"Source")</f>
        <v>0</v>
      </c>
      <c r="I296" s="70">
        <f>COUNTIFS('Error Log'!$A:$A,$A296,'Error Log'!$F:$F,"Target")</f>
        <v>0</v>
      </c>
      <c r="J296" s="71">
        <f t="shared" si="4"/>
        <v>0</v>
      </c>
    </row>
    <row r="297" spans="1:10">
      <c r="A297" s="82"/>
      <c r="B297" s="70" t="str">
        <f>IF(ISBLANK(A297),"",INDEX('Error Log'!$A:$J,MATCH('Scores per segment'!$A297,'Error Log'!$A:$A,0),MATCH('Scores per segment'!B$1,'Error Log'!$A$1:$J$1,0)))</f>
        <v/>
      </c>
      <c r="C297" s="70" t="str">
        <f>IF(ISBLANK(A297),"",INDEX('Error Log'!$A:$J,MATCH('Scores per segment'!$A297,'Error Log'!$A:$A,0),MATCH('Scores per segment'!C$1,'Error Log'!$A$1:$J$1,0)))</f>
        <v/>
      </c>
      <c r="D297" s="70">
        <f>IF(H297=0,wdct(TRIM(C297)),0)</f>
        <v>0</v>
      </c>
      <c r="E297" s="70">
        <f>COUNTIFS('Error Log'!$A:$A,$A297,'Error Log'!$J:$J,E$1)</f>
        <v>0</v>
      </c>
      <c r="F297" s="70">
        <f>COUNTIFS('Error Log'!$A:$A,$A297,'Error Log'!$J:$J,F$1)</f>
        <v>0</v>
      </c>
      <c r="G297" s="70">
        <f>COUNTIFS('Error Log'!$A:$A,$A297,'Error Log'!$J:$J,G$1)</f>
        <v>0</v>
      </c>
      <c r="H297" s="70">
        <f>COUNTIFS('Error Log'!$A:$A,$A297,'Error Log'!$F:$F,"Source")</f>
        <v>0</v>
      </c>
      <c r="I297" s="70">
        <f>COUNTIFS('Error Log'!$A:$A,$A297,'Error Log'!$F:$F,"Target")</f>
        <v>0</v>
      </c>
      <c r="J297" s="71">
        <f t="shared" si="4"/>
        <v>0</v>
      </c>
    </row>
    <row r="298" spans="1:10">
      <c r="A298" s="82"/>
      <c r="B298" s="70" t="str">
        <f>IF(ISBLANK(A298),"",INDEX('Error Log'!$A:$J,MATCH('Scores per segment'!$A298,'Error Log'!$A:$A,0),MATCH('Scores per segment'!B$1,'Error Log'!$A$1:$J$1,0)))</f>
        <v/>
      </c>
      <c r="C298" s="70" t="str">
        <f>IF(ISBLANK(A298),"",INDEX('Error Log'!$A:$J,MATCH('Scores per segment'!$A298,'Error Log'!$A:$A,0),MATCH('Scores per segment'!C$1,'Error Log'!$A$1:$J$1,0)))</f>
        <v/>
      </c>
      <c r="D298" s="70">
        <f>IF(H298=0,wdct(TRIM(C298)),0)</f>
        <v>0</v>
      </c>
      <c r="E298" s="70">
        <f>COUNTIFS('Error Log'!$A:$A,$A298,'Error Log'!$J:$J,E$1)</f>
        <v>0</v>
      </c>
      <c r="F298" s="70">
        <f>COUNTIFS('Error Log'!$A:$A,$A298,'Error Log'!$J:$J,F$1)</f>
        <v>0</v>
      </c>
      <c r="G298" s="70">
        <f>COUNTIFS('Error Log'!$A:$A,$A298,'Error Log'!$J:$J,G$1)</f>
        <v>0</v>
      </c>
      <c r="H298" s="70">
        <f>COUNTIFS('Error Log'!$A:$A,$A298,'Error Log'!$F:$F,"Source")</f>
        <v>0</v>
      </c>
      <c r="I298" s="70">
        <f>COUNTIFS('Error Log'!$A:$A,$A298,'Error Log'!$F:$F,"Target")</f>
        <v>0</v>
      </c>
      <c r="J298" s="71">
        <f t="shared" si="4"/>
        <v>0</v>
      </c>
    </row>
    <row r="299" spans="1:10">
      <c r="A299" s="82"/>
      <c r="B299" s="70" t="str">
        <f>IF(ISBLANK(A299),"",INDEX('Error Log'!$A:$J,MATCH('Scores per segment'!$A299,'Error Log'!$A:$A,0),MATCH('Scores per segment'!B$1,'Error Log'!$A$1:$J$1,0)))</f>
        <v/>
      </c>
      <c r="C299" s="70" t="str">
        <f>IF(ISBLANK(A299),"",INDEX('Error Log'!$A:$J,MATCH('Scores per segment'!$A299,'Error Log'!$A:$A,0),MATCH('Scores per segment'!C$1,'Error Log'!$A$1:$J$1,0)))</f>
        <v/>
      </c>
      <c r="D299" s="70">
        <f>IF(H299=0,wdct(TRIM(C299)),0)</f>
        <v>0</v>
      </c>
      <c r="E299" s="70">
        <f>COUNTIFS('Error Log'!$A:$A,$A299,'Error Log'!$J:$J,E$1)</f>
        <v>0</v>
      </c>
      <c r="F299" s="70">
        <f>COUNTIFS('Error Log'!$A:$A,$A299,'Error Log'!$J:$J,F$1)</f>
        <v>0</v>
      </c>
      <c r="G299" s="70">
        <f>COUNTIFS('Error Log'!$A:$A,$A299,'Error Log'!$J:$J,G$1)</f>
        <v>0</v>
      </c>
      <c r="H299" s="70">
        <f>COUNTIFS('Error Log'!$A:$A,$A299,'Error Log'!$F:$F,"Source")</f>
        <v>0</v>
      </c>
      <c r="I299" s="70">
        <f>COUNTIFS('Error Log'!$A:$A,$A299,'Error Log'!$F:$F,"Target")</f>
        <v>0</v>
      </c>
      <c r="J299" s="71">
        <f t="shared" si="4"/>
        <v>0</v>
      </c>
    </row>
    <row r="300" spans="1:10">
      <c r="A300" s="82"/>
      <c r="B300" s="70" t="str">
        <f>IF(ISBLANK(A300),"",INDEX('Error Log'!$A:$J,MATCH('Scores per segment'!$A300,'Error Log'!$A:$A,0),MATCH('Scores per segment'!B$1,'Error Log'!$A$1:$J$1,0)))</f>
        <v/>
      </c>
      <c r="C300" s="70" t="str">
        <f>IF(ISBLANK(A300),"",INDEX('Error Log'!$A:$J,MATCH('Scores per segment'!$A300,'Error Log'!$A:$A,0),MATCH('Scores per segment'!C$1,'Error Log'!$A$1:$J$1,0)))</f>
        <v/>
      </c>
      <c r="D300" s="70">
        <f>IF(H300=0,wdct(TRIM(C300)),0)</f>
        <v>0</v>
      </c>
      <c r="E300" s="70">
        <f>COUNTIFS('Error Log'!$A:$A,$A300,'Error Log'!$J:$J,E$1)</f>
        <v>0</v>
      </c>
      <c r="F300" s="70">
        <f>COUNTIFS('Error Log'!$A:$A,$A300,'Error Log'!$J:$J,F$1)</f>
        <v>0</v>
      </c>
      <c r="G300" s="70">
        <f>COUNTIFS('Error Log'!$A:$A,$A300,'Error Log'!$J:$J,G$1)</f>
        <v>0</v>
      </c>
      <c r="H300" s="70">
        <f>COUNTIFS('Error Log'!$A:$A,$A300,'Error Log'!$F:$F,"Source")</f>
        <v>0</v>
      </c>
      <c r="I300" s="70">
        <f>COUNTIFS('Error Log'!$A:$A,$A300,'Error Log'!$F:$F,"Target")</f>
        <v>0</v>
      </c>
      <c r="J300" s="71">
        <f t="shared" si="4"/>
        <v>0</v>
      </c>
    </row>
    <row r="301" spans="1:10">
      <c r="A301" s="82"/>
      <c r="B301" s="70" t="str">
        <f>IF(ISBLANK(A301),"",INDEX('Error Log'!$A:$J,MATCH('Scores per segment'!$A301,'Error Log'!$A:$A,0),MATCH('Scores per segment'!B$1,'Error Log'!$A$1:$J$1,0)))</f>
        <v/>
      </c>
      <c r="C301" s="70" t="str">
        <f>IF(ISBLANK(A301),"",INDEX('Error Log'!$A:$J,MATCH('Scores per segment'!$A301,'Error Log'!$A:$A,0),MATCH('Scores per segment'!C$1,'Error Log'!$A$1:$J$1,0)))</f>
        <v/>
      </c>
      <c r="D301" s="70">
        <f>IF(H301=0,wdct(TRIM(C301)),0)</f>
        <v>0</v>
      </c>
      <c r="E301" s="70">
        <f>COUNTIFS('Error Log'!$A:$A,$A301,'Error Log'!$J:$J,E$1)</f>
        <v>0</v>
      </c>
      <c r="F301" s="70">
        <f>COUNTIFS('Error Log'!$A:$A,$A301,'Error Log'!$J:$J,F$1)</f>
        <v>0</v>
      </c>
      <c r="G301" s="70">
        <f>COUNTIFS('Error Log'!$A:$A,$A301,'Error Log'!$J:$J,G$1)</f>
        <v>0</v>
      </c>
      <c r="H301" s="70">
        <f>COUNTIFS('Error Log'!$A:$A,$A301,'Error Log'!$F:$F,"Source")</f>
        <v>0</v>
      </c>
      <c r="I301" s="70">
        <f>COUNTIFS('Error Log'!$A:$A,$A301,'Error Log'!$F:$F,"Target")</f>
        <v>0</v>
      </c>
      <c r="J301" s="71">
        <f t="shared" si="4"/>
        <v>0</v>
      </c>
    </row>
    <row r="302" spans="1:10">
      <c r="A302" s="82"/>
      <c r="B302" s="70" t="str">
        <f>IF(ISBLANK(A302),"",INDEX('Error Log'!$A:$J,MATCH('Scores per segment'!$A302,'Error Log'!$A:$A,0),MATCH('Scores per segment'!B$1,'Error Log'!$A$1:$J$1,0)))</f>
        <v/>
      </c>
      <c r="C302" s="70" t="str">
        <f>IF(ISBLANK(A302),"",INDEX('Error Log'!$A:$J,MATCH('Scores per segment'!$A302,'Error Log'!$A:$A,0),MATCH('Scores per segment'!C$1,'Error Log'!$A$1:$J$1,0)))</f>
        <v/>
      </c>
      <c r="D302" s="70">
        <f>IF(H302=0,wdct(TRIM(C302)),0)</f>
        <v>0</v>
      </c>
      <c r="E302" s="70">
        <f>COUNTIFS('Error Log'!$A:$A,$A302,'Error Log'!$J:$J,E$1)</f>
        <v>0</v>
      </c>
      <c r="F302" s="70">
        <f>COUNTIFS('Error Log'!$A:$A,$A302,'Error Log'!$J:$J,F$1)</f>
        <v>0</v>
      </c>
      <c r="G302" s="70">
        <f>COUNTIFS('Error Log'!$A:$A,$A302,'Error Log'!$J:$J,G$1)</f>
        <v>0</v>
      </c>
      <c r="H302" s="70">
        <f>COUNTIFS('Error Log'!$A:$A,$A302,'Error Log'!$F:$F,"Source")</f>
        <v>0</v>
      </c>
      <c r="I302" s="70">
        <f>COUNTIFS('Error Log'!$A:$A,$A302,'Error Log'!$F:$F,"Target")</f>
        <v>0</v>
      </c>
      <c r="J302" s="71">
        <f t="shared" si="4"/>
        <v>0</v>
      </c>
    </row>
    <row r="303" spans="1:10">
      <c r="A303" s="82"/>
      <c r="B303" s="70" t="str">
        <f>IF(ISBLANK(A303),"",INDEX('Error Log'!$A:$J,MATCH('Scores per segment'!$A303,'Error Log'!$A:$A,0),MATCH('Scores per segment'!B$1,'Error Log'!$A$1:$J$1,0)))</f>
        <v/>
      </c>
      <c r="C303" s="70" t="str">
        <f>IF(ISBLANK(A303),"",INDEX('Error Log'!$A:$J,MATCH('Scores per segment'!$A303,'Error Log'!$A:$A,0),MATCH('Scores per segment'!C$1,'Error Log'!$A$1:$J$1,0)))</f>
        <v/>
      </c>
      <c r="D303" s="70">
        <f>IF(H303=0,wdct(TRIM(C303)),0)</f>
        <v>0</v>
      </c>
      <c r="E303" s="70">
        <f>COUNTIFS('Error Log'!$A:$A,$A303,'Error Log'!$J:$J,E$1)</f>
        <v>0</v>
      </c>
      <c r="F303" s="70">
        <f>COUNTIFS('Error Log'!$A:$A,$A303,'Error Log'!$J:$J,F$1)</f>
        <v>0</v>
      </c>
      <c r="G303" s="70">
        <f>COUNTIFS('Error Log'!$A:$A,$A303,'Error Log'!$J:$J,G$1)</f>
        <v>0</v>
      </c>
      <c r="H303" s="70">
        <f>COUNTIFS('Error Log'!$A:$A,$A303,'Error Log'!$F:$F,"Source")</f>
        <v>0</v>
      </c>
      <c r="I303" s="70">
        <f>COUNTIFS('Error Log'!$A:$A,$A303,'Error Log'!$F:$F,"Target")</f>
        <v>0</v>
      </c>
      <c r="J303" s="71">
        <f t="shared" si="4"/>
        <v>0</v>
      </c>
    </row>
    <row r="304" spans="1:10">
      <c r="A304" s="82"/>
      <c r="B304" s="70" t="str">
        <f>IF(ISBLANK(A304),"",INDEX('Error Log'!$A:$J,MATCH('Scores per segment'!$A304,'Error Log'!$A:$A,0),MATCH('Scores per segment'!B$1,'Error Log'!$A$1:$J$1,0)))</f>
        <v/>
      </c>
      <c r="C304" s="70" t="str">
        <f>IF(ISBLANK(A304),"",INDEX('Error Log'!$A:$J,MATCH('Scores per segment'!$A304,'Error Log'!$A:$A,0),MATCH('Scores per segment'!C$1,'Error Log'!$A$1:$J$1,0)))</f>
        <v/>
      </c>
      <c r="D304" s="70">
        <f>IF(H304=0,wdct(TRIM(C304)),0)</f>
        <v>0</v>
      </c>
      <c r="E304" s="70">
        <f>COUNTIFS('Error Log'!$A:$A,$A304,'Error Log'!$J:$J,E$1)</f>
        <v>0</v>
      </c>
      <c r="F304" s="70">
        <f>COUNTIFS('Error Log'!$A:$A,$A304,'Error Log'!$J:$J,F$1)</f>
        <v>0</v>
      </c>
      <c r="G304" s="70">
        <f>COUNTIFS('Error Log'!$A:$A,$A304,'Error Log'!$J:$J,G$1)</f>
        <v>0</v>
      </c>
      <c r="H304" s="70">
        <f>COUNTIFS('Error Log'!$A:$A,$A304,'Error Log'!$F:$F,"Source")</f>
        <v>0</v>
      </c>
      <c r="I304" s="70">
        <f>COUNTIFS('Error Log'!$A:$A,$A304,'Error Log'!$F:$F,"Target")</f>
        <v>0</v>
      </c>
      <c r="J304" s="71">
        <f t="shared" si="4"/>
        <v>0</v>
      </c>
    </row>
    <row r="305" spans="1:10">
      <c r="A305" s="82"/>
      <c r="B305" s="70" t="str">
        <f>IF(ISBLANK(A305),"",INDEX('Error Log'!$A:$J,MATCH('Scores per segment'!$A305,'Error Log'!$A:$A,0),MATCH('Scores per segment'!B$1,'Error Log'!$A$1:$J$1,0)))</f>
        <v/>
      </c>
      <c r="C305" s="70" t="str">
        <f>IF(ISBLANK(A305),"",INDEX('Error Log'!$A:$J,MATCH('Scores per segment'!$A305,'Error Log'!$A:$A,0),MATCH('Scores per segment'!C$1,'Error Log'!$A$1:$J$1,0)))</f>
        <v/>
      </c>
      <c r="D305" s="70">
        <f>IF(H305=0,wdct(TRIM(C305)),0)</f>
        <v>0</v>
      </c>
      <c r="E305" s="70">
        <f>COUNTIFS('Error Log'!$A:$A,$A305,'Error Log'!$J:$J,E$1)</f>
        <v>0</v>
      </c>
      <c r="F305" s="70">
        <f>COUNTIFS('Error Log'!$A:$A,$A305,'Error Log'!$J:$J,F$1)</f>
        <v>0</v>
      </c>
      <c r="G305" s="70">
        <f>COUNTIFS('Error Log'!$A:$A,$A305,'Error Log'!$J:$J,G$1)</f>
        <v>0</v>
      </c>
      <c r="H305" s="70">
        <f>COUNTIFS('Error Log'!$A:$A,$A305,'Error Log'!$F:$F,"Source")</f>
        <v>0</v>
      </c>
      <c r="I305" s="70">
        <f>COUNTIFS('Error Log'!$A:$A,$A305,'Error Log'!$F:$F,"Target")</f>
        <v>0</v>
      </c>
      <c r="J305" s="71">
        <f t="shared" si="4"/>
        <v>0</v>
      </c>
    </row>
    <row r="306" spans="1:10">
      <c r="A306" s="82"/>
      <c r="B306" s="70" t="str">
        <f>IF(ISBLANK(A306),"",INDEX('Error Log'!$A:$J,MATCH('Scores per segment'!$A306,'Error Log'!$A:$A,0),MATCH('Scores per segment'!B$1,'Error Log'!$A$1:$J$1,0)))</f>
        <v/>
      </c>
      <c r="C306" s="70" t="str">
        <f>IF(ISBLANK(A306),"",INDEX('Error Log'!$A:$J,MATCH('Scores per segment'!$A306,'Error Log'!$A:$A,0),MATCH('Scores per segment'!C$1,'Error Log'!$A$1:$J$1,0)))</f>
        <v/>
      </c>
      <c r="D306" s="70">
        <f>IF(H306=0,wdct(TRIM(C306)),0)</f>
        <v>0</v>
      </c>
      <c r="E306" s="70">
        <f>COUNTIFS('Error Log'!$A:$A,$A306,'Error Log'!$J:$J,E$1)</f>
        <v>0</v>
      </c>
      <c r="F306" s="70">
        <f>COUNTIFS('Error Log'!$A:$A,$A306,'Error Log'!$J:$J,F$1)</f>
        <v>0</v>
      </c>
      <c r="G306" s="70">
        <f>COUNTIFS('Error Log'!$A:$A,$A306,'Error Log'!$J:$J,G$1)</f>
        <v>0</v>
      </c>
      <c r="H306" s="70">
        <f>COUNTIFS('Error Log'!$A:$A,$A306,'Error Log'!$F:$F,"Source")</f>
        <v>0</v>
      </c>
      <c r="I306" s="70">
        <f>COUNTIFS('Error Log'!$A:$A,$A306,'Error Log'!$F:$F,"Target")</f>
        <v>0</v>
      </c>
      <c r="J306" s="71">
        <f t="shared" si="4"/>
        <v>0</v>
      </c>
    </row>
    <row r="307" spans="1:10">
      <c r="A307" s="82"/>
      <c r="B307" s="70" t="str">
        <f>IF(ISBLANK(A307),"",INDEX('Error Log'!$A:$J,MATCH('Scores per segment'!$A307,'Error Log'!$A:$A,0),MATCH('Scores per segment'!B$1,'Error Log'!$A$1:$J$1,0)))</f>
        <v/>
      </c>
      <c r="C307" s="70" t="str">
        <f>IF(ISBLANK(A307),"",INDEX('Error Log'!$A:$J,MATCH('Scores per segment'!$A307,'Error Log'!$A:$A,0),MATCH('Scores per segment'!C$1,'Error Log'!$A$1:$J$1,0)))</f>
        <v/>
      </c>
      <c r="D307" s="70">
        <f>IF(H307=0,wdct(TRIM(C307)),0)</f>
        <v>0</v>
      </c>
      <c r="E307" s="70">
        <f>COUNTIFS('Error Log'!$A:$A,$A307,'Error Log'!$J:$J,E$1)</f>
        <v>0</v>
      </c>
      <c r="F307" s="70">
        <f>COUNTIFS('Error Log'!$A:$A,$A307,'Error Log'!$J:$J,F$1)</f>
        <v>0</v>
      </c>
      <c r="G307" s="70">
        <f>COUNTIFS('Error Log'!$A:$A,$A307,'Error Log'!$J:$J,G$1)</f>
        <v>0</v>
      </c>
      <c r="H307" s="70">
        <f>COUNTIFS('Error Log'!$A:$A,$A307,'Error Log'!$F:$F,"Source")</f>
        <v>0</v>
      </c>
      <c r="I307" s="70">
        <f>COUNTIFS('Error Log'!$A:$A,$A307,'Error Log'!$F:$F,"Target")</f>
        <v>0</v>
      </c>
      <c r="J307" s="71">
        <f t="shared" si="4"/>
        <v>0</v>
      </c>
    </row>
    <row r="308" spans="1:10">
      <c r="A308" s="82"/>
      <c r="B308" s="70" t="str">
        <f>IF(ISBLANK(A308),"",INDEX('Error Log'!$A:$J,MATCH('Scores per segment'!$A308,'Error Log'!$A:$A,0),MATCH('Scores per segment'!B$1,'Error Log'!$A$1:$J$1,0)))</f>
        <v/>
      </c>
      <c r="C308" s="70" t="str">
        <f>IF(ISBLANK(A308),"",INDEX('Error Log'!$A:$J,MATCH('Scores per segment'!$A308,'Error Log'!$A:$A,0),MATCH('Scores per segment'!C$1,'Error Log'!$A$1:$J$1,0)))</f>
        <v/>
      </c>
      <c r="D308" s="70">
        <f>IF(H308=0,wdct(TRIM(C308)),0)</f>
        <v>0</v>
      </c>
      <c r="E308" s="70">
        <f>COUNTIFS('Error Log'!$A:$A,$A308,'Error Log'!$J:$J,E$1)</f>
        <v>0</v>
      </c>
      <c r="F308" s="70">
        <f>COUNTIFS('Error Log'!$A:$A,$A308,'Error Log'!$J:$J,F$1)</f>
        <v>0</v>
      </c>
      <c r="G308" s="70">
        <f>COUNTIFS('Error Log'!$A:$A,$A308,'Error Log'!$J:$J,G$1)</f>
        <v>0</v>
      </c>
      <c r="H308" s="70">
        <f>COUNTIFS('Error Log'!$A:$A,$A308,'Error Log'!$F:$F,"Source")</f>
        <v>0</v>
      </c>
      <c r="I308" s="70">
        <f>COUNTIFS('Error Log'!$A:$A,$A308,'Error Log'!$F:$F,"Target")</f>
        <v>0</v>
      </c>
      <c r="J308" s="71">
        <f t="shared" si="4"/>
        <v>0</v>
      </c>
    </row>
    <row r="309" spans="1:10">
      <c r="A309" s="82"/>
      <c r="B309" s="70" t="str">
        <f>IF(ISBLANK(A309),"",INDEX('Error Log'!$A:$J,MATCH('Scores per segment'!$A309,'Error Log'!$A:$A,0),MATCH('Scores per segment'!B$1,'Error Log'!$A$1:$J$1,0)))</f>
        <v/>
      </c>
      <c r="C309" s="70" t="str">
        <f>IF(ISBLANK(A309),"",INDEX('Error Log'!$A:$J,MATCH('Scores per segment'!$A309,'Error Log'!$A:$A,0),MATCH('Scores per segment'!C$1,'Error Log'!$A$1:$J$1,0)))</f>
        <v/>
      </c>
      <c r="D309" s="70">
        <f>IF(H309=0,wdct(TRIM(C309)),0)</f>
        <v>0</v>
      </c>
      <c r="E309" s="70">
        <f>COUNTIFS('Error Log'!$A:$A,$A309,'Error Log'!$J:$J,E$1)</f>
        <v>0</v>
      </c>
      <c r="F309" s="70">
        <f>COUNTIFS('Error Log'!$A:$A,$A309,'Error Log'!$J:$J,F$1)</f>
        <v>0</v>
      </c>
      <c r="G309" s="70">
        <f>COUNTIFS('Error Log'!$A:$A,$A309,'Error Log'!$J:$J,G$1)</f>
        <v>0</v>
      </c>
      <c r="H309" s="70">
        <f>COUNTIFS('Error Log'!$A:$A,$A309,'Error Log'!$F:$F,"Source")</f>
        <v>0</v>
      </c>
      <c r="I309" s="70">
        <f>COUNTIFS('Error Log'!$A:$A,$A309,'Error Log'!$F:$F,"Target")</f>
        <v>0</v>
      </c>
      <c r="J309" s="71">
        <f t="shared" si="4"/>
        <v>0</v>
      </c>
    </row>
    <row r="310" spans="1:10">
      <c r="A310" s="82"/>
      <c r="B310" s="70" t="str">
        <f>IF(ISBLANK(A310),"",INDEX('Error Log'!$A:$J,MATCH('Scores per segment'!$A310,'Error Log'!$A:$A,0),MATCH('Scores per segment'!B$1,'Error Log'!$A$1:$J$1,0)))</f>
        <v/>
      </c>
      <c r="C310" s="70" t="str">
        <f>IF(ISBLANK(A310),"",INDEX('Error Log'!$A:$J,MATCH('Scores per segment'!$A310,'Error Log'!$A:$A,0),MATCH('Scores per segment'!C$1,'Error Log'!$A$1:$J$1,0)))</f>
        <v/>
      </c>
      <c r="D310" s="70">
        <f>IF(H310=0,wdct(TRIM(C310)),0)</f>
        <v>0</v>
      </c>
      <c r="E310" s="70">
        <f>COUNTIFS('Error Log'!$A:$A,$A310,'Error Log'!$J:$J,E$1)</f>
        <v>0</v>
      </c>
      <c r="F310" s="70">
        <f>COUNTIFS('Error Log'!$A:$A,$A310,'Error Log'!$J:$J,F$1)</f>
        <v>0</v>
      </c>
      <c r="G310" s="70">
        <f>COUNTIFS('Error Log'!$A:$A,$A310,'Error Log'!$J:$J,G$1)</f>
        <v>0</v>
      </c>
      <c r="H310" s="70">
        <f>COUNTIFS('Error Log'!$A:$A,$A310,'Error Log'!$F:$F,"Source")</f>
        <v>0</v>
      </c>
      <c r="I310" s="70">
        <f>COUNTIFS('Error Log'!$A:$A,$A310,'Error Log'!$F:$F,"Target")</f>
        <v>0</v>
      </c>
      <c r="J310" s="71">
        <f t="shared" si="4"/>
        <v>0</v>
      </c>
    </row>
    <row r="311" spans="1:10">
      <c r="A311" s="82"/>
      <c r="B311" s="70" t="str">
        <f>IF(ISBLANK(A311),"",INDEX('Error Log'!$A:$J,MATCH('Scores per segment'!$A311,'Error Log'!$A:$A,0),MATCH('Scores per segment'!B$1,'Error Log'!$A$1:$J$1,0)))</f>
        <v/>
      </c>
      <c r="C311" s="70" t="str">
        <f>IF(ISBLANK(A311),"",INDEX('Error Log'!$A:$J,MATCH('Scores per segment'!$A311,'Error Log'!$A:$A,0),MATCH('Scores per segment'!C$1,'Error Log'!$A$1:$J$1,0)))</f>
        <v/>
      </c>
      <c r="D311" s="70">
        <f>IF(H311=0,wdct(TRIM(C311)),0)</f>
        <v>0</v>
      </c>
      <c r="E311" s="70">
        <f>COUNTIFS('Error Log'!$A:$A,$A311,'Error Log'!$J:$J,E$1)</f>
        <v>0</v>
      </c>
      <c r="F311" s="70">
        <f>COUNTIFS('Error Log'!$A:$A,$A311,'Error Log'!$J:$J,F$1)</f>
        <v>0</v>
      </c>
      <c r="G311" s="70">
        <f>COUNTIFS('Error Log'!$A:$A,$A311,'Error Log'!$J:$J,G$1)</f>
        <v>0</v>
      </c>
      <c r="H311" s="70">
        <f>COUNTIFS('Error Log'!$A:$A,$A311,'Error Log'!$F:$F,"Source")</f>
        <v>0</v>
      </c>
      <c r="I311" s="70">
        <f>COUNTIFS('Error Log'!$A:$A,$A311,'Error Log'!$F:$F,"Target")</f>
        <v>0</v>
      </c>
      <c r="J311" s="71">
        <f t="shared" si="4"/>
        <v>0</v>
      </c>
    </row>
    <row r="312" spans="1:10">
      <c r="A312" s="82"/>
      <c r="B312" s="70" t="str">
        <f>IF(ISBLANK(A312),"",INDEX('Error Log'!$A:$J,MATCH('Scores per segment'!$A312,'Error Log'!$A:$A,0),MATCH('Scores per segment'!B$1,'Error Log'!$A$1:$J$1,0)))</f>
        <v/>
      </c>
      <c r="C312" s="70" t="str">
        <f>IF(ISBLANK(A312),"",INDEX('Error Log'!$A:$J,MATCH('Scores per segment'!$A312,'Error Log'!$A:$A,0),MATCH('Scores per segment'!C$1,'Error Log'!$A$1:$J$1,0)))</f>
        <v/>
      </c>
      <c r="D312" s="70">
        <f>IF(H312=0,wdct(TRIM(C312)),0)</f>
        <v>0</v>
      </c>
      <c r="E312" s="70">
        <f>COUNTIFS('Error Log'!$A:$A,$A312,'Error Log'!$J:$J,E$1)</f>
        <v>0</v>
      </c>
      <c r="F312" s="70">
        <f>COUNTIFS('Error Log'!$A:$A,$A312,'Error Log'!$J:$J,F$1)</f>
        <v>0</v>
      </c>
      <c r="G312" s="70">
        <f>COUNTIFS('Error Log'!$A:$A,$A312,'Error Log'!$J:$J,G$1)</f>
        <v>0</v>
      </c>
      <c r="H312" s="70">
        <f>COUNTIFS('Error Log'!$A:$A,$A312,'Error Log'!$F:$F,"Source")</f>
        <v>0</v>
      </c>
      <c r="I312" s="70">
        <f>COUNTIFS('Error Log'!$A:$A,$A312,'Error Log'!$F:$F,"Target")</f>
        <v>0</v>
      </c>
      <c r="J312" s="71">
        <f t="shared" si="4"/>
        <v>0</v>
      </c>
    </row>
    <row r="313" spans="1:10">
      <c r="A313" s="82"/>
      <c r="B313" s="70" t="str">
        <f>IF(ISBLANK(A313),"",INDEX('Error Log'!$A:$J,MATCH('Scores per segment'!$A313,'Error Log'!$A:$A,0),MATCH('Scores per segment'!B$1,'Error Log'!$A$1:$J$1,0)))</f>
        <v/>
      </c>
      <c r="C313" s="70" t="str">
        <f>IF(ISBLANK(A313),"",INDEX('Error Log'!$A:$J,MATCH('Scores per segment'!$A313,'Error Log'!$A:$A,0),MATCH('Scores per segment'!C$1,'Error Log'!$A$1:$J$1,0)))</f>
        <v/>
      </c>
      <c r="D313" s="70">
        <f>IF(H313=0,wdct(TRIM(C313)),0)</f>
        <v>0</v>
      </c>
      <c r="E313" s="70">
        <f>COUNTIFS('Error Log'!$A:$A,$A313,'Error Log'!$J:$J,E$1)</f>
        <v>0</v>
      </c>
      <c r="F313" s="70">
        <f>COUNTIFS('Error Log'!$A:$A,$A313,'Error Log'!$J:$J,F$1)</f>
        <v>0</v>
      </c>
      <c r="G313" s="70">
        <f>COUNTIFS('Error Log'!$A:$A,$A313,'Error Log'!$J:$J,G$1)</f>
        <v>0</v>
      </c>
      <c r="H313" s="70">
        <f>COUNTIFS('Error Log'!$A:$A,$A313,'Error Log'!$F:$F,"Source")</f>
        <v>0</v>
      </c>
      <c r="I313" s="70">
        <f>COUNTIFS('Error Log'!$A:$A,$A313,'Error Log'!$F:$F,"Target")</f>
        <v>0</v>
      </c>
      <c r="J313" s="71">
        <f t="shared" si="4"/>
        <v>0</v>
      </c>
    </row>
    <row r="314" spans="1:10">
      <c r="A314" s="82"/>
      <c r="B314" s="70" t="str">
        <f>IF(ISBLANK(A314),"",INDEX('Error Log'!$A:$J,MATCH('Scores per segment'!$A314,'Error Log'!$A:$A,0),MATCH('Scores per segment'!B$1,'Error Log'!$A$1:$J$1,0)))</f>
        <v/>
      </c>
      <c r="C314" s="70" t="str">
        <f>IF(ISBLANK(A314),"",INDEX('Error Log'!$A:$J,MATCH('Scores per segment'!$A314,'Error Log'!$A:$A,0),MATCH('Scores per segment'!C$1,'Error Log'!$A$1:$J$1,0)))</f>
        <v/>
      </c>
      <c r="D314" s="70">
        <f>IF(H314=0,wdct(TRIM(C314)),0)</f>
        <v>0</v>
      </c>
      <c r="E314" s="70">
        <f>COUNTIFS('Error Log'!$A:$A,$A314,'Error Log'!$J:$J,E$1)</f>
        <v>0</v>
      </c>
      <c r="F314" s="70">
        <f>COUNTIFS('Error Log'!$A:$A,$A314,'Error Log'!$J:$J,F$1)</f>
        <v>0</v>
      </c>
      <c r="G314" s="70">
        <f>COUNTIFS('Error Log'!$A:$A,$A314,'Error Log'!$J:$J,G$1)</f>
        <v>0</v>
      </c>
      <c r="H314" s="70">
        <f>COUNTIFS('Error Log'!$A:$A,$A314,'Error Log'!$F:$F,"Source")</f>
        <v>0</v>
      </c>
      <c r="I314" s="70">
        <f>COUNTIFS('Error Log'!$A:$A,$A314,'Error Log'!$F:$F,"Target")</f>
        <v>0</v>
      </c>
      <c r="J314" s="71">
        <f t="shared" si="4"/>
        <v>0</v>
      </c>
    </row>
    <row r="315" spans="1:10">
      <c r="A315" s="82"/>
      <c r="B315" s="70" t="str">
        <f>IF(ISBLANK(A315),"",INDEX('Error Log'!$A:$J,MATCH('Scores per segment'!$A315,'Error Log'!$A:$A,0),MATCH('Scores per segment'!B$1,'Error Log'!$A$1:$J$1,0)))</f>
        <v/>
      </c>
      <c r="C315" s="70" t="str">
        <f>IF(ISBLANK(A315),"",INDEX('Error Log'!$A:$J,MATCH('Scores per segment'!$A315,'Error Log'!$A:$A,0),MATCH('Scores per segment'!C$1,'Error Log'!$A$1:$J$1,0)))</f>
        <v/>
      </c>
      <c r="D315" s="70">
        <f>IF(H315=0,wdct(TRIM(C315)),0)</f>
        <v>0</v>
      </c>
      <c r="E315" s="70">
        <f>COUNTIFS('Error Log'!$A:$A,$A315,'Error Log'!$J:$J,E$1)</f>
        <v>0</v>
      </c>
      <c r="F315" s="70">
        <f>COUNTIFS('Error Log'!$A:$A,$A315,'Error Log'!$J:$J,F$1)</f>
        <v>0</v>
      </c>
      <c r="G315" s="70">
        <f>COUNTIFS('Error Log'!$A:$A,$A315,'Error Log'!$J:$J,G$1)</f>
        <v>0</v>
      </c>
      <c r="H315" s="70">
        <f>COUNTIFS('Error Log'!$A:$A,$A315,'Error Log'!$F:$F,"Source")</f>
        <v>0</v>
      </c>
      <c r="I315" s="70">
        <f>COUNTIFS('Error Log'!$A:$A,$A315,'Error Log'!$F:$F,"Target")</f>
        <v>0</v>
      </c>
      <c r="J315" s="71">
        <f t="shared" si="4"/>
        <v>0</v>
      </c>
    </row>
    <row r="316" spans="1:10">
      <c r="A316" s="82"/>
      <c r="B316" s="70" t="str">
        <f>IF(ISBLANK(A316),"",INDEX('Error Log'!$A:$J,MATCH('Scores per segment'!$A316,'Error Log'!$A:$A,0),MATCH('Scores per segment'!B$1,'Error Log'!$A$1:$J$1,0)))</f>
        <v/>
      </c>
      <c r="C316" s="70" t="str">
        <f>IF(ISBLANK(A316),"",INDEX('Error Log'!$A:$J,MATCH('Scores per segment'!$A316,'Error Log'!$A:$A,0),MATCH('Scores per segment'!C$1,'Error Log'!$A$1:$J$1,0)))</f>
        <v/>
      </c>
      <c r="D316" s="70">
        <f>IF(H316=0,wdct(TRIM(C316)),0)</f>
        <v>0</v>
      </c>
      <c r="E316" s="70">
        <f>COUNTIFS('Error Log'!$A:$A,$A316,'Error Log'!$J:$J,E$1)</f>
        <v>0</v>
      </c>
      <c r="F316" s="70">
        <f>COUNTIFS('Error Log'!$A:$A,$A316,'Error Log'!$J:$J,F$1)</f>
        <v>0</v>
      </c>
      <c r="G316" s="70">
        <f>COUNTIFS('Error Log'!$A:$A,$A316,'Error Log'!$J:$J,G$1)</f>
        <v>0</v>
      </c>
      <c r="H316" s="70">
        <f>COUNTIFS('Error Log'!$A:$A,$A316,'Error Log'!$F:$F,"Source")</f>
        <v>0</v>
      </c>
      <c r="I316" s="70">
        <f>COUNTIFS('Error Log'!$A:$A,$A316,'Error Log'!$F:$F,"Target")</f>
        <v>0</v>
      </c>
      <c r="J316" s="71">
        <f t="shared" si="4"/>
        <v>0</v>
      </c>
    </row>
    <row r="317" spans="1:10">
      <c r="A317" s="82"/>
      <c r="B317" s="70" t="str">
        <f>IF(ISBLANK(A317),"",INDEX('Error Log'!$A:$J,MATCH('Scores per segment'!$A317,'Error Log'!$A:$A,0),MATCH('Scores per segment'!B$1,'Error Log'!$A$1:$J$1,0)))</f>
        <v/>
      </c>
      <c r="C317" s="70" t="str">
        <f>IF(ISBLANK(A317),"",INDEX('Error Log'!$A:$J,MATCH('Scores per segment'!$A317,'Error Log'!$A:$A,0),MATCH('Scores per segment'!C$1,'Error Log'!$A$1:$J$1,0)))</f>
        <v/>
      </c>
      <c r="D317" s="70">
        <f>IF(H317=0,wdct(TRIM(C317)),0)</f>
        <v>0</v>
      </c>
      <c r="E317" s="70">
        <f>COUNTIFS('Error Log'!$A:$A,$A317,'Error Log'!$J:$J,E$1)</f>
        <v>0</v>
      </c>
      <c r="F317" s="70">
        <f>COUNTIFS('Error Log'!$A:$A,$A317,'Error Log'!$J:$J,F$1)</f>
        <v>0</v>
      </c>
      <c r="G317" s="70">
        <f>COUNTIFS('Error Log'!$A:$A,$A317,'Error Log'!$J:$J,G$1)</f>
        <v>0</v>
      </c>
      <c r="H317" s="70">
        <f>COUNTIFS('Error Log'!$A:$A,$A317,'Error Log'!$F:$F,"Source")</f>
        <v>0</v>
      </c>
      <c r="I317" s="70">
        <f>COUNTIFS('Error Log'!$A:$A,$A317,'Error Log'!$F:$F,"Target")</f>
        <v>0</v>
      </c>
      <c r="J317" s="71">
        <f t="shared" ref="J317:J380" si="5">IF(I317=0,IFERROR((((1-((E317*10+F317*5+G317*1)/D317))*100)+100)/2,0),-150)</f>
        <v>0</v>
      </c>
    </row>
    <row r="318" spans="1:10">
      <c r="A318" s="82"/>
      <c r="B318" s="70" t="str">
        <f>IF(ISBLANK(A318),"",INDEX('Error Log'!$A:$J,MATCH('Scores per segment'!$A318,'Error Log'!$A:$A,0),MATCH('Scores per segment'!B$1,'Error Log'!$A$1:$J$1,0)))</f>
        <v/>
      </c>
      <c r="C318" s="70" t="str">
        <f>IF(ISBLANK(A318),"",INDEX('Error Log'!$A:$J,MATCH('Scores per segment'!$A318,'Error Log'!$A:$A,0),MATCH('Scores per segment'!C$1,'Error Log'!$A$1:$J$1,0)))</f>
        <v/>
      </c>
      <c r="D318" s="70">
        <f>IF(H318=0,wdct(TRIM(C318)),0)</f>
        <v>0</v>
      </c>
      <c r="E318" s="70">
        <f>COUNTIFS('Error Log'!$A:$A,$A318,'Error Log'!$J:$J,E$1)</f>
        <v>0</v>
      </c>
      <c r="F318" s="70">
        <f>COUNTIFS('Error Log'!$A:$A,$A318,'Error Log'!$J:$J,F$1)</f>
        <v>0</v>
      </c>
      <c r="G318" s="70">
        <f>COUNTIFS('Error Log'!$A:$A,$A318,'Error Log'!$J:$J,G$1)</f>
        <v>0</v>
      </c>
      <c r="H318" s="70">
        <f>COUNTIFS('Error Log'!$A:$A,$A318,'Error Log'!$F:$F,"Source")</f>
        <v>0</v>
      </c>
      <c r="I318" s="70">
        <f>COUNTIFS('Error Log'!$A:$A,$A318,'Error Log'!$F:$F,"Target")</f>
        <v>0</v>
      </c>
      <c r="J318" s="71">
        <f t="shared" si="5"/>
        <v>0</v>
      </c>
    </row>
    <row r="319" spans="1:10">
      <c r="A319" s="82"/>
      <c r="B319" s="70" t="str">
        <f>IF(ISBLANK(A319),"",INDEX('Error Log'!$A:$J,MATCH('Scores per segment'!$A319,'Error Log'!$A:$A,0),MATCH('Scores per segment'!B$1,'Error Log'!$A$1:$J$1,0)))</f>
        <v/>
      </c>
      <c r="C319" s="70" t="str">
        <f>IF(ISBLANK(A319),"",INDEX('Error Log'!$A:$J,MATCH('Scores per segment'!$A319,'Error Log'!$A:$A,0),MATCH('Scores per segment'!C$1,'Error Log'!$A$1:$J$1,0)))</f>
        <v/>
      </c>
      <c r="D319" s="70">
        <f>IF(H319=0,wdct(TRIM(C319)),0)</f>
        <v>0</v>
      </c>
      <c r="E319" s="70">
        <f>COUNTIFS('Error Log'!$A:$A,$A319,'Error Log'!$J:$J,E$1)</f>
        <v>0</v>
      </c>
      <c r="F319" s="70">
        <f>COUNTIFS('Error Log'!$A:$A,$A319,'Error Log'!$J:$J,F$1)</f>
        <v>0</v>
      </c>
      <c r="G319" s="70">
        <f>COUNTIFS('Error Log'!$A:$A,$A319,'Error Log'!$J:$J,G$1)</f>
        <v>0</v>
      </c>
      <c r="H319" s="70">
        <f>COUNTIFS('Error Log'!$A:$A,$A319,'Error Log'!$F:$F,"Source")</f>
        <v>0</v>
      </c>
      <c r="I319" s="70">
        <f>COUNTIFS('Error Log'!$A:$A,$A319,'Error Log'!$F:$F,"Target")</f>
        <v>0</v>
      </c>
      <c r="J319" s="71">
        <f t="shared" si="5"/>
        <v>0</v>
      </c>
    </row>
    <row r="320" spans="1:10">
      <c r="A320" s="82"/>
      <c r="B320" s="70" t="str">
        <f>IF(ISBLANK(A320),"",INDEX('Error Log'!$A:$J,MATCH('Scores per segment'!$A320,'Error Log'!$A:$A,0),MATCH('Scores per segment'!B$1,'Error Log'!$A$1:$J$1,0)))</f>
        <v/>
      </c>
      <c r="C320" s="70" t="str">
        <f>IF(ISBLANK(A320),"",INDEX('Error Log'!$A:$J,MATCH('Scores per segment'!$A320,'Error Log'!$A:$A,0),MATCH('Scores per segment'!C$1,'Error Log'!$A$1:$J$1,0)))</f>
        <v/>
      </c>
      <c r="D320" s="70">
        <f>IF(H320=0,wdct(TRIM(C320)),0)</f>
        <v>0</v>
      </c>
      <c r="E320" s="70">
        <f>COUNTIFS('Error Log'!$A:$A,$A320,'Error Log'!$J:$J,E$1)</f>
        <v>0</v>
      </c>
      <c r="F320" s="70">
        <f>COUNTIFS('Error Log'!$A:$A,$A320,'Error Log'!$J:$J,F$1)</f>
        <v>0</v>
      </c>
      <c r="G320" s="70">
        <f>COUNTIFS('Error Log'!$A:$A,$A320,'Error Log'!$J:$J,G$1)</f>
        <v>0</v>
      </c>
      <c r="H320" s="70">
        <f>COUNTIFS('Error Log'!$A:$A,$A320,'Error Log'!$F:$F,"Source")</f>
        <v>0</v>
      </c>
      <c r="I320" s="70">
        <f>COUNTIFS('Error Log'!$A:$A,$A320,'Error Log'!$F:$F,"Target")</f>
        <v>0</v>
      </c>
      <c r="J320" s="71">
        <f t="shared" si="5"/>
        <v>0</v>
      </c>
    </row>
    <row r="321" spans="1:10">
      <c r="A321" s="82"/>
      <c r="B321" s="70" t="str">
        <f>IF(ISBLANK(A321),"",INDEX('Error Log'!$A:$J,MATCH('Scores per segment'!$A321,'Error Log'!$A:$A,0),MATCH('Scores per segment'!B$1,'Error Log'!$A$1:$J$1,0)))</f>
        <v/>
      </c>
      <c r="C321" s="70" t="str">
        <f>IF(ISBLANK(A321),"",INDEX('Error Log'!$A:$J,MATCH('Scores per segment'!$A321,'Error Log'!$A:$A,0),MATCH('Scores per segment'!C$1,'Error Log'!$A$1:$J$1,0)))</f>
        <v/>
      </c>
      <c r="D321" s="70">
        <f>IF(H321=0,wdct(TRIM(C321)),0)</f>
        <v>0</v>
      </c>
      <c r="E321" s="70">
        <f>COUNTIFS('Error Log'!$A:$A,$A321,'Error Log'!$J:$J,E$1)</f>
        <v>0</v>
      </c>
      <c r="F321" s="70">
        <f>COUNTIFS('Error Log'!$A:$A,$A321,'Error Log'!$J:$J,F$1)</f>
        <v>0</v>
      </c>
      <c r="G321" s="70">
        <f>COUNTIFS('Error Log'!$A:$A,$A321,'Error Log'!$J:$J,G$1)</f>
        <v>0</v>
      </c>
      <c r="H321" s="70">
        <f>COUNTIFS('Error Log'!$A:$A,$A321,'Error Log'!$F:$F,"Source")</f>
        <v>0</v>
      </c>
      <c r="I321" s="70">
        <f>COUNTIFS('Error Log'!$A:$A,$A321,'Error Log'!$F:$F,"Target")</f>
        <v>0</v>
      </c>
      <c r="J321" s="71">
        <f t="shared" si="5"/>
        <v>0</v>
      </c>
    </row>
    <row r="322" spans="1:10">
      <c r="A322" s="82"/>
      <c r="B322" s="70" t="str">
        <f>IF(ISBLANK(A322),"",INDEX('Error Log'!$A:$J,MATCH('Scores per segment'!$A322,'Error Log'!$A:$A,0),MATCH('Scores per segment'!B$1,'Error Log'!$A$1:$J$1,0)))</f>
        <v/>
      </c>
      <c r="C322" s="70" t="str">
        <f>IF(ISBLANK(A322),"",INDEX('Error Log'!$A:$J,MATCH('Scores per segment'!$A322,'Error Log'!$A:$A,0),MATCH('Scores per segment'!C$1,'Error Log'!$A$1:$J$1,0)))</f>
        <v/>
      </c>
      <c r="D322" s="70">
        <f>IF(H322=0,wdct(TRIM(C322)),0)</f>
        <v>0</v>
      </c>
      <c r="E322" s="70">
        <f>COUNTIFS('Error Log'!$A:$A,$A322,'Error Log'!$J:$J,E$1)</f>
        <v>0</v>
      </c>
      <c r="F322" s="70">
        <f>COUNTIFS('Error Log'!$A:$A,$A322,'Error Log'!$J:$J,F$1)</f>
        <v>0</v>
      </c>
      <c r="G322" s="70">
        <f>COUNTIFS('Error Log'!$A:$A,$A322,'Error Log'!$J:$J,G$1)</f>
        <v>0</v>
      </c>
      <c r="H322" s="70">
        <f>COUNTIFS('Error Log'!$A:$A,$A322,'Error Log'!$F:$F,"Source")</f>
        <v>0</v>
      </c>
      <c r="I322" s="70">
        <f>COUNTIFS('Error Log'!$A:$A,$A322,'Error Log'!$F:$F,"Target")</f>
        <v>0</v>
      </c>
      <c r="J322" s="71">
        <f t="shared" si="5"/>
        <v>0</v>
      </c>
    </row>
    <row r="323" spans="1:10">
      <c r="A323" s="82"/>
      <c r="B323" s="70" t="str">
        <f>IF(ISBLANK(A323),"",INDEX('Error Log'!$A:$J,MATCH('Scores per segment'!$A323,'Error Log'!$A:$A,0),MATCH('Scores per segment'!B$1,'Error Log'!$A$1:$J$1,0)))</f>
        <v/>
      </c>
      <c r="C323" s="70" t="str">
        <f>IF(ISBLANK(A323),"",INDEX('Error Log'!$A:$J,MATCH('Scores per segment'!$A323,'Error Log'!$A:$A,0),MATCH('Scores per segment'!C$1,'Error Log'!$A$1:$J$1,0)))</f>
        <v/>
      </c>
      <c r="D323" s="70">
        <f>IF(H323=0,wdct(TRIM(C323)),0)</f>
        <v>0</v>
      </c>
      <c r="E323" s="70">
        <f>COUNTIFS('Error Log'!$A:$A,$A323,'Error Log'!$J:$J,E$1)</f>
        <v>0</v>
      </c>
      <c r="F323" s="70">
        <f>COUNTIFS('Error Log'!$A:$A,$A323,'Error Log'!$J:$J,F$1)</f>
        <v>0</v>
      </c>
      <c r="G323" s="70">
        <f>COUNTIFS('Error Log'!$A:$A,$A323,'Error Log'!$J:$J,G$1)</f>
        <v>0</v>
      </c>
      <c r="H323" s="70">
        <f>COUNTIFS('Error Log'!$A:$A,$A323,'Error Log'!$F:$F,"Source")</f>
        <v>0</v>
      </c>
      <c r="I323" s="70">
        <f>COUNTIFS('Error Log'!$A:$A,$A323,'Error Log'!$F:$F,"Target")</f>
        <v>0</v>
      </c>
      <c r="J323" s="71">
        <f t="shared" si="5"/>
        <v>0</v>
      </c>
    </row>
    <row r="324" spans="1:10">
      <c r="A324" s="82"/>
      <c r="B324" s="70" t="str">
        <f>IF(ISBLANK(A324),"",INDEX('Error Log'!$A:$J,MATCH('Scores per segment'!$A324,'Error Log'!$A:$A,0),MATCH('Scores per segment'!B$1,'Error Log'!$A$1:$J$1,0)))</f>
        <v/>
      </c>
      <c r="C324" s="70" t="str">
        <f>IF(ISBLANK(A324),"",INDEX('Error Log'!$A:$J,MATCH('Scores per segment'!$A324,'Error Log'!$A:$A,0),MATCH('Scores per segment'!C$1,'Error Log'!$A$1:$J$1,0)))</f>
        <v/>
      </c>
      <c r="D324" s="70">
        <f>IF(H324=0,wdct(TRIM(C324)),0)</f>
        <v>0</v>
      </c>
      <c r="E324" s="70">
        <f>COUNTIFS('Error Log'!$A:$A,$A324,'Error Log'!$J:$J,E$1)</f>
        <v>0</v>
      </c>
      <c r="F324" s="70">
        <f>COUNTIFS('Error Log'!$A:$A,$A324,'Error Log'!$J:$J,F$1)</f>
        <v>0</v>
      </c>
      <c r="G324" s="70">
        <f>COUNTIFS('Error Log'!$A:$A,$A324,'Error Log'!$J:$J,G$1)</f>
        <v>0</v>
      </c>
      <c r="H324" s="70">
        <f>COUNTIFS('Error Log'!$A:$A,$A324,'Error Log'!$F:$F,"Source")</f>
        <v>0</v>
      </c>
      <c r="I324" s="70">
        <f>COUNTIFS('Error Log'!$A:$A,$A324,'Error Log'!$F:$F,"Target")</f>
        <v>0</v>
      </c>
      <c r="J324" s="71">
        <f t="shared" si="5"/>
        <v>0</v>
      </c>
    </row>
    <row r="325" spans="1:10">
      <c r="A325" s="82"/>
      <c r="B325" s="70" t="str">
        <f>IF(ISBLANK(A325),"",INDEX('Error Log'!$A:$J,MATCH('Scores per segment'!$A325,'Error Log'!$A:$A,0),MATCH('Scores per segment'!B$1,'Error Log'!$A$1:$J$1,0)))</f>
        <v/>
      </c>
      <c r="C325" s="70" t="str">
        <f>IF(ISBLANK(A325),"",INDEX('Error Log'!$A:$J,MATCH('Scores per segment'!$A325,'Error Log'!$A:$A,0),MATCH('Scores per segment'!C$1,'Error Log'!$A$1:$J$1,0)))</f>
        <v/>
      </c>
      <c r="D325" s="70">
        <f>IF(H325=0,wdct(TRIM(C325)),0)</f>
        <v>0</v>
      </c>
      <c r="E325" s="70">
        <f>COUNTIFS('Error Log'!$A:$A,$A325,'Error Log'!$J:$J,E$1)</f>
        <v>0</v>
      </c>
      <c r="F325" s="70">
        <f>COUNTIFS('Error Log'!$A:$A,$A325,'Error Log'!$J:$J,F$1)</f>
        <v>0</v>
      </c>
      <c r="G325" s="70">
        <f>COUNTIFS('Error Log'!$A:$A,$A325,'Error Log'!$J:$J,G$1)</f>
        <v>0</v>
      </c>
      <c r="H325" s="70">
        <f>COUNTIFS('Error Log'!$A:$A,$A325,'Error Log'!$F:$F,"Source")</f>
        <v>0</v>
      </c>
      <c r="I325" s="70">
        <f>COUNTIFS('Error Log'!$A:$A,$A325,'Error Log'!$F:$F,"Target")</f>
        <v>0</v>
      </c>
      <c r="J325" s="71">
        <f t="shared" si="5"/>
        <v>0</v>
      </c>
    </row>
    <row r="326" spans="1:10">
      <c r="A326" s="82"/>
      <c r="B326" s="70" t="str">
        <f>IF(ISBLANK(A326),"",INDEX('Error Log'!$A:$J,MATCH('Scores per segment'!$A326,'Error Log'!$A:$A,0),MATCH('Scores per segment'!B$1,'Error Log'!$A$1:$J$1,0)))</f>
        <v/>
      </c>
      <c r="C326" s="70" t="str">
        <f>IF(ISBLANK(A326),"",INDEX('Error Log'!$A:$J,MATCH('Scores per segment'!$A326,'Error Log'!$A:$A,0),MATCH('Scores per segment'!C$1,'Error Log'!$A$1:$J$1,0)))</f>
        <v/>
      </c>
      <c r="D326" s="70">
        <f>IF(H326=0,wdct(TRIM(C326)),0)</f>
        <v>0</v>
      </c>
      <c r="E326" s="70">
        <f>COUNTIFS('Error Log'!$A:$A,$A326,'Error Log'!$J:$J,E$1)</f>
        <v>0</v>
      </c>
      <c r="F326" s="70">
        <f>COUNTIFS('Error Log'!$A:$A,$A326,'Error Log'!$J:$J,F$1)</f>
        <v>0</v>
      </c>
      <c r="G326" s="70">
        <f>COUNTIFS('Error Log'!$A:$A,$A326,'Error Log'!$J:$J,G$1)</f>
        <v>0</v>
      </c>
      <c r="H326" s="70">
        <f>COUNTIFS('Error Log'!$A:$A,$A326,'Error Log'!$F:$F,"Source")</f>
        <v>0</v>
      </c>
      <c r="I326" s="70">
        <f>COUNTIFS('Error Log'!$A:$A,$A326,'Error Log'!$F:$F,"Target")</f>
        <v>0</v>
      </c>
      <c r="J326" s="71">
        <f t="shared" si="5"/>
        <v>0</v>
      </c>
    </row>
    <row r="327" spans="1:10">
      <c r="A327" s="82"/>
      <c r="B327" s="70" t="str">
        <f>IF(ISBLANK(A327),"",INDEX('Error Log'!$A:$J,MATCH('Scores per segment'!$A327,'Error Log'!$A:$A,0),MATCH('Scores per segment'!B$1,'Error Log'!$A$1:$J$1,0)))</f>
        <v/>
      </c>
      <c r="C327" s="70" t="str">
        <f>IF(ISBLANK(A327),"",INDEX('Error Log'!$A:$J,MATCH('Scores per segment'!$A327,'Error Log'!$A:$A,0),MATCH('Scores per segment'!C$1,'Error Log'!$A$1:$J$1,0)))</f>
        <v/>
      </c>
      <c r="D327" s="70">
        <f>IF(H327=0,wdct(TRIM(C327)),0)</f>
        <v>0</v>
      </c>
      <c r="E327" s="70">
        <f>COUNTIFS('Error Log'!$A:$A,$A327,'Error Log'!$J:$J,E$1)</f>
        <v>0</v>
      </c>
      <c r="F327" s="70">
        <f>COUNTIFS('Error Log'!$A:$A,$A327,'Error Log'!$J:$J,F$1)</f>
        <v>0</v>
      </c>
      <c r="G327" s="70">
        <f>COUNTIFS('Error Log'!$A:$A,$A327,'Error Log'!$J:$J,G$1)</f>
        <v>0</v>
      </c>
      <c r="H327" s="70">
        <f>COUNTIFS('Error Log'!$A:$A,$A327,'Error Log'!$F:$F,"Source")</f>
        <v>0</v>
      </c>
      <c r="I327" s="70">
        <f>COUNTIFS('Error Log'!$A:$A,$A327,'Error Log'!$F:$F,"Target")</f>
        <v>0</v>
      </c>
      <c r="J327" s="71">
        <f t="shared" si="5"/>
        <v>0</v>
      </c>
    </row>
    <row r="328" spans="1:10">
      <c r="A328" s="82"/>
      <c r="B328" s="70" t="str">
        <f>IF(ISBLANK(A328),"",INDEX('Error Log'!$A:$J,MATCH('Scores per segment'!$A328,'Error Log'!$A:$A,0),MATCH('Scores per segment'!B$1,'Error Log'!$A$1:$J$1,0)))</f>
        <v/>
      </c>
      <c r="C328" s="70" t="str">
        <f>IF(ISBLANK(A328),"",INDEX('Error Log'!$A:$J,MATCH('Scores per segment'!$A328,'Error Log'!$A:$A,0),MATCH('Scores per segment'!C$1,'Error Log'!$A$1:$J$1,0)))</f>
        <v/>
      </c>
      <c r="D328" s="70">
        <f>IF(H328=0,wdct(TRIM(C328)),0)</f>
        <v>0</v>
      </c>
      <c r="E328" s="70">
        <f>COUNTIFS('Error Log'!$A:$A,$A328,'Error Log'!$J:$J,E$1)</f>
        <v>0</v>
      </c>
      <c r="F328" s="70">
        <f>COUNTIFS('Error Log'!$A:$A,$A328,'Error Log'!$J:$J,F$1)</f>
        <v>0</v>
      </c>
      <c r="G328" s="70">
        <f>COUNTIFS('Error Log'!$A:$A,$A328,'Error Log'!$J:$J,G$1)</f>
        <v>0</v>
      </c>
      <c r="H328" s="70">
        <f>COUNTIFS('Error Log'!$A:$A,$A328,'Error Log'!$F:$F,"Source")</f>
        <v>0</v>
      </c>
      <c r="I328" s="70">
        <f>COUNTIFS('Error Log'!$A:$A,$A328,'Error Log'!$F:$F,"Target")</f>
        <v>0</v>
      </c>
      <c r="J328" s="71">
        <f t="shared" si="5"/>
        <v>0</v>
      </c>
    </row>
    <row r="329" spans="1:10">
      <c r="A329" s="82"/>
      <c r="B329" s="70" t="str">
        <f>IF(ISBLANK(A329),"",INDEX('Error Log'!$A:$J,MATCH('Scores per segment'!$A329,'Error Log'!$A:$A,0),MATCH('Scores per segment'!B$1,'Error Log'!$A$1:$J$1,0)))</f>
        <v/>
      </c>
      <c r="C329" s="70" t="str">
        <f>IF(ISBLANK(A329),"",INDEX('Error Log'!$A:$J,MATCH('Scores per segment'!$A329,'Error Log'!$A:$A,0),MATCH('Scores per segment'!C$1,'Error Log'!$A$1:$J$1,0)))</f>
        <v/>
      </c>
      <c r="D329" s="70">
        <f>IF(H329=0,wdct(TRIM(C329)),0)</f>
        <v>0</v>
      </c>
      <c r="E329" s="70">
        <f>COUNTIFS('Error Log'!$A:$A,$A329,'Error Log'!$J:$J,E$1)</f>
        <v>0</v>
      </c>
      <c r="F329" s="70">
        <f>COUNTIFS('Error Log'!$A:$A,$A329,'Error Log'!$J:$J,F$1)</f>
        <v>0</v>
      </c>
      <c r="G329" s="70">
        <f>COUNTIFS('Error Log'!$A:$A,$A329,'Error Log'!$J:$J,G$1)</f>
        <v>0</v>
      </c>
      <c r="H329" s="70">
        <f>COUNTIFS('Error Log'!$A:$A,$A329,'Error Log'!$F:$F,"Source")</f>
        <v>0</v>
      </c>
      <c r="I329" s="70">
        <f>COUNTIFS('Error Log'!$A:$A,$A329,'Error Log'!$F:$F,"Target")</f>
        <v>0</v>
      </c>
      <c r="J329" s="71">
        <f t="shared" si="5"/>
        <v>0</v>
      </c>
    </row>
    <row r="330" spans="1:10">
      <c r="A330" s="82"/>
      <c r="B330" s="70" t="str">
        <f>IF(ISBLANK(A330),"",INDEX('Error Log'!$A:$J,MATCH('Scores per segment'!$A330,'Error Log'!$A:$A,0),MATCH('Scores per segment'!B$1,'Error Log'!$A$1:$J$1,0)))</f>
        <v/>
      </c>
      <c r="C330" s="70" t="str">
        <f>IF(ISBLANK(A330),"",INDEX('Error Log'!$A:$J,MATCH('Scores per segment'!$A330,'Error Log'!$A:$A,0),MATCH('Scores per segment'!C$1,'Error Log'!$A$1:$J$1,0)))</f>
        <v/>
      </c>
      <c r="D330" s="70">
        <f>IF(H330=0,wdct(TRIM(C330)),0)</f>
        <v>0</v>
      </c>
      <c r="E330" s="70">
        <f>COUNTIFS('Error Log'!$A:$A,$A330,'Error Log'!$J:$J,E$1)</f>
        <v>0</v>
      </c>
      <c r="F330" s="70">
        <f>COUNTIFS('Error Log'!$A:$A,$A330,'Error Log'!$J:$J,F$1)</f>
        <v>0</v>
      </c>
      <c r="G330" s="70">
        <f>COUNTIFS('Error Log'!$A:$A,$A330,'Error Log'!$J:$J,G$1)</f>
        <v>0</v>
      </c>
      <c r="H330" s="70">
        <f>COUNTIFS('Error Log'!$A:$A,$A330,'Error Log'!$F:$F,"Source")</f>
        <v>0</v>
      </c>
      <c r="I330" s="70">
        <f>COUNTIFS('Error Log'!$A:$A,$A330,'Error Log'!$F:$F,"Target")</f>
        <v>0</v>
      </c>
      <c r="J330" s="71">
        <f t="shared" si="5"/>
        <v>0</v>
      </c>
    </row>
    <row r="331" spans="1:10">
      <c r="A331" s="82"/>
      <c r="B331" s="70" t="str">
        <f>IF(ISBLANK(A331),"",INDEX('Error Log'!$A:$J,MATCH('Scores per segment'!$A331,'Error Log'!$A:$A,0),MATCH('Scores per segment'!B$1,'Error Log'!$A$1:$J$1,0)))</f>
        <v/>
      </c>
      <c r="C331" s="70" t="str">
        <f>IF(ISBLANK(A331),"",INDEX('Error Log'!$A:$J,MATCH('Scores per segment'!$A331,'Error Log'!$A:$A,0),MATCH('Scores per segment'!C$1,'Error Log'!$A$1:$J$1,0)))</f>
        <v/>
      </c>
      <c r="D331" s="70">
        <f>IF(H331=0,wdct(TRIM(C331)),0)</f>
        <v>0</v>
      </c>
      <c r="E331" s="70">
        <f>COUNTIFS('Error Log'!$A:$A,$A331,'Error Log'!$J:$J,E$1)</f>
        <v>0</v>
      </c>
      <c r="F331" s="70">
        <f>COUNTIFS('Error Log'!$A:$A,$A331,'Error Log'!$J:$J,F$1)</f>
        <v>0</v>
      </c>
      <c r="G331" s="70">
        <f>COUNTIFS('Error Log'!$A:$A,$A331,'Error Log'!$J:$J,G$1)</f>
        <v>0</v>
      </c>
      <c r="H331" s="70">
        <f>COUNTIFS('Error Log'!$A:$A,$A331,'Error Log'!$F:$F,"Source")</f>
        <v>0</v>
      </c>
      <c r="I331" s="70">
        <f>COUNTIFS('Error Log'!$A:$A,$A331,'Error Log'!$F:$F,"Target")</f>
        <v>0</v>
      </c>
      <c r="J331" s="71">
        <f t="shared" si="5"/>
        <v>0</v>
      </c>
    </row>
    <row r="332" spans="1:10">
      <c r="A332" s="82"/>
      <c r="B332" s="70" t="str">
        <f>IF(ISBLANK(A332),"",INDEX('Error Log'!$A:$J,MATCH('Scores per segment'!$A332,'Error Log'!$A:$A,0),MATCH('Scores per segment'!B$1,'Error Log'!$A$1:$J$1,0)))</f>
        <v/>
      </c>
      <c r="C332" s="70" t="str">
        <f>IF(ISBLANK(A332),"",INDEX('Error Log'!$A:$J,MATCH('Scores per segment'!$A332,'Error Log'!$A:$A,0),MATCH('Scores per segment'!C$1,'Error Log'!$A$1:$J$1,0)))</f>
        <v/>
      </c>
      <c r="D332" s="70">
        <f>IF(H332=0,wdct(TRIM(C332)),0)</f>
        <v>0</v>
      </c>
      <c r="E332" s="70">
        <f>COUNTIFS('Error Log'!$A:$A,$A332,'Error Log'!$J:$J,E$1)</f>
        <v>0</v>
      </c>
      <c r="F332" s="70">
        <f>COUNTIFS('Error Log'!$A:$A,$A332,'Error Log'!$J:$J,F$1)</f>
        <v>0</v>
      </c>
      <c r="G332" s="70">
        <f>COUNTIFS('Error Log'!$A:$A,$A332,'Error Log'!$J:$J,G$1)</f>
        <v>0</v>
      </c>
      <c r="H332" s="70">
        <f>COUNTIFS('Error Log'!$A:$A,$A332,'Error Log'!$F:$F,"Source")</f>
        <v>0</v>
      </c>
      <c r="I332" s="70">
        <f>COUNTIFS('Error Log'!$A:$A,$A332,'Error Log'!$F:$F,"Target")</f>
        <v>0</v>
      </c>
      <c r="J332" s="71">
        <f t="shared" si="5"/>
        <v>0</v>
      </c>
    </row>
    <row r="333" spans="1:10">
      <c r="A333" s="82"/>
      <c r="B333" s="70" t="str">
        <f>IF(ISBLANK(A333),"",INDEX('Error Log'!$A:$J,MATCH('Scores per segment'!$A333,'Error Log'!$A:$A,0),MATCH('Scores per segment'!B$1,'Error Log'!$A$1:$J$1,0)))</f>
        <v/>
      </c>
      <c r="C333" s="70" t="str">
        <f>IF(ISBLANK(A333),"",INDEX('Error Log'!$A:$J,MATCH('Scores per segment'!$A333,'Error Log'!$A:$A,0),MATCH('Scores per segment'!C$1,'Error Log'!$A$1:$J$1,0)))</f>
        <v/>
      </c>
      <c r="D333" s="70">
        <f>IF(H333=0,wdct(TRIM(C333)),0)</f>
        <v>0</v>
      </c>
      <c r="E333" s="70">
        <f>COUNTIFS('Error Log'!$A:$A,$A333,'Error Log'!$J:$J,E$1)</f>
        <v>0</v>
      </c>
      <c r="F333" s="70">
        <f>COUNTIFS('Error Log'!$A:$A,$A333,'Error Log'!$J:$J,F$1)</f>
        <v>0</v>
      </c>
      <c r="G333" s="70">
        <f>COUNTIFS('Error Log'!$A:$A,$A333,'Error Log'!$J:$J,G$1)</f>
        <v>0</v>
      </c>
      <c r="H333" s="70">
        <f>COUNTIFS('Error Log'!$A:$A,$A333,'Error Log'!$F:$F,"Source")</f>
        <v>0</v>
      </c>
      <c r="I333" s="70">
        <f>COUNTIFS('Error Log'!$A:$A,$A333,'Error Log'!$F:$F,"Target")</f>
        <v>0</v>
      </c>
      <c r="J333" s="71">
        <f t="shared" si="5"/>
        <v>0</v>
      </c>
    </row>
    <row r="334" spans="1:10">
      <c r="A334" s="82"/>
      <c r="B334" s="70" t="str">
        <f>IF(ISBLANK(A334),"",INDEX('Error Log'!$A:$J,MATCH('Scores per segment'!$A334,'Error Log'!$A:$A,0),MATCH('Scores per segment'!B$1,'Error Log'!$A$1:$J$1,0)))</f>
        <v/>
      </c>
      <c r="C334" s="70" t="str">
        <f>IF(ISBLANK(A334),"",INDEX('Error Log'!$A:$J,MATCH('Scores per segment'!$A334,'Error Log'!$A:$A,0),MATCH('Scores per segment'!C$1,'Error Log'!$A$1:$J$1,0)))</f>
        <v/>
      </c>
      <c r="D334" s="70">
        <f>IF(H334=0,wdct(TRIM(C334)),0)</f>
        <v>0</v>
      </c>
      <c r="E334" s="70">
        <f>COUNTIFS('Error Log'!$A:$A,$A334,'Error Log'!$J:$J,E$1)</f>
        <v>0</v>
      </c>
      <c r="F334" s="70">
        <f>COUNTIFS('Error Log'!$A:$A,$A334,'Error Log'!$J:$J,F$1)</f>
        <v>0</v>
      </c>
      <c r="G334" s="70">
        <f>COUNTIFS('Error Log'!$A:$A,$A334,'Error Log'!$J:$J,G$1)</f>
        <v>0</v>
      </c>
      <c r="H334" s="70">
        <f>COUNTIFS('Error Log'!$A:$A,$A334,'Error Log'!$F:$F,"Source")</f>
        <v>0</v>
      </c>
      <c r="I334" s="70">
        <f>COUNTIFS('Error Log'!$A:$A,$A334,'Error Log'!$F:$F,"Target")</f>
        <v>0</v>
      </c>
      <c r="J334" s="71">
        <f t="shared" si="5"/>
        <v>0</v>
      </c>
    </row>
    <row r="335" spans="1:10">
      <c r="A335" s="82"/>
      <c r="B335" s="70" t="str">
        <f>IF(ISBLANK(A335),"",INDEX('Error Log'!$A:$J,MATCH('Scores per segment'!$A335,'Error Log'!$A:$A,0),MATCH('Scores per segment'!B$1,'Error Log'!$A$1:$J$1,0)))</f>
        <v/>
      </c>
      <c r="C335" s="70" t="str">
        <f>IF(ISBLANK(A335),"",INDEX('Error Log'!$A:$J,MATCH('Scores per segment'!$A335,'Error Log'!$A:$A,0),MATCH('Scores per segment'!C$1,'Error Log'!$A$1:$J$1,0)))</f>
        <v/>
      </c>
      <c r="D335" s="70">
        <f>IF(H335=0,wdct(TRIM(C335)),0)</f>
        <v>0</v>
      </c>
      <c r="E335" s="70">
        <f>COUNTIFS('Error Log'!$A:$A,$A335,'Error Log'!$J:$J,E$1)</f>
        <v>0</v>
      </c>
      <c r="F335" s="70">
        <f>COUNTIFS('Error Log'!$A:$A,$A335,'Error Log'!$J:$J,F$1)</f>
        <v>0</v>
      </c>
      <c r="G335" s="70">
        <f>COUNTIFS('Error Log'!$A:$A,$A335,'Error Log'!$J:$J,G$1)</f>
        <v>0</v>
      </c>
      <c r="H335" s="70">
        <f>COUNTIFS('Error Log'!$A:$A,$A335,'Error Log'!$F:$F,"Source")</f>
        <v>0</v>
      </c>
      <c r="I335" s="70">
        <f>COUNTIFS('Error Log'!$A:$A,$A335,'Error Log'!$F:$F,"Target")</f>
        <v>0</v>
      </c>
      <c r="J335" s="71">
        <f t="shared" si="5"/>
        <v>0</v>
      </c>
    </row>
    <row r="336" spans="1:10">
      <c r="A336" s="82"/>
      <c r="B336" s="70" t="str">
        <f>IF(ISBLANK(A336),"",INDEX('Error Log'!$A:$J,MATCH('Scores per segment'!$A336,'Error Log'!$A:$A,0),MATCH('Scores per segment'!B$1,'Error Log'!$A$1:$J$1,0)))</f>
        <v/>
      </c>
      <c r="C336" s="70" t="str">
        <f>IF(ISBLANK(A336),"",INDEX('Error Log'!$A:$J,MATCH('Scores per segment'!$A336,'Error Log'!$A:$A,0),MATCH('Scores per segment'!C$1,'Error Log'!$A$1:$J$1,0)))</f>
        <v/>
      </c>
      <c r="D336" s="70">
        <f>IF(H336=0,wdct(TRIM(C336)),0)</f>
        <v>0</v>
      </c>
      <c r="E336" s="70">
        <f>COUNTIFS('Error Log'!$A:$A,$A336,'Error Log'!$J:$J,E$1)</f>
        <v>0</v>
      </c>
      <c r="F336" s="70">
        <f>COUNTIFS('Error Log'!$A:$A,$A336,'Error Log'!$J:$J,F$1)</f>
        <v>0</v>
      </c>
      <c r="G336" s="70">
        <f>COUNTIFS('Error Log'!$A:$A,$A336,'Error Log'!$J:$J,G$1)</f>
        <v>0</v>
      </c>
      <c r="H336" s="70">
        <f>COUNTIFS('Error Log'!$A:$A,$A336,'Error Log'!$F:$F,"Source")</f>
        <v>0</v>
      </c>
      <c r="I336" s="70">
        <f>COUNTIFS('Error Log'!$A:$A,$A336,'Error Log'!$F:$F,"Target")</f>
        <v>0</v>
      </c>
      <c r="J336" s="71">
        <f t="shared" si="5"/>
        <v>0</v>
      </c>
    </row>
    <row r="337" spans="1:10">
      <c r="A337" s="82"/>
      <c r="B337" s="70" t="str">
        <f>IF(ISBLANK(A337),"",INDEX('Error Log'!$A:$J,MATCH('Scores per segment'!$A337,'Error Log'!$A:$A,0),MATCH('Scores per segment'!B$1,'Error Log'!$A$1:$J$1,0)))</f>
        <v/>
      </c>
      <c r="C337" s="70" t="str">
        <f>IF(ISBLANK(A337),"",INDEX('Error Log'!$A:$J,MATCH('Scores per segment'!$A337,'Error Log'!$A:$A,0),MATCH('Scores per segment'!C$1,'Error Log'!$A$1:$J$1,0)))</f>
        <v/>
      </c>
      <c r="D337" s="70">
        <f>IF(H337=0,wdct(TRIM(C337)),0)</f>
        <v>0</v>
      </c>
      <c r="E337" s="70">
        <f>COUNTIFS('Error Log'!$A:$A,$A337,'Error Log'!$J:$J,E$1)</f>
        <v>0</v>
      </c>
      <c r="F337" s="70">
        <f>COUNTIFS('Error Log'!$A:$A,$A337,'Error Log'!$J:$J,F$1)</f>
        <v>0</v>
      </c>
      <c r="G337" s="70">
        <f>COUNTIFS('Error Log'!$A:$A,$A337,'Error Log'!$J:$J,G$1)</f>
        <v>0</v>
      </c>
      <c r="H337" s="70">
        <f>COUNTIFS('Error Log'!$A:$A,$A337,'Error Log'!$F:$F,"Source")</f>
        <v>0</v>
      </c>
      <c r="I337" s="70">
        <f>COUNTIFS('Error Log'!$A:$A,$A337,'Error Log'!$F:$F,"Target")</f>
        <v>0</v>
      </c>
      <c r="J337" s="71">
        <f t="shared" si="5"/>
        <v>0</v>
      </c>
    </row>
    <row r="338" spans="1:10">
      <c r="A338" s="82"/>
      <c r="B338" s="70" t="str">
        <f>IF(ISBLANK(A338),"",INDEX('Error Log'!$A:$J,MATCH('Scores per segment'!$A338,'Error Log'!$A:$A,0),MATCH('Scores per segment'!B$1,'Error Log'!$A$1:$J$1,0)))</f>
        <v/>
      </c>
      <c r="C338" s="70" t="str">
        <f>IF(ISBLANK(A338),"",INDEX('Error Log'!$A:$J,MATCH('Scores per segment'!$A338,'Error Log'!$A:$A,0),MATCH('Scores per segment'!C$1,'Error Log'!$A$1:$J$1,0)))</f>
        <v/>
      </c>
      <c r="D338" s="70">
        <f>IF(H338=0,wdct(TRIM(C338)),0)</f>
        <v>0</v>
      </c>
      <c r="E338" s="70">
        <f>COUNTIFS('Error Log'!$A:$A,$A338,'Error Log'!$J:$J,E$1)</f>
        <v>0</v>
      </c>
      <c r="F338" s="70">
        <f>COUNTIFS('Error Log'!$A:$A,$A338,'Error Log'!$J:$J,F$1)</f>
        <v>0</v>
      </c>
      <c r="G338" s="70">
        <f>COUNTIFS('Error Log'!$A:$A,$A338,'Error Log'!$J:$J,G$1)</f>
        <v>0</v>
      </c>
      <c r="H338" s="70">
        <f>COUNTIFS('Error Log'!$A:$A,$A338,'Error Log'!$F:$F,"Source")</f>
        <v>0</v>
      </c>
      <c r="I338" s="70">
        <f>COUNTIFS('Error Log'!$A:$A,$A338,'Error Log'!$F:$F,"Target")</f>
        <v>0</v>
      </c>
      <c r="J338" s="71">
        <f t="shared" si="5"/>
        <v>0</v>
      </c>
    </row>
    <row r="339" spans="1:10">
      <c r="A339" s="82"/>
      <c r="B339" s="70" t="str">
        <f>IF(ISBLANK(A339),"",INDEX('Error Log'!$A:$J,MATCH('Scores per segment'!$A339,'Error Log'!$A:$A,0),MATCH('Scores per segment'!B$1,'Error Log'!$A$1:$J$1,0)))</f>
        <v/>
      </c>
      <c r="C339" s="70" t="str">
        <f>IF(ISBLANK(A339),"",INDEX('Error Log'!$A:$J,MATCH('Scores per segment'!$A339,'Error Log'!$A:$A,0),MATCH('Scores per segment'!C$1,'Error Log'!$A$1:$J$1,0)))</f>
        <v/>
      </c>
      <c r="D339" s="70">
        <f>IF(H339=0,wdct(TRIM(C339)),0)</f>
        <v>0</v>
      </c>
      <c r="E339" s="70">
        <f>COUNTIFS('Error Log'!$A:$A,$A339,'Error Log'!$J:$J,E$1)</f>
        <v>0</v>
      </c>
      <c r="F339" s="70">
        <f>COUNTIFS('Error Log'!$A:$A,$A339,'Error Log'!$J:$J,F$1)</f>
        <v>0</v>
      </c>
      <c r="G339" s="70">
        <f>COUNTIFS('Error Log'!$A:$A,$A339,'Error Log'!$J:$J,G$1)</f>
        <v>0</v>
      </c>
      <c r="H339" s="70">
        <f>COUNTIFS('Error Log'!$A:$A,$A339,'Error Log'!$F:$F,"Source")</f>
        <v>0</v>
      </c>
      <c r="I339" s="70">
        <f>COUNTIFS('Error Log'!$A:$A,$A339,'Error Log'!$F:$F,"Target")</f>
        <v>0</v>
      </c>
      <c r="J339" s="71">
        <f t="shared" si="5"/>
        <v>0</v>
      </c>
    </row>
    <row r="340" spans="1:10">
      <c r="A340" s="82"/>
      <c r="B340" s="70" t="str">
        <f>IF(ISBLANK(A340),"",INDEX('Error Log'!$A:$J,MATCH('Scores per segment'!$A340,'Error Log'!$A:$A,0),MATCH('Scores per segment'!B$1,'Error Log'!$A$1:$J$1,0)))</f>
        <v/>
      </c>
      <c r="C340" s="70" t="str">
        <f>IF(ISBLANK(A340),"",INDEX('Error Log'!$A:$J,MATCH('Scores per segment'!$A340,'Error Log'!$A:$A,0),MATCH('Scores per segment'!C$1,'Error Log'!$A$1:$J$1,0)))</f>
        <v/>
      </c>
      <c r="D340" s="70">
        <f>IF(H340=0,wdct(TRIM(C340)),0)</f>
        <v>0</v>
      </c>
      <c r="E340" s="70">
        <f>COUNTIFS('Error Log'!$A:$A,$A340,'Error Log'!$J:$J,E$1)</f>
        <v>0</v>
      </c>
      <c r="F340" s="70">
        <f>COUNTIFS('Error Log'!$A:$A,$A340,'Error Log'!$J:$J,F$1)</f>
        <v>0</v>
      </c>
      <c r="G340" s="70">
        <f>COUNTIFS('Error Log'!$A:$A,$A340,'Error Log'!$J:$J,G$1)</f>
        <v>0</v>
      </c>
      <c r="H340" s="70">
        <f>COUNTIFS('Error Log'!$A:$A,$A340,'Error Log'!$F:$F,"Source")</f>
        <v>0</v>
      </c>
      <c r="I340" s="70">
        <f>COUNTIFS('Error Log'!$A:$A,$A340,'Error Log'!$F:$F,"Target")</f>
        <v>0</v>
      </c>
      <c r="J340" s="71">
        <f t="shared" si="5"/>
        <v>0</v>
      </c>
    </row>
    <row r="341" spans="1:10">
      <c r="A341" s="82"/>
      <c r="B341" s="70" t="str">
        <f>IF(ISBLANK(A341),"",INDEX('Error Log'!$A:$J,MATCH('Scores per segment'!$A341,'Error Log'!$A:$A,0),MATCH('Scores per segment'!B$1,'Error Log'!$A$1:$J$1,0)))</f>
        <v/>
      </c>
      <c r="C341" s="70" t="str">
        <f>IF(ISBLANK(A341),"",INDEX('Error Log'!$A:$J,MATCH('Scores per segment'!$A341,'Error Log'!$A:$A,0),MATCH('Scores per segment'!C$1,'Error Log'!$A$1:$J$1,0)))</f>
        <v/>
      </c>
      <c r="D341" s="70">
        <f>IF(H341=0,wdct(TRIM(C341)),0)</f>
        <v>0</v>
      </c>
      <c r="E341" s="70">
        <f>COUNTIFS('Error Log'!$A:$A,$A341,'Error Log'!$J:$J,E$1)</f>
        <v>0</v>
      </c>
      <c r="F341" s="70">
        <f>COUNTIFS('Error Log'!$A:$A,$A341,'Error Log'!$J:$J,F$1)</f>
        <v>0</v>
      </c>
      <c r="G341" s="70">
        <f>COUNTIFS('Error Log'!$A:$A,$A341,'Error Log'!$J:$J,G$1)</f>
        <v>0</v>
      </c>
      <c r="H341" s="70">
        <f>COUNTIFS('Error Log'!$A:$A,$A341,'Error Log'!$F:$F,"Source")</f>
        <v>0</v>
      </c>
      <c r="I341" s="70">
        <f>COUNTIFS('Error Log'!$A:$A,$A341,'Error Log'!$F:$F,"Target")</f>
        <v>0</v>
      </c>
      <c r="J341" s="71">
        <f t="shared" si="5"/>
        <v>0</v>
      </c>
    </row>
    <row r="342" spans="1:10">
      <c r="A342" s="82"/>
      <c r="B342" s="70" t="str">
        <f>IF(ISBLANK(A342),"",INDEX('Error Log'!$A:$J,MATCH('Scores per segment'!$A342,'Error Log'!$A:$A,0),MATCH('Scores per segment'!B$1,'Error Log'!$A$1:$J$1,0)))</f>
        <v/>
      </c>
      <c r="C342" s="70" t="str">
        <f>IF(ISBLANK(A342),"",INDEX('Error Log'!$A:$J,MATCH('Scores per segment'!$A342,'Error Log'!$A:$A,0),MATCH('Scores per segment'!C$1,'Error Log'!$A$1:$J$1,0)))</f>
        <v/>
      </c>
      <c r="D342" s="70">
        <f>IF(H342=0,wdct(TRIM(C342)),0)</f>
        <v>0</v>
      </c>
      <c r="E342" s="70">
        <f>COUNTIFS('Error Log'!$A:$A,$A342,'Error Log'!$J:$J,E$1)</f>
        <v>0</v>
      </c>
      <c r="F342" s="70">
        <f>COUNTIFS('Error Log'!$A:$A,$A342,'Error Log'!$J:$J,F$1)</f>
        <v>0</v>
      </c>
      <c r="G342" s="70">
        <f>COUNTIFS('Error Log'!$A:$A,$A342,'Error Log'!$J:$J,G$1)</f>
        <v>0</v>
      </c>
      <c r="H342" s="70">
        <f>COUNTIFS('Error Log'!$A:$A,$A342,'Error Log'!$F:$F,"Source")</f>
        <v>0</v>
      </c>
      <c r="I342" s="70">
        <f>COUNTIFS('Error Log'!$A:$A,$A342,'Error Log'!$F:$F,"Target")</f>
        <v>0</v>
      </c>
      <c r="J342" s="71">
        <f t="shared" si="5"/>
        <v>0</v>
      </c>
    </row>
    <row r="343" spans="1:10">
      <c r="A343" s="82"/>
      <c r="B343" s="70" t="str">
        <f>IF(ISBLANK(A343),"",INDEX('Error Log'!$A:$J,MATCH('Scores per segment'!$A343,'Error Log'!$A:$A,0),MATCH('Scores per segment'!B$1,'Error Log'!$A$1:$J$1,0)))</f>
        <v/>
      </c>
      <c r="C343" s="70" t="str">
        <f>IF(ISBLANK(A343),"",INDEX('Error Log'!$A:$J,MATCH('Scores per segment'!$A343,'Error Log'!$A:$A,0),MATCH('Scores per segment'!C$1,'Error Log'!$A$1:$J$1,0)))</f>
        <v/>
      </c>
      <c r="D343" s="70">
        <f>IF(H343=0,wdct(TRIM(C343)),0)</f>
        <v>0</v>
      </c>
      <c r="E343" s="70">
        <f>COUNTIFS('Error Log'!$A:$A,$A343,'Error Log'!$J:$J,E$1)</f>
        <v>0</v>
      </c>
      <c r="F343" s="70">
        <f>COUNTIFS('Error Log'!$A:$A,$A343,'Error Log'!$J:$J,F$1)</f>
        <v>0</v>
      </c>
      <c r="G343" s="70">
        <f>COUNTIFS('Error Log'!$A:$A,$A343,'Error Log'!$J:$J,G$1)</f>
        <v>0</v>
      </c>
      <c r="H343" s="70">
        <f>COUNTIFS('Error Log'!$A:$A,$A343,'Error Log'!$F:$F,"Source")</f>
        <v>0</v>
      </c>
      <c r="I343" s="70">
        <f>COUNTIFS('Error Log'!$A:$A,$A343,'Error Log'!$F:$F,"Target")</f>
        <v>0</v>
      </c>
      <c r="J343" s="71">
        <f t="shared" si="5"/>
        <v>0</v>
      </c>
    </row>
    <row r="344" spans="1:10">
      <c r="A344" s="82"/>
      <c r="B344" s="70" t="str">
        <f>IF(ISBLANK(A344),"",INDEX('Error Log'!$A:$J,MATCH('Scores per segment'!$A344,'Error Log'!$A:$A,0),MATCH('Scores per segment'!B$1,'Error Log'!$A$1:$J$1,0)))</f>
        <v/>
      </c>
      <c r="C344" s="70" t="str">
        <f>IF(ISBLANK(A344),"",INDEX('Error Log'!$A:$J,MATCH('Scores per segment'!$A344,'Error Log'!$A:$A,0),MATCH('Scores per segment'!C$1,'Error Log'!$A$1:$J$1,0)))</f>
        <v/>
      </c>
      <c r="D344" s="70">
        <f>IF(H344=0,wdct(TRIM(C344)),0)</f>
        <v>0</v>
      </c>
      <c r="E344" s="70">
        <f>COUNTIFS('Error Log'!$A:$A,$A344,'Error Log'!$J:$J,E$1)</f>
        <v>0</v>
      </c>
      <c r="F344" s="70">
        <f>COUNTIFS('Error Log'!$A:$A,$A344,'Error Log'!$J:$J,F$1)</f>
        <v>0</v>
      </c>
      <c r="G344" s="70">
        <f>COUNTIFS('Error Log'!$A:$A,$A344,'Error Log'!$J:$J,G$1)</f>
        <v>0</v>
      </c>
      <c r="H344" s="70">
        <f>COUNTIFS('Error Log'!$A:$A,$A344,'Error Log'!$F:$F,"Source")</f>
        <v>0</v>
      </c>
      <c r="I344" s="70">
        <f>COUNTIFS('Error Log'!$A:$A,$A344,'Error Log'!$F:$F,"Target")</f>
        <v>0</v>
      </c>
      <c r="J344" s="71">
        <f t="shared" si="5"/>
        <v>0</v>
      </c>
    </row>
    <row r="345" spans="1:10">
      <c r="A345" s="82"/>
      <c r="B345" s="70" t="str">
        <f>IF(ISBLANK(A345),"",INDEX('Error Log'!$A:$J,MATCH('Scores per segment'!$A345,'Error Log'!$A:$A,0),MATCH('Scores per segment'!B$1,'Error Log'!$A$1:$J$1,0)))</f>
        <v/>
      </c>
      <c r="C345" s="70" t="str">
        <f>IF(ISBLANK(A345),"",INDEX('Error Log'!$A:$J,MATCH('Scores per segment'!$A345,'Error Log'!$A:$A,0),MATCH('Scores per segment'!C$1,'Error Log'!$A$1:$J$1,0)))</f>
        <v/>
      </c>
      <c r="D345" s="70">
        <f>IF(H345=0,wdct(TRIM(C345)),0)</f>
        <v>0</v>
      </c>
      <c r="E345" s="70">
        <f>COUNTIFS('Error Log'!$A:$A,$A345,'Error Log'!$J:$J,E$1)</f>
        <v>0</v>
      </c>
      <c r="F345" s="70">
        <f>COUNTIFS('Error Log'!$A:$A,$A345,'Error Log'!$J:$J,F$1)</f>
        <v>0</v>
      </c>
      <c r="G345" s="70">
        <f>COUNTIFS('Error Log'!$A:$A,$A345,'Error Log'!$J:$J,G$1)</f>
        <v>0</v>
      </c>
      <c r="H345" s="70">
        <f>COUNTIFS('Error Log'!$A:$A,$A345,'Error Log'!$F:$F,"Source")</f>
        <v>0</v>
      </c>
      <c r="I345" s="70">
        <f>COUNTIFS('Error Log'!$A:$A,$A345,'Error Log'!$F:$F,"Target")</f>
        <v>0</v>
      </c>
      <c r="J345" s="71">
        <f t="shared" si="5"/>
        <v>0</v>
      </c>
    </row>
    <row r="346" spans="1:10">
      <c r="A346" s="82"/>
      <c r="B346" s="70" t="str">
        <f>IF(ISBLANK(A346),"",INDEX('Error Log'!$A:$J,MATCH('Scores per segment'!$A346,'Error Log'!$A:$A,0),MATCH('Scores per segment'!B$1,'Error Log'!$A$1:$J$1,0)))</f>
        <v/>
      </c>
      <c r="C346" s="70" t="str">
        <f>IF(ISBLANK(A346),"",INDEX('Error Log'!$A:$J,MATCH('Scores per segment'!$A346,'Error Log'!$A:$A,0),MATCH('Scores per segment'!C$1,'Error Log'!$A$1:$J$1,0)))</f>
        <v/>
      </c>
      <c r="D346" s="70">
        <f>IF(H346=0,wdct(TRIM(C346)),0)</f>
        <v>0</v>
      </c>
      <c r="E346" s="70">
        <f>COUNTIFS('Error Log'!$A:$A,$A346,'Error Log'!$J:$J,E$1)</f>
        <v>0</v>
      </c>
      <c r="F346" s="70">
        <f>COUNTIFS('Error Log'!$A:$A,$A346,'Error Log'!$J:$J,F$1)</f>
        <v>0</v>
      </c>
      <c r="G346" s="70">
        <f>COUNTIFS('Error Log'!$A:$A,$A346,'Error Log'!$J:$J,G$1)</f>
        <v>0</v>
      </c>
      <c r="H346" s="70">
        <f>COUNTIFS('Error Log'!$A:$A,$A346,'Error Log'!$F:$F,"Source")</f>
        <v>0</v>
      </c>
      <c r="I346" s="70">
        <f>COUNTIFS('Error Log'!$A:$A,$A346,'Error Log'!$F:$F,"Target")</f>
        <v>0</v>
      </c>
      <c r="J346" s="71">
        <f t="shared" si="5"/>
        <v>0</v>
      </c>
    </row>
    <row r="347" spans="1:10">
      <c r="A347" s="82"/>
      <c r="B347" s="70" t="str">
        <f>IF(ISBLANK(A347),"",INDEX('Error Log'!$A:$J,MATCH('Scores per segment'!$A347,'Error Log'!$A:$A,0),MATCH('Scores per segment'!B$1,'Error Log'!$A$1:$J$1,0)))</f>
        <v/>
      </c>
      <c r="C347" s="70" t="str">
        <f>IF(ISBLANK(A347),"",INDEX('Error Log'!$A:$J,MATCH('Scores per segment'!$A347,'Error Log'!$A:$A,0),MATCH('Scores per segment'!C$1,'Error Log'!$A$1:$J$1,0)))</f>
        <v/>
      </c>
      <c r="D347" s="70">
        <f>IF(H347=0,wdct(TRIM(C347)),0)</f>
        <v>0</v>
      </c>
      <c r="E347" s="70">
        <f>COUNTIFS('Error Log'!$A:$A,$A347,'Error Log'!$J:$J,E$1)</f>
        <v>0</v>
      </c>
      <c r="F347" s="70">
        <f>COUNTIFS('Error Log'!$A:$A,$A347,'Error Log'!$J:$J,F$1)</f>
        <v>0</v>
      </c>
      <c r="G347" s="70">
        <f>COUNTIFS('Error Log'!$A:$A,$A347,'Error Log'!$J:$J,G$1)</f>
        <v>0</v>
      </c>
      <c r="H347" s="70">
        <f>COUNTIFS('Error Log'!$A:$A,$A347,'Error Log'!$F:$F,"Source")</f>
        <v>0</v>
      </c>
      <c r="I347" s="70">
        <f>COUNTIFS('Error Log'!$A:$A,$A347,'Error Log'!$F:$F,"Target")</f>
        <v>0</v>
      </c>
      <c r="J347" s="71">
        <f t="shared" si="5"/>
        <v>0</v>
      </c>
    </row>
    <row r="348" spans="1:10">
      <c r="A348" s="82"/>
      <c r="B348" s="70" t="str">
        <f>IF(ISBLANK(A348),"",INDEX('Error Log'!$A:$J,MATCH('Scores per segment'!$A348,'Error Log'!$A:$A,0),MATCH('Scores per segment'!B$1,'Error Log'!$A$1:$J$1,0)))</f>
        <v/>
      </c>
      <c r="C348" s="70" t="str">
        <f>IF(ISBLANK(A348),"",INDEX('Error Log'!$A:$J,MATCH('Scores per segment'!$A348,'Error Log'!$A:$A,0),MATCH('Scores per segment'!C$1,'Error Log'!$A$1:$J$1,0)))</f>
        <v/>
      </c>
      <c r="D348" s="70">
        <f>IF(H348=0,wdct(TRIM(C348)),0)</f>
        <v>0</v>
      </c>
      <c r="E348" s="70">
        <f>COUNTIFS('Error Log'!$A:$A,$A348,'Error Log'!$J:$J,E$1)</f>
        <v>0</v>
      </c>
      <c r="F348" s="70">
        <f>COUNTIFS('Error Log'!$A:$A,$A348,'Error Log'!$J:$J,F$1)</f>
        <v>0</v>
      </c>
      <c r="G348" s="70">
        <f>COUNTIFS('Error Log'!$A:$A,$A348,'Error Log'!$J:$J,G$1)</f>
        <v>0</v>
      </c>
      <c r="H348" s="70">
        <f>COUNTIFS('Error Log'!$A:$A,$A348,'Error Log'!$F:$F,"Source")</f>
        <v>0</v>
      </c>
      <c r="I348" s="70">
        <f>COUNTIFS('Error Log'!$A:$A,$A348,'Error Log'!$F:$F,"Target")</f>
        <v>0</v>
      </c>
      <c r="J348" s="71">
        <f t="shared" si="5"/>
        <v>0</v>
      </c>
    </row>
    <row r="349" spans="1:10">
      <c r="A349" s="82"/>
      <c r="B349" s="70" t="str">
        <f>IF(ISBLANK(A349),"",INDEX('Error Log'!$A:$J,MATCH('Scores per segment'!$A349,'Error Log'!$A:$A,0),MATCH('Scores per segment'!B$1,'Error Log'!$A$1:$J$1,0)))</f>
        <v/>
      </c>
      <c r="C349" s="70" t="str">
        <f>IF(ISBLANK(A349),"",INDEX('Error Log'!$A:$J,MATCH('Scores per segment'!$A349,'Error Log'!$A:$A,0),MATCH('Scores per segment'!C$1,'Error Log'!$A$1:$J$1,0)))</f>
        <v/>
      </c>
      <c r="D349" s="70">
        <f>IF(H349=0,wdct(TRIM(C349)),0)</f>
        <v>0</v>
      </c>
      <c r="E349" s="70">
        <f>COUNTIFS('Error Log'!$A:$A,$A349,'Error Log'!$J:$J,E$1)</f>
        <v>0</v>
      </c>
      <c r="F349" s="70">
        <f>COUNTIFS('Error Log'!$A:$A,$A349,'Error Log'!$J:$J,F$1)</f>
        <v>0</v>
      </c>
      <c r="G349" s="70">
        <f>COUNTIFS('Error Log'!$A:$A,$A349,'Error Log'!$J:$J,G$1)</f>
        <v>0</v>
      </c>
      <c r="H349" s="70">
        <f>COUNTIFS('Error Log'!$A:$A,$A349,'Error Log'!$F:$F,"Source")</f>
        <v>0</v>
      </c>
      <c r="I349" s="70">
        <f>COUNTIFS('Error Log'!$A:$A,$A349,'Error Log'!$F:$F,"Target")</f>
        <v>0</v>
      </c>
      <c r="J349" s="71">
        <f t="shared" si="5"/>
        <v>0</v>
      </c>
    </row>
    <row r="350" spans="1:10">
      <c r="A350" s="82"/>
      <c r="B350" s="70" t="str">
        <f>IF(ISBLANK(A350),"",INDEX('Error Log'!$A:$J,MATCH('Scores per segment'!$A350,'Error Log'!$A:$A,0),MATCH('Scores per segment'!B$1,'Error Log'!$A$1:$J$1,0)))</f>
        <v/>
      </c>
      <c r="C350" s="70" t="str">
        <f>IF(ISBLANK(A350),"",INDEX('Error Log'!$A:$J,MATCH('Scores per segment'!$A350,'Error Log'!$A:$A,0),MATCH('Scores per segment'!C$1,'Error Log'!$A$1:$J$1,0)))</f>
        <v/>
      </c>
      <c r="D350" s="70">
        <f>IF(H350=0,wdct(TRIM(C350)),0)</f>
        <v>0</v>
      </c>
      <c r="E350" s="70">
        <f>COUNTIFS('Error Log'!$A:$A,$A350,'Error Log'!$J:$J,E$1)</f>
        <v>0</v>
      </c>
      <c r="F350" s="70">
        <f>COUNTIFS('Error Log'!$A:$A,$A350,'Error Log'!$J:$J,F$1)</f>
        <v>0</v>
      </c>
      <c r="G350" s="70">
        <f>COUNTIFS('Error Log'!$A:$A,$A350,'Error Log'!$J:$J,G$1)</f>
        <v>0</v>
      </c>
      <c r="H350" s="70">
        <f>COUNTIFS('Error Log'!$A:$A,$A350,'Error Log'!$F:$F,"Source")</f>
        <v>0</v>
      </c>
      <c r="I350" s="70">
        <f>COUNTIFS('Error Log'!$A:$A,$A350,'Error Log'!$F:$F,"Target")</f>
        <v>0</v>
      </c>
      <c r="J350" s="71">
        <f t="shared" si="5"/>
        <v>0</v>
      </c>
    </row>
    <row r="351" spans="1:10">
      <c r="A351" s="82"/>
      <c r="B351" s="70" t="str">
        <f>IF(ISBLANK(A351),"",INDEX('Error Log'!$A:$J,MATCH('Scores per segment'!$A351,'Error Log'!$A:$A,0),MATCH('Scores per segment'!B$1,'Error Log'!$A$1:$J$1,0)))</f>
        <v/>
      </c>
      <c r="C351" s="70" t="str">
        <f>IF(ISBLANK(A351),"",INDEX('Error Log'!$A:$J,MATCH('Scores per segment'!$A351,'Error Log'!$A:$A,0),MATCH('Scores per segment'!C$1,'Error Log'!$A$1:$J$1,0)))</f>
        <v/>
      </c>
      <c r="D351" s="70">
        <f>IF(H351=0,wdct(TRIM(C351)),0)</f>
        <v>0</v>
      </c>
      <c r="E351" s="70">
        <f>COUNTIFS('Error Log'!$A:$A,$A351,'Error Log'!$J:$J,E$1)</f>
        <v>0</v>
      </c>
      <c r="F351" s="70">
        <f>COUNTIFS('Error Log'!$A:$A,$A351,'Error Log'!$J:$J,F$1)</f>
        <v>0</v>
      </c>
      <c r="G351" s="70">
        <f>COUNTIFS('Error Log'!$A:$A,$A351,'Error Log'!$J:$J,G$1)</f>
        <v>0</v>
      </c>
      <c r="H351" s="70">
        <f>COUNTIFS('Error Log'!$A:$A,$A351,'Error Log'!$F:$F,"Source")</f>
        <v>0</v>
      </c>
      <c r="I351" s="70">
        <f>COUNTIFS('Error Log'!$A:$A,$A351,'Error Log'!$F:$F,"Target")</f>
        <v>0</v>
      </c>
      <c r="J351" s="71">
        <f t="shared" si="5"/>
        <v>0</v>
      </c>
    </row>
    <row r="352" spans="1:10">
      <c r="A352" s="82"/>
      <c r="B352" s="70" t="str">
        <f>IF(ISBLANK(A352),"",INDEX('Error Log'!$A:$J,MATCH('Scores per segment'!$A352,'Error Log'!$A:$A,0),MATCH('Scores per segment'!B$1,'Error Log'!$A$1:$J$1,0)))</f>
        <v/>
      </c>
      <c r="C352" s="70" t="str">
        <f>IF(ISBLANK(A352),"",INDEX('Error Log'!$A:$J,MATCH('Scores per segment'!$A352,'Error Log'!$A:$A,0),MATCH('Scores per segment'!C$1,'Error Log'!$A$1:$J$1,0)))</f>
        <v/>
      </c>
      <c r="D352" s="70">
        <f>IF(H352=0,wdct(TRIM(C352)),0)</f>
        <v>0</v>
      </c>
      <c r="E352" s="70">
        <f>COUNTIFS('Error Log'!$A:$A,$A352,'Error Log'!$J:$J,E$1)</f>
        <v>0</v>
      </c>
      <c r="F352" s="70">
        <f>COUNTIFS('Error Log'!$A:$A,$A352,'Error Log'!$J:$J,F$1)</f>
        <v>0</v>
      </c>
      <c r="G352" s="70">
        <f>COUNTIFS('Error Log'!$A:$A,$A352,'Error Log'!$J:$J,G$1)</f>
        <v>0</v>
      </c>
      <c r="H352" s="70">
        <f>COUNTIFS('Error Log'!$A:$A,$A352,'Error Log'!$F:$F,"Source")</f>
        <v>0</v>
      </c>
      <c r="I352" s="70">
        <f>COUNTIFS('Error Log'!$A:$A,$A352,'Error Log'!$F:$F,"Target")</f>
        <v>0</v>
      </c>
      <c r="J352" s="71">
        <f t="shared" si="5"/>
        <v>0</v>
      </c>
    </row>
    <row r="353" spans="1:10">
      <c r="A353" s="82"/>
      <c r="B353" s="70" t="str">
        <f>IF(ISBLANK(A353),"",INDEX('Error Log'!$A:$J,MATCH('Scores per segment'!$A353,'Error Log'!$A:$A,0),MATCH('Scores per segment'!B$1,'Error Log'!$A$1:$J$1,0)))</f>
        <v/>
      </c>
      <c r="C353" s="70" t="str">
        <f>IF(ISBLANK(A353),"",INDEX('Error Log'!$A:$J,MATCH('Scores per segment'!$A353,'Error Log'!$A:$A,0),MATCH('Scores per segment'!C$1,'Error Log'!$A$1:$J$1,0)))</f>
        <v/>
      </c>
      <c r="D353" s="70">
        <f>IF(H353=0,wdct(TRIM(C353)),0)</f>
        <v>0</v>
      </c>
      <c r="E353" s="70">
        <f>COUNTIFS('Error Log'!$A:$A,$A353,'Error Log'!$J:$J,E$1)</f>
        <v>0</v>
      </c>
      <c r="F353" s="70">
        <f>COUNTIFS('Error Log'!$A:$A,$A353,'Error Log'!$J:$J,F$1)</f>
        <v>0</v>
      </c>
      <c r="G353" s="70">
        <f>COUNTIFS('Error Log'!$A:$A,$A353,'Error Log'!$J:$J,G$1)</f>
        <v>0</v>
      </c>
      <c r="H353" s="70">
        <f>COUNTIFS('Error Log'!$A:$A,$A353,'Error Log'!$F:$F,"Source")</f>
        <v>0</v>
      </c>
      <c r="I353" s="70">
        <f>COUNTIFS('Error Log'!$A:$A,$A353,'Error Log'!$F:$F,"Target")</f>
        <v>0</v>
      </c>
      <c r="J353" s="71">
        <f t="shared" si="5"/>
        <v>0</v>
      </c>
    </row>
    <row r="354" spans="1:10">
      <c r="A354" s="82"/>
      <c r="B354" s="70" t="str">
        <f>IF(ISBLANK(A354),"",INDEX('Error Log'!$A:$J,MATCH('Scores per segment'!$A354,'Error Log'!$A:$A,0),MATCH('Scores per segment'!B$1,'Error Log'!$A$1:$J$1,0)))</f>
        <v/>
      </c>
      <c r="C354" s="70" t="str">
        <f>IF(ISBLANK(A354),"",INDEX('Error Log'!$A:$J,MATCH('Scores per segment'!$A354,'Error Log'!$A:$A,0),MATCH('Scores per segment'!C$1,'Error Log'!$A$1:$J$1,0)))</f>
        <v/>
      </c>
      <c r="D354" s="70">
        <f>IF(H354=0,wdct(TRIM(C354)),0)</f>
        <v>0</v>
      </c>
      <c r="E354" s="70">
        <f>COUNTIFS('Error Log'!$A:$A,$A354,'Error Log'!$J:$J,E$1)</f>
        <v>0</v>
      </c>
      <c r="F354" s="70">
        <f>COUNTIFS('Error Log'!$A:$A,$A354,'Error Log'!$J:$J,F$1)</f>
        <v>0</v>
      </c>
      <c r="G354" s="70">
        <f>COUNTIFS('Error Log'!$A:$A,$A354,'Error Log'!$J:$J,G$1)</f>
        <v>0</v>
      </c>
      <c r="H354" s="70">
        <f>COUNTIFS('Error Log'!$A:$A,$A354,'Error Log'!$F:$F,"Source")</f>
        <v>0</v>
      </c>
      <c r="I354" s="70">
        <f>COUNTIFS('Error Log'!$A:$A,$A354,'Error Log'!$F:$F,"Target")</f>
        <v>0</v>
      </c>
      <c r="J354" s="71">
        <f t="shared" si="5"/>
        <v>0</v>
      </c>
    </row>
    <row r="355" spans="1:10">
      <c r="A355" s="82"/>
      <c r="B355" s="70" t="str">
        <f>IF(ISBLANK(A355),"",INDEX('Error Log'!$A:$J,MATCH('Scores per segment'!$A355,'Error Log'!$A:$A,0),MATCH('Scores per segment'!B$1,'Error Log'!$A$1:$J$1,0)))</f>
        <v/>
      </c>
      <c r="C355" s="70" t="str">
        <f>IF(ISBLANK(A355),"",INDEX('Error Log'!$A:$J,MATCH('Scores per segment'!$A355,'Error Log'!$A:$A,0),MATCH('Scores per segment'!C$1,'Error Log'!$A$1:$J$1,0)))</f>
        <v/>
      </c>
      <c r="D355" s="70">
        <f>IF(H355=0,wdct(TRIM(C355)),0)</f>
        <v>0</v>
      </c>
      <c r="E355" s="70">
        <f>COUNTIFS('Error Log'!$A:$A,$A355,'Error Log'!$J:$J,E$1)</f>
        <v>0</v>
      </c>
      <c r="F355" s="70">
        <f>COUNTIFS('Error Log'!$A:$A,$A355,'Error Log'!$J:$J,F$1)</f>
        <v>0</v>
      </c>
      <c r="G355" s="70">
        <f>COUNTIFS('Error Log'!$A:$A,$A355,'Error Log'!$J:$J,G$1)</f>
        <v>0</v>
      </c>
      <c r="H355" s="70">
        <f>COUNTIFS('Error Log'!$A:$A,$A355,'Error Log'!$F:$F,"Source")</f>
        <v>0</v>
      </c>
      <c r="I355" s="70">
        <f>COUNTIFS('Error Log'!$A:$A,$A355,'Error Log'!$F:$F,"Target")</f>
        <v>0</v>
      </c>
      <c r="J355" s="71">
        <f t="shared" si="5"/>
        <v>0</v>
      </c>
    </row>
    <row r="356" spans="1:10">
      <c r="A356" s="82"/>
      <c r="B356" s="70" t="str">
        <f>IF(ISBLANK(A356),"",INDEX('Error Log'!$A:$J,MATCH('Scores per segment'!$A356,'Error Log'!$A:$A,0),MATCH('Scores per segment'!B$1,'Error Log'!$A$1:$J$1,0)))</f>
        <v/>
      </c>
      <c r="C356" s="70" t="str">
        <f>IF(ISBLANK(A356),"",INDEX('Error Log'!$A:$J,MATCH('Scores per segment'!$A356,'Error Log'!$A:$A,0),MATCH('Scores per segment'!C$1,'Error Log'!$A$1:$J$1,0)))</f>
        <v/>
      </c>
      <c r="D356" s="70">
        <f>IF(H356=0,wdct(TRIM(C356)),0)</f>
        <v>0</v>
      </c>
      <c r="E356" s="70">
        <f>COUNTIFS('Error Log'!$A:$A,$A356,'Error Log'!$J:$J,E$1)</f>
        <v>0</v>
      </c>
      <c r="F356" s="70">
        <f>COUNTIFS('Error Log'!$A:$A,$A356,'Error Log'!$J:$J,F$1)</f>
        <v>0</v>
      </c>
      <c r="G356" s="70">
        <f>COUNTIFS('Error Log'!$A:$A,$A356,'Error Log'!$J:$J,G$1)</f>
        <v>0</v>
      </c>
      <c r="H356" s="70">
        <f>COUNTIFS('Error Log'!$A:$A,$A356,'Error Log'!$F:$F,"Source")</f>
        <v>0</v>
      </c>
      <c r="I356" s="70">
        <f>COUNTIFS('Error Log'!$A:$A,$A356,'Error Log'!$F:$F,"Target")</f>
        <v>0</v>
      </c>
      <c r="J356" s="71">
        <f t="shared" si="5"/>
        <v>0</v>
      </c>
    </row>
    <row r="357" spans="1:10">
      <c r="A357" s="82"/>
      <c r="B357" s="70" t="str">
        <f>IF(ISBLANK(A357),"",INDEX('Error Log'!$A:$J,MATCH('Scores per segment'!$A357,'Error Log'!$A:$A,0),MATCH('Scores per segment'!B$1,'Error Log'!$A$1:$J$1,0)))</f>
        <v/>
      </c>
      <c r="C357" s="70" t="str">
        <f>IF(ISBLANK(A357),"",INDEX('Error Log'!$A:$J,MATCH('Scores per segment'!$A357,'Error Log'!$A:$A,0),MATCH('Scores per segment'!C$1,'Error Log'!$A$1:$J$1,0)))</f>
        <v/>
      </c>
      <c r="D357" s="70">
        <f>IF(H357=0,wdct(TRIM(C357)),0)</f>
        <v>0</v>
      </c>
      <c r="E357" s="70">
        <f>COUNTIFS('Error Log'!$A:$A,$A357,'Error Log'!$J:$J,E$1)</f>
        <v>0</v>
      </c>
      <c r="F357" s="70">
        <f>COUNTIFS('Error Log'!$A:$A,$A357,'Error Log'!$J:$J,F$1)</f>
        <v>0</v>
      </c>
      <c r="G357" s="70">
        <f>COUNTIFS('Error Log'!$A:$A,$A357,'Error Log'!$J:$J,G$1)</f>
        <v>0</v>
      </c>
      <c r="H357" s="70">
        <f>COUNTIFS('Error Log'!$A:$A,$A357,'Error Log'!$F:$F,"Source")</f>
        <v>0</v>
      </c>
      <c r="I357" s="70">
        <f>COUNTIFS('Error Log'!$A:$A,$A357,'Error Log'!$F:$F,"Target")</f>
        <v>0</v>
      </c>
      <c r="J357" s="71">
        <f t="shared" si="5"/>
        <v>0</v>
      </c>
    </row>
    <row r="358" spans="1:10">
      <c r="A358" s="82"/>
      <c r="B358" s="70" t="str">
        <f>IF(ISBLANK(A358),"",INDEX('Error Log'!$A:$J,MATCH('Scores per segment'!$A358,'Error Log'!$A:$A,0),MATCH('Scores per segment'!B$1,'Error Log'!$A$1:$J$1,0)))</f>
        <v/>
      </c>
      <c r="C358" s="70" t="str">
        <f>IF(ISBLANK(A358),"",INDEX('Error Log'!$A:$J,MATCH('Scores per segment'!$A358,'Error Log'!$A:$A,0),MATCH('Scores per segment'!C$1,'Error Log'!$A$1:$J$1,0)))</f>
        <v/>
      </c>
      <c r="D358" s="70">
        <f>IF(H358=0,wdct(TRIM(C358)),0)</f>
        <v>0</v>
      </c>
      <c r="E358" s="70">
        <f>COUNTIFS('Error Log'!$A:$A,$A358,'Error Log'!$J:$J,E$1)</f>
        <v>0</v>
      </c>
      <c r="F358" s="70">
        <f>COUNTIFS('Error Log'!$A:$A,$A358,'Error Log'!$J:$J,F$1)</f>
        <v>0</v>
      </c>
      <c r="G358" s="70">
        <f>COUNTIFS('Error Log'!$A:$A,$A358,'Error Log'!$J:$J,G$1)</f>
        <v>0</v>
      </c>
      <c r="H358" s="70">
        <f>COUNTIFS('Error Log'!$A:$A,$A358,'Error Log'!$F:$F,"Source")</f>
        <v>0</v>
      </c>
      <c r="I358" s="70">
        <f>COUNTIFS('Error Log'!$A:$A,$A358,'Error Log'!$F:$F,"Target")</f>
        <v>0</v>
      </c>
      <c r="J358" s="71">
        <f t="shared" si="5"/>
        <v>0</v>
      </c>
    </row>
    <row r="359" spans="1:10">
      <c r="A359" s="82"/>
      <c r="B359" s="70" t="str">
        <f>IF(ISBLANK(A359),"",INDEX('Error Log'!$A:$J,MATCH('Scores per segment'!$A359,'Error Log'!$A:$A,0),MATCH('Scores per segment'!B$1,'Error Log'!$A$1:$J$1,0)))</f>
        <v/>
      </c>
      <c r="C359" s="70" t="str">
        <f>IF(ISBLANK(A359),"",INDEX('Error Log'!$A:$J,MATCH('Scores per segment'!$A359,'Error Log'!$A:$A,0),MATCH('Scores per segment'!C$1,'Error Log'!$A$1:$J$1,0)))</f>
        <v/>
      </c>
      <c r="D359" s="70">
        <f>IF(H359=0,wdct(TRIM(C359)),0)</f>
        <v>0</v>
      </c>
      <c r="E359" s="70">
        <f>COUNTIFS('Error Log'!$A:$A,$A359,'Error Log'!$J:$J,E$1)</f>
        <v>0</v>
      </c>
      <c r="F359" s="70">
        <f>COUNTIFS('Error Log'!$A:$A,$A359,'Error Log'!$J:$J,F$1)</f>
        <v>0</v>
      </c>
      <c r="G359" s="70">
        <f>COUNTIFS('Error Log'!$A:$A,$A359,'Error Log'!$J:$J,G$1)</f>
        <v>0</v>
      </c>
      <c r="H359" s="70">
        <f>COUNTIFS('Error Log'!$A:$A,$A359,'Error Log'!$F:$F,"Source")</f>
        <v>0</v>
      </c>
      <c r="I359" s="70">
        <f>COUNTIFS('Error Log'!$A:$A,$A359,'Error Log'!$F:$F,"Target")</f>
        <v>0</v>
      </c>
      <c r="J359" s="71">
        <f t="shared" si="5"/>
        <v>0</v>
      </c>
    </row>
    <row r="360" spans="1:10">
      <c r="A360" s="82"/>
      <c r="B360" s="70" t="str">
        <f>IF(ISBLANK(A360),"",INDEX('Error Log'!$A:$J,MATCH('Scores per segment'!$A360,'Error Log'!$A:$A,0),MATCH('Scores per segment'!B$1,'Error Log'!$A$1:$J$1,0)))</f>
        <v/>
      </c>
      <c r="C360" s="70" t="str">
        <f>IF(ISBLANK(A360),"",INDEX('Error Log'!$A:$J,MATCH('Scores per segment'!$A360,'Error Log'!$A:$A,0),MATCH('Scores per segment'!C$1,'Error Log'!$A$1:$J$1,0)))</f>
        <v/>
      </c>
      <c r="D360" s="70">
        <f>IF(H360=0,wdct(TRIM(C360)),0)</f>
        <v>0</v>
      </c>
      <c r="E360" s="70">
        <f>COUNTIFS('Error Log'!$A:$A,$A360,'Error Log'!$J:$J,E$1)</f>
        <v>0</v>
      </c>
      <c r="F360" s="70">
        <f>COUNTIFS('Error Log'!$A:$A,$A360,'Error Log'!$J:$J,F$1)</f>
        <v>0</v>
      </c>
      <c r="G360" s="70">
        <f>COUNTIFS('Error Log'!$A:$A,$A360,'Error Log'!$J:$J,G$1)</f>
        <v>0</v>
      </c>
      <c r="H360" s="70">
        <f>COUNTIFS('Error Log'!$A:$A,$A360,'Error Log'!$F:$F,"Source")</f>
        <v>0</v>
      </c>
      <c r="I360" s="70">
        <f>COUNTIFS('Error Log'!$A:$A,$A360,'Error Log'!$F:$F,"Target")</f>
        <v>0</v>
      </c>
      <c r="J360" s="71">
        <f t="shared" si="5"/>
        <v>0</v>
      </c>
    </row>
    <row r="361" spans="1:10">
      <c r="A361" s="82"/>
      <c r="B361" s="70" t="str">
        <f>IF(ISBLANK(A361),"",INDEX('Error Log'!$A:$J,MATCH('Scores per segment'!$A361,'Error Log'!$A:$A,0),MATCH('Scores per segment'!B$1,'Error Log'!$A$1:$J$1,0)))</f>
        <v/>
      </c>
      <c r="C361" s="70" t="str">
        <f>IF(ISBLANK(A361),"",INDEX('Error Log'!$A:$J,MATCH('Scores per segment'!$A361,'Error Log'!$A:$A,0),MATCH('Scores per segment'!C$1,'Error Log'!$A$1:$J$1,0)))</f>
        <v/>
      </c>
      <c r="D361" s="70">
        <f>IF(H361=0,wdct(TRIM(C361)),0)</f>
        <v>0</v>
      </c>
      <c r="E361" s="70">
        <f>COUNTIFS('Error Log'!$A:$A,$A361,'Error Log'!$J:$J,E$1)</f>
        <v>0</v>
      </c>
      <c r="F361" s="70">
        <f>COUNTIFS('Error Log'!$A:$A,$A361,'Error Log'!$J:$J,F$1)</f>
        <v>0</v>
      </c>
      <c r="G361" s="70">
        <f>COUNTIFS('Error Log'!$A:$A,$A361,'Error Log'!$J:$J,G$1)</f>
        <v>0</v>
      </c>
      <c r="H361" s="70">
        <f>COUNTIFS('Error Log'!$A:$A,$A361,'Error Log'!$F:$F,"Source")</f>
        <v>0</v>
      </c>
      <c r="I361" s="70">
        <f>COUNTIFS('Error Log'!$A:$A,$A361,'Error Log'!$F:$F,"Target")</f>
        <v>0</v>
      </c>
      <c r="J361" s="71">
        <f t="shared" si="5"/>
        <v>0</v>
      </c>
    </row>
    <row r="362" spans="1:10">
      <c r="A362" s="82"/>
      <c r="B362" s="70" t="str">
        <f>IF(ISBLANK(A362),"",INDEX('Error Log'!$A:$J,MATCH('Scores per segment'!$A362,'Error Log'!$A:$A,0),MATCH('Scores per segment'!B$1,'Error Log'!$A$1:$J$1,0)))</f>
        <v/>
      </c>
      <c r="C362" s="70" t="str">
        <f>IF(ISBLANK(A362),"",INDEX('Error Log'!$A:$J,MATCH('Scores per segment'!$A362,'Error Log'!$A:$A,0),MATCH('Scores per segment'!C$1,'Error Log'!$A$1:$J$1,0)))</f>
        <v/>
      </c>
      <c r="D362" s="70">
        <f>IF(H362=0,wdct(TRIM(C362)),0)</f>
        <v>0</v>
      </c>
      <c r="E362" s="70">
        <f>COUNTIFS('Error Log'!$A:$A,$A362,'Error Log'!$J:$J,E$1)</f>
        <v>0</v>
      </c>
      <c r="F362" s="70">
        <f>COUNTIFS('Error Log'!$A:$A,$A362,'Error Log'!$J:$J,F$1)</f>
        <v>0</v>
      </c>
      <c r="G362" s="70">
        <f>COUNTIFS('Error Log'!$A:$A,$A362,'Error Log'!$J:$J,G$1)</f>
        <v>0</v>
      </c>
      <c r="H362" s="70">
        <f>COUNTIFS('Error Log'!$A:$A,$A362,'Error Log'!$F:$F,"Source")</f>
        <v>0</v>
      </c>
      <c r="I362" s="70">
        <f>COUNTIFS('Error Log'!$A:$A,$A362,'Error Log'!$F:$F,"Target")</f>
        <v>0</v>
      </c>
      <c r="J362" s="71">
        <f t="shared" si="5"/>
        <v>0</v>
      </c>
    </row>
    <row r="363" spans="1:10">
      <c r="A363" s="82"/>
      <c r="B363" s="70" t="str">
        <f>IF(ISBLANK(A363),"",INDEX('Error Log'!$A:$J,MATCH('Scores per segment'!$A363,'Error Log'!$A:$A,0),MATCH('Scores per segment'!B$1,'Error Log'!$A$1:$J$1,0)))</f>
        <v/>
      </c>
      <c r="C363" s="70" t="str">
        <f>IF(ISBLANK(A363),"",INDEX('Error Log'!$A:$J,MATCH('Scores per segment'!$A363,'Error Log'!$A:$A,0),MATCH('Scores per segment'!C$1,'Error Log'!$A$1:$J$1,0)))</f>
        <v/>
      </c>
      <c r="D363" s="70">
        <f>IF(H363=0,wdct(TRIM(C363)),0)</f>
        <v>0</v>
      </c>
      <c r="E363" s="70">
        <f>COUNTIFS('Error Log'!$A:$A,$A363,'Error Log'!$J:$J,E$1)</f>
        <v>0</v>
      </c>
      <c r="F363" s="70">
        <f>COUNTIFS('Error Log'!$A:$A,$A363,'Error Log'!$J:$J,F$1)</f>
        <v>0</v>
      </c>
      <c r="G363" s="70">
        <f>COUNTIFS('Error Log'!$A:$A,$A363,'Error Log'!$J:$J,G$1)</f>
        <v>0</v>
      </c>
      <c r="H363" s="70">
        <f>COUNTIFS('Error Log'!$A:$A,$A363,'Error Log'!$F:$F,"Source")</f>
        <v>0</v>
      </c>
      <c r="I363" s="70">
        <f>COUNTIFS('Error Log'!$A:$A,$A363,'Error Log'!$F:$F,"Target")</f>
        <v>0</v>
      </c>
      <c r="J363" s="71">
        <f t="shared" si="5"/>
        <v>0</v>
      </c>
    </row>
    <row r="364" spans="1:10">
      <c r="A364" s="82"/>
      <c r="B364" s="70" t="str">
        <f>IF(ISBLANK(A364),"",INDEX('Error Log'!$A:$J,MATCH('Scores per segment'!$A364,'Error Log'!$A:$A,0),MATCH('Scores per segment'!B$1,'Error Log'!$A$1:$J$1,0)))</f>
        <v/>
      </c>
      <c r="C364" s="70" t="str">
        <f>IF(ISBLANK(A364),"",INDEX('Error Log'!$A:$J,MATCH('Scores per segment'!$A364,'Error Log'!$A:$A,0),MATCH('Scores per segment'!C$1,'Error Log'!$A$1:$J$1,0)))</f>
        <v/>
      </c>
      <c r="D364" s="70">
        <f>IF(H364=0,wdct(TRIM(C364)),0)</f>
        <v>0</v>
      </c>
      <c r="E364" s="70">
        <f>COUNTIFS('Error Log'!$A:$A,$A364,'Error Log'!$J:$J,E$1)</f>
        <v>0</v>
      </c>
      <c r="F364" s="70">
        <f>COUNTIFS('Error Log'!$A:$A,$A364,'Error Log'!$J:$J,F$1)</f>
        <v>0</v>
      </c>
      <c r="G364" s="70">
        <f>COUNTIFS('Error Log'!$A:$A,$A364,'Error Log'!$J:$J,G$1)</f>
        <v>0</v>
      </c>
      <c r="H364" s="70">
        <f>COUNTIFS('Error Log'!$A:$A,$A364,'Error Log'!$F:$F,"Source")</f>
        <v>0</v>
      </c>
      <c r="I364" s="70">
        <f>COUNTIFS('Error Log'!$A:$A,$A364,'Error Log'!$F:$F,"Target")</f>
        <v>0</v>
      </c>
      <c r="J364" s="71">
        <f t="shared" si="5"/>
        <v>0</v>
      </c>
    </row>
    <row r="365" spans="1:10">
      <c r="A365" s="82"/>
      <c r="B365" s="70" t="str">
        <f>IF(ISBLANK(A365),"",INDEX('Error Log'!$A:$J,MATCH('Scores per segment'!$A365,'Error Log'!$A:$A,0),MATCH('Scores per segment'!B$1,'Error Log'!$A$1:$J$1,0)))</f>
        <v/>
      </c>
      <c r="C365" s="70" t="str">
        <f>IF(ISBLANK(A365),"",INDEX('Error Log'!$A:$J,MATCH('Scores per segment'!$A365,'Error Log'!$A:$A,0),MATCH('Scores per segment'!C$1,'Error Log'!$A$1:$J$1,0)))</f>
        <v/>
      </c>
      <c r="D365" s="70">
        <f>IF(H365=0,wdct(TRIM(C365)),0)</f>
        <v>0</v>
      </c>
      <c r="E365" s="70">
        <f>COUNTIFS('Error Log'!$A:$A,$A365,'Error Log'!$J:$J,E$1)</f>
        <v>0</v>
      </c>
      <c r="F365" s="70">
        <f>COUNTIFS('Error Log'!$A:$A,$A365,'Error Log'!$J:$J,F$1)</f>
        <v>0</v>
      </c>
      <c r="G365" s="70">
        <f>COUNTIFS('Error Log'!$A:$A,$A365,'Error Log'!$J:$J,G$1)</f>
        <v>0</v>
      </c>
      <c r="H365" s="70">
        <f>COUNTIFS('Error Log'!$A:$A,$A365,'Error Log'!$F:$F,"Source")</f>
        <v>0</v>
      </c>
      <c r="I365" s="70">
        <f>COUNTIFS('Error Log'!$A:$A,$A365,'Error Log'!$F:$F,"Target")</f>
        <v>0</v>
      </c>
      <c r="J365" s="71">
        <f t="shared" si="5"/>
        <v>0</v>
      </c>
    </row>
    <row r="366" spans="1:10">
      <c r="A366" s="82"/>
      <c r="B366" s="70" t="str">
        <f>IF(ISBLANK(A366),"",INDEX('Error Log'!$A:$J,MATCH('Scores per segment'!$A366,'Error Log'!$A:$A,0),MATCH('Scores per segment'!B$1,'Error Log'!$A$1:$J$1,0)))</f>
        <v/>
      </c>
      <c r="C366" s="70" t="str">
        <f>IF(ISBLANK(A366),"",INDEX('Error Log'!$A:$J,MATCH('Scores per segment'!$A366,'Error Log'!$A:$A,0),MATCH('Scores per segment'!C$1,'Error Log'!$A$1:$J$1,0)))</f>
        <v/>
      </c>
      <c r="D366" s="70">
        <f>IF(H366=0,wdct(TRIM(C366)),0)</f>
        <v>0</v>
      </c>
      <c r="E366" s="70">
        <f>COUNTIFS('Error Log'!$A:$A,$A366,'Error Log'!$J:$J,E$1)</f>
        <v>0</v>
      </c>
      <c r="F366" s="70">
        <f>COUNTIFS('Error Log'!$A:$A,$A366,'Error Log'!$J:$J,F$1)</f>
        <v>0</v>
      </c>
      <c r="G366" s="70">
        <f>COUNTIFS('Error Log'!$A:$A,$A366,'Error Log'!$J:$J,G$1)</f>
        <v>0</v>
      </c>
      <c r="H366" s="70">
        <f>COUNTIFS('Error Log'!$A:$A,$A366,'Error Log'!$F:$F,"Source")</f>
        <v>0</v>
      </c>
      <c r="I366" s="70">
        <f>COUNTIFS('Error Log'!$A:$A,$A366,'Error Log'!$F:$F,"Target")</f>
        <v>0</v>
      </c>
      <c r="J366" s="71">
        <f t="shared" si="5"/>
        <v>0</v>
      </c>
    </row>
    <row r="367" spans="1:10">
      <c r="A367" s="82"/>
      <c r="B367" s="70" t="str">
        <f>IF(ISBLANK(A367),"",INDEX('Error Log'!$A:$J,MATCH('Scores per segment'!$A367,'Error Log'!$A:$A,0),MATCH('Scores per segment'!B$1,'Error Log'!$A$1:$J$1,0)))</f>
        <v/>
      </c>
      <c r="C367" s="70" t="str">
        <f>IF(ISBLANK(A367),"",INDEX('Error Log'!$A:$J,MATCH('Scores per segment'!$A367,'Error Log'!$A:$A,0),MATCH('Scores per segment'!C$1,'Error Log'!$A$1:$J$1,0)))</f>
        <v/>
      </c>
      <c r="D367" s="70">
        <f>IF(H367=0,wdct(TRIM(C367)),0)</f>
        <v>0</v>
      </c>
      <c r="E367" s="70">
        <f>COUNTIFS('Error Log'!$A:$A,$A367,'Error Log'!$J:$J,E$1)</f>
        <v>0</v>
      </c>
      <c r="F367" s="70">
        <f>COUNTIFS('Error Log'!$A:$A,$A367,'Error Log'!$J:$J,F$1)</f>
        <v>0</v>
      </c>
      <c r="G367" s="70">
        <f>COUNTIFS('Error Log'!$A:$A,$A367,'Error Log'!$J:$J,G$1)</f>
        <v>0</v>
      </c>
      <c r="H367" s="70">
        <f>COUNTIFS('Error Log'!$A:$A,$A367,'Error Log'!$F:$F,"Source")</f>
        <v>0</v>
      </c>
      <c r="I367" s="70">
        <f>COUNTIFS('Error Log'!$A:$A,$A367,'Error Log'!$F:$F,"Target")</f>
        <v>0</v>
      </c>
      <c r="J367" s="71">
        <f t="shared" si="5"/>
        <v>0</v>
      </c>
    </row>
    <row r="368" spans="1:10">
      <c r="A368" s="82"/>
      <c r="B368" s="70" t="str">
        <f>IF(ISBLANK(A368),"",INDEX('Error Log'!$A:$J,MATCH('Scores per segment'!$A368,'Error Log'!$A:$A,0),MATCH('Scores per segment'!B$1,'Error Log'!$A$1:$J$1,0)))</f>
        <v/>
      </c>
      <c r="C368" s="70" t="str">
        <f>IF(ISBLANK(A368),"",INDEX('Error Log'!$A:$J,MATCH('Scores per segment'!$A368,'Error Log'!$A:$A,0),MATCH('Scores per segment'!C$1,'Error Log'!$A$1:$J$1,0)))</f>
        <v/>
      </c>
      <c r="D368" s="70">
        <f>IF(H368=0,wdct(TRIM(C368)),0)</f>
        <v>0</v>
      </c>
      <c r="E368" s="70">
        <f>COUNTIFS('Error Log'!$A:$A,$A368,'Error Log'!$J:$J,E$1)</f>
        <v>0</v>
      </c>
      <c r="F368" s="70">
        <f>COUNTIFS('Error Log'!$A:$A,$A368,'Error Log'!$J:$J,F$1)</f>
        <v>0</v>
      </c>
      <c r="G368" s="70">
        <f>COUNTIFS('Error Log'!$A:$A,$A368,'Error Log'!$J:$J,G$1)</f>
        <v>0</v>
      </c>
      <c r="H368" s="70">
        <f>COUNTIFS('Error Log'!$A:$A,$A368,'Error Log'!$F:$F,"Source")</f>
        <v>0</v>
      </c>
      <c r="I368" s="70">
        <f>COUNTIFS('Error Log'!$A:$A,$A368,'Error Log'!$F:$F,"Target")</f>
        <v>0</v>
      </c>
      <c r="J368" s="71">
        <f t="shared" si="5"/>
        <v>0</v>
      </c>
    </row>
    <row r="369" spans="1:10">
      <c r="A369" s="82"/>
      <c r="B369" s="70" t="str">
        <f>IF(ISBLANK(A369),"",INDEX('Error Log'!$A:$J,MATCH('Scores per segment'!$A369,'Error Log'!$A:$A,0),MATCH('Scores per segment'!B$1,'Error Log'!$A$1:$J$1,0)))</f>
        <v/>
      </c>
      <c r="C369" s="70" t="str">
        <f>IF(ISBLANK(A369),"",INDEX('Error Log'!$A:$J,MATCH('Scores per segment'!$A369,'Error Log'!$A:$A,0),MATCH('Scores per segment'!C$1,'Error Log'!$A$1:$J$1,0)))</f>
        <v/>
      </c>
      <c r="D369" s="70">
        <f>IF(H369=0,wdct(TRIM(C369)),0)</f>
        <v>0</v>
      </c>
      <c r="E369" s="70">
        <f>COUNTIFS('Error Log'!$A:$A,$A369,'Error Log'!$J:$J,E$1)</f>
        <v>0</v>
      </c>
      <c r="F369" s="70">
        <f>COUNTIFS('Error Log'!$A:$A,$A369,'Error Log'!$J:$J,F$1)</f>
        <v>0</v>
      </c>
      <c r="G369" s="70">
        <f>COUNTIFS('Error Log'!$A:$A,$A369,'Error Log'!$J:$J,G$1)</f>
        <v>0</v>
      </c>
      <c r="H369" s="70">
        <f>COUNTIFS('Error Log'!$A:$A,$A369,'Error Log'!$F:$F,"Source")</f>
        <v>0</v>
      </c>
      <c r="I369" s="70">
        <f>COUNTIFS('Error Log'!$A:$A,$A369,'Error Log'!$F:$F,"Target")</f>
        <v>0</v>
      </c>
      <c r="J369" s="71">
        <f t="shared" si="5"/>
        <v>0</v>
      </c>
    </row>
    <row r="370" spans="1:10">
      <c r="A370" s="82"/>
      <c r="B370" s="70" t="str">
        <f>IF(ISBLANK(A370),"",INDEX('Error Log'!$A:$J,MATCH('Scores per segment'!$A370,'Error Log'!$A:$A,0),MATCH('Scores per segment'!B$1,'Error Log'!$A$1:$J$1,0)))</f>
        <v/>
      </c>
      <c r="C370" s="70" t="str">
        <f>IF(ISBLANK(A370),"",INDEX('Error Log'!$A:$J,MATCH('Scores per segment'!$A370,'Error Log'!$A:$A,0),MATCH('Scores per segment'!C$1,'Error Log'!$A$1:$J$1,0)))</f>
        <v/>
      </c>
      <c r="D370" s="70">
        <f>IF(H370=0,wdct(TRIM(C370)),0)</f>
        <v>0</v>
      </c>
      <c r="E370" s="70">
        <f>COUNTIFS('Error Log'!$A:$A,$A370,'Error Log'!$J:$J,E$1)</f>
        <v>0</v>
      </c>
      <c r="F370" s="70">
        <f>COUNTIFS('Error Log'!$A:$A,$A370,'Error Log'!$J:$J,F$1)</f>
        <v>0</v>
      </c>
      <c r="G370" s="70">
        <f>COUNTIFS('Error Log'!$A:$A,$A370,'Error Log'!$J:$J,G$1)</f>
        <v>0</v>
      </c>
      <c r="H370" s="70">
        <f>COUNTIFS('Error Log'!$A:$A,$A370,'Error Log'!$F:$F,"Source")</f>
        <v>0</v>
      </c>
      <c r="I370" s="70">
        <f>COUNTIFS('Error Log'!$A:$A,$A370,'Error Log'!$F:$F,"Target")</f>
        <v>0</v>
      </c>
      <c r="J370" s="71">
        <f t="shared" si="5"/>
        <v>0</v>
      </c>
    </row>
    <row r="371" spans="1:10">
      <c r="A371" s="82"/>
      <c r="B371" s="70" t="str">
        <f>IF(ISBLANK(A371),"",INDEX('Error Log'!$A:$J,MATCH('Scores per segment'!$A371,'Error Log'!$A:$A,0),MATCH('Scores per segment'!B$1,'Error Log'!$A$1:$J$1,0)))</f>
        <v/>
      </c>
      <c r="C371" s="70" t="str">
        <f>IF(ISBLANK(A371),"",INDEX('Error Log'!$A:$J,MATCH('Scores per segment'!$A371,'Error Log'!$A:$A,0),MATCH('Scores per segment'!C$1,'Error Log'!$A$1:$J$1,0)))</f>
        <v/>
      </c>
      <c r="D371" s="70">
        <f>IF(H371=0,wdct(TRIM(C371)),0)</f>
        <v>0</v>
      </c>
      <c r="E371" s="70">
        <f>COUNTIFS('Error Log'!$A:$A,$A371,'Error Log'!$J:$J,E$1)</f>
        <v>0</v>
      </c>
      <c r="F371" s="70">
        <f>COUNTIFS('Error Log'!$A:$A,$A371,'Error Log'!$J:$J,F$1)</f>
        <v>0</v>
      </c>
      <c r="G371" s="70">
        <f>COUNTIFS('Error Log'!$A:$A,$A371,'Error Log'!$J:$J,G$1)</f>
        <v>0</v>
      </c>
      <c r="H371" s="70">
        <f>COUNTIFS('Error Log'!$A:$A,$A371,'Error Log'!$F:$F,"Source")</f>
        <v>0</v>
      </c>
      <c r="I371" s="70">
        <f>COUNTIFS('Error Log'!$A:$A,$A371,'Error Log'!$F:$F,"Target")</f>
        <v>0</v>
      </c>
      <c r="J371" s="71">
        <f t="shared" si="5"/>
        <v>0</v>
      </c>
    </row>
    <row r="372" spans="1:10">
      <c r="A372" s="82"/>
      <c r="B372" s="70" t="str">
        <f>IF(ISBLANK(A372),"",INDEX('Error Log'!$A:$J,MATCH('Scores per segment'!$A372,'Error Log'!$A:$A,0),MATCH('Scores per segment'!B$1,'Error Log'!$A$1:$J$1,0)))</f>
        <v/>
      </c>
      <c r="C372" s="70" t="str">
        <f>IF(ISBLANK(A372),"",INDEX('Error Log'!$A:$J,MATCH('Scores per segment'!$A372,'Error Log'!$A:$A,0),MATCH('Scores per segment'!C$1,'Error Log'!$A$1:$J$1,0)))</f>
        <v/>
      </c>
      <c r="D372" s="70">
        <f>IF(H372=0,wdct(TRIM(C372)),0)</f>
        <v>0</v>
      </c>
      <c r="E372" s="70">
        <f>COUNTIFS('Error Log'!$A:$A,$A372,'Error Log'!$J:$J,E$1)</f>
        <v>0</v>
      </c>
      <c r="F372" s="70">
        <f>COUNTIFS('Error Log'!$A:$A,$A372,'Error Log'!$J:$J,F$1)</f>
        <v>0</v>
      </c>
      <c r="G372" s="70">
        <f>COUNTIFS('Error Log'!$A:$A,$A372,'Error Log'!$J:$J,G$1)</f>
        <v>0</v>
      </c>
      <c r="H372" s="70">
        <f>COUNTIFS('Error Log'!$A:$A,$A372,'Error Log'!$F:$F,"Source")</f>
        <v>0</v>
      </c>
      <c r="I372" s="70">
        <f>COUNTIFS('Error Log'!$A:$A,$A372,'Error Log'!$F:$F,"Target")</f>
        <v>0</v>
      </c>
      <c r="J372" s="71">
        <f t="shared" si="5"/>
        <v>0</v>
      </c>
    </row>
    <row r="373" spans="1:10">
      <c r="A373" s="82"/>
      <c r="B373" s="70" t="str">
        <f>IF(ISBLANK(A373),"",INDEX('Error Log'!$A:$J,MATCH('Scores per segment'!$A373,'Error Log'!$A:$A,0),MATCH('Scores per segment'!B$1,'Error Log'!$A$1:$J$1,0)))</f>
        <v/>
      </c>
      <c r="C373" s="70" t="str">
        <f>IF(ISBLANK(A373),"",INDEX('Error Log'!$A:$J,MATCH('Scores per segment'!$A373,'Error Log'!$A:$A,0),MATCH('Scores per segment'!C$1,'Error Log'!$A$1:$J$1,0)))</f>
        <v/>
      </c>
      <c r="D373" s="70">
        <f>IF(H373=0,wdct(TRIM(C373)),0)</f>
        <v>0</v>
      </c>
      <c r="E373" s="70">
        <f>COUNTIFS('Error Log'!$A:$A,$A373,'Error Log'!$J:$J,E$1)</f>
        <v>0</v>
      </c>
      <c r="F373" s="70">
        <f>COUNTIFS('Error Log'!$A:$A,$A373,'Error Log'!$J:$J,F$1)</f>
        <v>0</v>
      </c>
      <c r="G373" s="70">
        <f>COUNTIFS('Error Log'!$A:$A,$A373,'Error Log'!$J:$J,G$1)</f>
        <v>0</v>
      </c>
      <c r="H373" s="70">
        <f>COUNTIFS('Error Log'!$A:$A,$A373,'Error Log'!$F:$F,"Source")</f>
        <v>0</v>
      </c>
      <c r="I373" s="70">
        <f>COUNTIFS('Error Log'!$A:$A,$A373,'Error Log'!$F:$F,"Target")</f>
        <v>0</v>
      </c>
      <c r="J373" s="71">
        <f t="shared" si="5"/>
        <v>0</v>
      </c>
    </row>
    <row r="374" spans="1:10">
      <c r="A374" s="82"/>
      <c r="B374" s="70" t="str">
        <f>IF(ISBLANK(A374),"",INDEX('Error Log'!$A:$J,MATCH('Scores per segment'!$A374,'Error Log'!$A:$A,0),MATCH('Scores per segment'!B$1,'Error Log'!$A$1:$J$1,0)))</f>
        <v/>
      </c>
      <c r="C374" s="70" t="str">
        <f>IF(ISBLANK(A374),"",INDEX('Error Log'!$A:$J,MATCH('Scores per segment'!$A374,'Error Log'!$A:$A,0),MATCH('Scores per segment'!C$1,'Error Log'!$A$1:$J$1,0)))</f>
        <v/>
      </c>
      <c r="D374" s="70">
        <f>IF(H374=0,wdct(TRIM(C374)),0)</f>
        <v>0</v>
      </c>
      <c r="E374" s="70">
        <f>COUNTIFS('Error Log'!$A:$A,$A374,'Error Log'!$J:$J,E$1)</f>
        <v>0</v>
      </c>
      <c r="F374" s="70">
        <f>COUNTIFS('Error Log'!$A:$A,$A374,'Error Log'!$J:$J,F$1)</f>
        <v>0</v>
      </c>
      <c r="G374" s="70">
        <f>COUNTIFS('Error Log'!$A:$A,$A374,'Error Log'!$J:$J,G$1)</f>
        <v>0</v>
      </c>
      <c r="H374" s="70">
        <f>COUNTIFS('Error Log'!$A:$A,$A374,'Error Log'!$F:$F,"Source")</f>
        <v>0</v>
      </c>
      <c r="I374" s="70">
        <f>COUNTIFS('Error Log'!$A:$A,$A374,'Error Log'!$F:$F,"Target")</f>
        <v>0</v>
      </c>
      <c r="J374" s="71">
        <f t="shared" si="5"/>
        <v>0</v>
      </c>
    </row>
    <row r="375" spans="1:10">
      <c r="A375" s="82"/>
      <c r="B375" s="70" t="str">
        <f>IF(ISBLANK(A375),"",INDEX('Error Log'!$A:$J,MATCH('Scores per segment'!$A375,'Error Log'!$A:$A,0),MATCH('Scores per segment'!B$1,'Error Log'!$A$1:$J$1,0)))</f>
        <v/>
      </c>
      <c r="C375" s="70" t="str">
        <f>IF(ISBLANK(A375),"",INDEX('Error Log'!$A:$J,MATCH('Scores per segment'!$A375,'Error Log'!$A:$A,0),MATCH('Scores per segment'!C$1,'Error Log'!$A$1:$J$1,0)))</f>
        <v/>
      </c>
      <c r="D375" s="70">
        <f>IF(H375=0,wdct(TRIM(C375)),0)</f>
        <v>0</v>
      </c>
      <c r="E375" s="70">
        <f>COUNTIFS('Error Log'!$A:$A,$A375,'Error Log'!$J:$J,E$1)</f>
        <v>0</v>
      </c>
      <c r="F375" s="70">
        <f>COUNTIFS('Error Log'!$A:$A,$A375,'Error Log'!$J:$J,F$1)</f>
        <v>0</v>
      </c>
      <c r="G375" s="70">
        <f>COUNTIFS('Error Log'!$A:$A,$A375,'Error Log'!$J:$J,G$1)</f>
        <v>0</v>
      </c>
      <c r="H375" s="70">
        <f>COUNTIFS('Error Log'!$A:$A,$A375,'Error Log'!$F:$F,"Source")</f>
        <v>0</v>
      </c>
      <c r="I375" s="70">
        <f>COUNTIFS('Error Log'!$A:$A,$A375,'Error Log'!$F:$F,"Target")</f>
        <v>0</v>
      </c>
      <c r="J375" s="71">
        <f t="shared" si="5"/>
        <v>0</v>
      </c>
    </row>
    <row r="376" spans="1:10">
      <c r="A376" s="82"/>
      <c r="B376" s="70" t="str">
        <f>IF(ISBLANK(A376),"",INDEX('Error Log'!$A:$J,MATCH('Scores per segment'!$A376,'Error Log'!$A:$A,0),MATCH('Scores per segment'!B$1,'Error Log'!$A$1:$J$1,0)))</f>
        <v/>
      </c>
      <c r="C376" s="70" t="str">
        <f>IF(ISBLANK(A376),"",INDEX('Error Log'!$A:$J,MATCH('Scores per segment'!$A376,'Error Log'!$A:$A,0),MATCH('Scores per segment'!C$1,'Error Log'!$A$1:$J$1,0)))</f>
        <v/>
      </c>
      <c r="D376" s="70">
        <f>IF(H376=0,wdct(TRIM(C376)),0)</f>
        <v>0</v>
      </c>
      <c r="E376" s="70">
        <f>COUNTIFS('Error Log'!$A:$A,$A376,'Error Log'!$J:$J,E$1)</f>
        <v>0</v>
      </c>
      <c r="F376" s="70">
        <f>COUNTIFS('Error Log'!$A:$A,$A376,'Error Log'!$J:$J,F$1)</f>
        <v>0</v>
      </c>
      <c r="G376" s="70">
        <f>COUNTIFS('Error Log'!$A:$A,$A376,'Error Log'!$J:$J,G$1)</f>
        <v>0</v>
      </c>
      <c r="H376" s="70">
        <f>COUNTIFS('Error Log'!$A:$A,$A376,'Error Log'!$F:$F,"Source")</f>
        <v>0</v>
      </c>
      <c r="I376" s="70">
        <f>COUNTIFS('Error Log'!$A:$A,$A376,'Error Log'!$F:$F,"Target")</f>
        <v>0</v>
      </c>
      <c r="J376" s="71">
        <f t="shared" si="5"/>
        <v>0</v>
      </c>
    </row>
    <row r="377" spans="1:10">
      <c r="A377" s="82"/>
      <c r="B377" s="70" t="str">
        <f>IF(ISBLANK(A377),"",INDEX('Error Log'!$A:$J,MATCH('Scores per segment'!$A377,'Error Log'!$A:$A,0),MATCH('Scores per segment'!B$1,'Error Log'!$A$1:$J$1,0)))</f>
        <v/>
      </c>
      <c r="C377" s="70" t="str">
        <f>IF(ISBLANK(A377),"",INDEX('Error Log'!$A:$J,MATCH('Scores per segment'!$A377,'Error Log'!$A:$A,0),MATCH('Scores per segment'!C$1,'Error Log'!$A$1:$J$1,0)))</f>
        <v/>
      </c>
      <c r="D377" s="70">
        <f>IF(H377=0,wdct(TRIM(C377)),0)</f>
        <v>0</v>
      </c>
      <c r="E377" s="70">
        <f>COUNTIFS('Error Log'!$A:$A,$A377,'Error Log'!$J:$J,E$1)</f>
        <v>0</v>
      </c>
      <c r="F377" s="70">
        <f>COUNTIFS('Error Log'!$A:$A,$A377,'Error Log'!$J:$J,F$1)</f>
        <v>0</v>
      </c>
      <c r="G377" s="70">
        <f>COUNTIFS('Error Log'!$A:$A,$A377,'Error Log'!$J:$J,G$1)</f>
        <v>0</v>
      </c>
      <c r="H377" s="70">
        <f>COUNTIFS('Error Log'!$A:$A,$A377,'Error Log'!$F:$F,"Source")</f>
        <v>0</v>
      </c>
      <c r="I377" s="70">
        <f>COUNTIFS('Error Log'!$A:$A,$A377,'Error Log'!$F:$F,"Target")</f>
        <v>0</v>
      </c>
      <c r="J377" s="71">
        <f t="shared" si="5"/>
        <v>0</v>
      </c>
    </row>
    <row r="378" spans="1:10">
      <c r="A378" s="82"/>
      <c r="B378" s="70" t="str">
        <f>IF(ISBLANK(A378),"",INDEX('Error Log'!$A:$J,MATCH('Scores per segment'!$A378,'Error Log'!$A:$A,0),MATCH('Scores per segment'!B$1,'Error Log'!$A$1:$J$1,0)))</f>
        <v/>
      </c>
      <c r="C378" s="70" t="str">
        <f>IF(ISBLANK(A378),"",INDEX('Error Log'!$A:$J,MATCH('Scores per segment'!$A378,'Error Log'!$A:$A,0),MATCH('Scores per segment'!C$1,'Error Log'!$A$1:$J$1,0)))</f>
        <v/>
      </c>
      <c r="D378" s="70">
        <f>IF(H378=0,wdct(TRIM(C378)),0)</f>
        <v>0</v>
      </c>
      <c r="E378" s="70">
        <f>COUNTIFS('Error Log'!$A:$A,$A378,'Error Log'!$J:$J,E$1)</f>
        <v>0</v>
      </c>
      <c r="F378" s="70">
        <f>COUNTIFS('Error Log'!$A:$A,$A378,'Error Log'!$J:$J,F$1)</f>
        <v>0</v>
      </c>
      <c r="G378" s="70">
        <f>COUNTIFS('Error Log'!$A:$A,$A378,'Error Log'!$J:$J,G$1)</f>
        <v>0</v>
      </c>
      <c r="H378" s="70">
        <f>COUNTIFS('Error Log'!$A:$A,$A378,'Error Log'!$F:$F,"Source")</f>
        <v>0</v>
      </c>
      <c r="I378" s="70">
        <f>COUNTIFS('Error Log'!$A:$A,$A378,'Error Log'!$F:$F,"Target")</f>
        <v>0</v>
      </c>
      <c r="J378" s="71">
        <f t="shared" si="5"/>
        <v>0</v>
      </c>
    </row>
    <row r="379" spans="1:10">
      <c r="A379" s="82"/>
      <c r="B379" s="70" t="str">
        <f>IF(ISBLANK(A379),"",INDEX('Error Log'!$A:$J,MATCH('Scores per segment'!$A379,'Error Log'!$A:$A,0),MATCH('Scores per segment'!B$1,'Error Log'!$A$1:$J$1,0)))</f>
        <v/>
      </c>
      <c r="C379" s="70" t="str">
        <f>IF(ISBLANK(A379),"",INDEX('Error Log'!$A:$J,MATCH('Scores per segment'!$A379,'Error Log'!$A:$A,0),MATCH('Scores per segment'!C$1,'Error Log'!$A$1:$J$1,0)))</f>
        <v/>
      </c>
      <c r="D379" s="70">
        <f>IF(H379=0,wdct(TRIM(C379)),0)</f>
        <v>0</v>
      </c>
      <c r="E379" s="70">
        <f>COUNTIFS('Error Log'!$A:$A,$A379,'Error Log'!$J:$J,E$1)</f>
        <v>0</v>
      </c>
      <c r="F379" s="70">
        <f>COUNTIFS('Error Log'!$A:$A,$A379,'Error Log'!$J:$J,F$1)</f>
        <v>0</v>
      </c>
      <c r="G379" s="70">
        <f>COUNTIFS('Error Log'!$A:$A,$A379,'Error Log'!$J:$J,G$1)</f>
        <v>0</v>
      </c>
      <c r="H379" s="70">
        <f>COUNTIFS('Error Log'!$A:$A,$A379,'Error Log'!$F:$F,"Source")</f>
        <v>0</v>
      </c>
      <c r="I379" s="70">
        <f>COUNTIFS('Error Log'!$A:$A,$A379,'Error Log'!$F:$F,"Target")</f>
        <v>0</v>
      </c>
      <c r="J379" s="71">
        <f t="shared" si="5"/>
        <v>0</v>
      </c>
    </row>
    <row r="380" spans="1:10">
      <c r="A380" s="82"/>
      <c r="B380" s="70" t="str">
        <f>IF(ISBLANK(A380),"",INDEX('Error Log'!$A:$J,MATCH('Scores per segment'!$A380,'Error Log'!$A:$A,0),MATCH('Scores per segment'!B$1,'Error Log'!$A$1:$J$1,0)))</f>
        <v/>
      </c>
      <c r="C380" s="70" t="str">
        <f>IF(ISBLANK(A380),"",INDEX('Error Log'!$A:$J,MATCH('Scores per segment'!$A380,'Error Log'!$A:$A,0),MATCH('Scores per segment'!C$1,'Error Log'!$A$1:$J$1,0)))</f>
        <v/>
      </c>
      <c r="D380" s="70">
        <f>IF(H380=0,wdct(TRIM(C380)),0)</f>
        <v>0</v>
      </c>
      <c r="E380" s="70">
        <f>COUNTIFS('Error Log'!$A:$A,$A380,'Error Log'!$J:$J,E$1)</f>
        <v>0</v>
      </c>
      <c r="F380" s="70">
        <f>COUNTIFS('Error Log'!$A:$A,$A380,'Error Log'!$J:$J,F$1)</f>
        <v>0</v>
      </c>
      <c r="G380" s="70">
        <f>COUNTIFS('Error Log'!$A:$A,$A380,'Error Log'!$J:$J,G$1)</f>
        <v>0</v>
      </c>
      <c r="H380" s="70">
        <f>COUNTIFS('Error Log'!$A:$A,$A380,'Error Log'!$F:$F,"Source")</f>
        <v>0</v>
      </c>
      <c r="I380" s="70">
        <f>COUNTIFS('Error Log'!$A:$A,$A380,'Error Log'!$F:$F,"Target")</f>
        <v>0</v>
      </c>
      <c r="J380" s="71">
        <f t="shared" si="5"/>
        <v>0</v>
      </c>
    </row>
    <row r="381" spans="1:10">
      <c r="A381" s="82"/>
      <c r="B381" s="70" t="str">
        <f>IF(ISBLANK(A381),"",INDEX('Error Log'!$A:$J,MATCH('Scores per segment'!$A381,'Error Log'!$A:$A,0),MATCH('Scores per segment'!B$1,'Error Log'!$A$1:$J$1,0)))</f>
        <v/>
      </c>
      <c r="C381" s="70" t="str">
        <f>IF(ISBLANK(A381),"",INDEX('Error Log'!$A:$J,MATCH('Scores per segment'!$A381,'Error Log'!$A:$A,0),MATCH('Scores per segment'!C$1,'Error Log'!$A$1:$J$1,0)))</f>
        <v/>
      </c>
      <c r="D381" s="70">
        <f>IF(H381=0,wdct(TRIM(C381)),0)</f>
        <v>0</v>
      </c>
      <c r="E381" s="70">
        <f>COUNTIFS('Error Log'!$A:$A,$A381,'Error Log'!$J:$J,E$1)</f>
        <v>0</v>
      </c>
      <c r="F381" s="70">
        <f>COUNTIFS('Error Log'!$A:$A,$A381,'Error Log'!$J:$J,F$1)</f>
        <v>0</v>
      </c>
      <c r="G381" s="70">
        <f>COUNTIFS('Error Log'!$A:$A,$A381,'Error Log'!$J:$J,G$1)</f>
        <v>0</v>
      </c>
      <c r="H381" s="70">
        <f>COUNTIFS('Error Log'!$A:$A,$A381,'Error Log'!$F:$F,"Source")</f>
        <v>0</v>
      </c>
      <c r="I381" s="70">
        <f>COUNTIFS('Error Log'!$A:$A,$A381,'Error Log'!$F:$F,"Target")</f>
        <v>0</v>
      </c>
      <c r="J381" s="71">
        <f t="shared" ref="J381:J444" si="6">IF(I381=0,IFERROR((((1-((E381*10+F381*5+G381*1)/D381))*100)+100)/2,0),-150)</f>
        <v>0</v>
      </c>
    </row>
    <row r="382" spans="1:10">
      <c r="A382" s="82"/>
      <c r="B382" s="70" t="str">
        <f>IF(ISBLANK(A382),"",INDEX('Error Log'!$A:$J,MATCH('Scores per segment'!$A382,'Error Log'!$A:$A,0),MATCH('Scores per segment'!B$1,'Error Log'!$A$1:$J$1,0)))</f>
        <v/>
      </c>
      <c r="C382" s="70" t="str">
        <f>IF(ISBLANK(A382),"",INDEX('Error Log'!$A:$J,MATCH('Scores per segment'!$A382,'Error Log'!$A:$A,0),MATCH('Scores per segment'!C$1,'Error Log'!$A$1:$J$1,0)))</f>
        <v/>
      </c>
      <c r="D382" s="70">
        <f>IF(H382=0,wdct(TRIM(C382)),0)</f>
        <v>0</v>
      </c>
      <c r="E382" s="70">
        <f>COUNTIFS('Error Log'!$A:$A,$A382,'Error Log'!$J:$J,E$1)</f>
        <v>0</v>
      </c>
      <c r="F382" s="70">
        <f>COUNTIFS('Error Log'!$A:$A,$A382,'Error Log'!$J:$J,F$1)</f>
        <v>0</v>
      </c>
      <c r="G382" s="70">
        <f>COUNTIFS('Error Log'!$A:$A,$A382,'Error Log'!$J:$J,G$1)</f>
        <v>0</v>
      </c>
      <c r="H382" s="70">
        <f>COUNTIFS('Error Log'!$A:$A,$A382,'Error Log'!$F:$F,"Source")</f>
        <v>0</v>
      </c>
      <c r="I382" s="70">
        <f>COUNTIFS('Error Log'!$A:$A,$A382,'Error Log'!$F:$F,"Target")</f>
        <v>0</v>
      </c>
      <c r="J382" s="71">
        <f t="shared" si="6"/>
        <v>0</v>
      </c>
    </row>
    <row r="383" spans="1:10">
      <c r="A383" s="82"/>
      <c r="B383" s="70" t="str">
        <f>IF(ISBLANK(A383),"",INDEX('Error Log'!$A:$J,MATCH('Scores per segment'!$A383,'Error Log'!$A:$A,0),MATCH('Scores per segment'!B$1,'Error Log'!$A$1:$J$1,0)))</f>
        <v/>
      </c>
      <c r="C383" s="70" t="str">
        <f>IF(ISBLANK(A383),"",INDEX('Error Log'!$A:$J,MATCH('Scores per segment'!$A383,'Error Log'!$A:$A,0),MATCH('Scores per segment'!C$1,'Error Log'!$A$1:$J$1,0)))</f>
        <v/>
      </c>
      <c r="D383" s="70">
        <f>IF(H383=0,wdct(TRIM(C383)),0)</f>
        <v>0</v>
      </c>
      <c r="E383" s="70">
        <f>COUNTIFS('Error Log'!$A:$A,$A383,'Error Log'!$J:$J,E$1)</f>
        <v>0</v>
      </c>
      <c r="F383" s="70">
        <f>COUNTIFS('Error Log'!$A:$A,$A383,'Error Log'!$J:$J,F$1)</f>
        <v>0</v>
      </c>
      <c r="G383" s="70">
        <f>COUNTIFS('Error Log'!$A:$A,$A383,'Error Log'!$J:$J,G$1)</f>
        <v>0</v>
      </c>
      <c r="H383" s="70">
        <f>COUNTIFS('Error Log'!$A:$A,$A383,'Error Log'!$F:$F,"Source")</f>
        <v>0</v>
      </c>
      <c r="I383" s="70">
        <f>COUNTIFS('Error Log'!$A:$A,$A383,'Error Log'!$F:$F,"Target")</f>
        <v>0</v>
      </c>
      <c r="J383" s="71">
        <f t="shared" si="6"/>
        <v>0</v>
      </c>
    </row>
    <row r="384" spans="1:10">
      <c r="A384" s="82"/>
      <c r="B384" s="70" t="str">
        <f>IF(ISBLANK(A384),"",INDEX('Error Log'!$A:$J,MATCH('Scores per segment'!$A384,'Error Log'!$A:$A,0),MATCH('Scores per segment'!B$1,'Error Log'!$A$1:$J$1,0)))</f>
        <v/>
      </c>
      <c r="C384" s="70" t="str">
        <f>IF(ISBLANK(A384),"",INDEX('Error Log'!$A:$J,MATCH('Scores per segment'!$A384,'Error Log'!$A:$A,0),MATCH('Scores per segment'!C$1,'Error Log'!$A$1:$J$1,0)))</f>
        <v/>
      </c>
      <c r="D384" s="70">
        <f>IF(H384=0,wdct(TRIM(C384)),0)</f>
        <v>0</v>
      </c>
      <c r="E384" s="70">
        <f>COUNTIFS('Error Log'!$A:$A,$A384,'Error Log'!$J:$J,E$1)</f>
        <v>0</v>
      </c>
      <c r="F384" s="70">
        <f>COUNTIFS('Error Log'!$A:$A,$A384,'Error Log'!$J:$J,F$1)</f>
        <v>0</v>
      </c>
      <c r="G384" s="70">
        <f>COUNTIFS('Error Log'!$A:$A,$A384,'Error Log'!$J:$J,G$1)</f>
        <v>0</v>
      </c>
      <c r="H384" s="70">
        <f>COUNTIFS('Error Log'!$A:$A,$A384,'Error Log'!$F:$F,"Source")</f>
        <v>0</v>
      </c>
      <c r="I384" s="70">
        <f>COUNTIFS('Error Log'!$A:$A,$A384,'Error Log'!$F:$F,"Target")</f>
        <v>0</v>
      </c>
      <c r="J384" s="71">
        <f t="shared" si="6"/>
        <v>0</v>
      </c>
    </row>
    <row r="385" spans="1:10">
      <c r="A385" s="82"/>
      <c r="B385" s="70" t="str">
        <f>IF(ISBLANK(A385),"",INDEX('Error Log'!$A:$J,MATCH('Scores per segment'!$A385,'Error Log'!$A:$A,0),MATCH('Scores per segment'!B$1,'Error Log'!$A$1:$J$1,0)))</f>
        <v/>
      </c>
      <c r="C385" s="70" t="str">
        <f>IF(ISBLANK(A385),"",INDEX('Error Log'!$A:$J,MATCH('Scores per segment'!$A385,'Error Log'!$A:$A,0),MATCH('Scores per segment'!C$1,'Error Log'!$A$1:$J$1,0)))</f>
        <v/>
      </c>
      <c r="D385" s="70">
        <f>IF(H385=0,wdct(TRIM(C385)),0)</f>
        <v>0</v>
      </c>
      <c r="E385" s="70">
        <f>COUNTIFS('Error Log'!$A:$A,$A385,'Error Log'!$J:$J,E$1)</f>
        <v>0</v>
      </c>
      <c r="F385" s="70">
        <f>COUNTIFS('Error Log'!$A:$A,$A385,'Error Log'!$J:$J,F$1)</f>
        <v>0</v>
      </c>
      <c r="G385" s="70">
        <f>COUNTIFS('Error Log'!$A:$A,$A385,'Error Log'!$J:$J,G$1)</f>
        <v>0</v>
      </c>
      <c r="H385" s="70">
        <f>COUNTIFS('Error Log'!$A:$A,$A385,'Error Log'!$F:$F,"Source")</f>
        <v>0</v>
      </c>
      <c r="I385" s="70">
        <f>COUNTIFS('Error Log'!$A:$A,$A385,'Error Log'!$F:$F,"Target")</f>
        <v>0</v>
      </c>
      <c r="J385" s="71">
        <f t="shared" si="6"/>
        <v>0</v>
      </c>
    </row>
    <row r="386" spans="1:10">
      <c r="A386" s="82"/>
      <c r="B386" s="70" t="str">
        <f>IF(ISBLANK(A386),"",INDEX('Error Log'!$A:$J,MATCH('Scores per segment'!$A386,'Error Log'!$A:$A,0),MATCH('Scores per segment'!B$1,'Error Log'!$A$1:$J$1,0)))</f>
        <v/>
      </c>
      <c r="C386" s="70" t="str">
        <f>IF(ISBLANK(A386),"",INDEX('Error Log'!$A:$J,MATCH('Scores per segment'!$A386,'Error Log'!$A:$A,0),MATCH('Scores per segment'!C$1,'Error Log'!$A$1:$J$1,0)))</f>
        <v/>
      </c>
      <c r="D386" s="70">
        <f>IF(H386=0,wdct(TRIM(C386)),0)</f>
        <v>0</v>
      </c>
      <c r="E386" s="70">
        <f>COUNTIFS('Error Log'!$A:$A,$A386,'Error Log'!$J:$J,E$1)</f>
        <v>0</v>
      </c>
      <c r="F386" s="70">
        <f>COUNTIFS('Error Log'!$A:$A,$A386,'Error Log'!$J:$J,F$1)</f>
        <v>0</v>
      </c>
      <c r="G386" s="70">
        <f>COUNTIFS('Error Log'!$A:$A,$A386,'Error Log'!$J:$J,G$1)</f>
        <v>0</v>
      </c>
      <c r="H386" s="70">
        <f>COUNTIFS('Error Log'!$A:$A,$A386,'Error Log'!$F:$F,"Source")</f>
        <v>0</v>
      </c>
      <c r="I386" s="70">
        <f>COUNTIFS('Error Log'!$A:$A,$A386,'Error Log'!$F:$F,"Target")</f>
        <v>0</v>
      </c>
      <c r="J386" s="71">
        <f t="shared" si="6"/>
        <v>0</v>
      </c>
    </row>
    <row r="387" spans="1:10">
      <c r="A387" s="82"/>
      <c r="B387" s="70" t="str">
        <f>IF(ISBLANK(A387),"",INDEX('Error Log'!$A:$J,MATCH('Scores per segment'!$A387,'Error Log'!$A:$A,0),MATCH('Scores per segment'!B$1,'Error Log'!$A$1:$J$1,0)))</f>
        <v/>
      </c>
      <c r="C387" s="70" t="str">
        <f>IF(ISBLANK(A387),"",INDEX('Error Log'!$A:$J,MATCH('Scores per segment'!$A387,'Error Log'!$A:$A,0),MATCH('Scores per segment'!C$1,'Error Log'!$A$1:$J$1,0)))</f>
        <v/>
      </c>
      <c r="D387" s="70">
        <f>IF(H387=0,wdct(TRIM(C387)),0)</f>
        <v>0</v>
      </c>
      <c r="E387" s="70">
        <f>COUNTIFS('Error Log'!$A:$A,$A387,'Error Log'!$J:$J,E$1)</f>
        <v>0</v>
      </c>
      <c r="F387" s="70">
        <f>COUNTIFS('Error Log'!$A:$A,$A387,'Error Log'!$J:$J,F$1)</f>
        <v>0</v>
      </c>
      <c r="G387" s="70">
        <f>COUNTIFS('Error Log'!$A:$A,$A387,'Error Log'!$J:$J,G$1)</f>
        <v>0</v>
      </c>
      <c r="H387" s="70">
        <f>COUNTIFS('Error Log'!$A:$A,$A387,'Error Log'!$F:$F,"Source")</f>
        <v>0</v>
      </c>
      <c r="I387" s="70">
        <f>COUNTIFS('Error Log'!$A:$A,$A387,'Error Log'!$F:$F,"Target")</f>
        <v>0</v>
      </c>
      <c r="J387" s="71">
        <f t="shared" si="6"/>
        <v>0</v>
      </c>
    </row>
    <row r="388" spans="1:10">
      <c r="A388" s="82"/>
      <c r="B388" s="70" t="str">
        <f>IF(ISBLANK(A388),"",INDEX('Error Log'!$A:$J,MATCH('Scores per segment'!$A388,'Error Log'!$A:$A,0),MATCH('Scores per segment'!B$1,'Error Log'!$A$1:$J$1,0)))</f>
        <v/>
      </c>
      <c r="C388" s="70" t="str">
        <f>IF(ISBLANK(A388),"",INDEX('Error Log'!$A:$J,MATCH('Scores per segment'!$A388,'Error Log'!$A:$A,0),MATCH('Scores per segment'!C$1,'Error Log'!$A$1:$J$1,0)))</f>
        <v/>
      </c>
      <c r="D388" s="70">
        <f>IF(H388=0,wdct(TRIM(C388)),0)</f>
        <v>0</v>
      </c>
      <c r="E388" s="70">
        <f>COUNTIFS('Error Log'!$A:$A,$A388,'Error Log'!$J:$J,E$1)</f>
        <v>0</v>
      </c>
      <c r="F388" s="70">
        <f>COUNTIFS('Error Log'!$A:$A,$A388,'Error Log'!$J:$J,F$1)</f>
        <v>0</v>
      </c>
      <c r="G388" s="70">
        <f>COUNTIFS('Error Log'!$A:$A,$A388,'Error Log'!$J:$J,G$1)</f>
        <v>0</v>
      </c>
      <c r="H388" s="70">
        <f>COUNTIFS('Error Log'!$A:$A,$A388,'Error Log'!$F:$F,"Source")</f>
        <v>0</v>
      </c>
      <c r="I388" s="70">
        <f>COUNTIFS('Error Log'!$A:$A,$A388,'Error Log'!$F:$F,"Target")</f>
        <v>0</v>
      </c>
      <c r="J388" s="71">
        <f t="shared" si="6"/>
        <v>0</v>
      </c>
    </row>
    <row r="389" spans="1:10">
      <c r="A389" s="82"/>
      <c r="B389" s="70" t="str">
        <f>IF(ISBLANK(A389),"",INDEX('Error Log'!$A:$J,MATCH('Scores per segment'!$A389,'Error Log'!$A:$A,0),MATCH('Scores per segment'!B$1,'Error Log'!$A$1:$J$1,0)))</f>
        <v/>
      </c>
      <c r="C389" s="70" t="str">
        <f>IF(ISBLANK(A389),"",INDEX('Error Log'!$A:$J,MATCH('Scores per segment'!$A389,'Error Log'!$A:$A,0),MATCH('Scores per segment'!C$1,'Error Log'!$A$1:$J$1,0)))</f>
        <v/>
      </c>
      <c r="D389" s="70">
        <f>IF(H389=0,wdct(TRIM(C389)),0)</f>
        <v>0</v>
      </c>
      <c r="E389" s="70">
        <f>COUNTIFS('Error Log'!$A:$A,$A389,'Error Log'!$J:$J,E$1)</f>
        <v>0</v>
      </c>
      <c r="F389" s="70">
        <f>COUNTIFS('Error Log'!$A:$A,$A389,'Error Log'!$J:$J,F$1)</f>
        <v>0</v>
      </c>
      <c r="G389" s="70">
        <f>COUNTIFS('Error Log'!$A:$A,$A389,'Error Log'!$J:$J,G$1)</f>
        <v>0</v>
      </c>
      <c r="H389" s="70">
        <f>COUNTIFS('Error Log'!$A:$A,$A389,'Error Log'!$F:$F,"Source")</f>
        <v>0</v>
      </c>
      <c r="I389" s="70">
        <f>COUNTIFS('Error Log'!$A:$A,$A389,'Error Log'!$F:$F,"Target")</f>
        <v>0</v>
      </c>
      <c r="J389" s="71">
        <f t="shared" si="6"/>
        <v>0</v>
      </c>
    </row>
    <row r="390" spans="1:10">
      <c r="A390" s="82"/>
      <c r="B390" s="70" t="str">
        <f>IF(ISBLANK(A390),"",INDEX('Error Log'!$A:$J,MATCH('Scores per segment'!$A390,'Error Log'!$A:$A,0),MATCH('Scores per segment'!B$1,'Error Log'!$A$1:$J$1,0)))</f>
        <v/>
      </c>
      <c r="C390" s="70" t="str">
        <f>IF(ISBLANK(A390),"",INDEX('Error Log'!$A:$J,MATCH('Scores per segment'!$A390,'Error Log'!$A:$A,0),MATCH('Scores per segment'!C$1,'Error Log'!$A$1:$J$1,0)))</f>
        <v/>
      </c>
      <c r="D390" s="70">
        <f>IF(H390=0,wdct(TRIM(C390)),0)</f>
        <v>0</v>
      </c>
      <c r="E390" s="70">
        <f>COUNTIFS('Error Log'!$A:$A,$A390,'Error Log'!$J:$J,E$1)</f>
        <v>0</v>
      </c>
      <c r="F390" s="70">
        <f>COUNTIFS('Error Log'!$A:$A,$A390,'Error Log'!$J:$J,F$1)</f>
        <v>0</v>
      </c>
      <c r="G390" s="70">
        <f>COUNTIFS('Error Log'!$A:$A,$A390,'Error Log'!$J:$J,G$1)</f>
        <v>0</v>
      </c>
      <c r="H390" s="70">
        <f>COUNTIFS('Error Log'!$A:$A,$A390,'Error Log'!$F:$F,"Source")</f>
        <v>0</v>
      </c>
      <c r="I390" s="70">
        <f>COUNTIFS('Error Log'!$A:$A,$A390,'Error Log'!$F:$F,"Target")</f>
        <v>0</v>
      </c>
      <c r="J390" s="71">
        <f t="shared" si="6"/>
        <v>0</v>
      </c>
    </row>
    <row r="391" spans="1:10">
      <c r="A391" s="82"/>
      <c r="B391" s="70" t="str">
        <f>IF(ISBLANK(A391),"",INDEX('Error Log'!$A:$J,MATCH('Scores per segment'!$A391,'Error Log'!$A:$A,0),MATCH('Scores per segment'!B$1,'Error Log'!$A$1:$J$1,0)))</f>
        <v/>
      </c>
      <c r="C391" s="70" t="str">
        <f>IF(ISBLANK(A391),"",INDEX('Error Log'!$A:$J,MATCH('Scores per segment'!$A391,'Error Log'!$A:$A,0),MATCH('Scores per segment'!C$1,'Error Log'!$A$1:$J$1,0)))</f>
        <v/>
      </c>
      <c r="D391" s="70">
        <f>IF(H391=0,wdct(TRIM(C391)),0)</f>
        <v>0</v>
      </c>
      <c r="E391" s="70">
        <f>COUNTIFS('Error Log'!$A:$A,$A391,'Error Log'!$J:$J,E$1)</f>
        <v>0</v>
      </c>
      <c r="F391" s="70">
        <f>COUNTIFS('Error Log'!$A:$A,$A391,'Error Log'!$J:$J,F$1)</f>
        <v>0</v>
      </c>
      <c r="G391" s="70">
        <f>COUNTIFS('Error Log'!$A:$A,$A391,'Error Log'!$J:$J,G$1)</f>
        <v>0</v>
      </c>
      <c r="H391" s="70">
        <f>COUNTIFS('Error Log'!$A:$A,$A391,'Error Log'!$F:$F,"Source")</f>
        <v>0</v>
      </c>
      <c r="I391" s="70">
        <f>COUNTIFS('Error Log'!$A:$A,$A391,'Error Log'!$F:$F,"Target")</f>
        <v>0</v>
      </c>
      <c r="J391" s="71">
        <f t="shared" si="6"/>
        <v>0</v>
      </c>
    </row>
    <row r="392" spans="1:10">
      <c r="A392" s="82"/>
      <c r="B392" s="70" t="str">
        <f>IF(ISBLANK(A392),"",INDEX('Error Log'!$A:$J,MATCH('Scores per segment'!$A392,'Error Log'!$A:$A,0),MATCH('Scores per segment'!B$1,'Error Log'!$A$1:$J$1,0)))</f>
        <v/>
      </c>
      <c r="C392" s="70" t="str">
        <f>IF(ISBLANK(A392),"",INDEX('Error Log'!$A:$J,MATCH('Scores per segment'!$A392,'Error Log'!$A:$A,0),MATCH('Scores per segment'!C$1,'Error Log'!$A$1:$J$1,0)))</f>
        <v/>
      </c>
      <c r="D392" s="70">
        <f>IF(H392=0,wdct(TRIM(C392)),0)</f>
        <v>0</v>
      </c>
      <c r="E392" s="70">
        <f>COUNTIFS('Error Log'!$A:$A,$A392,'Error Log'!$J:$J,E$1)</f>
        <v>0</v>
      </c>
      <c r="F392" s="70">
        <f>COUNTIFS('Error Log'!$A:$A,$A392,'Error Log'!$J:$J,F$1)</f>
        <v>0</v>
      </c>
      <c r="G392" s="70">
        <f>COUNTIFS('Error Log'!$A:$A,$A392,'Error Log'!$J:$J,G$1)</f>
        <v>0</v>
      </c>
      <c r="H392" s="70">
        <f>COUNTIFS('Error Log'!$A:$A,$A392,'Error Log'!$F:$F,"Source")</f>
        <v>0</v>
      </c>
      <c r="I392" s="70">
        <f>COUNTIFS('Error Log'!$A:$A,$A392,'Error Log'!$F:$F,"Target")</f>
        <v>0</v>
      </c>
      <c r="J392" s="71">
        <f t="shared" si="6"/>
        <v>0</v>
      </c>
    </row>
    <row r="393" spans="1:10">
      <c r="A393" s="82"/>
      <c r="B393" s="70" t="str">
        <f>IF(ISBLANK(A393),"",INDEX('Error Log'!$A:$J,MATCH('Scores per segment'!$A393,'Error Log'!$A:$A,0),MATCH('Scores per segment'!B$1,'Error Log'!$A$1:$J$1,0)))</f>
        <v/>
      </c>
      <c r="C393" s="70" t="str">
        <f>IF(ISBLANK(A393),"",INDEX('Error Log'!$A:$J,MATCH('Scores per segment'!$A393,'Error Log'!$A:$A,0),MATCH('Scores per segment'!C$1,'Error Log'!$A$1:$J$1,0)))</f>
        <v/>
      </c>
      <c r="D393" s="70">
        <f>IF(H393=0,wdct(TRIM(C393)),0)</f>
        <v>0</v>
      </c>
      <c r="E393" s="70">
        <f>COUNTIFS('Error Log'!$A:$A,$A393,'Error Log'!$J:$J,E$1)</f>
        <v>0</v>
      </c>
      <c r="F393" s="70">
        <f>COUNTIFS('Error Log'!$A:$A,$A393,'Error Log'!$J:$J,F$1)</f>
        <v>0</v>
      </c>
      <c r="G393" s="70">
        <f>COUNTIFS('Error Log'!$A:$A,$A393,'Error Log'!$J:$J,G$1)</f>
        <v>0</v>
      </c>
      <c r="H393" s="70">
        <f>COUNTIFS('Error Log'!$A:$A,$A393,'Error Log'!$F:$F,"Source")</f>
        <v>0</v>
      </c>
      <c r="I393" s="70">
        <f>COUNTIFS('Error Log'!$A:$A,$A393,'Error Log'!$F:$F,"Target")</f>
        <v>0</v>
      </c>
      <c r="J393" s="71">
        <f t="shared" si="6"/>
        <v>0</v>
      </c>
    </row>
    <row r="394" spans="1:10">
      <c r="A394" s="82"/>
      <c r="B394" s="70" t="str">
        <f>IF(ISBLANK(A394),"",INDEX('Error Log'!$A:$J,MATCH('Scores per segment'!$A394,'Error Log'!$A:$A,0),MATCH('Scores per segment'!B$1,'Error Log'!$A$1:$J$1,0)))</f>
        <v/>
      </c>
      <c r="C394" s="70" t="str">
        <f>IF(ISBLANK(A394),"",INDEX('Error Log'!$A:$J,MATCH('Scores per segment'!$A394,'Error Log'!$A:$A,0),MATCH('Scores per segment'!C$1,'Error Log'!$A$1:$J$1,0)))</f>
        <v/>
      </c>
      <c r="D394" s="70">
        <f>IF(H394=0,wdct(TRIM(C394)),0)</f>
        <v>0</v>
      </c>
      <c r="E394" s="70">
        <f>COUNTIFS('Error Log'!$A:$A,$A394,'Error Log'!$J:$J,E$1)</f>
        <v>0</v>
      </c>
      <c r="F394" s="70">
        <f>COUNTIFS('Error Log'!$A:$A,$A394,'Error Log'!$J:$J,F$1)</f>
        <v>0</v>
      </c>
      <c r="G394" s="70">
        <f>COUNTIFS('Error Log'!$A:$A,$A394,'Error Log'!$J:$J,G$1)</f>
        <v>0</v>
      </c>
      <c r="H394" s="70">
        <f>COUNTIFS('Error Log'!$A:$A,$A394,'Error Log'!$F:$F,"Source")</f>
        <v>0</v>
      </c>
      <c r="I394" s="70">
        <f>COUNTIFS('Error Log'!$A:$A,$A394,'Error Log'!$F:$F,"Target")</f>
        <v>0</v>
      </c>
      <c r="J394" s="71">
        <f t="shared" si="6"/>
        <v>0</v>
      </c>
    </row>
    <row r="395" spans="1:10">
      <c r="A395" s="82"/>
      <c r="B395" s="70" t="str">
        <f>IF(ISBLANK(A395),"",INDEX('Error Log'!$A:$J,MATCH('Scores per segment'!$A395,'Error Log'!$A:$A,0),MATCH('Scores per segment'!B$1,'Error Log'!$A$1:$J$1,0)))</f>
        <v/>
      </c>
      <c r="C395" s="70" t="str">
        <f>IF(ISBLANK(A395),"",INDEX('Error Log'!$A:$J,MATCH('Scores per segment'!$A395,'Error Log'!$A:$A,0),MATCH('Scores per segment'!C$1,'Error Log'!$A$1:$J$1,0)))</f>
        <v/>
      </c>
      <c r="D395" s="70">
        <f>IF(H395=0,wdct(TRIM(C395)),0)</f>
        <v>0</v>
      </c>
      <c r="E395" s="70">
        <f>COUNTIFS('Error Log'!$A:$A,$A395,'Error Log'!$J:$J,E$1)</f>
        <v>0</v>
      </c>
      <c r="F395" s="70">
        <f>COUNTIFS('Error Log'!$A:$A,$A395,'Error Log'!$J:$J,F$1)</f>
        <v>0</v>
      </c>
      <c r="G395" s="70">
        <f>COUNTIFS('Error Log'!$A:$A,$A395,'Error Log'!$J:$J,G$1)</f>
        <v>0</v>
      </c>
      <c r="H395" s="70">
        <f>COUNTIFS('Error Log'!$A:$A,$A395,'Error Log'!$F:$F,"Source")</f>
        <v>0</v>
      </c>
      <c r="I395" s="70">
        <f>COUNTIFS('Error Log'!$A:$A,$A395,'Error Log'!$F:$F,"Target")</f>
        <v>0</v>
      </c>
      <c r="J395" s="71">
        <f t="shared" si="6"/>
        <v>0</v>
      </c>
    </row>
    <row r="396" spans="1:10">
      <c r="A396" s="82"/>
      <c r="B396" s="70" t="str">
        <f>IF(ISBLANK(A396),"",INDEX('Error Log'!$A:$J,MATCH('Scores per segment'!$A396,'Error Log'!$A:$A,0),MATCH('Scores per segment'!B$1,'Error Log'!$A$1:$J$1,0)))</f>
        <v/>
      </c>
      <c r="C396" s="70" t="str">
        <f>IF(ISBLANK(A396),"",INDEX('Error Log'!$A:$J,MATCH('Scores per segment'!$A396,'Error Log'!$A:$A,0),MATCH('Scores per segment'!C$1,'Error Log'!$A$1:$J$1,0)))</f>
        <v/>
      </c>
      <c r="D396" s="70">
        <f>IF(H396=0,wdct(TRIM(C396)),0)</f>
        <v>0</v>
      </c>
      <c r="E396" s="70">
        <f>COUNTIFS('Error Log'!$A:$A,$A396,'Error Log'!$J:$J,E$1)</f>
        <v>0</v>
      </c>
      <c r="F396" s="70">
        <f>COUNTIFS('Error Log'!$A:$A,$A396,'Error Log'!$J:$J,F$1)</f>
        <v>0</v>
      </c>
      <c r="G396" s="70">
        <f>COUNTIFS('Error Log'!$A:$A,$A396,'Error Log'!$J:$J,G$1)</f>
        <v>0</v>
      </c>
      <c r="H396" s="70">
        <f>COUNTIFS('Error Log'!$A:$A,$A396,'Error Log'!$F:$F,"Source")</f>
        <v>0</v>
      </c>
      <c r="I396" s="70">
        <f>COUNTIFS('Error Log'!$A:$A,$A396,'Error Log'!$F:$F,"Target")</f>
        <v>0</v>
      </c>
      <c r="J396" s="71">
        <f t="shared" si="6"/>
        <v>0</v>
      </c>
    </row>
    <row r="397" spans="1:10">
      <c r="A397" s="82"/>
      <c r="B397" s="70" t="str">
        <f>IF(ISBLANK(A397),"",INDEX('Error Log'!$A:$J,MATCH('Scores per segment'!$A397,'Error Log'!$A:$A,0),MATCH('Scores per segment'!B$1,'Error Log'!$A$1:$J$1,0)))</f>
        <v/>
      </c>
      <c r="C397" s="70" t="str">
        <f>IF(ISBLANK(A397),"",INDEX('Error Log'!$A:$J,MATCH('Scores per segment'!$A397,'Error Log'!$A:$A,0),MATCH('Scores per segment'!C$1,'Error Log'!$A$1:$J$1,0)))</f>
        <v/>
      </c>
      <c r="D397" s="70">
        <f>IF(H397=0,wdct(TRIM(C397)),0)</f>
        <v>0</v>
      </c>
      <c r="E397" s="70">
        <f>COUNTIFS('Error Log'!$A:$A,$A397,'Error Log'!$J:$J,E$1)</f>
        <v>0</v>
      </c>
      <c r="F397" s="70">
        <f>COUNTIFS('Error Log'!$A:$A,$A397,'Error Log'!$J:$J,F$1)</f>
        <v>0</v>
      </c>
      <c r="G397" s="70">
        <f>COUNTIFS('Error Log'!$A:$A,$A397,'Error Log'!$J:$J,G$1)</f>
        <v>0</v>
      </c>
      <c r="H397" s="70">
        <f>COUNTIFS('Error Log'!$A:$A,$A397,'Error Log'!$F:$F,"Source")</f>
        <v>0</v>
      </c>
      <c r="I397" s="70">
        <f>COUNTIFS('Error Log'!$A:$A,$A397,'Error Log'!$F:$F,"Target")</f>
        <v>0</v>
      </c>
      <c r="J397" s="71">
        <f t="shared" si="6"/>
        <v>0</v>
      </c>
    </row>
    <row r="398" spans="1:10">
      <c r="A398" s="82"/>
      <c r="B398" s="70" t="str">
        <f>IF(ISBLANK(A398),"",INDEX('Error Log'!$A:$J,MATCH('Scores per segment'!$A398,'Error Log'!$A:$A,0),MATCH('Scores per segment'!B$1,'Error Log'!$A$1:$J$1,0)))</f>
        <v/>
      </c>
      <c r="C398" s="70" t="str">
        <f>IF(ISBLANK(A398),"",INDEX('Error Log'!$A:$J,MATCH('Scores per segment'!$A398,'Error Log'!$A:$A,0),MATCH('Scores per segment'!C$1,'Error Log'!$A$1:$J$1,0)))</f>
        <v/>
      </c>
      <c r="D398" s="70">
        <f>IF(H398=0,wdct(TRIM(C398)),0)</f>
        <v>0</v>
      </c>
      <c r="E398" s="70">
        <f>COUNTIFS('Error Log'!$A:$A,$A398,'Error Log'!$J:$J,E$1)</f>
        <v>0</v>
      </c>
      <c r="F398" s="70">
        <f>COUNTIFS('Error Log'!$A:$A,$A398,'Error Log'!$J:$J,F$1)</f>
        <v>0</v>
      </c>
      <c r="G398" s="70">
        <f>COUNTIFS('Error Log'!$A:$A,$A398,'Error Log'!$J:$J,G$1)</f>
        <v>0</v>
      </c>
      <c r="H398" s="70">
        <f>COUNTIFS('Error Log'!$A:$A,$A398,'Error Log'!$F:$F,"Source")</f>
        <v>0</v>
      </c>
      <c r="I398" s="70">
        <f>COUNTIFS('Error Log'!$A:$A,$A398,'Error Log'!$F:$F,"Target")</f>
        <v>0</v>
      </c>
      <c r="J398" s="71">
        <f t="shared" si="6"/>
        <v>0</v>
      </c>
    </row>
    <row r="399" spans="1:10">
      <c r="A399" s="82"/>
      <c r="B399" s="70" t="str">
        <f>IF(ISBLANK(A399),"",INDEX('Error Log'!$A:$J,MATCH('Scores per segment'!$A399,'Error Log'!$A:$A,0),MATCH('Scores per segment'!B$1,'Error Log'!$A$1:$J$1,0)))</f>
        <v/>
      </c>
      <c r="C399" s="70" t="str">
        <f>IF(ISBLANK(A399),"",INDEX('Error Log'!$A:$J,MATCH('Scores per segment'!$A399,'Error Log'!$A:$A,0),MATCH('Scores per segment'!C$1,'Error Log'!$A$1:$J$1,0)))</f>
        <v/>
      </c>
      <c r="D399" s="70">
        <f>IF(H399=0,wdct(TRIM(C399)),0)</f>
        <v>0</v>
      </c>
      <c r="E399" s="70">
        <f>COUNTIFS('Error Log'!$A:$A,$A399,'Error Log'!$J:$J,E$1)</f>
        <v>0</v>
      </c>
      <c r="F399" s="70">
        <f>COUNTIFS('Error Log'!$A:$A,$A399,'Error Log'!$J:$J,F$1)</f>
        <v>0</v>
      </c>
      <c r="G399" s="70">
        <f>COUNTIFS('Error Log'!$A:$A,$A399,'Error Log'!$J:$J,G$1)</f>
        <v>0</v>
      </c>
      <c r="H399" s="70">
        <f>COUNTIFS('Error Log'!$A:$A,$A399,'Error Log'!$F:$F,"Source")</f>
        <v>0</v>
      </c>
      <c r="I399" s="70">
        <f>COUNTIFS('Error Log'!$A:$A,$A399,'Error Log'!$F:$F,"Target")</f>
        <v>0</v>
      </c>
      <c r="J399" s="71">
        <f t="shared" si="6"/>
        <v>0</v>
      </c>
    </row>
    <row r="400" spans="1:10">
      <c r="A400" s="82"/>
      <c r="B400" s="70" t="str">
        <f>IF(ISBLANK(A400),"",INDEX('Error Log'!$A:$J,MATCH('Scores per segment'!$A400,'Error Log'!$A:$A,0),MATCH('Scores per segment'!B$1,'Error Log'!$A$1:$J$1,0)))</f>
        <v/>
      </c>
      <c r="C400" s="70" t="str">
        <f>IF(ISBLANK(A400),"",INDEX('Error Log'!$A:$J,MATCH('Scores per segment'!$A400,'Error Log'!$A:$A,0),MATCH('Scores per segment'!C$1,'Error Log'!$A$1:$J$1,0)))</f>
        <v/>
      </c>
      <c r="D400" s="70">
        <f>IF(H400=0,wdct(TRIM(C400)),0)</f>
        <v>0</v>
      </c>
      <c r="E400" s="70">
        <f>COUNTIFS('Error Log'!$A:$A,$A400,'Error Log'!$J:$J,E$1)</f>
        <v>0</v>
      </c>
      <c r="F400" s="70">
        <f>COUNTIFS('Error Log'!$A:$A,$A400,'Error Log'!$J:$J,F$1)</f>
        <v>0</v>
      </c>
      <c r="G400" s="70">
        <f>COUNTIFS('Error Log'!$A:$A,$A400,'Error Log'!$J:$J,G$1)</f>
        <v>0</v>
      </c>
      <c r="H400" s="70">
        <f>COUNTIFS('Error Log'!$A:$A,$A400,'Error Log'!$F:$F,"Source")</f>
        <v>0</v>
      </c>
      <c r="I400" s="70">
        <f>COUNTIFS('Error Log'!$A:$A,$A400,'Error Log'!$F:$F,"Target")</f>
        <v>0</v>
      </c>
      <c r="J400" s="71">
        <f t="shared" si="6"/>
        <v>0</v>
      </c>
    </row>
    <row r="401" spans="1:10">
      <c r="A401" s="82"/>
      <c r="B401" s="70" t="str">
        <f>IF(ISBLANK(A401),"",INDEX('Error Log'!$A:$J,MATCH('Scores per segment'!$A401,'Error Log'!$A:$A,0),MATCH('Scores per segment'!B$1,'Error Log'!$A$1:$J$1,0)))</f>
        <v/>
      </c>
      <c r="C401" s="70" t="str">
        <f>IF(ISBLANK(A401),"",INDEX('Error Log'!$A:$J,MATCH('Scores per segment'!$A401,'Error Log'!$A:$A,0),MATCH('Scores per segment'!C$1,'Error Log'!$A$1:$J$1,0)))</f>
        <v/>
      </c>
      <c r="D401" s="70">
        <f>IF(H401=0,wdct(TRIM(C401)),0)</f>
        <v>0</v>
      </c>
      <c r="E401" s="70">
        <f>COUNTIFS('Error Log'!$A:$A,$A401,'Error Log'!$J:$J,E$1)</f>
        <v>0</v>
      </c>
      <c r="F401" s="70">
        <f>COUNTIFS('Error Log'!$A:$A,$A401,'Error Log'!$J:$J,F$1)</f>
        <v>0</v>
      </c>
      <c r="G401" s="70">
        <f>COUNTIFS('Error Log'!$A:$A,$A401,'Error Log'!$J:$J,G$1)</f>
        <v>0</v>
      </c>
      <c r="H401" s="70">
        <f>COUNTIFS('Error Log'!$A:$A,$A401,'Error Log'!$F:$F,"Source")</f>
        <v>0</v>
      </c>
      <c r="I401" s="70">
        <f>COUNTIFS('Error Log'!$A:$A,$A401,'Error Log'!$F:$F,"Target")</f>
        <v>0</v>
      </c>
      <c r="J401" s="71">
        <f t="shared" si="6"/>
        <v>0</v>
      </c>
    </row>
    <row r="402" spans="1:10">
      <c r="A402" s="82"/>
      <c r="B402" s="70" t="str">
        <f>IF(ISBLANK(A402),"",INDEX('Error Log'!$A:$J,MATCH('Scores per segment'!$A402,'Error Log'!$A:$A,0),MATCH('Scores per segment'!B$1,'Error Log'!$A$1:$J$1,0)))</f>
        <v/>
      </c>
      <c r="C402" s="70" t="str">
        <f>IF(ISBLANK(A402),"",INDEX('Error Log'!$A:$J,MATCH('Scores per segment'!$A402,'Error Log'!$A:$A,0),MATCH('Scores per segment'!C$1,'Error Log'!$A$1:$J$1,0)))</f>
        <v/>
      </c>
      <c r="D402" s="70">
        <f>IF(H402=0,wdct(TRIM(C402)),0)</f>
        <v>0</v>
      </c>
      <c r="E402" s="70">
        <f>COUNTIFS('Error Log'!$A:$A,$A402,'Error Log'!$J:$J,E$1)</f>
        <v>0</v>
      </c>
      <c r="F402" s="70">
        <f>COUNTIFS('Error Log'!$A:$A,$A402,'Error Log'!$J:$J,F$1)</f>
        <v>0</v>
      </c>
      <c r="G402" s="70">
        <f>COUNTIFS('Error Log'!$A:$A,$A402,'Error Log'!$J:$J,G$1)</f>
        <v>0</v>
      </c>
      <c r="H402" s="70">
        <f>COUNTIFS('Error Log'!$A:$A,$A402,'Error Log'!$F:$F,"Source")</f>
        <v>0</v>
      </c>
      <c r="I402" s="70">
        <f>COUNTIFS('Error Log'!$A:$A,$A402,'Error Log'!$F:$F,"Target")</f>
        <v>0</v>
      </c>
      <c r="J402" s="71">
        <f t="shared" si="6"/>
        <v>0</v>
      </c>
    </row>
    <row r="403" spans="1:10">
      <c r="A403" s="82"/>
      <c r="B403" s="70" t="str">
        <f>IF(ISBLANK(A403),"",INDEX('Error Log'!$A:$J,MATCH('Scores per segment'!$A403,'Error Log'!$A:$A,0),MATCH('Scores per segment'!B$1,'Error Log'!$A$1:$J$1,0)))</f>
        <v/>
      </c>
      <c r="C403" s="70" t="str">
        <f>IF(ISBLANK(A403),"",INDEX('Error Log'!$A:$J,MATCH('Scores per segment'!$A403,'Error Log'!$A:$A,0),MATCH('Scores per segment'!C$1,'Error Log'!$A$1:$J$1,0)))</f>
        <v/>
      </c>
      <c r="D403" s="70">
        <f>IF(H403=0,wdct(TRIM(C403)),0)</f>
        <v>0</v>
      </c>
      <c r="E403" s="70">
        <f>COUNTIFS('Error Log'!$A:$A,$A403,'Error Log'!$J:$J,E$1)</f>
        <v>0</v>
      </c>
      <c r="F403" s="70">
        <f>COUNTIFS('Error Log'!$A:$A,$A403,'Error Log'!$J:$J,F$1)</f>
        <v>0</v>
      </c>
      <c r="G403" s="70">
        <f>COUNTIFS('Error Log'!$A:$A,$A403,'Error Log'!$J:$J,G$1)</f>
        <v>0</v>
      </c>
      <c r="H403" s="70">
        <f>COUNTIFS('Error Log'!$A:$A,$A403,'Error Log'!$F:$F,"Source")</f>
        <v>0</v>
      </c>
      <c r="I403" s="70">
        <f>COUNTIFS('Error Log'!$A:$A,$A403,'Error Log'!$F:$F,"Target")</f>
        <v>0</v>
      </c>
      <c r="J403" s="71">
        <f t="shared" si="6"/>
        <v>0</v>
      </c>
    </row>
    <row r="404" spans="1:10">
      <c r="A404" s="82"/>
      <c r="B404" s="70" t="str">
        <f>IF(ISBLANK(A404),"",INDEX('Error Log'!$A:$J,MATCH('Scores per segment'!$A404,'Error Log'!$A:$A,0),MATCH('Scores per segment'!B$1,'Error Log'!$A$1:$J$1,0)))</f>
        <v/>
      </c>
      <c r="C404" s="70" t="str">
        <f>IF(ISBLANK(A404),"",INDEX('Error Log'!$A:$J,MATCH('Scores per segment'!$A404,'Error Log'!$A:$A,0),MATCH('Scores per segment'!C$1,'Error Log'!$A$1:$J$1,0)))</f>
        <v/>
      </c>
      <c r="D404" s="70">
        <f>IF(H404=0,wdct(TRIM(C404)),0)</f>
        <v>0</v>
      </c>
      <c r="E404" s="70">
        <f>COUNTIFS('Error Log'!$A:$A,$A404,'Error Log'!$J:$J,E$1)</f>
        <v>0</v>
      </c>
      <c r="F404" s="70">
        <f>COUNTIFS('Error Log'!$A:$A,$A404,'Error Log'!$J:$J,F$1)</f>
        <v>0</v>
      </c>
      <c r="G404" s="70">
        <f>COUNTIFS('Error Log'!$A:$A,$A404,'Error Log'!$J:$J,G$1)</f>
        <v>0</v>
      </c>
      <c r="H404" s="70">
        <f>COUNTIFS('Error Log'!$A:$A,$A404,'Error Log'!$F:$F,"Source")</f>
        <v>0</v>
      </c>
      <c r="I404" s="70">
        <f>COUNTIFS('Error Log'!$A:$A,$A404,'Error Log'!$F:$F,"Target")</f>
        <v>0</v>
      </c>
      <c r="J404" s="71">
        <f t="shared" si="6"/>
        <v>0</v>
      </c>
    </row>
    <row r="405" spans="1:10">
      <c r="A405" s="82"/>
      <c r="B405" s="70" t="str">
        <f>IF(ISBLANK(A405),"",INDEX('Error Log'!$A:$J,MATCH('Scores per segment'!$A405,'Error Log'!$A:$A,0),MATCH('Scores per segment'!B$1,'Error Log'!$A$1:$J$1,0)))</f>
        <v/>
      </c>
      <c r="C405" s="70" t="str">
        <f>IF(ISBLANK(A405),"",INDEX('Error Log'!$A:$J,MATCH('Scores per segment'!$A405,'Error Log'!$A:$A,0),MATCH('Scores per segment'!C$1,'Error Log'!$A$1:$J$1,0)))</f>
        <v/>
      </c>
      <c r="D405" s="70">
        <f>IF(H405=0,wdct(TRIM(C405)),0)</f>
        <v>0</v>
      </c>
      <c r="E405" s="70">
        <f>COUNTIFS('Error Log'!$A:$A,$A405,'Error Log'!$J:$J,E$1)</f>
        <v>0</v>
      </c>
      <c r="F405" s="70">
        <f>COUNTIFS('Error Log'!$A:$A,$A405,'Error Log'!$J:$J,F$1)</f>
        <v>0</v>
      </c>
      <c r="G405" s="70">
        <f>COUNTIFS('Error Log'!$A:$A,$A405,'Error Log'!$J:$J,G$1)</f>
        <v>0</v>
      </c>
      <c r="H405" s="70">
        <f>COUNTIFS('Error Log'!$A:$A,$A405,'Error Log'!$F:$F,"Source")</f>
        <v>0</v>
      </c>
      <c r="I405" s="70">
        <f>COUNTIFS('Error Log'!$A:$A,$A405,'Error Log'!$F:$F,"Target")</f>
        <v>0</v>
      </c>
      <c r="J405" s="71">
        <f t="shared" si="6"/>
        <v>0</v>
      </c>
    </row>
    <row r="406" spans="1:10">
      <c r="A406" s="82"/>
      <c r="B406" s="70" t="str">
        <f>IF(ISBLANK(A406),"",INDEX('Error Log'!$A:$J,MATCH('Scores per segment'!$A406,'Error Log'!$A:$A,0),MATCH('Scores per segment'!B$1,'Error Log'!$A$1:$J$1,0)))</f>
        <v/>
      </c>
      <c r="C406" s="70" t="str">
        <f>IF(ISBLANK(A406),"",INDEX('Error Log'!$A:$J,MATCH('Scores per segment'!$A406,'Error Log'!$A:$A,0),MATCH('Scores per segment'!C$1,'Error Log'!$A$1:$J$1,0)))</f>
        <v/>
      </c>
      <c r="D406" s="70">
        <f>IF(H406=0,wdct(TRIM(C406)),0)</f>
        <v>0</v>
      </c>
      <c r="E406" s="70">
        <f>COUNTIFS('Error Log'!$A:$A,$A406,'Error Log'!$J:$J,E$1)</f>
        <v>0</v>
      </c>
      <c r="F406" s="70">
        <f>COUNTIFS('Error Log'!$A:$A,$A406,'Error Log'!$J:$J,F$1)</f>
        <v>0</v>
      </c>
      <c r="G406" s="70">
        <f>COUNTIFS('Error Log'!$A:$A,$A406,'Error Log'!$J:$J,G$1)</f>
        <v>0</v>
      </c>
      <c r="H406" s="70">
        <f>COUNTIFS('Error Log'!$A:$A,$A406,'Error Log'!$F:$F,"Source")</f>
        <v>0</v>
      </c>
      <c r="I406" s="70">
        <f>COUNTIFS('Error Log'!$A:$A,$A406,'Error Log'!$F:$F,"Target")</f>
        <v>0</v>
      </c>
      <c r="J406" s="71">
        <f t="shared" si="6"/>
        <v>0</v>
      </c>
    </row>
    <row r="407" spans="1:10">
      <c r="A407" s="82"/>
      <c r="B407" s="70" t="str">
        <f>IF(ISBLANK(A407),"",INDEX('Error Log'!$A:$J,MATCH('Scores per segment'!$A407,'Error Log'!$A:$A,0),MATCH('Scores per segment'!B$1,'Error Log'!$A$1:$J$1,0)))</f>
        <v/>
      </c>
      <c r="C407" s="70" t="str">
        <f>IF(ISBLANK(A407),"",INDEX('Error Log'!$A:$J,MATCH('Scores per segment'!$A407,'Error Log'!$A:$A,0),MATCH('Scores per segment'!C$1,'Error Log'!$A$1:$J$1,0)))</f>
        <v/>
      </c>
      <c r="D407" s="70">
        <f>IF(H407=0,wdct(TRIM(C407)),0)</f>
        <v>0</v>
      </c>
      <c r="E407" s="70">
        <f>COUNTIFS('Error Log'!$A:$A,$A407,'Error Log'!$J:$J,E$1)</f>
        <v>0</v>
      </c>
      <c r="F407" s="70">
        <f>COUNTIFS('Error Log'!$A:$A,$A407,'Error Log'!$J:$J,F$1)</f>
        <v>0</v>
      </c>
      <c r="G407" s="70">
        <f>COUNTIFS('Error Log'!$A:$A,$A407,'Error Log'!$J:$J,G$1)</f>
        <v>0</v>
      </c>
      <c r="H407" s="70">
        <f>COUNTIFS('Error Log'!$A:$A,$A407,'Error Log'!$F:$F,"Source")</f>
        <v>0</v>
      </c>
      <c r="I407" s="70">
        <f>COUNTIFS('Error Log'!$A:$A,$A407,'Error Log'!$F:$F,"Target")</f>
        <v>0</v>
      </c>
      <c r="J407" s="71">
        <f t="shared" si="6"/>
        <v>0</v>
      </c>
    </row>
    <row r="408" spans="1:10">
      <c r="A408" s="82"/>
      <c r="B408" s="70" t="str">
        <f>IF(ISBLANK(A408),"",INDEX('Error Log'!$A:$J,MATCH('Scores per segment'!$A408,'Error Log'!$A:$A,0),MATCH('Scores per segment'!B$1,'Error Log'!$A$1:$J$1,0)))</f>
        <v/>
      </c>
      <c r="C408" s="70" t="str">
        <f>IF(ISBLANK(A408),"",INDEX('Error Log'!$A:$J,MATCH('Scores per segment'!$A408,'Error Log'!$A:$A,0),MATCH('Scores per segment'!C$1,'Error Log'!$A$1:$J$1,0)))</f>
        <v/>
      </c>
      <c r="D408" s="70">
        <f>IF(H408=0,wdct(TRIM(C408)),0)</f>
        <v>0</v>
      </c>
      <c r="E408" s="70">
        <f>COUNTIFS('Error Log'!$A:$A,$A408,'Error Log'!$J:$J,E$1)</f>
        <v>0</v>
      </c>
      <c r="F408" s="70">
        <f>COUNTIFS('Error Log'!$A:$A,$A408,'Error Log'!$J:$J,F$1)</f>
        <v>0</v>
      </c>
      <c r="G408" s="70">
        <f>COUNTIFS('Error Log'!$A:$A,$A408,'Error Log'!$J:$J,G$1)</f>
        <v>0</v>
      </c>
      <c r="H408" s="70">
        <f>COUNTIFS('Error Log'!$A:$A,$A408,'Error Log'!$F:$F,"Source")</f>
        <v>0</v>
      </c>
      <c r="I408" s="70">
        <f>COUNTIFS('Error Log'!$A:$A,$A408,'Error Log'!$F:$F,"Target")</f>
        <v>0</v>
      </c>
      <c r="J408" s="71">
        <f t="shared" si="6"/>
        <v>0</v>
      </c>
    </row>
    <row r="409" spans="1:10">
      <c r="A409" s="82"/>
      <c r="B409" s="70" t="str">
        <f>IF(ISBLANK(A409),"",INDEX('Error Log'!$A:$J,MATCH('Scores per segment'!$A409,'Error Log'!$A:$A,0),MATCH('Scores per segment'!B$1,'Error Log'!$A$1:$J$1,0)))</f>
        <v/>
      </c>
      <c r="C409" s="70" t="str">
        <f>IF(ISBLANK(A409),"",INDEX('Error Log'!$A:$J,MATCH('Scores per segment'!$A409,'Error Log'!$A:$A,0),MATCH('Scores per segment'!C$1,'Error Log'!$A$1:$J$1,0)))</f>
        <v/>
      </c>
      <c r="D409" s="70">
        <f>IF(H409=0,wdct(TRIM(C409)),0)</f>
        <v>0</v>
      </c>
      <c r="E409" s="70">
        <f>COUNTIFS('Error Log'!$A:$A,$A409,'Error Log'!$J:$J,E$1)</f>
        <v>0</v>
      </c>
      <c r="F409" s="70">
        <f>COUNTIFS('Error Log'!$A:$A,$A409,'Error Log'!$J:$J,F$1)</f>
        <v>0</v>
      </c>
      <c r="G409" s="70">
        <f>COUNTIFS('Error Log'!$A:$A,$A409,'Error Log'!$J:$J,G$1)</f>
        <v>0</v>
      </c>
      <c r="H409" s="70">
        <f>COUNTIFS('Error Log'!$A:$A,$A409,'Error Log'!$F:$F,"Source")</f>
        <v>0</v>
      </c>
      <c r="I409" s="70">
        <f>COUNTIFS('Error Log'!$A:$A,$A409,'Error Log'!$F:$F,"Target")</f>
        <v>0</v>
      </c>
      <c r="J409" s="71">
        <f t="shared" si="6"/>
        <v>0</v>
      </c>
    </row>
    <row r="410" spans="1:10">
      <c r="A410" s="82"/>
      <c r="B410" s="70" t="str">
        <f>IF(ISBLANK(A410),"",INDEX('Error Log'!$A:$J,MATCH('Scores per segment'!$A410,'Error Log'!$A:$A,0),MATCH('Scores per segment'!B$1,'Error Log'!$A$1:$J$1,0)))</f>
        <v/>
      </c>
      <c r="C410" s="70" t="str">
        <f>IF(ISBLANK(A410),"",INDEX('Error Log'!$A:$J,MATCH('Scores per segment'!$A410,'Error Log'!$A:$A,0),MATCH('Scores per segment'!C$1,'Error Log'!$A$1:$J$1,0)))</f>
        <v/>
      </c>
      <c r="D410" s="70">
        <f>IF(H410=0,wdct(TRIM(C410)),0)</f>
        <v>0</v>
      </c>
      <c r="E410" s="70">
        <f>COUNTIFS('Error Log'!$A:$A,$A410,'Error Log'!$J:$J,E$1)</f>
        <v>0</v>
      </c>
      <c r="F410" s="70">
        <f>COUNTIFS('Error Log'!$A:$A,$A410,'Error Log'!$J:$J,F$1)</f>
        <v>0</v>
      </c>
      <c r="G410" s="70">
        <f>COUNTIFS('Error Log'!$A:$A,$A410,'Error Log'!$J:$J,G$1)</f>
        <v>0</v>
      </c>
      <c r="H410" s="70">
        <f>COUNTIFS('Error Log'!$A:$A,$A410,'Error Log'!$F:$F,"Source")</f>
        <v>0</v>
      </c>
      <c r="I410" s="70">
        <f>COUNTIFS('Error Log'!$A:$A,$A410,'Error Log'!$F:$F,"Target")</f>
        <v>0</v>
      </c>
      <c r="J410" s="71">
        <f t="shared" si="6"/>
        <v>0</v>
      </c>
    </row>
    <row r="411" spans="1:10">
      <c r="A411" s="82"/>
      <c r="B411" s="70" t="str">
        <f>IF(ISBLANK(A411),"",INDEX('Error Log'!$A:$J,MATCH('Scores per segment'!$A411,'Error Log'!$A:$A,0),MATCH('Scores per segment'!B$1,'Error Log'!$A$1:$J$1,0)))</f>
        <v/>
      </c>
      <c r="C411" s="70" t="str">
        <f>IF(ISBLANK(A411),"",INDEX('Error Log'!$A:$J,MATCH('Scores per segment'!$A411,'Error Log'!$A:$A,0),MATCH('Scores per segment'!C$1,'Error Log'!$A$1:$J$1,0)))</f>
        <v/>
      </c>
      <c r="D411" s="70">
        <f>IF(H411=0,wdct(TRIM(C411)),0)</f>
        <v>0</v>
      </c>
      <c r="E411" s="70">
        <f>COUNTIFS('Error Log'!$A:$A,$A411,'Error Log'!$J:$J,E$1)</f>
        <v>0</v>
      </c>
      <c r="F411" s="70">
        <f>COUNTIFS('Error Log'!$A:$A,$A411,'Error Log'!$J:$J,F$1)</f>
        <v>0</v>
      </c>
      <c r="G411" s="70">
        <f>COUNTIFS('Error Log'!$A:$A,$A411,'Error Log'!$J:$J,G$1)</f>
        <v>0</v>
      </c>
      <c r="H411" s="70">
        <f>COUNTIFS('Error Log'!$A:$A,$A411,'Error Log'!$F:$F,"Source")</f>
        <v>0</v>
      </c>
      <c r="I411" s="70">
        <f>COUNTIFS('Error Log'!$A:$A,$A411,'Error Log'!$F:$F,"Target")</f>
        <v>0</v>
      </c>
      <c r="J411" s="71">
        <f t="shared" si="6"/>
        <v>0</v>
      </c>
    </row>
    <row r="412" spans="1:10">
      <c r="A412" s="82"/>
      <c r="B412" s="70" t="str">
        <f>IF(ISBLANK(A412),"",INDEX('Error Log'!$A:$J,MATCH('Scores per segment'!$A412,'Error Log'!$A:$A,0),MATCH('Scores per segment'!B$1,'Error Log'!$A$1:$J$1,0)))</f>
        <v/>
      </c>
      <c r="C412" s="70" t="str">
        <f>IF(ISBLANK(A412),"",INDEX('Error Log'!$A:$J,MATCH('Scores per segment'!$A412,'Error Log'!$A:$A,0),MATCH('Scores per segment'!C$1,'Error Log'!$A$1:$J$1,0)))</f>
        <v/>
      </c>
      <c r="D412" s="70">
        <f>IF(H412=0,wdct(TRIM(C412)),0)</f>
        <v>0</v>
      </c>
      <c r="E412" s="70">
        <f>COUNTIFS('Error Log'!$A:$A,$A412,'Error Log'!$J:$J,E$1)</f>
        <v>0</v>
      </c>
      <c r="F412" s="70">
        <f>COUNTIFS('Error Log'!$A:$A,$A412,'Error Log'!$J:$J,F$1)</f>
        <v>0</v>
      </c>
      <c r="G412" s="70">
        <f>COUNTIFS('Error Log'!$A:$A,$A412,'Error Log'!$J:$J,G$1)</f>
        <v>0</v>
      </c>
      <c r="H412" s="70">
        <f>COUNTIFS('Error Log'!$A:$A,$A412,'Error Log'!$F:$F,"Source")</f>
        <v>0</v>
      </c>
      <c r="I412" s="70">
        <f>COUNTIFS('Error Log'!$A:$A,$A412,'Error Log'!$F:$F,"Target")</f>
        <v>0</v>
      </c>
      <c r="J412" s="71">
        <f t="shared" si="6"/>
        <v>0</v>
      </c>
    </row>
    <row r="413" spans="1:10">
      <c r="A413" s="82"/>
      <c r="B413" s="70" t="str">
        <f>IF(ISBLANK(A413),"",INDEX('Error Log'!$A:$J,MATCH('Scores per segment'!$A413,'Error Log'!$A:$A,0),MATCH('Scores per segment'!B$1,'Error Log'!$A$1:$J$1,0)))</f>
        <v/>
      </c>
      <c r="C413" s="70" t="str">
        <f>IF(ISBLANK(A413),"",INDEX('Error Log'!$A:$J,MATCH('Scores per segment'!$A413,'Error Log'!$A:$A,0),MATCH('Scores per segment'!C$1,'Error Log'!$A$1:$J$1,0)))</f>
        <v/>
      </c>
      <c r="D413" s="70">
        <f>IF(H413=0,wdct(TRIM(C413)),0)</f>
        <v>0</v>
      </c>
      <c r="E413" s="70">
        <f>COUNTIFS('Error Log'!$A:$A,$A413,'Error Log'!$J:$J,E$1)</f>
        <v>0</v>
      </c>
      <c r="F413" s="70">
        <f>COUNTIFS('Error Log'!$A:$A,$A413,'Error Log'!$J:$J,F$1)</f>
        <v>0</v>
      </c>
      <c r="G413" s="70">
        <f>COUNTIFS('Error Log'!$A:$A,$A413,'Error Log'!$J:$J,G$1)</f>
        <v>0</v>
      </c>
      <c r="H413" s="70">
        <f>COUNTIFS('Error Log'!$A:$A,$A413,'Error Log'!$F:$F,"Source")</f>
        <v>0</v>
      </c>
      <c r="I413" s="70">
        <f>COUNTIFS('Error Log'!$A:$A,$A413,'Error Log'!$F:$F,"Target")</f>
        <v>0</v>
      </c>
      <c r="J413" s="71">
        <f t="shared" si="6"/>
        <v>0</v>
      </c>
    </row>
    <row r="414" spans="1:10">
      <c r="A414" s="82"/>
      <c r="B414" s="70" t="str">
        <f>IF(ISBLANK(A414),"",INDEX('Error Log'!$A:$J,MATCH('Scores per segment'!$A414,'Error Log'!$A:$A,0),MATCH('Scores per segment'!B$1,'Error Log'!$A$1:$J$1,0)))</f>
        <v/>
      </c>
      <c r="C414" s="70" t="str">
        <f>IF(ISBLANK(A414),"",INDEX('Error Log'!$A:$J,MATCH('Scores per segment'!$A414,'Error Log'!$A:$A,0),MATCH('Scores per segment'!C$1,'Error Log'!$A$1:$J$1,0)))</f>
        <v/>
      </c>
      <c r="D414" s="70">
        <f>IF(H414=0,wdct(TRIM(C414)),0)</f>
        <v>0</v>
      </c>
      <c r="E414" s="70">
        <f>COUNTIFS('Error Log'!$A:$A,$A414,'Error Log'!$J:$J,E$1)</f>
        <v>0</v>
      </c>
      <c r="F414" s="70">
        <f>COUNTIFS('Error Log'!$A:$A,$A414,'Error Log'!$J:$J,F$1)</f>
        <v>0</v>
      </c>
      <c r="G414" s="70">
        <f>COUNTIFS('Error Log'!$A:$A,$A414,'Error Log'!$J:$J,G$1)</f>
        <v>0</v>
      </c>
      <c r="H414" s="70">
        <f>COUNTIFS('Error Log'!$A:$A,$A414,'Error Log'!$F:$F,"Source")</f>
        <v>0</v>
      </c>
      <c r="I414" s="70">
        <f>COUNTIFS('Error Log'!$A:$A,$A414,'Error Log'!$F:$F,"Target")</f>
        <v>0</v>
      </c>
      <c r="J414" s="71">
        <f t="shared" si="6"/>
        <v>0</v>
      </c>
    </row>
    <row r="415" spans="1:10">
      <c r="A415" s="82"/>
      <c r="B415" s="70" t="str">
        <f>IF(ISBLANK(A415),"",INDEX('Error Log'!$A:$J,MATCH('Scores per segment'!$A415,'Error Log'!$A:$A,0),MATCH('Scores per segment'!B$1,'Error Log'!$A$1:$J$1,0)))</f>
        <v/>
      </c>
      <c r="C415" s="70" t="str">
        <f>IF(ISBLANK(A415),"",INDEX('Error Log'!$A:$J,MATCH('Scores per segment'!$A415,'Error Log'!$A:$A,0),MATCH('Scores per segment'!C$1,'Error Log'!$A$1:$J$1,0)))</f>
        <v/>
      </c>
      <c r="D415" s="70">
        <f>IF(H415=0,wdct(TRIM(C415)),0)</f>
        <v>0</v>
      </c>
      <c r="E415" s="70">
        <f>COUNTIFS('Error Log'!$A:$A,$A415,'Error Log'!$J:$J,E$1)</f>
        <v>0</v>
      </c>
      <c r="F415" s="70">
        <f>COUNTIFS('Error Log'!$A:$A,$A415,'Error Log'!$J:$J,F$1)</f>
        <v>0</v>
      </c>
      <c r="G415" s="70">
        <f>COUNTIFS('Error Log'!$A:$A,$A415,'Error Log'!$J:$J,G$1)</f>
        <v>0</v>
      </c>
      <c r="H415" s="70">
        <f>COUNTIFS('Error Log'!$A:$A,$A415,'Error Log'!$F:$F,"Source")</f>
        <v>0</v>
      </c>
      <c r="I415" s="70">
        <f>COUNTIFS('Error Log'!$A:$A,$A415,'Error Log'!$F:$F,"Target")</f>
        <v>0</v>
      </c>
      <c r="J415" s="71">
        <f t="shared" si="6"/>
        <v>0</v>
      </c>
    </row>
    <row r="416" spans="1:10">
      <c r="A416" s="82"/>
      <c r="B416" s="70" t="str">
        <f>IF(ISBLANK(A416),"",INDEX('Error Log'!$A:$J,MATCH('Scores per segment'!$A416,'Error Log'!$A:$A,0),MATCH('Scores per segment'!B$1,'Error Log'!$A$1:$J$1,0)))</f>
        <v/>
      </c>
      <c r="C416" s="70" t="str">
        <f>IF(ISBLANK(A416),"",INDEX('Error Log'!$A:$J,MATCH('Scores per segment'!$A416,'Error Log'!$A:$A,0),MATCH('Scores per segment'!C$1,'Error Log'!$A$1:$J$1,0)))</f>
        <v/>
      </c>
      <c r="D416" s="70">
        <f>IF(H416=0,wdct(TRIM(C416)),0)</f>
        <v>0</v>
      </c>
      <c r="E416" s="70">
        <f>COUNTIFS('Error Log'!$A:$A,$A416,'Error Log'!$J:$J,E$1)</f>
        <v>0</v>
      </c>
      <c r="F416" s="70">
        <f>COUNTIFS('Error Log'!$A:$A,$A416,'Error Log'!$J:$J,F$1)</f>
        <v>0</v>
      </c>
      <c r="G416" s="70">
        <f>COUNTIFS('Error Log'!$A:$A,$A416,'Error Log'!$J:$J,G$1)</f>
        <v>0</v>
      </c>
      <c r="H416" s="70">
        <f>COUNTIFS('Error Log'!$A:$A,$A416,'Error Log'!$F:$F,"Source")</f>
        <v>0</v>
      </c>
      <c r="I416" s="70">
        <f>COUNTIFS('Error Log'!$A:$A,$A416,'Error Log'!$F:$F,"Target")</f>
        <v>0</v>
      </c>
      <c r="J416" s="71">
        <f t="shared" si="6"/>
        <v>0</v>
      </c>
    </row>
    <row r="417" spans="1:10">
      <c r="A417" s="82"/>
      <c r="B417" s="70" t="str">
        <f>IF(ISBLANK(A417),"",INDEX('Error Log'!$A:$J,MATCH('Scores per segment'!$A417,'Error Log'!$A:$A,0),MATCH('Scores per segment'!B$1,'Error Log'!$A$1:$J$1,0)))</f>
        <v/>
      </c>
      <c r="C417" s="70" t="str">
        <f>IF(ISBLANK(A417),"",INDEX('Error Log'!$A:$J,MATCH('Scores per segment'!$A417,'Error Log'!$A:$A,0),MATCH('Scores per segment'!C$1,'Error Log'!$A$1:$J$1,0)))</f>
        <v/>
      </c>
      <c r="D417" s="70">
        <f>IF(H417=0,wdct(TRIM(C417)),0)</f>
        <v>0</v>
      </c>
      <c r="E417" s="70">
        <f>COUNTIFS('Error Log'!$A:$A,$A417,'Error Log'!$J:$J,E$1)</f>
        <v>0</v>
      </c>
      <c r="F417" s="70">
        <f>COUNTIFS('Error Log'!$A:$A,$A417,'Error Log'!$J:$J,F$1)</f>
        <v>0</v>
      </c>
      <c r="G417" s="70">
        <f>COUNTIFS('Error Log'!$A:$A,$A417,'Error Log'!$J:$J,G$1)</f>
        <v>0</v>
      </c>
      <c r="H417" s="70">
        <f>COUNTIFS('Error Log'!$A:$A,$A417,'Error Log'!$F:$F,"Source")</f>
        <v>0</v>
      </c>
      <c r="I417" s="70">
        <f>COUNTIFS('Error Log'!$A:$A,$A417,'Error Log'!$F:$F,"Target")</f>
        <v>0</v>
      </c>
      <c r="J417" s="71">
        <f t="shared" si="6"/>
        <v>0</v>
      </c>
    </row>
    <row r="418" spans="1:10">
      <c r="A418" s="82"/>
      <c r="B418" s="70" t="str">
        <f>IF(ISBLANK(A418),"",INDEX('Error Log'!$A:$J,MATCH('Scores per segment'!$A418,'Error Log'!$A:$A,0),MATCH('Scores per segment'!B$1,'Error Log'!$A$1:$J$1,0)))</f>
        <v/>
      </c>
      <c r="C418" s="70" t="str">
        <f>IF(ISBLANK(A418),"",INDEX('Error Log'!$A:$J,MATCH('Scores per segment'!$A418,'Error Log'!$A:$A,0),MATCH('Scores per segment'!C$1,'Error Log'!$A$1:$J$1,0)))</f>
        <v/>
      </c>
      <c r="D418" s="70">
        <f>IF(H418=0,wdct(TRIM(C418)),0)</f>
        <v>0</v>
      </c>
      <c r="E418" s="70">
        <f>COUNTIFS('Error Log'!$A:$A,$A418,'Error Log'!$J:$J,E$1)</f>
        <v>0</v>
      </c>
      <c r="F418" s="70">
        <f>COUNTIFS('Error Log'!$A:$A,$A418,'Error Log'!$J:$J,F$1)</f>
        <v>0</v>
      </c>
      <c r="G418" s="70">
        <f>COUNTIFS('Error Log'!$A:$A,$A418,'Error Log'!$J:$J,G$1)</f>
        <v>0</v>
      </c>
      <c r="H418" s="70">
        <f>COUNTIFS('Error Log'!$A:$A,$A418,'Error Log'!$F:$F,"Source")</f>
        <v>0</v>
      </c>
      <c r="I418" s="70">
        <f>COUNTIFS('Error Log'!$A:$A,$A418,'Error Log'!$F:$F,"Target")</f>
        <v>0</v>
      </c>
      <c r="J418" s="71">
        <f t="shared" si="6"/>
        <v>0</v>
      </c>
    </row>
    <row r="419" spans="1:10">
      <c r="A419" s="82"/>
      <c r="B419" s="70" t="str">
        <f>IF(ISBLANK(A419),"",INDEX('Error Log'!$A:$J,MATCH('Scores per segment'!$A419,'Error Log'!$A:$A,0),MATCH('Scores per segment'!B$1,'Error Log'!$A$1:$J$1,0)))</f>
        <v/>
      </c>
      <c r="C419" s="70" t="str">
        <f>IF(ISBLANK(A419),"",INDEX('Error Log'!$A:$J,MATCH('Scores per segment'!$A419,'Error Log'!$A:$A,0),MATCH('Scores per segment'!C$1,'Error Log'!$A$1:$J$1,0)))</f>
        <v/>
      </c>
      <c r="D419" s="70">
        <f>IF(H419=0,wdct(TRIM(C419)),0)</f>
        <v>0</v>
      </c>
      <c r="E419" s="70">
        <f>COUNTIFS('Error Log'!$A:$A,$A419,'Error Log'!$J:$J,E$1)</f>
        <v>0</v>
      </c>
      <c r="F419" s="70">
        <f>COUNTIFS('Error Log'!$A:$A,$A419,'Error Log'!$J:$J,F$1)</f>
        <v>0</v>
      </c>
      <c r="G419" s="70">
        <f>COUNTIFS('Error Log'!$A:$A,$A419,'Error Log'!$J:$J,G$1)</f>
        <v>0</v>
      </c>
      <c r="H419" s="70">
        <f>COUNTIFS('Error Log'!$A:$A,$A419,'Error Log'!$F:$F,"Source")</f>
        <v>0</v>
      </c>
      <c r="I419" s="70">
        <f>COUNTIFS('Error Log'!$A:$A,$A419,'Error Log'!$F:$F,"Target")</f>
        <v>0</v>
      </c>
      <c r="J419" s="71">
        <f t="shared" si="6"/>
        <v>0</v>
      </c>
    </row>
    <row r="420" spans="1:10">
      <c r="A420" s="82"/>
      <c r="B420" s="70" t="str">
        <f>IF(ISBLANK(A420),"",INDEX('Error Log'!$A:$J,MATCH('Scores per segment'!$A420,'Error Log'!$A:$A,0),MATCH('Scores per segment'!B$1,'Error Log'!$A$1:$J$1,0)))</f>
        <v/>
      </c>
      <c r="C420" s="70" t="str">
        <f>IF(ISBLANK(A420),"",INDEX('Error Log'!$A:$J,MATCH('Scores per segment'!$A420,'Error Log'!$A:$A,0),MATCH('Scores per segment'!C$1,'Error Log'!$A$1:$J$1,0)))</f>
        <v/>
      </c>
      <c r="D420" s="70">
        <f>IF(H420=0,wdct(TRIM(C420)),0)</f>
        <v>0</v>
      </c>
      <c r="E420" s="70">
        <f>COUNTIFS('Error Log'!$A:$A,$A420,'Error Log'!$J:$J,E$1)</f>
        <v>0</v>
      </c>
      <c r="F420" s="70">
        <f>COUNTIFS('Error Log'!$A:$A,$A420,'Error Log'!$J:$J,F$1)</f>
        <v>0</v>
      </c>
      <c r="G420" s="70">
        <f>COUNTIFS('Error Log'!$A:$A,$A420,'Error Log'!$J:$J,G$1)</f>
        <v>0</v>
      </c>
      <c r="H420" s="70">
        <f>COUNTIFS('Error Log'!$A:$A,$A420,'Error Log'!$F:$F,"Source")</f>
        <v>0</v>
      </c>
      <c r="I420" s="70">
        <f>COUNTIFS('Error Log'!$A:$A,$A420,'Error Log'!$F:$F,"Target")</f>
        <v>0</v>
      </c>
      <c r="J420" s="71">
        <f t="shared" si="6"/>
        <v>0</v>
      </c>
    </row>
    <row r="421" spans="1:10">
      <c r="A421" s="82"/>
      <c r="B421" s="70" t="str">
        <f>IF(ISBLANK(A421),"",INDEX('Error Log'!$A:$J,MATCH('Scores per segment'!$A421,'Error Log'!$A:$A,0),MATCH('Scores per segment'!B$1,'Error Log'!$A$1:$J$1,0)))</f>
        <v/>
      </c>
      <c r="C421" s="70" t="str">
        <f>IF(ISBLANK(A421),"",INDEX('Error Log'!$A:$J,MATCH('Scores per segment'!$A421,'Error Log'!$A:$A,0),MATCH('Scores per segment'!C$1,'Error Log'!$A$1:$J$1,0)))</f>
        <v/>
      </c>
      <c r="D421" s="70">
        <f>IF(H421=0,wdct(TRIM(C421)),0)</f>
        <v>0</v>
      </c>
      <c r="E421" s="70">
        <f>COUNTIFS('Error Log'!$A:$A,$A421,'Error Log'!$J:$J,E$1)</f>
        <v>0</v>
      </c>
      <c r="F421" s="70">
        <f>COUNTIFS('Error Log'!$A:$A,$A421,'Error Log'!$J:$J,F$1)</f>
        <v>0</v>
      </c>
      <c r="G421" s="70">
        <f>COUNTIFS('Error Log'!$A:$A,$A421,'Error Log'!$J:$J,G$1)</f>
        <v>0</v>
      </c>
      <c r="H421" s="70">
        <f>COUNTIFS('Error Log'!$A:$A,$A421,'Error Log'!$F:$F,"Source")</f>
        <v>0</v>
      </c>
      <c r="I421" s="70">
        <f>COUNTIFS('Error Log'!$A:$A,$A421,'Error Log'!$F:$F,"Target")</f>
        <v>0</v>
      </c>
      <c r="J421" s="71">
        <f t="shared" si="6"/>
        <v>0</v>
      </c>
    </row>
    <row r="422" spans="1:10">
      <c r="A422" s="82"/>
      <c r="B422" s="70" t="str">
        <f>IF(ISBLANK(A422),"",INDEX('Error Log'!$A:$J,MATCH('Scores per segment'!$A422,'Error Log'!$A:$A,0),MATCH('Scores per segment'!B$1,'Error Log'!$A$1:$J$1,0)))</f>
        <v/>
      </c>
      <c r="C422" s="70" t="str">
        <f>IF(ISBLANK(A422),"",INDEX('Error Log'!$A:$J,MATCH('Scores per segment'!$A422,'Error Log'!$A:$A,0),MATCH('Scores per segment'!C$1,'Error Log'!$A$1:$J$1,0)))</f>
        <v/>
      </c>
      <c r="D422" s="70">
        <f>IF(H422=0,wdct(TRIM(C422)),0)</f>
        <v>0</v>
      </c>
      <c r="E422" s="70">
        <f>COUNTIFS('Error Log'!$A:$A,$A422,'Error Log'!$J:$J,E$1)</f>
        <v>0</v>
      </c>
      <c r="F422" s="70">
        <f>COUNTIFS('Error Log'!$A:$A,$A422,'Error Log'!$J:$J,F$1)</f>
        <v>0</v>
      </c>
      <c r="G422" s="70">
        <f>COUNTIFS('Error Log'!$A:$A,$A422,'Error Log'!$J:$J,G$1)</f>
        <v>0</v>
      </c>
      <c r="H422" s="70">
        <f>COUNTIFS('Error Log'!$A:$A,$A422,'Error Log'!$F:$F,"Source")</f>
        <v>0</v>
      </c>
      <c r="I422" s="70">
        <f>COUNTIFS('Error Log'!$A:$A,$A422,'Error Log'!$F:$F,"Target")</f>
        <v>0</v>
      </c>
      <c r="J422" s="71">
        <f t="shared" si="6"/>
        <v>0</v>
      </c>
    </row>
    <row r="423" spans="1:10">
      <c r="A423" s="82"/>
      <c r="B423" s="70" t="str">
        <f>IF(ISBLANK(A423),"",INDEX('Error Log'!$A:$J,MATCH('Scores per segment'!$A423,'Error Log'!$A:$A,0),MATCH('Scores per segment'!B$1,'Error Log'!$A$1:$J$1,0)))</f>
        <v/>
      </c>
      <c r="C423" s="70" t="str">
        <f>IF(ISBLANK(A423),"",INDEX('Error Log'!$A:$J,MATCH('Scores per segment'!$A423,'Error Log'!$A:$A,0),MATCH('Scores per segment'!C$1,'Error Log'!$A$1:$J$1,0)))</f>
        <v/>
      </c>
      <c r="D423" s="70">
        <f>IF(H423=0,wdct(TRIM(C423)),0)</f>
        <v>0</v>
      </c>
      <c r="E423" s="70">
        <f>COUNTIFS('Error Log'!$A:$A,$A423,'Error Log'!$J:$J,E$1)</f>
        <v>0</v>
      </c>
      <c r="F423" s="70">
        <f>COUNTIFS('Error Log'!$A:$A,$A423,'Error Log'!$J:$J,F$1)</f>
        <v>0</v>
      </c>
      <c r="G423" s="70">
        <f>COUNTIFS('Error Log'!$A:$A,$A423,'Error Log'!$J:$J,G$1)</f>
        <v>0</v>
      </c>
      <c r="H423" s="70">
        <f>COUNTIFS('Error Log'!$A:$A,$A423,'Error Log'!$F:$F,"Source")</f>
        <v>0</v>
      </c>
      <c r="I423" s="70">
        <f>COUNTIFS('Error Log'!$A:$A,$A423,'Error Log'!$F:$F,"Target")</f>
        <v>0</v>
      </c>
      <c r="J423" s="71">
        <f t="shared" si="6"/>
        <v>0</v>
      </c>
    </row>
    <row r="424" spans="1:10">
      <c r="A424" s="82"/>
      <c r="B424" s="70" t="str">
        <f>IF(ISBLANK(A424),"",INDEX('Error Log'!$A:$J,MATCH('Scores per segment'!$A424,'Error Log'!$A:$A,0),MATCH('Scores per segment'!B$1,'Error Log'!$A$1:$J$1,0)))</f>
        <v/>
      </c>
      <c r="C424" s="70" t="str">
        <f>IF(ISBLANK(A424),"",INDEX('Error Log'!$A:$J,MATCH('Scores per segment'!$A424,'Error Log'!$A:$A,0),MATCH('Scores per segment'!C$1,'Error Log'!$A$1:$J$1,0)))</f>
        <v/>
      </c>
      <c r="D424" s="70">
        <f>IF(H424=0,wdct(TRIM(C424)),0)</f>
        <v>0</v>
      </c>
      <c r="E424" s="70">
        <f>COUNTIFS('Error Log'!$A:$A,$A424,'Error Log'!$J:$J,E$1)</f>
        <v>0</v>
      </c>
      <c r="F424" s="70">
        <f>COUNTIFS('Error Log'!$A:$A,$A424,'Error Log'!$J:$J,F$1)</f>
        <v>0</v>
      </c>
      <c r="G424" s="70">
        <f>COUNTIFS('Error Log'!$A:$A,$A424,'Error Log'!$J:$J,G$1)</f>
        <v>0</v>
      </c>
      <c r="H424" s="70">
        <f>COUNTIFS('Error Log'!$A:$A,$A424,'Error Log'!$F:$F,"Source")</f>
        <v>0</v>
      </c>
      <c r="I424" s="70">
        <f>COUNTIFS('Error Log'!$A:$A,$A424,'Error Log'!$F:$F,"Target")</f>
        <v>0</v>
      </c>
      <c r="J424" s="71">
        <f t="shared" si="6"/>
        <v>0</v>
      </c>
    </row>
    <row r="425" spans="1:10">
      <c r="A425" s="82"/>
      <c r="B425" s="70" t="str">
        <f>IF(ISBLANK(A425),"",INDEX('Error Log'!$A:$J,MATCH('Scores per segment'!$A425,'Error Log'!$A:$A,0),MATCH('Scores per segment'!B$1,'Error Log'!$A$1:$J$1,0)))</f>
        <v/>
      </c>
      <c r="C425" s="70" t="str">
        <f>IF(ISBLANK(A425),"",INDEX('Error Log'!$A:$J,MATCH('Scores per segment'!$A425,'Error Log'!$A:$A,0),MATCH('Scores per segment'!C$1,'Error Log'!$A$1:$J$1,0)))</f>
        <v/>
      </c>
      <c r="D425" s="70">
        <f>IF(H425=0,wdct(TRIM(C425)),0)</f>
        <v>0</v>
      </c>
      <c r="E425" s="70">
        <f>COUNTIFS('Error Log'!$A:$A,$A425,'Error Log'!$J:$J,E$1)</f>
        <v>0</v>
      </c>
      <c r="F425" s="70">
        <f>COUNTIFS('Error Log'!$A:$A,$A425,'Error Log'!$J:$J,F$1)</f>
        <v>0</v>
      </c>
      <c r="G425" s="70">
        <f>COUNTIFS('Error Log'!$A:$A,$A425,'Error Log'!$J:$J,G$1)</f>
        <v>0</v>
      </c>
      <c r="H425" s="70">
        <f>COUNTIFS('Error Log'!$A:$A,$A425,'Error Log'!$F:$F,"Source")</f>
        <v>0</v>
      </c>
      <c r="I425" s="70">
        <f>COUNTIFS('Error Log'!$A:$A,$A425,'Error Log'!$F:$F,"Target")</f>
        <v>0</v>
      </c>
      <c r="J425" s="71">
        <f t="shared" si="6"/>
        <v>0</v>
      </c>
    </row>
    <row r="426" spans="1:10">
      <c r="A426" s="82"/>
      <c r="B426" s="70" t="str">
        <f>IF(ISBLANK(A426),"",INDEX('Error Log'!$A:$J,MATCH('Scores per segment'!$A426,'Error Log'!$A:$A,0),MATCH('Scores per segment'!B$1,'Error Log'!$A$1:$J$1,0)))</f>
        <v/>
      </c>
      <c r="C426" s="70" t="str">
        <f>IF(ISBLANK(A426),"",INDEX('Error Log'!$A:$J,MATCH('Scores per segment'!$A426,'Error Log'!$A:$A,0),MATCH('Scores per segment'!C$1,'Error Log'!$A$1:$J$1,0)))</f>
        <v/>
      </c>
      <c r="D426" s="70">
        <f>IF(H426=0,wdct(TRIM(C426)),0)</f>
        <v>0</v>
      </c>
      <c r="E426" s="70">
        <f>COUNTIFS('Error Log'!$A:$A,$A426,'Error Log'!$J:$J,E$1)</f>
        <v>0</v>
      </c>
      <c r="F426" s="70">
        <f>COUNTIFS('Error Log'!$A:$A,$A426,'Error Log'!$J:$J,F$1)</f>
        <v>0</v>
      </c>
      <c r="G426" s="70">
        <f>COUNTIFS('Error Log'!$A:$A,$A426,'Error Log'!$J:$J,G$1)</f>
        <v>0</v>
      </c>
      <c r="H426" s="70">
        <f>COUNTIFS('Error Log'!$A:$A,$A426,'Error Log'!$F:$F,"Source")</f>
        <v>0</v>
      </c>
      <c r="I426" s="70">
        <f>COUNTIFS('Error Log'!$A:$A,$A426,'Error Log'!$F:$F,"Target")</f>
        <v>0</v>
      </c>
      <c r="J426" s="71">
        <f t="shared" si="6"/>
        <v>0</v>
      </c>
    </row>
    <row r="427" spans="1:10">
      <c r="A427" s="82"/>
      <c r="B427" s="70" t="str">
        <f>IF(ISBLANK(A427),"",INDEX('Error Log'!$A:$J,MATCH('Scores per segment'!$A427,'Error Log'!$A:$A,0),MATCH('Scores per segment'!B$1,'Error Log'!$A$1:$J$1,0)))</f>
        <v/>
      </c>
      <c r="C427" s="70" t="str">
        <f>IF(ISBLANK(A427),"",INDEX('Error Log'!$A:$J,MATCH('Scores per segment'!$A427,'Error Log'!$A:$A,0),MATCH('Scores per segment'!C$1,'Error Log'!$A$1:$J$1,0)))</f>
        <v/>
      </c>
      <c r="D427" s="70">
        <f>IF(H427=0,wdct(TRIM(C427)),0)</f>
        <v>0</v>
      </c>
      <c r="E427" s="70">
        <f>COUNTIFS('Error Log'!$A:$A,$A427,'Error Log'!$J:$J,E$1)</f>
        <v>0</v>
      </c>
      <c r="F427" s="70">
        <f>COUNTIFS('Error Log'!$A:$A,$A427,'Error Log'!$J:$J,F$1)</f>
        <v>0</v>
      </c>
      <c r="G427" s="70">
        <f>COUNTIFS('Error Log'!$A:$A,$A427,'Error Log'!$J:$J,G$1)</f>
        <v>0</v>
      </c>
      <c r="H427" s="70">
        <f>COUNTIFS('Error Log'!$A:$A,$A427,'Error Log'!$F:$F,"Source")</f>
        <v>0</v>
      </c>
      <c r="I427" s="70">
        <f>COUNTIFS('Error Log'!$A:$A,$A427,'Error Log'!$F:$F,"Target")</f>
        <v>0</v>
      </c>
      <c r="J427" s="71">
        <f t="shared" si="6"/>
        <v>0</v>
      </c>
    </row>
    <row r="428" spans="1:10">
      <c r="A428" s="82"/>
      <c r="B428" s="70" t="str">
        <f>IF(ISBLANK(A428),"",INDEX('Error Log'!$A:$J,MATCH('Scores per segment'!$A428,'Error Log'!$A:$A,0),MATCH('Scores per segment'!B$1,'Error Log'!$A$1:$J$1,0)))</f>
        <v/>
      </c>
      <c r="C428" s="70" t="str">
        <f>IF(ISBLANK(A428),"",INDEX('Error Log'!$A:$J,MATCH('Scores per segment'!$A428,'Error Log'!$A:$A,0),MATCH('Scores per segment'!C$1,'Error Log'!$A$1:$J$1,0)))</f>
        <v/>
      </c>
      <c r="D428" s="70">
        <f>IF(H428=0,wdct(TRIM(C428)),0)</f>
        <v>0</v>
      </c>
      <c r="E428" s="70">
        <f>COUNTIFS('Error Log'!$A:$A,$A428,'Error Log'!$J:$J,E$1)</f>
        <v>0</v>
      </c>
      <c r="F428" s="70">
        <f>COUNTIFS('Error Log'!$A:$A,$A428,'Error Log'!$J:$J,F$1)</f>
        <v>0</v>
      </c>
      <c r="G428" s="70">
        <f>COUNTIFS('Error Log'!$A:$A,$A428,'Error Log'!$J:$J,G$1)</f>
        <v>0</v>
      </c>
      <c r="H428" s="70">
        <f>COUNTIFS('Error Log'!$A:$A,$A428,'Error Log'!$F:$F,"Source")</f>
        <v>0</v>
      </c>
      <c r="I428" s="70">
        <f>COUNTIFS('Error Log'!$A:$A,$A428,'Error Log'!$F:$F,"Target")</f>
        <v>0</v>
      </c>
      <c r="J428" s="71">
        <f t="shared" si="6"/>
        <v>0</v>
      </c>
    </row>
    <row r="429" spans="1:10">
      <c r="A429" s="82"/>
      <c r="B429" s="70" t="str">
        <f>IF(ISBLANK(A429),"",INDEX('Error Log'!$A:$J,MATCH('Scores per segment'!$A429,'Error Log'!$A:$A,0),MATCH('Scores per segment'!B$1,'Error Log'!$A$1:$J$1,0)))</f>
        <v/>
      </c>
      <c r="C429" s="70" t="str">
        <f>IF(ISBLANK(A429),"",INDEX('Error Log'!$A:$J,MATCH('Scores per segment'!$A429,'Error Log'!$A:$A,0),MATCH('Scores per segment'!C$1,'Error Log'!$A$1:$J$1,0)))</f>
        <v/>
      </c>
      <c r="D429" s="70">
        <f>IF(H429=0,wdct(TRIM(C429)),0)</f>
        <v>0</v>
      </c>
      <c r="E429" s="70">
        <f>COUNTIFS('Error Log'!$A:$A,$A429,'Error Log'!$J:$J,E$1)</f>
        <v>0</v>
      </c>
      <c r="F429" s="70">
        <f>COUNTIFS('Error Log'!$A:$A,$A429,'Error Log'!$J:$J,F$1)</f>
        <v>0</v>
      </c>
      <c r="G429" s="70">
        <f>COUNTIFS('Error Log'!$A:$A,$A429,'Error Log'!$J:$J,G$1)</f>
        <v>0</v>
      </c>
      <c r="H429" s="70">
        <f>COUNTIFS('Error Log'!$A:$A,$A429,'Error Log'!$F:$F,"Source")</f>
        <v>0</v>
      </c>
      <c r="I429" s="70">
        <f>COUNTIFS('Error Log'!$A:$A,$A429,'Error Log'!$F:$F,"Target")</f>
        <v>0</v>
      </c>
      <c r="J429" s="71">
        <f t="shared" si="6"/>
        <v>0</v>
      </c>
    </row>
    <row r="430" spans="1:10">
      <c r="A430" s="82"/>
      <c r="B430" s="70" t="str">
        <f>IF(ISBLANK(A430),"",INDEX('Error Log'!$A:$J,MATCH('Scores per segment'!$A430,'Error Log'!$A:$A,0),MATCH('Scores per segment'!B$1,'Error Log'!$A$1:$J$1,0)))</f>
        <v/>
      </c>
      <c r="C430" s="70" t="str">
        <f>IF(ISBLANK(A430),"",INDEX('Error Log'!$A:$J,MATCH('Scores per segment'!$A430,'Error Log'!$A:$A,0),MATCH('Scores per segment'!C$1,'Error Log'!$A$1:$J$1,0)))</f>
        <v/>
      </c>
      <c r="D430" s="70">
        <f>IF(H430=0,wdct(TRIM(C430)),0)</f>
        <v>0</v>
      </c>
      <c r="E430" s="70">
        <f>COUNTIFS('Error Log'!$A:$A,$A430,'Error Log'!$J:$J,E$1)</f>
        <v>0</v>
      </c>
      <c r="F430" s="70">
        <f>COUNTIFS('Error Log'!$A:$A,$A430,'Error Log'!$J:$J,F$1)</f>
        <v>0</v>
      </c>
      <c r="G430" s="70">
        <f>COUNTIFS('Error Log'!$A:$A,$A430,'Error Log'!$J:$J,G$1)</f>
        <v>0</v>
      </c>
      <c r="H430" s="70">
        <f>COUNTIFS('Error Log'!$A:$A,$A430,'Error Log'!$F:$F,"Source")</f>
        <v>0</v>
      </c>
      <c r="I430" s="70">
        <f>COUNTIFS('Error Log'!$A:$A,$A430,'Error Log'!$F:$F,"Target")</f>
        <v>0</v>
      </c>
      <c r="J430" s="71">
        <f t="shared" si="6"/>
        <v>0</v>
      </c>
    </row>
    <row r="431" spans="1:10">
      <c r="A431" s="82"/>
      <c r="B431" s="70" t="str">
        <f>IF(ISBLANK(A431),"",INDEX('Error Log'!$A:$J,MATCH('Scores per segment'!$A431,'Error Log'!$A:$A,0),MATCH('Scores per segment'!B$1,'Error Log'!$A$1:$J$1,0)))</f>
        <v/>
      </c>
      <c r="C431" s="70" t="str">
        <f>IF(ISBLANK(A431),"",INDEX('Error Log'!$A:$J,MATCH('Scores per segment'!$A431,'Error Log'!$A:$A,0),MATCH('Scores per segment'!C$1,'Error Log'!$A$1:$J$1,0)))</f>
        <v/>
      </c>
      <c r="D431" s="70">
        <f>IF(H431=0,wdct(TRIM(C431)),0)</f>
        <v>0</v>
      </c>
      <c r="E431" s="70">
        <f>COUNTIFS('Error Log'!$A:$A,$A431,'Error Log'!$J:$J,E$1)</f>
        <v>0</v>
      </c>
      <c r="F431" s="70">
        <f>COUNTIFS('Error Log'!$A:$A,$A431,'Error Log'!$J:$J,F$1)</f>
        <v>0</v>
      </c>
      <c r="G431" s="70">
        <f>COUNTIFS('Error Log'!$A:$A,$A431,'Error Log'!$J:$J,G$1)</f>
        <v>0</v>
      </c>
      <c r="H431" s="70">
        <f>COUNTIFS('Error Log'!$A:$A,$A431,'Error Log'!$F:$F,"Source")</f>
        <v>0</v>
      </c>
      <c r="I431" s="70">
        <f>COUNTIFS('Error Log'!$A:$A,$A431,'Error Log'!$F:$F,"Target")</f>
        <v>0</v>
      </c>
      <c r="J431" s="71">
        <f t="shared" si="6"/>
        <v>0</v>
      </c>
    </row>
    <row r="432" spans="1:10">
      <c r="A432" s="82"/>
      <c r="B432" s="70" t="str">
        <f>IF(ISBLANK(A432),"",INDEX('Error Log'!$A:$J,MATCH('Scores per segment'!$A432,'Error Log'!$A:$A,0),MATCH('Scores per segment'!B$1,'Error Log'!$A$1:$J$1,0)))</f>
        <v/>
      </c>
      <c r="C432" s="70" t="str">
        <f>IF(ISBLANK(A432),"",INDEX('Error Log'!$A:$J,MATCH('Scores per segment'!$A432,'Error Log'!$A:$A,0),MATCH('Scores per segment'!C$1,'Error Log'!$A$1:$J$1,0)))</f>
        <v/>
      </c>
      <c r="D432" s="70">
        <f>IF(H432=0,wdct(TRIM(C432)),0)</f>
        <v>0</v>
      </c>
      <c r="E432" s="70">
        <f>COUNTIFS('Error Log'!$A:$A,$A432,'Error Log'!$J:$J,E$1)</f>
        <v>0</v>
      </c>
      <c r="F432" s="70">
        <f>COUNTIFS('Error Log'!$A:$A,$A432,'Error Log'!$J:$J,F$1)</f>
        <v>0</v>
      </c>
      <c r="G432" s="70">
        <f>COUNTIFS('Error Log'!$A:$A,$A432,'Error Log'!$J:$J,G$1)</f>
        <v>0</v>
      </c>
      <c r="H432" s="70">
        <f>COUNTIFS('Error Log'!$A:$A,$A432,'Error Log'!$F:$F,"Source")</f>
        <v>0</v>
      </c>
      <c r="I432" s="70">
        <f>COUNTIFS('Error Log'!$A:$A,$A432,'Error Log'!$F:$F,"Target")</f>
        <v>0</v>
      </c>
      <c r="J432" s="71">
        <f t="shared" si="6"/>
        <v>0</v>
      </c>
    </row>
    <row r="433" spans="1:10">
      <c r="A433" s="82"/>
      <c r="B433" s="70" t="str">
        <f>IF(ISBLANK(A433),"",INDEX('Error Log'!$A:$J,MATCH('Scores per segment'!$A433,'Error Log'!$A:$A,0),MATCH('Scores per segment'!B$1,'Error Log'!$A$1:$J$1,0)))</f>
        <v/>
      </c>
      <c r="C433" s="70" t="str">
        <f>IF(ISBLANK(A433),"",INDEX('Error Log'!$A:$J,MATCH('Scores per segment'!$A433,'Error Log'!$A:$A,0),MATCH('Scores per segment'!C$1,'Error Log'!$A$1:$J$1,0)))</f>
        <v/>
      </c>
      <c r="D433" s="70">
        <f>IF(H433=0,wdct(TRIM(C433)),0)</f>
        <v>0</v>
      </c>
      <c r="E433" s="70">
        <f>COUNTIFS('Error Log'!$A:$A,$A433,'Error Log'!$J:$J,E$1)</f>
        <v>0</v>
      </c>
      <c r="F433" s="70">
        <f>COUNTIFS('Error Log'!$A:$A,$A433,'Error Log'!$J:$J,F$1)</f>
        <v>0</v>
      </c>
      <c r="G433" s="70">
        <f>COUNTIFS('Error Log'!$A:$A,$A433,'Error Log'!$J:$J,G$1)</f>
        <v>0</v>
      </c>
      <c r="H433" s="70">
        <f>COUNTIFS('Error Log'!$A:$A,$A433,'Error Log'!$F:$F,"Source")</f>
        <v>0</v>
      </c>
      <c r="I433" s="70">
        <f>COUNTIFS('Error Log'!$A:$A,$A433,'Error Log'!$F:$F,"Target")</f>
        <v>0</v>
      </c>
      <c r="J433" s="71">
        <f t="shared" si="6"/>
        <v>0</v>
      </c>
    </row>
    <row r="434" spans="1:10">
      <c r="A434" s="82"/>
      <c r="B434" s="70" t="str">
        <f>IF(ISBLANK(A434),"",INDEX('Error Log'!$A:$J,MATCH('Scores per segment'!$A434,'Error Log'!$A:$A,0),MATCH('Scores per segment'!B$1,'Error Log'!$A$1:$J$1,0)))</f>
        <v/>
      </c>
      <c r="C434" s="70" t="str">
        <f>IF(ISBLANK(A434),"",INDEX('Error Log'!$A:$J,MATCH('Scores per segment'!$A434,'Error Log'!$A:$A,0),MATCH('Scores per segment'!C$1,'Error Log'!$A$1:$J$1,0)))</f>
        <v/>
      </c>
      <c r="D434" s="70">
        <f>IF(H434=0,wdct(TRIM(C434)),0)</f>
        <v>0</v>
      </c>
      <c r="E434" s="70">
        <f>COUNTIFS('Error Log'!$A:$A,$A434,'Error Log'!$J:$J,E$1)</f>
        <v>0</v>
      </c>
      <c r="F434" s="70">
        <f>COUNTIFS('Error Log'!$A:$A,$A434,'Error Log'!$J:$J,F$1)</f>
        <v>0</v>
      </c>
      <c r="G434" s="70">
        <f>COUNTIFS('Error Log'!$A:$A,$A434,'Error Log'!$J:$J,G$1)</f>
        <v>0</v>
      </c>
      <c r="H434" s="70">
        <f>COUNTIFS('Error Log'!$A:$A,$A434,'Error Log'!$F:$F,"Source")</f>
        <v>0</v>
      </c>
      <c r="I434" s="70">
        <f>COUNTIFS('Error Log'!$A:$A,$A434,'Error Log'!$F:$F,"Target")</f>
        <v>0</v>
      </c>
      <c r="J434" s="71">
        <f t="shared" si="6"/>
        <v>0</v>
      </c>
    </row>
    <row r="435" spans="1:10">
      <c r="A435" s="82"/>
      <c r="B435" s="70" t="str">
        <f>IF(ISBLANK(A435),"",INDEX('Error Log'!$A:$J,MATCH('Scores per segment'!$A435,'Error Log'!$A:$A,0),MATCH('Scores per segment'!B$1,'Error Log'!$A$1:$J$1,0)))</f>
        <v/>
      </c>
      <c r="C435" s="70" t="str">
        <f>IF(ISBLANK(A435),"",INDEX('Error Log'!$A:$J,MATCH('Scores per segment'!$A435,'Error Log'!$A:$A,0),MATCH('Scores per segment'!C$1,'Error Log'!$A$1:$J$1,0)))</f>
        <v/>
      </c>
      <c r="D435" s="70">
        <f>IF(H435=0,wdct(TRIM(C435)),0)</f>
        <v>0</v>
      </c>
      <c r="E435" s="70">
        <f>COUNTIFS('Error Log'!$A:$A,$A435,'Error Log'!$J:$J,E$1)</f>
        <v>0</v>
      </c>
      <c r="F435" s="70">
        <f>COUNTIFS('Error Log'!$A:$A,$A435,'Error Log'!$J:$J,F$1)</f>
        <v>0</v>
      </c>
      <c r="G435" s="70">
        <f>COUNTIFS('Error Log'!$A:$A,$A435,'Error Log'!$J:$J,G$1)</f>
        <v>0</v>
      </c>
      <c r="H435" s="70">
        <f>COUNTIFS('Error Log'!$A:$A,$A435,'Error Log'!$F:$F,"Source")</f>
        <v>0</v>
      </c>
      <c r="I435" s="70">
        <f>COUNTIFS('Error Log'!$A:$A,$A435,'Error Log'!$F:$F,"Target")</f>
        <v>0</v>
      </c>
      <c r="J435" s="71">
        <f t="shared" si="6"/>
        <v>0</v>
      </c>
    </row>
    <row r="436" spans="1:10">
      <c r="A436" s="82"/>
      <c r="B436" s="70" t="str">
        <f>IF(ISBLANK(A436),"",INDEX('Error Log'!$A:$J,MATCH('Scores per segment'!$A436,'Error Log'!$A:$A,0),MATCH('Scores per segment'!B$1,'Error Log'!$A$1:$J$1,0)))</f>
        <v/>
      </c>
      <c r="C436" s="70" t="str">
        <f>IF(ISBLANK(A436),"",INDEX('Error Log'!$A:$J,MATCH('Scores per segment'!$A436,'Error Log'!$A:$A,0),MATCH('Scores per segment'!C$1,'Error Log'!$A$1:$J$1,0)))</f>
        <v/>
      </c>
      <c r="D436" s="70">
        <f>IF(H436=0,wdct(TRIM(C436)),0)</f>
        <v>0</v>
      </c>
      <c r="E436" s="70">
        <f>COUNTIFS('Error Log'!$A:$A,$A436,'Error Log'!$J:$J,E$1)</f>
        <v>0</v>
      </c>
      <c r="F436" s="70">
        <f>COUNTIFS('Error Log'!$A:$A,$A436,'Error Log'!$J:$J,F$1)</f>
        <v>0</v>
      </c>
      <c r="G436" s="70">
        <f>COUNTIFS('Error Log'!$A:$A,$A436,'Error Log'!$J:$J,G$1)</f>
        <v>0</v>
      </c>
      <c r="H436" s="70">
        <f>COUNTIFS('Error Log'!$A:$A,$A436,'Error Log'!$F:$F,"Source")</f>
        <v>0</v>
      </c>
      <c r="I436" s="70">
        <f>COUNTIFS('Error Log'!$A:$A,$A436,'Error Log'!$F:$F,"Target")</f>
        <v>0</v>
      </c>
      <c r="J436" s="71">
        <f t="shared" si="6"/>
        <v>0</v>
      </c>
    </row>
    <row r="437" spans="1:10">
      <c r="A437" s="82"/>
      <c r="B437" s="70" t="str">
        <f>IF(ISBLANK(A437),"",INDEX('Error Log'!$A:$J,MATCH('Scores per segment'!$A437,'Error Log'!$A:$A,0),MATCH('Scores per segment'!B$1,'Error Log'!$A$1:$J$1,0)))</f>
        <v/>
      </c>
      <c r="C437" s="70" t="str">
        <f>IF(ISBLANK(A437),"",INDEX('Error Log'!$A:$J,MATCH('Scores per segment'!$A437,'Error Log'!$A:$A,0),MATCH('Scores per segment'!C$1,'Error Log'!$A$1:$J$1,0)))</f>
        <v/>
      </c>
      <c r="D437" s="70">
        <f>IF(H437=0,wdct(TRIM(C437)),0)</f>
        <v>0</v>
      </c>
      <c r="E437" s="70">
        <f>COUNTIFS('Error Log'!$A:$A,$A437,'Error Log'!$J:$J,E$1)</f>
        <v>0</v>
      </c>
      <c r="F437" s="70">
        <f>COUNTIFS('Error Log'!$A:$A,$A437,'Error Log'!$J:$J,F$1)</f>
        <v>0</v>
      </c>
      <c r="G437" s="70">
        <f>COUNTIFS('Error Log'!$A:$A,$A437,'Error Log'!$J:$J,G$1)</f>
        <v>0</v>
      </c>
      <c r="H437" s="70">
        <f>COUNTIFS('Error Log'!$A:$A,$A437,'Error Log'!$F:$F,"Source")</f>
        <v>0</v>
      </c>
      <c r="I437" s="70">
        <f>COUNTIFS('Error Log'!$A:$A,$A437,'Error Log'!$F:$F,"Target")</f>
        <v>0</v>
      </c>
      <c r="J437" s="71">
        <f t="shared" si="6"/>
        <v>0</v>
      </c>
    </row>
    <row r="438" spans="1:10">
      <c r="A438" s="82"/>
      <c r="B438" s="70" t="str">
        <f>IF(ISBLANK(A438),"",INDEX('Error Log'!$A:$J,MATCH('Scores per segment'!$A438,'Error Log'!$A:$A,0),MATCH('Scores per segment'!B$1,'Error Log'!$A$1:$J$1,0)))</f>
        <v/>
      </c>
      <c r="C438" s="70" t="str">
        <f>IF(ISBLANK(A438),"",INDEX('Error Log'!$A:$J,MATCH('Scores per segment'!$A438,'Error Log'!$A:$A,0),MATCH('Scores per segment'!C$1,'Error Log'!$A$1:$J$1,0)))</f>
        <v/>
      </c>
      <c r="D438" s="70">
        <f>IF(H438=0,wdct(TRIM(C438)),0)</f>
        <v>0</v>
      </c>
      <c r="E438" s="70">
        <f>COUNTIFS('Error Log'!$A:$A,$A438,'Error Log'!$J:$J,E$1)</f>
        <v>0</v>
      </c>
      <c r="F438" s="70">
        <f>COUNTIFS('Error Log'!$A:$A,$A438,'Error Log'!$J:$J,F$1)</f>
        <v>0</v>
      </c>
      <c r="G438" s="70">
        <f>COUNTIFS('Error Log'!$A:$A,$A438,'Error Log'!$J:$J,G$1)</f>
        <v>0</v>
      </c>
      <c r="H438" s="70">
        <f>COUNTIFS('Error Log'!$A:$A,$A438,'Error Log'!$F:$F,"Source")</f>
        <v>0</v>
      </c>
      <c r="I438" s="70">
        <f>COUNTIFS('Error Log'!$A:$A,$A438,'Error Log'!$F:$F,"Target")</f>
        <v>0</v>
      </c>
      <c r="J438" s="71">
        <f t="shared" si="6"/>
        <v>0</v>
      </c>
    </row>
    <row r="439" spans="1:10">
      <c r="A439" s="82"/>
      <c r="B439" s="70" t="str">
        <f>IF(ISBLANK(A439),"",INDEX('Error Log'!$A:$J,MATCH('Scores per segment'!$A439,'Error Log'!$A:$A,0),MATCH('Scores per segment'!B$1,'Error Log'!$A$1:$J$1,0)))</f>
        <v/>
      </c>
      <c r="C439" s="70" t="str">
        <f>IF(ISBLANK(A439),"",INDEX('Error Log'!$A:$J,MATCH('Scores per segment'!$A439,'Error Log'!$A:$A,0),MATCH('Scores per segment'!C$1,'Error Log'!$A$1:$J$1,0)))</f>
        <v/>
      </c>
      <c r="D439" s="70">
        <f>IF(H439=0,wdct(TRIM(C439)),0)</f>
        <v>0</v>
      </c>
      <c r="E439" s="70">
        <f>COUNTIFS('Error Log'!$A:$A,$A439,'Error Log'!$J:$J,E$1)</f>
        <v>0</v>
      </c>
      <c r="F439" s="70">
        <f>COUNTIFS('Error Log'!$A:$A,$A439,'Error Log'!$J:$J,F$1)</f>
        <v>0</v>
      </c>
      <c r="G439" s="70">
        <f>COUNTIFS('Error Log'!$A:$A,$A439,'Error Log'!$J:$J,G$1)</f>
        <v>0</v>
      </c>
      <c r="H439" s="70">
        <f>COUNTIFS('Error Log'!$A:$A,$A439,'Error Log'!$F:$F,"Source")</f>
        <v>0</v>
      </c>
      <c r="I439" s="70">
        <f>COUNTIFS('Error Log'!$A:$A,$A439,'Error Log'!$F:$F,"Target")</f>
        <v>0</v>
      </c>
      <c r="J439" s="71">
        <f t="shared" si="6"/>
        <v>0</v>
      </c>
    </row>
    <row r="440" spans="1:10">
      <c r="A440" s="82"/>
      <c r="B440" s="70" t="str">
        <f>IF(ISBLANK(A440),"",INDEX('Error Log'!$A:$J,MATCH('Scores per segment'!$A440,'Error Log'!$A:$A,0),MATCH('Scores per segment'!B$1,'Error Log'!$A$1:$J$1,0)))</f>
        <v/>
      </c>
      <c r="C440" s="70" t="str">
        <f>IF(ISBLANK(A440),"",INDEX('Error Log'!$A:$J,MATCH('Scores per segment'!$A440,'Error Log'!$A:$A,0),MATCH('Scores per segment'!C$1,'Error Log'!$A$1:$J$1,0)))</f>
        <v/>
      </c>
      <c r="D440" s="70">
        <f>IF(H440=0,wdct(TRIM(C440)),0)</f>
        <v>0</v>
      </c>
      <c r="E440" s="70">
        <f>COUNTIFS('Error Log'!$A:$A,$A440,'Error Log'!$J:$J,E$1)</f>
        <v>0</v>
      </c>
      <c r="F440" s="70">
        <f>COUNTIFS('Error Log'!$A:$A,$A440,'Error Log'!$J:$J,F$1)</f>
        <v>0</v>
      </c>
      <c r="G440" s="70">
        <f>COUNTIFS('Error Log'!$A:$A,$A440,'Error Log'!$J:$J,G$1)</f>
        <v>0</v>
      </c>
      <c r="H440" s="70">
        <f>COUNTIFS('Error Log'!$A:$A,$A440,'Error Log'!$F:$F,"Source")</f>
        <v>0</v>
      </c>
      <c r="I440" s="70">
        <f>COUNTIFS('Error Log'!$A:$A,$A440,'Error Log'!$F:$F,"Target")</f>
        <v>0</v>
      </c>
      <c r="J440" s="71">
        <f t="shared" si="6"/>
        <v>0</v>
      </c>
    </row>
    <row r="441" spans="1:10">
      <c r="A441" s="82"/>
      <c r="B441" s="70" t="str">
        <f>IF(ISBLANK(A441),"",INDEX('Error Log'!$A:$J,MATCH('Scores per segment'!$A441,'Error Log'!$A:$A,0),MATCH('Scores per segment'!B$1,'Error Log'!$A$1:$J$1,0)))</f>
        <v/>
      </c>
      <c r="C441" s="70" t="str">
        <f>IF(ISBLANK(A441),"",INDEX('Error Log'!$A:$J,MATCH('Scores per segment'!$A441,'Error Log'!$A:$A,0),MATCH('Scores per segment'!C$1,'Error Log'!$A$1:$J$1,0)))</f>
        <v/>
      </c>
      <c r="D441" s="70">
        <f>IF(H441=0,wdct(TRIM(C441)),0)</f>
        <v>0</v>
      </c>
      <c r="E441" s="70">
        <f>COUNTIFS('Error Log'!$A:$A,$A441,'Error Log'!$J:$J,E$1)</f>
        <v>0</v>
      </c>
      <c r="F441" s="70">
        <f>COUNTIFS('Error Log'!$A:$A,$A441,'Error Log'!$J:$J,F$1)</f>
        <v>0</v>
      </c>
      <c r="G441" s="70">
        <f>COUNTIFS('Error Log'!$A:$A,$A441,'Error Log'!$J:$J,G$1)</f>
        <v>0</v>
      </c>
      <c r="H441" s="70">
        <f>COUNTIFS('Error Log'!$A:$A,$A441,'Error Log'!$F:$F,"Source")</f>
        <v>0</v>
      </c>
      <c r="I441" s="70">
        <f>COUNTIFS('Error Log'!$A:$A,$A441,'Error Log'!$F:$F,"Target")</f>
        <v>0</v>
      </c>
      <c r="J441" s="71">
        <f t="shared" si="6"/>
        <v>0</v>
      </c>
    </row>
    <row r="442" spans="1:10">
      <c r="A442" s="82"/>
      <c r="B442" s="70" t="str">
        <f>IF(ISBLANK(A442),"",INDEX('Error Log'!$A:$J,MATCH('Scores per segment'!$A442,'Error Log'!$A:$A,0),MATCH('Scores per segment'!B$1,'Error Log'!$A$1:$J$1,0)))</f>
        <v/>
      </c>
      <c r="C442" s="70" t="str">
        <f>IF(ISBLANK(A442),"",INDEX('Error Log'!$A:$J,MATCH('Scores per segment'!$A442,'Error Log'!$A:$A,0),MATCH('Scores per segment'!C$1,'Error Log'!$A$1:$J$1,0)))</f>
        <v/>
      </c>
      <c r="D442" s="70">
        <f>IF(H442=0,wdct(TRIM(C442)),0)</f>
        <v>0</v>
      </c>
      <c r="E442" s="70">
        <f>COUNTIFS('Error Log'!$A:$A,$A442,'Error Log'!$J:$J,E$1)</f>
        <v>0</v>
      </c>
      <c r="F442" s="70">
        <f>COUNTIFS('Error Log'!$A:$A,$A442,'Error Log'!$J:$J,F$1)</f>
        <v>0</v>
      </c>
      <c r="G442" s="70">
        <f>COUNTIFS('Error Log'!$A:$A,$A442,'Error Log'!$J:$J,G$1)</f>
        <v>0</v>
      </c>
      <c r="H442" s="70">
        <f>COUNTIFS('Error Log'!$A:$A,$A442,'Error Log'!$F:$F,"Source")</f>
        <v>0</v>
      </c>
      <c r="I442" s="70">
        <f>COUNTIFS('Error Log'!$A:$A,$A442,'Error Log'!$F:$F,"Target")</f>
        <v>0</v>
      </c>
      <c r="J442" s="71">
        <f t="shared" si="6"/>
        <v>0</v>
      </c>
    </row>
    <row r="443" spans="1:10">
      <c r="A443" s="82"/>
      <c r="B443" s="70" t="str">
        <f>IF(ISBLANK(A443),"",INDEX('Error Log'!$A:$J,MATCH('Scores per segment'!$A443,'Error Log'!$A:$A,0),MATCH('Scores per segment'!B$1,'Error Log'!$A$1:$J$1,0)))</f>
        <v/>
      </c>
      <c r="C443" s="70" t="str">
        <f>IF(ISBLANK(A443),"",INDEX('Error Log'!$A:$J,MATCH('Scores per segment'!$A443,'Error Log'!$A:$A,0),MATCH('Scores per segment'!C$1,'Error Log'!$A$1:$J$1,0)))</f>
        <v/>
      </c>
      <c r="D443" s="70">
        <f>IF(H443=0,wdct(TRIM(C443)),0)</f>
        <v>0</v>
      </c>
      <c r="E443" s="70">
        <f>COUNTIFS('Error Log'!$A:$A,$A443,'Error Log'!$J:$J,E$1)</f>
        <v>0</v>
      </c>
      <c r="F443" s="70">
        <f>COUNTIFS('Error Log'!$A:$A,$A443,'Error Log'!$J:$J,F$1)</f>
        <v>0</v>
      </c>
      <c r="G443" s="70">
        <f>COUNTIFS('Error Log'!$A:$A,$A443,'Error Log'!$J:$J,G$1)</f>
        <v>0</v>
      </c>
      <c r="H443" s="70">
        <f>COUNTIFS('Error Log'!$A:$A,$A443,'Error Log'!$F:$F,"Source")</f>
        <v>0</v>
      </c>
      <c r="I443" s="70">
        <f>COUNTIFS('Error Log'!$A:$A,$A443,'Error Log'!$F:$F,"Target")</f>
        <v>0</v>
      </c>
      <c r="J443" s="71">
        <f t="shared" si="6"/>
        <v>0</v>
      </c>
    </row>
    <row r="444" spans="1:10">
      <c r="A444" s="82"/>
      <c r="B444" s="70" t="str">
        <f>IF(ISBLANK(A444),"",INDEX('Error Log'!$A:$J,MATCH('Scores per segment'!$A444,'Error Log'!$A:$A,0),MATCH('Scores per segment'!B$1,'Error Log'!$A$1:$J$1,0)))</f>
        <v/>
      </c>
      <c r="C444" s="70" t="str">
        <f>IF(ISBLANK(A444),"",INDEX('Error Log'!$A:$J,MATCH('Scores per segment'!$A444,'Error Log'!$A:$A,0),MATCH('Scores per segment'!C$1,'Error Log'!$A$1:$J$1,0)))</f>
        <v/>
      </c>
      <c r="D444" s="70">
        <f>IF(H444=0,wdct(TRIM(C444)),0)</f>
        <v>0</v>
      </c>
      <c r="E444" s="70">
        <f>COUNTIFS('Error Log'!$A:$A,$A444,'Error Log'!$J:$J,E$1)</f>
        <v>0</v>
      </c>
      <c r="F444" s="70">
        <f>COUNTIFS('Error Log'!$A:$A,$A444,'Error Log'!$J:$J,F$1)</f>
        <v>0</v>
      </c>
      <c r="G444" s="70">
        <f>COUNTIFS('Error Log'!$A:$A,$A444,'Error Log'!$J:$J,G$1)</f>
        <v>0</v>
      </c>
      <c r="H444" s="70">
        <f>COUNTIFS('Error Log'!$A:$A,$A444,'Error Log'!$F:$F,"Source")</f>
        <v>0</v>
      </c>
      <c r="I444" s="70">
        <f>COUNTIFS('Error Log'!$A:$A,$A444,'Error Log'!$F:$F,"Target")</f>
        <v>0</v>
      </c>
      <c r="J444" s="71">
        <f t="shared" si="6"/>
        <v>0</v>
      </c>
    </row>
    <row r="445" spans="1:10">
      <c r="A445" s="82"/>
      <c r="B445" s="70" t="str">
        <f>IF(ISBLANK(A445),"",INDEX('Error Log'!$A:$J,MATCH('Scores per segment'!$A445,'Error Log'!$A:$A,0),MATCH('Scores per segment'!B$1,'Error Log'!$A$1:$J$1,0)))</f>
        <v/>
      </c>
      <c r="C445" s="70" t="str">
        <f>IF(ISBLANK(A445),"",INDEX('Error Log'!$A:$J,MATCH('Scores per segment'!$A445,'Error Log'!$A:$A,0),MATCH('Scores per segment'!C$1,'Error Log'!$A$1:$J$1,0)))</f>
        <v/>
      </c>
      <c r="D445" s="70">
        <f>IF(H445=0,wdct(TRIM(C445)),0)</f>
        <v>0</v>
      </c>
      <c r="E445" s="70">
        <f>COUNTIFS('Error Log'!$A:$A,$A445,'Error Log'!$J:$J,E$1)</f>
        <v>0</v>
      </c>
      <c r="F445" s="70">
        <f>COUNTIFS('Error Log'!$A:$A,$A445,'Error Log'!$J:$J,F$1)</f>
        <v>0</v>
      </c>
      <c r="G445" s="70">
        <f>COUNTIFS('Error Log'!$A:$A,$A445,'Error Log'!$J:$J,G$1)</f>
        <v>0</v>
      </c>
      <c r="H445" s="70">
        <f>COUNTIFS('Error Log'!$A:$A,$A445,'Error Log'!$F:$F,"Source")</f>
        <v>0</v>
      </c>
      <c r="I445" s="70">
        <f>COUNTIFS('Error Log'!$A:$A,$A445,'Error Log'!$F:$F,"Target")</f>
        <v>0</v>
      </c>
      <c r="J445" s="71">
        <f t="shared" ref="J445:J496" si="7">IF(I445=0,IFERROR((((1-((E445*10+F445*5+G445*1)/D445))*100)+100)/2,0),-150)</f>
        <v>0</v>
      </c>
    </row>
    <row r="446" spans="1:10">
      <c r="A446" s="82"/>
      <c r="B446" s="70" t="str">
        <f>IF(ISBLANK(A446),"",INDEX('Error Log'!$A:$J,MATCH('Scores per segment'!$A446,'Error Log'!$A:$A,0),MATCH('Scores per segment'!B$1,'Error Log'!$A$1:$J$1,0)))</f>
        <v/>
      </c>
      <c r="C446" s="70" t="str">
        <f>IF(ISBLANK(A446),"",INDEX('Error Log'!$A:$J,MATCH('Scores per segment'!$A446,'Error Log'!$A:$A,0),MATCH('Scores per segment'!C$1,'Error Log'!$A$1:$J$1,0)))</f>
        <v/>
      </c>
      <c r="D446" s="70">
        <f>IF(H446=0,wdct(TRIM(C446)),0)</f>
        <v>0</v>
      </c>
      <c r="E446" s="70">
        <f>COUNTIFS('Error Log'!$A:$A,$A446,'Error Log'!$J:$J,E$1)</f>
        <v>0</v>
      </c>
      <c r="F446" s="70">
        <f>COUNTIFS('Error Log'!$A:$A,$A446,'Error Log'!$J:$J,F$1)</f>
        <v>0</v>
      </c>
      <c r="G446" s="70">
        <f>COUNTIFS('Error Log'!$A:$A,$A446,'Error Log'!$J:$J,G$1)</f>
        <v>0</v>
      </c>
      <c r="H446" s="70">
        <f>COUNTIFS('Error Log'!$A:$A,$A446,'Error Log'!$F:$F,"Source")</f>
        <v>0</v>
      </c>
      <c r="I446" s="70">
        <f>COUNTIFS('Error Log'!$A:$A,$A446,'Error Log'!$F:$F,"Target")</f>
        <v>0</v>
      </c>
      <c r="J446" s="71">
        <f t="shared" si="7"/>
        <v>0</v>
      </c>
    </row>
    <row r="447" spans="1:10">
      <c r="A447" s="82"/>
      <c r="B447" s="70" t="str">
        <f>IF(ISBLANK(A447),"",INDEX('Error Log'!$A:$J,MATCH('Scores per segment'!$A447,'Error Log'!$A:$A,0),MATCH('Scores per segment'!B$1,'Error Log'!$A$1:$J$1,0)))</f>
        <v/>
      </c>
      <c r="C447" s="70" t="str">
        <f>IF(ISBLANK(A447),"",INDEX('Error Log'!$A:$J,MATCH('Scores per segment'!$A447,'Error Log'!$A:$A,0),MATCH('Scores per segment'!C$1,'Error Log'!$A$1:$J$1,0)))</f>
        <v/>
      </c>
      <c r="D447" s="70">
        <f>IF(H447=0,wdct(TRIM(C447)),0)</f>
        <v>0</v>
      </c>
      <c r="E447" s="70">
        <f>COUNTIFS('Error Log'!$A:$A,$A447,'Error Log'!$J:$J,E$1)</f>
        <v>0</v>
      </c>
      <c r="F447" s="70">
        <f>COUNTIFS('Error Log'!$A:$A,$A447,'Error Log'!$J:$J,F$1)</f>
        <v>0</v>
      </c>
      <c r="G447" s="70">
        <f>COUNTIFS('Error Log'!$A:$A,$A447,'Error Log'!$J:$J,G$1)</f>
        <v>0</v>
      </c>
      <c r="H447" s="70">
        <f>COUNTIFS('Error Log'!$A:$A,$A447,'Error Log'!$F:$F,"Source")</f>
        <v>0</v>
      </c>
      <c r="I447" s="70">
        <f>COUNTIFS('Error Log'!$A:$A,$A447,'Error Log'!$F:$F,"Target")</f>
        <v>0</v>
      </c>
      <c r="J447" s="71">
        <f t="shared" si="7"/>
        <v>0</v>
      </c>
    </row>
    <row r="448" spans="1:10">
      <c r="A448" s="82"/>
      <c r="B448" s="70" t="str">
        <f>IF(ISBLANK(A448),"",INDEX('Error Log'!$A:$J,MATCH('Scores per segment'!$A448,'Error Log'!$A:$A,0),MATCH('Scores per segment'!B$1,'Error Log'!$A$1:$J$1,0)))</f>
        <v/>
      </c>
      <c r="C448" s="70" t="str">
        <f>IF(ISBLANK(A448),"",INDEX('Error Log'!$A:$J,MATCH('Scores per segment'!$A448,'Error Log'!$A:$A,0),MATCH('Scores per segment'!C$1,'Error Log'!$A$1:$J$1,0)))</f>
        <v/>
      </c>
      <c r="D448" s="70">
        <f>IF(H448=0,wdct(TRIM(C448)),0)</f>
        <v>0</v>
      </c>
      <c r="E448" s="70">
        <f>COUNTIFS('Error Log'!$A:$A,$A448,'Error Log'!$J:$J,E$1)</f>
        <v>0</v>
      </c>
      <c r="F448" s="70">
        <f>COUNTIFS('Error Log'!$A:$A,$A448,'Error Log'!$J:$J,F$1)</f>
        <v>0</v>
      </c>
      <c r="G448" s="70">
        <f>COUNTIFS('Error Log'!$A:$A,$A448,'Error Log'!$J:$J,G$1)</f>
        <v>0</v>
      </c>
      <c r="H448" s="70">
        <f>COUNTIFS('Error Log'!$A:$A,$A448,'Error Log'!$F:$F,"Source")</f>
        <v>0</v>
      </c>
      <c r="I448" s="70">
        <f>COUNTIFS('Error Log'!$A:$A,$A448,'Error Log'!$F:$F,"Target")</f>
        <v>0</v>
      </c>
      <c r="J448" s="71">
        <f t="shared" si="7"/>
        <v>0</v>
      </c>
    </row>
    <row r="449" spans="1:10">
      <c r="A449" s="82"/>
      <c r="B449" s="70" t="str">
        <f>IF(ISBLANK(A449),"",INDEX('Error Log'!$A:$J,MATCH('Scores per segment'!$A449,'Error Log'!$A:$A,0),MATCH('Scores per segment'!B$1,'Error Log'!$A$1:$J$1,0)))</f>
        <v/>
      </c>
      <c r="C449" s="70" t="str">
        <f>IF(ISBLANK(A449),"",INDEX('Error Log'!$A:$J,MATCH('Scores per segment'!$A449,'Error Log'!$A:$A,0),MATCH('Scores per segment'!C$1,'Error Log'!$A$1:$J$1,0)))</f>
        <v/>
      </c>
      <c r="D449" s="70">
        <f>IF(H449=0,wdct(TRIM(C449)),0)</f>
        <v>0</v>
      </c>
      <c r="E449" s="70">
        <f>COUNTIFS('Error Log'!$A:$A,$A449,'Error Log'!$J:$J,E$1)</f>
        <v>0</v>
      </c>
      <c r="F449" s="70">
        <f>COUNTIFS('Error Log'!$A:$A,$A449,'Error Log'!$J:$J,F$1)</f>
        <v>0</v>
      </c>
      <c r="G449" s="70">
        <f>COUNTIFS('Error Log'!$A:$A,$A449,'Error Log'!$J:$J,G$1)</f>
        <v>0</v>
      </c>
      <c r="H449" s="70">
        <f>COUNTIFS('Error Log'!$A:$A,$A449,'Error Log'!$F:$F,"Source")</f>
        <v>0</v>
      </c>
      <c r="I449" s="70">
        <f>COUNTIFS('Error Log'!$A:$A,$A449,'Error Log'!$F:$F,"Target")</f>
        <v>0</v>
      </c>
      <c r="J449" s="71">
        <f t="shared" si="7"/>
        <v>0</v>
      </c>
    </row>
    <row r="450" spans="1:10">
      <c r="A450" s="82"/>
      <c r="B450" s="70" t="str">
        <f>IF(ISBLANK(A450),"",INDEX('Error Log'!$A:$J,MATCH('Scores per segment'!$A450,'Error Log'!$A:$A,0),MATCH('Scores per segment'!B$1,'Error Log'!$A$1:$J$1,0)))</f>
        <v/>
      </c>
      <c r="C450" s="70" t="str">
        <f>IF(ISBLANK(A450),"",INDEX('Error Log'!$A:$J,MATCH('Scores per segment'!$A450,'Error Log'!$A:$A,0),MATCH('Scores per segment'!C$1,'Error Log'!$A$1:$J$1,0)))</f>
        <v/>
      </c>
      <c r="D450" s="70">
        <f>IF(H450=0,wdct(TRIM(C450)),0)</f>
        <v>0</v>
      </c>
      <c r="E450" s="70">
        <f>COUNTIFS('Error Log'!$A:$A,$A450,'Error Log'!$J:$J,E$1)</f>
        <v>0</v>
      </c>
      <c r="F450" s="70">
        <f>COUNTIFS('Error Log'!$A:$A,$A450,'Error Log'!$J:$J,F$1)</f>
        <v>0</v>
      </c>
      <c r="G450" s="70">
        <f>COUNTIFS('Error Log'!$A:$A,$A450,'Error Log'!$J:$J,G$1)</f>
        <v>0</v>
      </c>
      <c r="H450" s="70">
        <f>COUNTIFS('Error Log'!$A:$A,$A450,'Error Log'!$F:$F,"Source")</f>
        <v>0</v>
      </c>
      <c r="I450" s="70">
        <f>COUNTIFS('Error Log'!$A:$A,$A450,'Error Log'!$F:$F,"Target")</f>
        <v>0</v>
      </c>
      <c r="J450" s="71">
        <f t="shared" si="7"/>
        <v>0</v>
      </c>
    </row>
    <row r="451" spans="1:10">
      <c r="A451" s="82"/>
      <c r="B451" s="70" t="str">
        <f>IF(ISBLANK(A451),"",INDEX('Error Log'!$A:$J,MATCH('Scores per segment'!$A451,'Error Log'!$A:$A,0),MATCH('Scores per segment'!B$1,'Error Log'!$A$1:$J$1,0)))</f>
        <v/>
      </c>
      <c r="C451" s="70" t="str">
        <f>IF(ISBLANK(A451),"",INDEX('Error Log'!$A:$J,MATCH('Scores per segment'!$A451,'Error Log'!$A:$A,0),MATCH('Scores per segment'!C$1,'Error Log'!$A$1:$J$1,0)))</f>
        <v/>
      </c>
      <c r="D451" s="70">
        <f>IF(H451=0,wdct(TRIM(C451)),0)</f>
        <v>0</v>
      </c>
      <c r="E451" s="70">
        <f>COUNTIFS('Error Log'!$A:$A,$A451,'Error Log'!$J:$J,E$1)</f>
        <v>0</v>
      </c>
      <c r="F451" s="70">
        <f>COUNTIFS('Error Log'!$A:$A,$A451,'Error Log'!$J:$J,F$1)</f>
        <v>0</v>
      </c>
      <c r="G451" s="70">
        <f>COUNTIFS('Error Log'!$A:$A,$A451,'Error Log'!$J:$J,G$1)</f>
        <v>0</v>
      </c>
      <c r="H451" s="70">
        <f>COUNTIFS('Error Log'!$A:$A,$A451,'Error Log'!$F:$F,"Source")</f>
        <v>0</v>
      </c>
      <c r="I451" s="70">
        <f>COUNTIFS('Error Log'!$A:$A,$A451,'Error Log'!$F:$F,"Target")</f>
        <v>0</v>
      </c>
      <c r="J451" s="71">
        <f t="shared" si="7"/>
        <v>0</v>
      </c>
    </row>
    <row r="452" spans="1:10">
      <c r="A452" s="82"/>
      <c r="B452" s="70" t="str">
        <f>IF(ISBLANK(A452),"",INDEX('Error Log'!$A:$J,MATCH('Scores per segment'!$A452,'Error Log'!$A:$A,0),MATCH('Scores per segment'!B$1,'Error Log'!$A$1:$J$1,0)))</f>
        <v/>
      </c>
      <c r="C452" s="70" t="str">
        <f>IF(ISBLANK(A452),"",INDEX('Error Log'!$A:$J,MATCH('Scores per segment'!$A452,'Error Log'!$A:$A,0),MATCH('Scores per segment'!C$1,'Error Log'!$A$1:$J$1,0)))</f>
        <v/>
      </c>
      <c r="D452" s="70">
        <f>IF(H452=0,wdct(TRIM(C452)),0)</f>
        <v>0</v>
      </c>
      <c r="E452" s="70">
        <f>COUNTIFS('Error Log'!$A:$A,$A452,'Error Log'!$J:$J,E$1)</f>
        <v>0</v>
      </c>
      <c r="F452" s="70">
        <f>COUNTIFS('Error Log'!$A:$A,$A452,'Error Log'!$J:$J,F$1)</f>
        <v>0</v>
      </c>
      <c r="G452" s="70">
        <f>COUNTIFS('Error Log'!$A:$A,$A452,'Error Log'!$J:$J,G$1)</f>
        <v>0</v>
      </c>
      <c r="H452" s="70">
        <f>COUNTIFS('Error Log'!$A:$A,$A452,'Error Log'!$F:$F,"Source")</f>
        <v>0</v>
      </c>
      <c r="I452" s="70">
        <f>COUNTIFS('Error Log'!$A:$A,$A452,'Error Log'!$F:$F,"Target")</f>
        <v>0</v>
      </c>
      <c r="J452" s="71">
        <f t="shared" si="7"/>
        <v>0</v>
      </c>
    </row>
    <row r="453" spans="1:10">
      <c r="A453" s="82"/>
      <c r="B453" s="70" t="str">
        <f>IF(ISBLANK(A453),"",INDEX('Error Log'!$A:$J,MATCH('Scores per segment'!$A453,'Error Log'!$A:$A,0),MATCH('Scores per segment'!B$1,'Error Log'!$A$1:$J$1,0)))</f>
        <v/>
      </c>
      <c r="C453" s="70" t="str">
        <f>IF(ISBLANK(A453),"",INDEX('Error Log'!$A:$J,MATCH('Scores per segment'!$A453,'Error Log'!$A:$A,0),MATCH('Scores per segment'!C$1,'Error Log'!$A$1:$J$1,0)))</f>
        <v/>
      </c>
      <c r="D453" s="70">
        <f>IF(H453=0,wdct(TRIM(C453)),0)</f>
        <v>0</v>
      </c>
      <c r="E453" s="70">
        <f>COUNTIFS('Error Log'!$A:$A,$A453,'Error Log'!$J:$J,E$1)</f>
        <v>0</v>
      </c>
      <c r="F453" s="70">
        <f>COUNTIFS('Error Log'!$A:$A,$A453,'Error Log'!$J:$J,F$1)</f>
        <v>0</v>
      </c>
      <c r="G453" s="70">
        <f>COUNTIFS('Error Log'!$A:$A,$A453,'Error Log'!$J:$J,G$1)</f>
        <v>0</v>
      </c>
      <c r="H453" s="70">
        <f>COUNTIFS('Error Log'!$A:$A,$A453,'Error Log'!$F:$F,"Source")</f>
        <v>0</v>
      </c>
      <c r="I453" s="70">
        <f>COUNTIFS('Error Log'!$A:$A,$A453,'Error Log'!$F:$F,"Target")</f>
        <v>0</v>
      </c>
      <c r="J453" s="71">
        <f t="shared" si="7"/>
        <v>0</v>
      </c>
    </row>
    <row r="454" spans="1:10">
      <c r="A454" s="82"/>
      <c r="B454" s="70" t="str">
        <f>IF(ISBLANK(A454),"",INDEX('Error Log'!$A:$J,MATCH('Scores per segment'!$A454,'Error Log'!$A:$A,0),MATCH('Scores per segment'!B$1,'Error Log'!$A$1:$J$1,0)))</f>
        <v/>
      </c>
      <c r="C454" s="70" t="str">
        <f>IF(ISBLANK(A454),"",INDEX('Error Log'!$A:$J,MATCH('Scores per segment'!$A454,'Error Log'!$A:$A,0),MATCH('Scores per segment'!C$1,'Error Log'!$A$1:$J$1,0)))</f>
        <v/>
      </c>
      <c r="D454" s="70">
        <f>IF(H454=0,wdct(TRIM(C454)),0)</f>
        <v>0</v>
      </c>
      <c r="E454" s="70">
        <f>COUNTIFS('Error Log'!$A:$A,$A454,'Error Log'!$J:$J,E$1)</f>
        <v>0</v>
      </c>
      <c r="F454" s="70">
        <f>COUNTIFS('Error Log'!$A:$A,$A454,'Error Log'!$J:$J,F$1)</f>
        <v>0</v>
      </c>
      <c r="G454" s="70">
        <f>COUNTIFS('Error Log'!$A:$A,$A454,'Error Log'!$J:$J,G$1)</f>
        <v>0</v>
      </c>
      <c r="H454" s="70">
        <f>COUNTIFS('Error Log'!$A:$A,$A454,'Error Log'!$F:$F,"Source")</f>
        <v>0</v>
      </c>
      <c r="I454" s="70">
        <f>COUNTIFS('Error Log'!$A:$A,$A454,'Error Log'!$F:$F,"Target")</f>
        <v>0</v>
      </c>
      <c r="J454" s="71">
        <f t="shared" si="7"/>
        <v>0</v>
      </c>
    </row>
    <row r="455" spans="1:10">
      <c r="A455" s="82"/>
      <c r="B455" s="70" t="str">
        <f>IF(ISBLANK(A455),"",INDEX('Error Log'!$A:$J,MATCH('Scores per segment'!$A455,'Error Log'!$A:$A,0),MATCH('Scores per segment'!B$1,'Error Log'!$A$1:$J$1,0)))</f>
        <v/>
      </c>
      <c r="C455" s="70" t="str">
        <f>IF(ISBLANK(A455),"",INDEX('Error Log'!$A:$J,MATCH('Scores per segment'!$A455,'Error Log'!$A:$A,0),MATCH('Scores per segment'!C$1,'Error Log'!$A$1:$J$1,0)))</f>
        <v/>
      </c>
      <c r="D455" s="70">
        <f>IF(H455=0,wdct(TRIM(C455)),0)</f>
        <v>0</v>
      </c>
      <c r="E455" s="70">
        <f>COUNTIFS('Error Log'!$A:$A,$A455,'Error Log'!$J:$J,E$1)</f>
        <v>0</v>
      </c>
      <c r="F455" s="70">
        <f>COUNTIFS('Error Log'!$A:$A,$A455,'Error Log'!$J:$J,F$1)</f>
        <v>0</v>
      </c>
      <c r="G455" s="70">
        <f>COUNTIFS('Error Log'!$A:$A,$A455,'Error Log'!$J:$J,G$1)</f>
        <v>0</v>
      </c>
      <c r="H455" s="70">
        <f>COUNTIFS('Error Log'!$A:$A,$A455,'Error Log'!$F:$F,"Source")</f>
        <v>0</v>
      </c>
      <c r="I455" s="70">
        <f>COUNTIFS('Error Log'!$A:$A,$A455,'Error Log'!$F:$F,"Target")</f>
        <v>0</v>
      </c>
      <c r="J455" s="71">
        <f t="shared" si="7"/>
        <v>0</v>
      </c>
    </row>
    <row r="456" spans="1:10">
      <c r="A456" s="82"/>
      <c r="B456" s="70" t="str">
        <f>IF(ISBLANK(A456),"",INDEX('Error Log'!$A:$J,MATCH('Scores per segment'!$A456,'Error Log'!$A:$A,0),MATCH('Scores per segment'!B$1,'Error Log'!$A$1:$J$1,0)))</f>
        <v/>
      </c>
      <c r="C456" s="70" t="str">
        <f>IF(ISBLANK(A456),"",INDEX('Error Log'!$A:$J,MATCH('Scores per segment'!$A456,'Error Log'!$A:$A,0),MATCH('Scores per segment'!C$1,'Error Log'!$A$1:$J$1,0)))</f>
        <v/>
      </c>
      <c r="D456" s="70">
        <f>IF(H456=0,wdct(TRIM(C456)),0)</f>
        <v>0</v>
      </c>
      <c r="E456" s="70">
        <f>COUNTIFS('Error Log'!$A:$A,$A456,'Error Log'!$J:$J,E$1)</f>
        <v>0</v>
      </c>
      <c r="F456" s="70">
        <f>COUNTIFS('Error Log'!$A:$A,$A456,'Error Log'!$J:$J,F$1)</f>
        <v>0</v>
      </c>
      <c r="G456" s="70">
        <f>COUNTIFS('Error Log'!$A:$A,$A456,'Error Log'!$J:$J,G$1)</f>
        <v>0</v>
      </c>
      <c r="H456" s="70">
        <f>COUNTIFS('Error Log'!$A:$A,$A456,'Error Log'!$F:$F,"Source")</f>
        <v>0</v>
      </c>
      <c r="I456" s="70">
        <f>COUNTIFS('Error Log'!$A:$A,$A456,'Error Log'!$F:$F,"Target")</f>
        <v>0</v>
      </c>
      <c r="J456" s="71">
        <f t="shared" si="7"/>
        <v>0</v>
      </c>
    </row>
    <row r="457" spans="1:10">
      <c r="A457" s="82"/>
      <c r="B457" s="70" t="str">
        <f>IF(ISBLANK(A457),"",INDEX('Error Log'!$A:$J,MATCH('Scores per segment'!$A457,'Error Log'!$A:$A,0),MATCH('Scores per segment'!B$1,'Error Log'!$A$1:$J$1,0)))</f>
        <v/>
      </c>
      <c r="C457" s="70" t="str">
        <f>IF(ISBLANK(A457),"",INDEX('Error Log'!$A:$J,MATCH('Scores per segment'!$A457,'Error Log'!$A:$A,0),MATCH('Scores per segment'!C$1,'Error Log'!$A$1:$J$1,0)))</f>
        <v/>
      </c>
      <c r="D457" s="70">
        <f>IF(H457=0,wdct(TRIM(C457)),0)</f>
        <v>0</v>
      </c>
      <c r="E457" s="70">
        <f>COUNTIFS('Error Log'!$A:$A,$A457,'Error Log'!$J:$J,E$1)</f>
        <v>0</v>
      </c>
      <c r="F457" s="70">
        <f>COUNTIFS('Error Log'!$A:$A,$A457,'Error Log'!$J:$J,F$1)</f>
        <v>0</v>
      </c>
      <c r="G457" s="70">
        <f>COUNTIFS('Error Log'!$A:$A,$A457,'Error Log'!$J:$J,G$1)</f>
        <v>0</v>
      </c>
      <c r="H457" s="70">
        <f>COUNTIFS('Error Log'!$A:$A,$A457,'Error Log'!$F:$F,"Source")</f>
        <v>0</v>
      </c>
      <c r="I457" s="70">
        <f>COUNTIFS('Error Log'!$A:$A,$A457,'Error Log'!$F:$F,"Target")</f>
        <v>0</v>
      </c>
      <c r="J457" s="71">
        <f t="shared" si="7"/>
        <v>0</v>
      </c>
    </row>
    <row r="458" spans="1:10">
      <c r="A458" s="82"/>
      <c r="B458" s="70" t="str">
        <f>IF(ISBLANK(A458),"",INDEX('Error Log'!$A:$J,MATCH('Scores per segment'!$A458,'Error Log'!$A:$A,0),MATCH('Scores per segment'!B$1,'Error Log'!$A$1:$J$1,0)))</f>
        <v/>
      </c>
      <c r="C458" s="70" t="str">
        <f>IF(ISBLANK(A458),"",INDEX('Error Log'!$A:$J,MATCH('Scores per segment'!$A458,'Error Log'!$A:$A,0),MATCH('Scores per segment'!C$1,'Error Log'!$A$1:$J$1,0)))</f>
        <v/>
      </c>
      <c r="D458" s="70">
        <f>IF(H458=0,wdct(TRIM(C458)),0)</f>
        <v>0</v>
      </c>
      <c r="E458" s="70">
        <f>COUNTIFS('Error Log'!$A:$A,$A458,'Error Log'!$J:$J,E$1)</f>
        <v>0</v>
      </c>
      <c r="F458" s="70">
        <f>COUNTIFS('Error Log'!$A:$A,$A458,'Error Log'!$J:$J,F$1)</f>
        <v>0</v>
      </c>
      <c r="G458" s="70">
        <f>COUNTIFS('Error Log'!$A:$A,$A458,'Error Log'!$J:$J,G$1)</f>
        <v>0</v>
      </c>
      <c r="H458" s="70">
        <f>COUNTIFS('Error Log'!$A:$A,$A458,'Error Log'!$F:$F,"Source")</f>
        <v>0</v>
      </c>
      <c r="I458" s="70">
        <f>COUNTIFS('Error Log'!$A:$A,$A458,'Error Log'!$F:$F,"Target")</f>
        <v>0</v>
      </c>
      <c r="J458" s="71">
        <f t="shared" si="7"/>
        <v>0</v>
      </c>
    </row>
    <row r="459" spans="1:10">
      <c r="A459" s="82"/>
      <c r="B459" s="70" t="str">
        <f>IF(ISBLANK(A459),"",INDEX('Error Log'!$A:$J,MATCH('Scores per segment'!$A459,'Error Log'!$A:$A,0),MATCH('Scores per segment'!B$1,'Error Log'!$A$1:$J$1,0)))</f>
        <v/>
      </c>
      <c r="C459" s="70" t="str">
        <f>IF(ISBLANK(A459),"",INDEX('Error Log'!$A:$J,MATCH('Scores per segment'!$A459,'Error Log'!$A:$A,0),MATCH('Scores per segment'!C$1,'Error Log'!$A$1:$J$1,0)))</f>
        <v/>
      </c>
      <c r="D459" s="70">
        <f>IF(H459=0,wdct(TRIM(C459)),0)</f>
        <v>0</v>
      </c>
      <c r="E459" s="70">
        <f>COUNTIFS('Error Log'!$A:$A,$A459,'Error Log'!$J:$J,E$1)</f>
        <v>0</v>
      </c>
      <c r="F459" s="70">
        <f>COUNTIFS('Error Log'!$A:$A,$A459,'Error Log'!$J:$J,F$1)</f>
        <v>0</v>
      </c>
      <c r="G459" s="70">
        <f>COUNTIFS('Error Log'!$A:$A,$A459,'Error Log'!$J:$J,G$1)</f>
        <v>0</v>
      </c>
      <c r="H459" s="70">
        <f>COUNTIFS('Error Log'!$A:$A,$A459,'Error Log'!$F:$F,"Source")</f>
        <v>0</v>
      </c>
      <c r="I459" s="70">
        <f>COUNTIFS('Error Log'!$A:$A,$A459,'Error Log'!$F:$F,"Target")</f>
        <v>0</v>
      </c>
      <c r="J459" s="71">
        <f t="shared" si="7"/>
        <v>0</v>
      </c>
    </row>
    <row r="460" spans="1:10">
      <c r="A460" s="82"/>
      <c r="B460" s="70" t="str">
        <f>IF(ISBLANK(A460),"",INDEX('Error Log'!$A:$J,MATCH('Scores per segment'!$A460,'Error Log'!$A:$A,0),MATCH('Scores per segment'!B$1,'Error Log'!$A$1:$J$1,0)))</f>
        <v/>
      </c>
      <c r="C460" s="70" t="str">
        <f>IF(ISBLANK(A460),"",INDEX('Error Log'!$A:$J,MATCH('Scores per segment'!$A460,'Error Log'!$A:$A,0),MATCH('Scores per segment'!C$1,'Error Log'!$A$1:$J$1,0)))</f>
        <v/>
      </c>
      <c r="D460" s="70">
        <f>IF(H460=0,wdct(TRIM(C460)),0)</f>
        <v>0</v>
      </c>
      <c r="E460" s="70">
        <f>COUNTIFS('Error Log'!$A:$A,$A460,'Error Log'!$J:$J,E$1)</f>
        <v>0</v>
      </c>
      <c r="F460" s="70">
        <f>COUNTIFS('Error Log'!$A:$A,$A460,'Error Log'!$J:$J,F$1)</f>
        <v>0</v>
      </c>
      <c r="G460" s="70">
        <f>COUNTIFS('Error Log'!$A:$A,$A460,'Error Log'!$J:$J,G$1)</f>
        <v>0</v>
      </c>
      <c r="H460" s="70">
        <f>COUNTIFS('Error Log'!$A:$A,$A460,'Error Log'!$F:$F,"Source")</f>
        <v>0</v>
      </c>
      <c r="I460" s="70">
        <f>COUNTIFS('Error Log'!$A:$A,$A460,'Error Log'!$F:$F,"Target")</f>
        <v>0</v>
      </c>
      <c r="J460" s="71">
        <f t="shared" si="7"/>
        <v>0</v>
      </c>
    </row>
    <row r="461" spans="1:10">
      <c r="A461" s="82"/>
      <c r="B461" s="70" t="str">
        <f>IF(ISBLANK(A461),"",INDEX('Error Log'!$A:$J,MATCH('Scores per segment'!$A461,'Error Log'!$A:$A,0),MATCH('Scores per segment'!B$1,'Error Log'!$A$1:$J$1,0)))</f>
        <v/>
      </c>
      <c r="C461" s="70" t="str">
        <f>IF(ISBLANK(A461),"",INDEX('Error Log'!$A:$J,MATCH('Scores per segment'!$A461,'Error Log'!$A:$A,0),MATCH('Scores per segment'!C$1,'Error Log'!$A$1:$J$1,0)))</f>
        <v/>
      </c>
      <c r="D461" s="70">
        <f>IF(H461=0,wdct(TRIM(C461)),0)</f>
        <v>0</v>
      </c>
      <c r="E461" s="70">
        <f>COUNTIFS('Error Log'!$A:$A,$A461,'Error Log'!$J:$J,E$1)</f>
        <v>0</v>
      </c>
      <c r="F461" s="70">
        <f>COUNTIFS('Error Log'!$A:$A,$A461,'Error Log'!$J:$J,F$1)</f>
        <v>0</v>
      </c>
      <c r="G461" s="70">
        <f>COUNTIFS('Error Log'!$A:$A,$A461,'Error Log'!$J:$J,G$1)</f>
        <v>0</v>
      </c>
      <c r="H461" s="70">
        <f>COUNTIFS('Error Log'!$A:$A,$A461,'Error Log'!$F:$F,"Source")</f>
        <v>0</v>
      </c>
      <c r="I461" s="70">
        <f>COUNTIFS('Error Log'!$A:$A,$A461,'Error Log'!$F:$F,"Target")</f>
        <v>0</v>
      </c>
      <c r="J461" s="71">
        <f t="shared" si="7"/>
        <v>0</v>
      </c>
    </row>
    <row r="462" spans="1:10">
      <c r="A462" s="82"/>
      <c r="B462" s="70" t="str">
        <f>IF(ISBLANK(A462),"",INDEX('Error Log'!$A:$J,MATCH('Scores per segment'!$A462,'Error Log'!$A:$A,0),MATCH('Scores per segment'!B$1,'Error Log'!$A$1:$J$1,0)))</f>
        <v/>
      </c>
      <c r="C462" s="70" t="str">
        <f>IF(ISBLANK(A462),"",INDEX('Error Log'!$A:$J,MATCH('Scores per segment'!$A462,'Error Log'!$A:$A,0),MATCH('Scores per segment'!C$1,'Error Log'!$A$1:$J$1,0)))</f>
        <v/>
      </c>
      <c r="D462" s="70">
        <f>IF(H462=0,wdct(TRIM(C462)),0)</f>
        <v>0</v>
      </c>
      <c r="E462" s="70">
        <f>COUNTIFS('Error Log'!$A:$A,$A462,'Error Log'!$J:$J,E$1)</f>
        <v>0</v>
      </c>
      <c r="F462" s="70">
        <f>COUNTIFS('Error Log'!$A:$A,$A462,'Error Log'!$J:$J,F$1)</f>
        <v>0</v>
      </c>
      <c r="G462" s="70">
        <f>COUNTIFS('Error Log'!$A:$A,$A462,'Error Log'!$J:$J,G$1)</f>
        <v>0</v>
      </c>
      <c r="H462" s="70">
        <f>COUNTIFS('Error Log'!$A:$A,$A462,'Error Log'!$F:$F,"Source")</f>
        <v>0</v>
      </c>
      <c r="I462" s="70">
        <f>COUNTIFS('Error Log'!$A:$A,$A462,'Error Log'!$F:$F,"Target")</f>
        <v>0</v>
      </c>
      <c r="J462" s="71">
        <f t="shared" si="7"/>
        <v>0</v>
      </c>
    </row>
    <row r="463" spans="1:10">
      <c r="A463" s="82"/>
      <c r="B463" s="70" t="str">
        <f>IF(ISBLANK(A463),"",INDEX('Error Log'!$A:$J,MATCH('Scores per segment'!$A463,'Error Log'!$A:$A,0),MATCH('Scores per segment'!B$1,'Error Log'!$A$1:$J$1,0)))</f>
        <v/>
      </c>
      <c r="C463" s="70" t="str">
        <f>IF(ISBLANK(A463),"",INDEX('Error Log'!$A:$J,MATCH('Scores per segment'!$A463,'Error Log'!$A:$A,0),MATCH('Scores per segment'!C$1,'Error Log'!$A$1:$J$1,0)))</f>
        <v/>
      </c>
      <c r="D463" s="70">
        <f>IF(H463=0,wdct(TRIM(C463)),0)</f>
        <v>0</v>
      </c>
      <c r="E463" s="70">
        <f>COUNTIFS('Error Log'!$A:$A,$A463,'Error Log'!$J:$J,E$1)</f>
        <v>0</v>
      </c>
      <c r="F463" s="70">
        <f>COUNTIFS('Error Log'!$A:$A,$A463,'Error Log'!$J:$J,F$1)</f>
        <v>0</v>
      </c>
      <c r="G463" s="70">
        <f>COUNTIFS('Error Log'!$A:$A,$A463,'Error Log'!$J:$J,G$1)</f>
        <v>0</v>
      </c>
      <c r="H463" s="70">
        <f>COUNTIFS('Error Log'!$A:$A,$A463,'Error Log'!$F:$F,"Source")</f>
        <v>0</v>
      </c>
      <c r="I463" s="70">
        <f>COUNTIFS('Error Log'!$A:$A,$A463,'Error Log'!$F:$F,"Target")</f>
        <v>0</v>
      </c>
      <c r="J463" s="71">
        <f t="shared" si="7"/>
        <v>0</v>
      </c>
    </row>
    <row r="464" spans="1:10">
      <c r="A464" s="82"/>
      <c r="B464" s="70" t="str">
        <f>IF(ISBLANK(A464),"",INDEX('Error Log'!$A:$J,MATCH('Scores per segment'!$A464,'Error Log'!$A:$A,0),MATCH('Scores per segment'!B$1,'Error Log'!$A$1:$J$1,0)))</f>
        <v/>
      </c>
      <c r="C464" s="70" t="str">
        <f>IF(ISBLANK(A464),"",INDEX('Error Log'!$A:$J,MATCH('Scores per segment'!$A464,'Error Log'!$A:$A,0),MATCH('Scores per segment'!C$1,'Error Log'!$A$1:$J$1,0)))</f>
        <v/>
      </c>
      <c r="D464" s="70">
        <f>IF(H464=0,wdct(TRIM(C464)),0)</f>
        <v>0</v>
      </c>
      <c r="E464" s="70">
        <f>COUNTIFS('Error Log'!$A:$A,$A464,'Error Log'!$J:$J,E$1)</f>
        <v>0</v>
      </c>
      <c r="F464" s="70">
        <f>COUNTIFS('Error Log'!$A:$A,$A464,'Error Log'!$J:$J,F$1)</f>
        <v>0</v>
      </c>
      <c r="G464" s="70">
        <f>COUNTIFS('Error Log'!$A:$A,$A464,'Error Log'!$J:$J,G$1)</f>
        <v>0</v>
      </c>
      <c r="H464" s="70">
        <f>COUNTIFS('Error Log'!$A:$A,$A464,'Error Log'!$F:$F,"Source")</f>
        <v>0</v>
      </c>
      <c r="I464" s="70">
        <f>COUNTIFS('Error Log'!$A:$A,$A464,'Error Log'!$F:$F,"Target")</f>
        <v>0</v>
      </c>
      <c r="J464" s="71">
        <f t="shared" si="7"/>
        <v>0</v>
      </c>
    </row>
    <row r="465" spans="1:10">
      <c r="A465" s="82"/>
      <c r="B465" s="70" t="str">
        <f>IF(ISBLANK(A465),"",INDEX('Error Log'!$A:$J,MATCH('Scores per segment'!$A465,'Error Log'!$A:$A,0),MATCH('Scores per segment'!B$1,'Error Log'!$A$1:$J$1,0)))</f>
        <v/>
      </c>
      <c r="C465" s="70" t="str">
        <f>IF(ISBLANK(A465),"",INDEX('Error Log'!$A:$J,MATCH('Scores per segment'!$A465,'Error Log'!$A:$A,0),MATCH('Scores per segment'!C$1,'Error Log'!$A$1:$J$1,0)))</f>
        <v/>
      </c>
      <c r="D465" s="70">
        <f>IF(H465=0,wdct(TRIM(C465)),0)</f>
        <v>0</v>
      </c>
      <c r="E465" s="70">
        <f>COUNTIFS('Error Log'!$A:$A,$A465,'Error Log'!$J:$J,E$1)</f>
        <v>0</v>
      </c>
      <c r="F465" s="70">
        <f>COUNTIFS('Error Log'!$A:$A,$A465,'Error Log'!$J:$J,F$1)</f>
        <v>0</v>
      </c>
      <c r="G465" s="70">
        <f>COUNTIFS('Error Log'!$A:$A,$A465,'Error Log'!$J:$J,G$1)</f>
        <v>0</v>
      </c>
      <c r="H465" s="70">
        <f>COUNTIFS('Error Log'!$A:$A,$A465,'Error Log'!$F:$F,"Source")</f>
        <v>0</v>
      </c>
      <c r="I465" s="70">
        <f>COUNTIFS('Error Log'!$A:$A,$A465,'Error Log'!$F:$F,"Target")</f>
        <v>0</v>
      </c>
      <c r="J465" s="71">
        <f t="shared" si="7"/>
        <v>0</v>
      </c>
    </row>
    <row r="466" spans="1:10">
      <c r="A466" s="82"/>
      <c r="B466" s="70" t="str">
        <f>IF(ISBLANK(A466),"",INDEX('Error Log'!$A:$J,MATCH('Scores per segment'!$A466,'Error Log'!$A:$A,0),MATCH('Scores per segment'!B$1,'Error Log'!$A$1:$J$1,0)))</f>
        <v/>
      </c>
      <c r="C466" s="70" t="str">
        <f>IF(ISBLANK(A466),"",INDEX('Error Log'!$A:$J,MATCH('Scores per segment'!$A466,'Error Log'!$A:$A,0),MATCH('Scores per segment'!C$1,'Error Log'!$A$1:$J$1,0)))</f>
        <v/>
      </c>
      <c r="D466" s="70">
        <f>IF(H466=0,wdct(TRIM(C466)),0)</f>
        <v>0</v>
      </c>
      <c r="E466" s="70">
        <f>COUNTIFS('Error Log'!$A:$A,$A466,'Error Log'!$J:$J,E$1)</f>
        <v>0</v>
      </c>
      <c r="F466" s="70">
        <f>COUNTIFS('Error Log'!$A:$A,$A466,'Error Log'!$J:$J,F$1)</f>
        <v>0</v>
      </c>
      <c r="G466" s="70">
        <f>COUNTIFS('Error Log'!$A:$A,$A466,'Error Log'!$J:$J,G$1)</f>
        <v>0</v>
      </c>
      <c r="H466" s="70">
        <f>COUNTIFS('Error Log'!$A:$A,$A466,'Error Log'!$F:$F,"Source")</f>
        <v>0</v>
      </c>
      <c r="I466" s="70">
        <f>COUNTIFS('Error Log'!$A:$A,$A466,'Error Log'!$F:$F,"Target")</f>
        <v>0</v>
      </c>
      <c r="J466" s="71">
        <f t="shared" si="7"/>
        <v>0</v>
      </c>
    </row>
    <row r="467" spans="1:10">
      <c r="A467" s="82"/>
      <c r="B467" s="70" t="str">
        <f>IF(ISBLANK(A467),"",INDEX('Error Log'!$A:$J,MATCH('Scores per segment'!$A467,'Error Log'!$A:$A,0),MATCH('Scores per segment'!B$1,'Error Log'!$A$1:$J$1,0)))</f>
        <v/>
      </c>
      <c r="C467" s="70" t="str">
        <f>IF(ISBLANK(A467),"",INDEX('Error Log'!$A:$J,MATCH('Scores per segment'!$A467,'Error Log'!$A:$A,0),MATCH('Scores per segment'!C$1,'Error Log'!$A$1:$J$1,0)))</f>
        <v/>
      </c>
      <c r="D467" s="70">
        <f>IF(H467=0,wdct(TRIM(C467)),0)</f>
        <v>0</v>
      </c>
      <c r="E467" s="70">
        <f>COUNTIFS('Error Log'!$A:$A,$A467,'Error Log'!$J:$J,E$1)</f>
        <v>0</v>
      </c>
      <c r="F467" s="70">
        <f>COUNTIFS('Error Log'!$A:$A,$A467,'Error Log'!$J:$J,F$1)</f>
        <v>0</v>
      </c>
      <c r="G467" s="70">
        <f>COUNTIFS('Error Log'!$A:$A,$A467,'Error Log'!$J:$J,G$1)</f>
        <v>0</v>
      </c>
      <c r="H467" s="70">
        <f>COUNTIFS('Error Log'!$A:$A,$A467,'Error Log'!$F:$F,"Source")</f>
        <v>0</v>
      </c>
      <c r="I467" s="70">
        <f>COUNTIFS('Error Log'!$A:$A,$A467,'Error Log'!$F:$F,"Target")</f>
        <v>0</v>
      </c>
      <c r="J467" s="71">
        <f t="shared" si="7"/>
        <v>0</v>
      </c>
    </row>
    <row r="468" spans="1:10">
      <c r="A468" s="82"/>
      <c r="B468" s="70" t="str">
        <f>IF(ISBLANK(A468),"",INDEX('Error Log'!$A:$J,MATCH('Scores per segment'!$A468,'Error Log'!$A:$A,0),MATCH('Scores per segment'!B$1,'Error Log'!$A$1:$J$1,0)))</f>
        <v/>
      </c>
      <c r="C468" s="70" t="str">
        <f>IF(ISBLANK(A468),"",INDEX('Error Log'!$A:$J,MATCH('Scores per segment'!$A468,'Error Log'!$A:$A,0),MATCH('Scores per segment'!C$1,'Error Log'!$A$1:$J$1,0)))</f>
        <v/>
      </c>
      <c r="D468" s="70">
        <f>IF(H468=0,wdct(TRIM(C468)),0)</f>
        <v>0</v>
      </c>
      <c r="E468" s="70">
        <f>COUNTIFS('Error Log'!$A:$A,$A468,'Error Log'!$J:$J,E$1)</f>
        <v>0</v>
      </c>
      <c r="F468" s="70">
        <f>COUNTIFS('Error Log'!$A:$A,$A468,'Error Log'!$J:$J,F$1)</f>
        <v>0</v>
      </c>
      <c r="G468" s="70">
        <f>COUNTIFS('Error Log'!$A:$A,$A468,'Error Log'!$J:$J,G$1)</f>
        <v>0</v>
      </c>
      <c r="H468" s="70">
        <f>COUNTIFS('Error Log'!$A:$A,$A468,'Error Log'!$F:$F,"Source")</f>
        <v>0</v>
      </c>
      <c r="I468" s="70">
        <f>COUNTIFS('Error Log'!$A:$A,$A468,'Error Log'!$F:$F,"Target")</f>
        <v>0</v>
      </c>
      <c r="J468" s="71">
        <f t="shared" si="7"/>
        <v>0</v>
      </c>
    </row>
    <row r="469" spans="1:10">
      <c r="A469" s="82"/>
      <c r="B469" s="70" t="str">
        <f>IF(ISBLANK(A469),"",INDEX('Error Log'!$A:$J,MATCH('Scores per segment'!$A469,'Error Log'!$A:$A,0),MATCH('Scores per segment'!B$1,'Error Log'!$A$1:$J$1,0)))</f>
        <v/>
      </c>
      <c r="C469" s="70" t="str">
        <f>IF(ISBLANK(A469),"",INDEX('Error Log'!$A:$J,MATCH('Scores per segment'!$A469,'Error Log'!$A:$A,0),MATCH('Scores per segment'!C$1,'Error Log'!$A$1:$J$1,0)))</f>
        <v/>
      </c>
      <c r="D469" s="70">
        <f>IF(H469=0,wdct(TRIM(C469)),0)</f>
        <v>0</v>
      </c>
      <c r="E469" s="70">
        <f>COUNTIFS('Error Log'!$A:$A,$A469,'Error Log'!$J:$J,E$1)</f>
        <v>0</v>
      </c>
      <c r="F469" s="70">
        <f>COUNTIFS('Error Log'!$A:$A,$A469,'Error Log'!$J:$J,F$1)</f>
        <v>0</v>
      </c>
      <c r="G469" s="70">
        <f>COUNTIFS('Error Log'!$A:$A,$A469,'Error Log'!$J:$J,G$1)</f>
        <v>0</v>
      </c>
      <c r="H469" s="70">
        <f>COUNTIFS('Error Log'!$A:$A,$A469,'Error Log'!$F:$F,"Source")</f>
        <v>0</v>
      </c>
      <c r="I469" s="70">
        <f>COUNTIFS('Error Log'!$A:$A,$A469,'Error Log'!$F:$F,"Target")</f>
        <v>0</v>
      </c>
      <c r="J469" s="71">
        <f t="shared" si="7"/>
        <v>0</v>
      </c>
    </row>
    <row r="470" spans="1:10">
      <c r="A470" s="82"/>
      <c r="B470" s="70" t="str">
        <f>IF(ISBLANK(A470),"",INDEX('Error Log'!$A:$J,MATCH('Scores per segment'!$A470,'Error Log'!$A:$A,0),MATCH('Scores per segment'!B$1,'Error Log'!$A$1:$J$1,0)))</f>
        <v/>
      </c>
      <c r="C470" s="70" t="str">
        <f>IF(ISBLANK(A470),"",INDEX('Error Log'!$A:$J,MATCH('Scores per segment'!$A470,'Error Log'!$A:$A,0),MATCH('Scores per segment'!C$1,'Error Log'!$A$1:$J$1,0)))</f>
        <v/>
      </c>
      <c r="D470" s="70">
        <f>IF(H470=0,wdct(TRIM(C470)),0)</f>
        <v>0</v>
      </c>
      <c r="E470" s="70">
        <f>COUNTIFS('Error Log'!$A:$A,$A470,'Error Log'!$J:$J,E$1)</f>
        <v>0</v>
      </c>
      <c r="F470" s="70">
        <f>COUNTIFS('Error Log'!$A:$A,$A470,'Error Log'!$J:$J,F$1)</f>
        <v>0</v>
      </c>
      <c r="G470" s="70">
        <f>COUNTIFS('Error Log'!$A:$A,$A470,'Error Log'!$J:$J,G$1)</f>
        <v>0</v>
      </c>
      <c r="H470" s="70">
        <f>COUNTIFS('Error Log'!$A:$A,$A470,'Error Log'!$F:$F,"Source")</f>
        <v>0</v>
      </c>
      <c r="I470" s="70">
        <f>COUNTIFS('Error Log'!$A:$A,$A470,'Error Log'!$F:$F,"Target")</f>
        <v>0</v>
      </c>
      <c r="J470" s="71">
        <f t="shared" si="7"/>
        <v>0</v>
      </c>
    </row>
    <row r="471" spans="1:10">
      <c r="A471" s="82"/>
      <c r="B471" s="70" t="str">
        <f>IF(ISBLANK(A471),"",INDEX('Error Log'!$A:$J,MATCH('Scores per segment'!$A471,'Error Log'!$A:$A,0),MATCH('Scores per segment'!B$1,'Error Log'!$A$1:$J$1,0)))</f>
        <v/>
      </c>
      <c r="C471" s="70" t="str">
        <f>IF(ISBLANK(A471),"",INDEX('Error Log'!$A:$J,MATCH('Scores per segment'!$A471,'Error Log'!$A:$A,0),MATCH('Scores per segment'!C$1,'Error Log'!$A$1:$J$1,0)))</f>
        <v/>
      </c>
      <c r="D471" s="70">
        <f>IF(H471=0,wdct(TRIM(C471)),0)</f>
        <v>0</v>
      </c>
      <c r="E471" s="70">
        <f>COUNTIFS('Error Log'!$A:$A,$A471,'Error Log'!$J:$J,E$1)</f>
        <v>0</v>
      </c>
      <c r="F471" s="70">
        <f>COUNTIFS('Error Log'!$A:$A,$A471,'Error Log'!$J:$J,F$1)</f>
        <v>0</v>
      </c>
      <c r="G471" s="70">
        <f>COUNTIFS('Error Log'!$A:$A,$A471,'Error Log'!$J:$J,G$1)</f>
        <v>0</v>
      </c>
      <c r="H471" s="70">
        <f>COUNTIFS('Error Log'!$A:$A,$A471,'Error Log'!$F:$F,"Source")</f>
        <v>0</v>
      </c>
      <c r="I471" s="70">
        <f>COUNTIFS('Error Log'!$A:$A,$A471,'Error Log'!$F:$F,"Target")</f>
        <v>0</v>
      </c>
      <c r="J471" s="71">
        <f t="shared" si="7"/>
        <v>0</v>
      </c>
    </row>
    <row r="472" spans="1:10">
      <c r="A472" s="82"/>
      <c r="B472" s="70" t="str">
        <f>IF(ISBLANK(A472),"",INDEX('Error Log'!$A:$J,MATCH('Scores per segment'!$A472,'Error Log'!$A:$A,0),MATCH('Scores per segment'!B$1,'Error Log'!$A$1:$J$1,0)))</f>
        <v/>
      </c>
      <c r="C472" s="70" t="str">
        <f>IF(ISBLANK(A472),"",INDEX('Error Log'!$A:$J,MATCH('Scores per segment'!$A472,'Error Log'!$A:$A,0),MATCH('Scores per segment'!C$1,'Error Log'!$A$1:$J$1,0)))</f>
        <v/>
      </c>
      <c r="D472" s="70">
        <f>IF(H472=0,wdct(TRIM(C472)),0)</f>
        <v>0</v>
      </c>
      <c r="E472" s="70">
        <f>COUNTIFS('Error Log'!$A:$A,$A472,'Error Log'!$J:$J,E$1)</f>
        <v>0</v>
      </c>
      <c r="F472" s="70">
        <f>COUNTIFS('Error Log'!$A:$A,$A472,'Error Log'!$J:$J,F$1)</f>
        <v>0</v>
      </c>
      <c r="G472" s="70">
        <f>COUNTIFS('Error Log'!$A:$A,$A472,'Error Log'!$J:$J,G$1)</f>
        <v>0</v>
      </c>
      <c r="H472" s="70">
        <f>COUNTIFS('Error Log'!$A:$A,$A472,'Error Log'!$F:$F,"Source")</f>
        <v>0</v>
      </c>
      <c r="I472" s="70">
        <f>COUNTIFS('Error Log'!$A:$A,$A472,'Error Log'!$F:$F,"Target")</f>
        <v>0</v>
      </c>
      <c r="J472" s="71">
        <f t="shared" si="7"/>
        <v>0</v>
      </c>
    </row>
    <row r="473" spans="1:10">
      <c r="A473" s="82"/>
      <c r="B473" s="70" t="str">
        <f>IF(ISBLANK(A473),"",INDEX('Error Log'!$A:$J,MATCH('Scores per segment'!$A473,'Error Log'!$A:$A,0),MATCH('Scores per segment'!B$1,'Error Log'!$A$1:$J$1,0)))</f>
        <v/>
      </c>
      <c r="C473" s="70" t="str">
        <f>IF(ISBLANK(A473),"",INDEX('Error Log'!$A:$J,MATCH('Scores per segment'!$A473,'Error Log'!$A:$A,0),MATCH('Scores per segment'!C$1,'Error Log'!$A$1:$J$1,0)))</f>
        <v/>
      </c>
      <c r="D473" s="70">
        <f>IF(H473=0,wdct(TRIM(C473)),0)</f>
        <v>0</v>
      </c>
      <c r="E473" s="70">
        <f>COUNTIFS('Error Log'!$A:$A,$A473,'Error Log'!$J:$J,E$1)</f>
        <v>0</v>
      </c>
      <c r="F473" s="70">
        <f>COUNTIFS('Error Log'!$A:$A,$A473,'Error Log'!$J:$J,F$1)</f>
        <v>0</v>
      </c>
      <c r="G473" s="70">
        <f>COUNTIFS('Error Log'!$A:$A,$A473,'Error Log'!$J:$J,G$1)</f>
        <v>0</v>
      </c>
      <c r="H473" s="70">
        <f>COUNTIFS('Error Log'!$A:$A,$A473,'Error Log'!$F:$F,"Source")</f>
        <v>0</v>
      </c>
      <c r="I473" s="70">
        <f>COUNTIFS('Error Log'!$A:$A,$A473,'Error Log'!$F:$F,"Target")</f>
        <v>0</v>
      </c>
      <c r="J473" s="71">
        <f t="shared" si="7"/>
        <v>0</v>
      </c>
    </row>
    <row r="474" spans="1:10">
      <c r="A474" s="82"/>
      <c r="B474" s="70" t="str">
        <f>IF(ISBLANK(A474),"",INDEX('Error Log'!$A:$J,MATCH('Scores per segment'!$A474,'Error Log'!$A:$A,0),MATCH('Scores per segment'!B$1,'Error Log'!$A$1:$J$1,0)))</f>
        <v/>
      </c>
      <c r="C474" s="70" t="str">
        <f>IF(ISBLANK(A474),"",INDEX('Error Log'!$A:$J,MATCH('Scores per segment'!$A474,'Error Log'!$A:$A,0),MATCH('Scores per segment'!C$1,'Error Log'!$A$1:$J$1,0)))</f>
        <v/>
      </c>
      <c r="D474" s="70">
        <f>IF(H474=0,wdct(TRIM(C474)),0)</f>
        <v>0</v>
      </c>
      <c r="E474" s="70">
        <f>COUNTIFS('Error Log'!$A:$A,$A474,'Error Log'!$J:$J,E$1)</f>
        <v>0</v>
      </c>
      <c r="F474" s="70">
        <f>COUNTIFS('Error Log'!$A:$A,$A474,'Error Log'!$J:$J,F$1)</f>
        <v>0</v>
      </c>
      <c r="G474" s="70">
        <f>COUNTIFS('Error Log'!$A:$A,$A474,'Error Log'!$J:$J,G$1)</f>
        <v>0</v>
      </c>
      <c r="H474" s="70">
        <f>COUNTIFS('Error Log'!$A:$A,$A474,'Error Log'!$F:$F,"Source")</f>
        <v>0</v>
      </c>
      <c r="I474" s="70">
        <f>COUNTIFS('Error Log'!$A:$A,$A474,'Error Log'!$F:$F,"Target")</f>
        <v>0</v>
      </c>
      <c r="J474" s="71">
        <f t="shared" si="7"/>
        <v>0</v>
      </c>
    </row>
    <row r="475" spans="1:10">
      <c r="A475" s="82"/>
      <c r="B475" s="70" t="str">
        <f>IF(ISBLANK(A475),"",INDEX('Error Log'!$A:$J,MATCH('Scores per segment'!$A475,'Error Log'!$A:$A,0),MATCH('Scores per segment'!B$1,'Error Log'!$A$1:$J$1,0)))</f>
        <v/>
      </c>
      <c r="C475" s="70" t="str">
        <f>IF(ISBLANK(A475),"",INDEX('Error Log'!$A:$J,MATCH('Scores per segment'!$A475,'Error Log'!$A:$A,0),MATCH('Scores per segment'!C$1,'Error Log'!$A$1:$J$1,0)))</f>
        <v/>
      </c>
      <c r="D475" s="70">
        <f>IF(H475=0,wdct(TRIM(C475)),0)</f>
        <v>0</v>
      </c>
      <c r="E475" s="70">
        <f>COUNTIFS('Error Log'!$A:$A,$A475,'Error Log'!$J:$J,E$1)</f>
        <v>0</v>
      </c>
      <c r="F475" s="70">
        <f>COUNTIFS('Error Log'!$A:$A,$A475,'Error Log'!$J:$J,F$1)</f>
        <v>0</v>
      </c>
      <c r="G475" s="70">
        <f>COUNTIFS('Error Log'!$A:$A,$A475,'Error Log'!$J:$J,G$1)</f>
        <v>0</v>
      </c>
      <c r="H475" s="70">
        <f>COUNTIFS('Error Log'!$A:$A,$A475,'Error Log'!$F:$F,"Source")</f>
        <v>0</v>
      </c>
      <c r="I475" s="70">
        <f>COUNTIFS('Error Log'!$A:$A,$A475,'Error Log'!$F:$F,"Target")</f>
        <v>0</v>
      </c>
      <c r="J475" s="71">
        <f t="shared" si="7"/>
        <v>0</v>
      </c>
    </row>
    <row r="476" spans="1:10">
      <c r="A476" s="82"/>
      <c r="B476" s="70" t="str">
        <f>IF(ISBLANK(A476),"",INDEX('Error Log'!$A:$J,MATCH('Scores per segment'!$A476,'Error Log'!$A:$A,0),MATCH('Scores per segment'!B$1,'Error Log'!$A$1:$J$1,0)))</f>
        <v/>
      </c>
      <c r="C476" s="70" t="str">
        <f>IF(ISBLANK(A476),"",INDEX('Error Log'!$A:$J,MATCH('Scores per segment'!$A476,'Error Log'!$A:$A,0),MATCH('Scores per segment'!C$1,'Error Log'!$A$1:$J$1,0)))</f>
        <v/>
      </c>
      <c r="D476" s="70">
        <f>IF(H476=0,wdct(TRIM(C476)),0)</f>
        <v>0</v>
      </c>
      <c r="E476" s="70">
        <f>COUNTIFS('Error Log'!$A:$A,$A476,'Error Log'!$J:$J,E$1)</f>
        <v>0</v>
      </c>
      <c r="F476" s="70">
        <f>COUNTIFS('Error Log'!$A:$A,$A476,'Error Log'!$J:$J,F$1)</f>
        <v>0</v>
      </c>
      <c r="G476" s="70">
        <f>COUNTIFS('Error Log'!$A:$A,$A476,'Error Log'!$J:$J,G$1)</f>
        <v>0</v>
      </c>
      <c r="H476" s="70">
        <f>COUNTIFS('Error Log'!$A:$A,$A476,'Error Log'!$F:$F,"Source")</f>
        <v>0</v>
      </c>
      <c r="I476" s="70">
        <f>COUNTIFS('Error Log'!$A:$A,$A476,'Error Log'!$F:$F,"Target")</f>
        <v>0</v>
      </c>
      <c r="J476" s="71">
        <f t="shared" si="7"/>
        <v>0</v>
      </c>
    </row>
    <row r="477" spans="1:10">
      <c r="A477" s="82"/>
      <c r="B477" s="70" t="str">
        <f>IF(ISBLANK(A477),"",INDEX('Error Log'!$A:$J,MATCH('Scores per segment'!$A477,'Error Log'!$A:$A,0),MATCH('Scores per segment'!B$1,'Error Log'!$A$1:$J$1,0)))</f>
        <v/>
      </c>
      <c r="C477" s="70" t="str">
        <f>IF(ISBLANK(A477),"",INDEX('Error Log'!$A:$J,MATCH('Scores per segment'!$A477,'Error Log'!$A:$A,0),MATCH('Scores per segment'!C$1,'Error Log'!$A$1:$J$1,0)))</f>
        <v/>
      </c>
      <c r="D477" s="70">
        <f>IF(H477=0,wdct(TRIM(C477)),0)</f>
        <v>0</v>
      </c>
      <c r="E477" s="70">
        <f>COUNTIFS('Error Log'!$A:$A,$A477,'Error Log'!$J:$J,E$1)</f>
        <v>0</v>
      </c>
      <c r="F477" s="70">
        <f>COUNTIFS('Error Log'!$A:$A,$A477,'Error Log'!$J:$J,F$1)</f>
        <v>0</v>
      </c>
      <c r="G477" s="70">
        <f>COUNTIFS('Error Log'!$A:$A,$A477,'Error Log'!$J:$J,G$1)</f>
        <v>0</v>
      </c>
      <c r="H477" s="70">
        <f>COUNTIFS('Error Log'!$A:$A,$A477,'Error Log'!$F:$F,"Source")</f>
        <v>0</v>
      </c>
      <c r="I477" s="70">
        <f>COUNTIFS('Error Log'!$A:$A,$A477,'Error Log'!$F:$F,"Target")</f>
        <v>0</v>
      </c>
      <c r="J477" s="71">
        <f t="shared" si="7"/>
        <v>0</v>
      </c>
    </row>
    <row r="478" spans="1:10">
      <c r="A478" s="82"/>
      <c r="B478" s="70" t="str">
        <f>IF(ISBLANK(A478),"",INDEX('Error Log'!$A:$J,MATCH('Scores per segment'!$A478,'Error Log'!$A:$A,0),MATCH('Scores per segment'!B$1,'Error Log'!$A$1:$J$1,0)))</f>
        <v/>
      </c>
      <c r="C478" s="70" t="str">
        <f>IF(ISBLANK(A478),"",INDEX('Error Log'!$A:$J,MATCH('Scores per segment'!$A478,'Error Log'!$A:$A,0),MATCH('Scores per segment'!C$1,'Error Log'!$A$1:$J$1,0)))</f>
        <v/>
      </c>
      <c r="D478" s="70">
        <f>IF(H478=0,wdct(TRIM(C478)),0)</f>
        <v>0</v>
      </c>
      <c r="E478" s="70">
        <f>COUNTIFS('Error Log'!$A:$A,$A478,'Error Log'!$J:$J,E$1)</f>
        <v>0</v>
      </c>
      <c r="F478" s="70">
        <f>COUNTIFS('Error Log'!$A:$A,$A478,'Error Log'!$J:$J,F$1)</f>
        <v>0</v>
      </c>
      <c r="G478" s="70">
        <f>COUNTIFS('Error Log'!$A:$A,$A478,'Error Log'!$J:$J,G$1)</f>
        <v>0</v>
      </c>
      <c r="H478" s="70">
        <f>COUNTIFS('Error Log'!$A:$A,$A478,'Error Log'!$F:$F,"Source")</f>
        <v>0</v>
      </c>
      <c r="I478" s="70">
        <f>COUNTIFS('Error Log'!$A:$A,$A478,'Error Log'!$F:$F,"Target")</f>
        <v>0</v>
      </c>
      <c r="J478" s="71">
        <f t="shared" si="7"/>
        <v>0</v>
      </c>
    </row>
    <row r="479" spans="1:10">
      <c r="A479" s="82"/>
      <c r="B479" s="70" t="str">
        <f>IF(ISBLANK(A479),"",INDEX('Error Log'!$A:$J,MATCH('Scores per segment'!$A479,'Error Log'!$A:$A,0),MATCH('Scores per segment'!B$1,'Error Log'!$A$1:$J$1,0)))</f>
        <v/>
      </c>
      <c r="C479" s="70" t="str">
        <f>IF(ISBLANK(A479),"",INDEX('Error Log'!$A:$J,MATCH('Scores per segment'!$A479,'Error Log'!$A:$A,0),MATCH('Scores per segment'!C$1,'Error Log'!$A$1:$J$1,0)))</f>
        <v/>
      </c>
      <c r="D479" s="70">
        <f>IF(H479=0,wdct(TRIM(C479)),0)</f>
        <v>0</v>
      </c>
      <c r="E479" s="70">
        <f>COUNTIFS('Error Log'!$A:$A,$A479,'Error Log'!$J:$J,E$1)</f>
        <v>0</v>
      </c>
      <c r="F479" s="70">
        <f>COUNTIFS('Error Log'!$A:$A,$A479,'Error Log'!$J:$J,F$1)</f>
        <v>0</v>
      </c>
      <c r="G479" s="70">
        <f>COUNTIFS('Error Log'!$A:$A,$A479,'Error Log'!$J:$J,G$1)</f>
        <v>0</v>
      </c>
      <c r="H479" s="70">
        <f>COUNTIFS('Error Log'!$A:$A,$A479,'Error Log'!$F:$F,"Source")</f>
        <v>0</v>
      </c>
      <c r="I479" s="70">
        <f>COUNTIFS('Error Log'!$A:$A,$A479,'Error Log'!$F:$F,"Target")</f>
        <v>0</v>
      </c>
      <c r="J479" s="71">
        <f t="shared" si="7"/>
        <v>0</v>
      </c>
    </row>
    <row r="480" spans="1:10">
      <c r="A480" s="82"/>
      <c r="B480" s="70" t="str">
        <f>IF(ISBLANK(A480),"",INDEX('Error Log'!$A:$J,MATCH('Scores per segment'!$A480,'Error Log'!$A:$A,0),MATCH('Scores per segment'!B$1,'Error Log'!$A$1:$J$1,0)))</f>
        <v/>
      </c>
      <c r="C480" s="70" t="str">
        <f>IF(ISBLANK(A480),"",INDEX('Error Log'!$A:$J,MATCH('Scores per segment'!$A480,'Error Log'!$A:$A,0),MATCH('Scores per segment'!C$1,'Error Log'!$A$1:$J$1,0)))</f>
        <v/>
      </c>
      <c r="D480" s="70">
        <f>IF(H480=0,wdct(TRIM(C480)),0)</f>
        <v>0</v>
      </c>
      <c r="E480" s="70">
        <f>COUNTIFS('Error Log'!$A:$A,$A480,'Error Log'!$J:$J,E$1)</f>
        <v>0</v>
      </c>
      <c r="F480" s="70">
        <f>COUNTIFS('Error Log'!$A:$A,$A480,'Error Log'!$J:$J,F$1)</f>
        <v>0</v>
      </c>
      <c r="G480" s="70">
        <f>COUNTIFS('Error Log'!$A:$A,$A480,'Error Log'!$J:$J,G$1)</f>
        <v>0</v>
      </c>
      <c r="H480" s="70">
        <f>COUNTIFS('Error Log'!$A:$A,$A480,'Error Log'!$F:$F,"Source")</f>
        <v>0</v>
      </c>
      <c r="I480" s="70">
        <f>COUNTIFS('Error Log'!$A:$A,$A480,'Error Log'!$F:$F,"Target")</f>
        <v>0</v>
      </c>
      <c r="J480" s="71">
        <f t="shared" si="7"/>
        <v>0</v>
      </c>
    </row>
    <row r="481" spans="1:10">
      <c r="A481" s="82"/>
      <c r="B481" s="70" t="str">
        <f>IF(ISBLANK(A481),"",INDEX('Error Log'!$A:$J,MATCH('Scores per segment'!$A481,'Error Log'!$A:$A,0),MATCH('Scores per segment'!B$1,'Error Log'!$A$1:$J$1,0)))</f>
        <v/>
      </c>
      <c r="C481" s="70" t="str">
        <f>IF(ISBLANK(A481),"",INDEX('Error Log'!$A:$J,MATCH('Scores per segment'!$A481,'Error Log'!$A:$A,0),MATCH('Scores per segment'!C$1,'Error Log'!$A$1:$J$1,0)))</f>
        <v/>
      </c>
      <c r="D481" s="70">
        <f>IF(H481=0,wdct(TRIM(C481)),0)</f>
        <v>0</v>
      </c>
      <c r="E481" s="70">
        <f>COUNTIFS('Error Log'!$A:$A,$A481,'Error Log'!$J:$J,E$1)</f>
        <v>0</v>
      </c>
      <c r="F481" s="70">
        <f>COUNTIFS('Error Log'!$A:$A,$A481,'Error Log'!$J:$J,F$1)</f>
        <v>0</v>
      </c>
      <c r="G481" s="70">
        <f>COUNTIFS('Error Log'!$A:$A,$A481,'Error Log'!$J:$J,G$1)</f>
        <v>0</v>
      </c>
      <c r="H481" s="70">
        <f>COUNTIFS('Error Log'!$A:$A,$A481,'Error Log'!$F:$F,"Source")</f>
        <v>0</v>
      </c>
      <c r="I481" s="70">
        <f>COUNTIFS('Error Log'!$A:$A,$A481,'Error Log'!$F:$F,"Target")</f>
        <v>0</v>
      </c>
      <c r="J481" s="71">
        <f t="shared" si="7"/>
        <v>0</v>
      </c>
    </row>
    <row r="482" spans="1:10">
      <c r="A482" s="82"/>
      <c r="B482" s="70" t="str">
        <f>IF(ISBLANK(A482),"",INDEX('Error Log'!$A:$J,MATCH('Scores per segment'!$A482,'Error Log'!$A:$A,0),MATCH('Scores per segment'!B$1,'Error Log'!$A$1:$J$1,0)))</f>
        <v/>
      </c>
      <c r="C482" s="70" t="str">
        <f>IF(ISBLANK(A482),"",INDEX('Error Log'!$A:$J,MATCH('Scores per segment'!$A482,'Error Log'!$A:$A,0),MATCH('Scores per segment'!C$1,'Error Log'!$A$1:$J$1,0)))</f>
        <v/>
      </c>
      <c r="D482" s="70">
        <f>IF(H482=0,wdct(TRIM(C482)),0)</f>
        <v>0</v>
      </c>
      <c r="E482" s="70">
        <f>COUNTIFS('Error Log'!$A:$A,$A482,'Error Log'!$J:$J,E$1)</f>
        <v>0</v>
      </c>
      <c r="F482" s="70">
        <f>COUNTIFS('Error Log'!$A:$A,$A482,'Error Log'!$J:$J,F$1)</f>
        <v>0</v>
      </c>
      <c r="G482" s="70">
        <f>COUNTIFS('Error Log'!$A:$A,$A482,'Error Log'!$J:$J,G$1)</f>
        <v>0</v>
      </c>
      <c r="H482" s="70">
        <f>COUNTIFS('Error Log'!$A:$A,$A482,'Error Log'!$F:$F,"Source")</f>
        <v>0</v>
      </c>
      <c r="I482" s="70">
        <f>COUNTIFS('Error Log'!$A:$A,$A482,'Error Log'!$F:$F,"Target")</f>
        <v>0</v>
      </c>
      <c r="J482" s="71">
        <f t="shared" si="7"/>
        <v>0</v>
      </c>
    </row>
    <row r="483" spans="1:10">
      <c r="A483" s="82"/>
      <c r="B483" s="70" t="str">
        <f>IF(ISBLANK(A483),"",INDEX('Error Log'!$A:$J,MATCH('Scores per segment'!$A483,'Error Log'!$A:$A,0),MATCH('Scores per segment'!B$1,'Error Log'!$A$1:$J$1,0)))</f>
        <v/>
      </c>
      <c r="C483" s="70" t="str">
        <f>IF(ISBLANK(A483),"",INDEX('Error Log'!$A:$J,MATCH('Scores per segment'!$A483,'Error Log'!$A:$A,0),MATCH('Scores per segment'!C$1,'Error Log'!$A$1:$J$1,0)))</f>
        <v/>
      </c>
      <c r="D483" s="70">
        <f>IF(H483=0,wdct(TRIM(C483)),0)</f>
        <v>0</v>
      </c>
      <c r="E483" s="70">
        <f>COUNTIFS('Error Log'!$A:$A,$A483,'Error Log'!$J:$J,E$1)</f>
        <v>0</v>
      </c>
      <c r="F483" s="70">
        <f>COUNTIFS('Error Log'!$A:$A,$A483,'Error Log'!$J:$J,F$1)</f>
        <v>0</v>
      </c>
      <c r="G483" s="70">
        <f>COUNTIFS('Error Log'!$A:$A,$A483,'Error Log'!$J:$J,G$1)</f>
        <v>0</v>
      </c>
      <c r="H483" s="70">
        <f>COUNTIFS('Error Log'!$A:$A,$A483,'Error Log'!$F:$F,"Source")</f>
        <v>0</v>
      </c>
      <c r="I483" s="70">
        <f>COUNTIFS('Error Log'!$A:$A,$A483,'Error Log'!$F:$F,"Target")</f>
        <v>0</v>
      </c>
      <c r="J483" s="71">
        <f t="shared" si="7"/>
        <v>0</v>
      </c>
    </row>
    <row r="484" spans="1:10">
      <c r="A484" s="82"/>
      <c r="B484" s="70" t="str">
        <f>IF(ISBLANK(A484),"",INDEX('Error Log'!$A:$J,MATCH('Scores per segment'!$A484,'Error Log'!$A:$A,0),MATCH('Scores per segment'!B$1,'Error Log'!$A$1:$J$1,0)))</f>
        <v/>
      </c>
      <c r="C484" s="70" t="str">
        <f>IF(ISBLANK(A484),"",INDEX('Error Log'!$A:$J,MATCH('Scores per segment'!$A484,'Error Log'!$A:$A,0),MATCH('Scores per segment'!C$1,'Error Log'!$A$1:$J$1,0)))</f>
        <v/>
      </c>
      <c r="D484" s="70">
        <f>IF(H484=0,wdct(TRIM(C484)),0)</f>
        <v>0</v>
      </c>
      <c r="E484" s="70">
        <f>COUNTIFS('Error Log'!$A:$A,$A484,'Error Log'!$J:$J,E$1)</f>
        <v>0</v>
      </c>
      <c r="F484" s="70">
        <f>COUNTIFS('Error Log'!$A:$A,$A484,'Error Log'!$J:$J,F$1)</f>
        <v>0</v>
      </c>
      <c r="G484" s="70">
        <f>COUNTIFS('Error Log'!$A:$A,$A484,'Error Log'!$J:$J,G$1)</f>
        <v>0</v>
      </c>
      <c r="H484" s="70">
        <f>COUNTIFS('Error Log'!$A:$A,$A484,'Error Log'!$F:$F,"Source")</f>
        <v>0</v>
      </c>
      <c r="I484" s="70">
        <f>COUNTIFS('Error Log'!$A:$A,$A484,'Error Log'!$F:$F,"Target")</f>
        <v>0</v>
      </c>
      <c r="J484" s="71">
        <f t="shared" si="7"/>
        <v>0</v>
      </c>
    </row>
    <row r="485" spans="1:10">
      <c r="A485" s="82"/>
      <c r="B485" s="70" t="str">
        <f>IF(ISBLANK(A485),"",INDEX('Error Log'!$A:$J,MATCH('Scores per segment'!$A485,'Error Log'!$A:$A,0),MATCH('Scores per segment'!B$1,'Error Log'!$A$1:$J$1,0)))</f>
        <v/>
      </c>
      <c r="C485" s="70" t="str">
        <f>IF(ISBLANK(A485),"",INDEX('Error Log'!$A:$J,MATCH('Scores per segment'!$A485,'Error Log'!$A:$A,0),MATCH('Scores per segment'!C$1,'Error Log'!$A$1:$J$1,0)))</f>
        <v/>
      </c>
      <c r="D485" s="70">
        <f>IF(H485=0,wdct(TRIM(C485)),0)</f>
        <v>0</v>
      </c>
      <c r="E485" s="70">
        <f>COUNTIFS('Error Log'!$A:$A,$A485,'Error Log'!$J:$J,E$1)</f>
        <v>0</v>
      </c>
      <c r="F485" s="70">
        <f>COUNTIFS('Error Log'!$A:$A,$A485,'Error Log'!$J:$J,F$1)</f>
        <v>0</v>
      </c>
      <c r="G485" s="70">
        <f>COUNTIFS('Error Log'!$A:$A,$A485,'Error Log'!$J:$J,G$1)</f>
        <v>0</v>
      </c>
      <c r="H485" s="70">
        <f>COUNTIFS('Error Log'!$A:$A,$A485,'Error Log'!$F:$F,"Source")</f>
        <v>0</v>
      </c>
      <c r="I485" s="70">
        <f>COUNTIFS('Error Log'!$A:$A,$A485,'Error Log'!$F:$F,"Target")</f>
        <v>0</v>
      </c>
      <c r="J485" s="71">
        <f t="shared" si="7"/>
        <v>0</v>
      </c>
    </row>
    <row r="486" spans="1:10">
      <c r="A486" s="82"/>
      <c r="B486" s="70" t="str">
        <f>IF(ISBLANK(A486),"",INDEX('Error Log'!$A:$J,MATCH('Scores per segment'!$A486,'Error Log'!$A:$A,0),MATCH('Scores per segment'!B$1,'Error Log'!$A$1:$J$1,0)))</f>
        <v/>
      </c>
      <c r="C486" s="70" t="str">
        <f>IF(ISBLANK(A486),"",INDEX('Error Log'!$A:$J,MATCH('Scores per segment'!$A486,'Error Log'!$A:$A,0),MATCH('Scores per segment'!C$1,'Error Log'!$A$1:$J$1,0)))</f>
        <v/>
      </c>
      <c r="D486" s="70">
        <f>IF(H486=0,wdct(TRIM(C486)),0)</f>
        <v>0</v>
      </c>
      <c r="E486" s="70">
        <f>COUNTIFS('Error Log'!$A:$A,$A486,'Error Log'!$J:$J,E$1)</f>
        <v>0</v>
      </c>
      <c r="F486" s="70">
        <f>COUNTIFS('Error Log'!$A:$A,$A486,'Error Log'!$J:$J,F$1)</f>
        <v>0</v>
      </c>
      <c r="G486" s="70">
        <f>COUNTIFS('Error Log'!$A:$A,$A486,'Error Log'!$J:$J,G$1)</f>
        <v>0</v>
      </c>
      <c r="H486" s="70">
        <f>COUNTIFS('Error Log'!$A:$A,$A486,'Error Log'!$F:$F,"Source")</f>
        <v>0</v>
      </c>
      <c r="I486" s="70">
        <f>COUNTIFS('Error Log'!$A:$A,$A486,'Error Log'!$F:$F,"Target")</f>
        <v>0</v>
      </c>
      <c r="J486" s="71">
        <f t="shared" si="7"/>
        <v>0</v>
      </c>
    </row>
    <row r="487" spans="1:10">
      <c r="A487" s="82"/>
      <c r="B487" s="70" t="str">
        <f>IF(ISBLANK(A487),"",INDEX('Error Log'!$A:$J,MATCH('Scores per segment'!$A487,'Error Log'!$A:$A,0),MATCH('Scores per segment'!B$1,'Error Log'!$A$1:$J$1,0)))</f>
        <v/>
      </c>
      <c r="C487" s="70" t="str">
        <f>IF(ISBLANK(A487),"",INDEX('Error Log'!$A:$J,MATCH('Scores per segment'!$A487,'Error Log'!$A:$A,0),MATCH('Scores per segment'!C$1,'Error Log'!$A$1:$J$1,0)))</f>
        <v/>
      </c>
      <c r="D487" s="70">
        <f>IF(H487=0,wdct(TRIM(C487)),0)</f>
        <v>0</v>
      </c>
      <c r="E487" s="70">
        <f>COUNTIFS('Error Log'!$A:$A,$A487,'Error Log'!$J:$J,E$1)</f>
        <v>0</v>
      </c>
      <c r="F487" s="70">
        <f>COUNTIFS('Error Log'!$A:$A,$A487,'Error Log'!$J:$J,F$1)</f>
        <v>0</v>
      </c>
      <c r="G487" s="70">
        <f>COUNTIFS('Error Log'!$A:$A,$A487,'Error Log'!$J:$J,G$1)</f>
        <v>0</v>
      </c>
      <c r="H487" s="70">
        <f>COUNTIFS('Error Log'!$A:$A,$A487,'Error Log'!$F:$F,"Source")</f>
        <v>0</v>
      </c>
      <c r="I487" s="70">
        <f>COUNTIFS('Error Log'!$A:$A,$A487,'Error Log'!$F:$F,"Target")</f>
        <v>0</v>
      </c>
      <c r="J487" s="71">
        <f t="shared" si="7"/>
        <v>0</v>
      </c>
    </row>
    <row r="488" spans="1:10">
      <c r="A488" s="82"/>
      <c r="B488" s="70" t="str">
        <f>IF(ISBLANK(A488),"",INDEX('Error Log'!$A:$J,MATCH('Scores per segment'!$A488,'Error Log'!$A:$A,0),MATCH('Scores per segment'!B$1,'Error Log'!$A$1:$J$1,0)))</f>
        <v/>
      </c>
      <c r="C488" s="70" t="str">
        <f>IF(ISBLANK(A488),"",INDEX('Error Log'!$A:$J,MATCH('Scores per segment'!$A488,'Error Log'!$A:$A,0),MATCH('Scores per segment'!C$1,'Error Log'!$A$1:$J$1,0)))</f>
        <v/>
      </c>
      <c r="D488" s="70">
        <f>IF(H488=0,wdct(TRIM(C488)),0)</f>
        <v>0</v>
      </c>
      <c r="E488" s="70">
        <f>COUNTIFS('Error Log'!$A:$A,$A488,'Error Log'!$J:$J,E$1)</f>
        <v>0</v>
      </c>
      <c r="F488" s="70">
        <f>COUNTIFS('Error Log'!$A:$A,$A488,'Error Log'!$J:$J,F$1)</f>
        <v>0</v>
      </c>
      <c r="G488" s="70">
        <f>COUNTIFS('Error Log'!$A:$A,$A488,'Error Log'!$J:$J,G$1)</f>
        <v>0</v>
      </c>
      <c r="H488" s="70">
        <f>COUNTIFS('Error Log'!$A:$A,$A488,'Error Log'!$F:$F,"Source")</f>
        <v>0</v>
      </c>
      <c r="I488" s="70">
        <f>COUNTIFS('Error Log'!$A:$A,$A488,'Error Log'!$F:$F,"Target")</f>
        <v>0</v>
      </c>
      <c r="J488" s="71">
        <f t="shared" si="7"/>
        <v>0</v>
      </c>
    </row>
    <row r="489" spans="1:10">
      <c r="A489" s="82"/>
      <c r="B489" s="70" t="str">
        <f>IF(ISBLANK(A489),"",INDEX('Error Log'!$A:$J,MATCH('Scores per segment'!$A489,'Error Log'!$A:$A,0),MATCH('Scores per segment'!B$1,'Error Log'!$A$1:$J$1,0)))</f>
        <v/>
      </c>
      <c r="C489" s="70" t="str">
        <f>IF(ISBLANK(A489),"",INDEX('Error Log'!$A:$J,MATCH('Scores per segment'!$A489,'Error Log'!$A:$A,0),MATCH('Scores per segment'!C$1,'Error Log'!$A$1:$J$1,0)))</f>
        <v/>
      </c>
      <c r="D489" s="70">
        <f>IF(H489=0,wdct(TRIM(C489)),0)</f>
        <v>0</v>
      </c>
      <c r="E489" s="70">
        <f>COUNTIFS('Error Log'!$A:$A,$A489,'Error Log'!$J:$J,E$1)</f>
        <v>0</v>
      </c>
      <c r="F489" s="70">
        <f>COUNTIFS('Error Log'!$A:$A,$A489,'Error Log'!$J:$J,F$1)</f>
        <v>0</v>
      </c>
      <c r="G489" s="70">
        <f>COUNTIFS('Error Log'!$A:$A,$A489,'Error Log'!$J:$J,G$1)</f>
        <v>0</v>
      </c>
      <c r="H489" s="70">
        <f>COUNTIFS('Error Log'!$A:$A,$A489,'Error Log'!$F:$F,"Source")</f>
        <v>0</v>
      </c>
      <c r="I489" s="70">
        <f>COUNTIFS('Error Log'!$A:$A,$A489,'Error Log'!$F:$F,"Target")</f>
        <v>0</v>
      </c>
      <c r="J489" s="71">
        <f t="shared" si="7"/>
        <v>0</v>
      </c>
    </row>
    <row r="490" spans="1:10">
      <c r="A490" s="82"/>
      <c r="B490" s="70" t="str">
        <f>IF(ISBLANK(A490),"",INDEX('Error Log'!$A:$J,MATCH('Scores per segment'!$A490,'Error Log'!$A:$A,0),MATCH('Scores per segment'!B$1,'Error Log'!$A$1:$J$1,0)))</f>
        <v/>
      </c>
      <c r="C490" s="70" t="str">
        <f>IF(ISBLANK(A490),"",INDEX('Error Log'!$A:$J,MATCH('Scores per segment'!$A490,'Error Log'!$A:$A,0),MATCH('Scores per segment'!C$1,'Error Log'!$A$1:$J$1,0)))</f>
        <v/>
      </c>
      <c r="D490" s="70">
        <f>IF(H490=0,wdct(TRIM(C490)),0)</f>
        <v>0</v>
      </c>
      <c r="E490" s="70">
        <f>COUNTIFS('Error Log'!$A:$A,$A490,'Error Log'!$J:$J,E$1)</f>
        <v>0</v>
      </c>
      <c r="F490" s="70">
        <f>COUNTIFS('Error Log'!$A:$A,$A490,'Error Log'!$J:$J,F$1)</f>
        <v>0</v>
      </c>
      <c r="G490" s="70">
        <f>COUNTIFS('Error Log'!$A:$A,$A490,'Error Log'!$J:$J,G$1)</f>
        <v>0</v>
      </c>
      <c r="H490" s="70">
        <f>COUNTIFS('Error Log'!$A:$A,$A490,'Error Log'!$F:$F,"Source")</f>
        <v>0</v>
      </c>
      <c r="I490" s="70">
        <f>COUNTIFS('Error Log'!$A:$A,$A490,'Error Log'!$F:$F,"Target")</f>
        <v>0</v>
      </c>
      <c r="J490" s="71">
        <f t="shared" si="7"/>
        <v>0</v>
      </c>
    </row>
    <row r="491" spans="1:10">
      <c r="A491" s="82"/>
      <c r="B491" s="70" t="str">
        <f>IF(ISBLANK(A491),"",INDEX('Error Log'!$A:$J,MATCH('Scores per segment'!$A491,'Error Log'!$A:$A,0),MATCH('Scores per segment'!B$1,'Error Log'!$A$1:$J$1,0)))</f>
        <v/>
      </c>
      <c r="C491" s="70" t="str">
        <f>IF(ISBLANK(A491),"",INDEX('Error Log'!$A:$J,MATCH('Scores per segment'!$A491,'Error Log'!$A:$A,0),MATCH('Scores per segment'!C$1,'Error Log'!$A$1:$J$1,0)))</f>
        <v/>
      </c>
      <c r="D491" s="70">
        <f>IF(H491=0,wdct(TRIM(C491)),0)</f>
        <v>0</v>
      </c>
      <c r="E491" s="70">
        <f>COUNTIFS('Error Log'!$A:$A,$A491,'Error Log'!$J:$J,E$1)</f>
        <v>0</v>
      </c>
      <c r="F491" s="70">
        <f>COUNTIFS('Error Log'!$A:$A,$A491,'Error Log'!$J:$J,F$1)</f>
        <v>0</v>
      </c>
      <c r="G491" s="70">
        <f>COUNTIFS('Error Log'!$A:$A,$A491,'Error Log'!$J:$J,G$1)</f>
        <v>0</v>
      </c>
      <c r="H491" s="70">
        <f>COUNTIFS('Error Log'!$A:$A,$A491,'Error Log'!$F:$F,"Source")</f>
        <v>0</v>
      </c>
      <c r="I491" s="70">
        <f>COUNTIFS('Error Log'!$A:$A,$A491,'Error Log'!$F:$F,"Target")</f>
        <v>0</v>
      </c>
      <c r="J491" s="71">
        <f t="shared" si="7"/>
        <v>0</v>
      </c>
    </row>
    <row r="492" spans="1:10">
      <c r="A492" s="82"/>
      <c r="B492" s="70" t="str">
        <f>IF(ISBLANK(A492),"",INDEX('Error Log'!$A:$J,MATCH('Scores per segment'!$A492,'Error Log'!$A:$A,0),MATCH('Scores per segment'!B$1,'Error Log'!$A$1:$J$1,0)))</f>
        <v/>
      </c>
      <c r="C492" s="70" t="str">
        <f>IF(ISBLANK(A492),"",INDEX('Error Log'!$A:$J,MATCH('Scores per segment'!$A492,'Error Log'!$A:$A,0),MATCH('Scores per segment'!C$1,'Error Log'!$A$1:$J$1,0)))</f>
        <v/>
      </c>
      <c r="D492" s="70">
        <f>IF(H492=0,wdct(TRIM(C492)),0)</f>
        <v>0</v>
      </c>
      <c r="E492" s="70">
        <f>COUNTIFS('Error Log'!$A:$A,$A492,'Error Log'!$J:$J,E$1)</f>
        <v>0</v>
      </c>
      <c r="F492" s="70">
        <f>COUNTIFS('Error Log'!$A:$A,$A492,'Error Log'!$J:$J,F$1)</f>
        <v>0</v>
      </c>
      <c r="G492" s="70">
        <f>COUNTIFS('Error Log'!$A:$A,$A492,'Error Log'!$J:$J,G$1)</f>
        <v>0</v>
      </c>
      <c r="H492" s="70">
        <f>COUNTIFS('Error Log'!$A:$A,$A492,'Error Log'!$F:$F,"Source")</f>
        <v>0</v>
      </c>
      <c r="I492" s="70">
        <f>COUNTIFS('Error Log'!$A:$A,$A492,'Error Log'!$F:$F,"Target")</f>
        <v>0</v>
      </c>
      <c r="J492" s="71">
        <f t="shared" si="7"/>
        <v>0</v>
      </c>
    </row>
    <row r="493" spans="1:10">
      <c r="A493" s="82"/>
      <c r="B493" s="70" t="str">
        <f>IF(ISBLANK(A493),"",INDEX('Error Log'!$A:$J,MATCH('Scores per segment'!$A493,'Error Log'!$A:$A,0),MATCH('Scores per segment'!B$1,'Error Log'!$A$1:$J$1,0)))</f>
        <v/>
      </c>
      <c r="C493" s="70" t="str">
        <f>IF(ISBLANK(A493),"",INDEX('Error Log'!$A:$J,MATCH('Scores per segment'!$A493,'Error Log'!$A:$A,0),MATCH('Scores per segment'!C$1,'Error Log'!$A$1:$J$1,0)))</f>
        <v/>
      </c>
      <c r="D493" s="70">
        <f>IF(H493=0,wdct(TRIM(C493)),0)</f>
        <v>0</v>
      </c>
      <c r="E493" s="70">
        <f>COUNTIFS('Error Log'!$A:$A,$A493,'Error Log'!$J:$J,E$1)</f>
        <v>0</v>
      </c>
      <c r="F493" s="70">
        <f>COUNTIFS('Error Log'!$A:$A,$A493,'Error Log'!$J:$J,F$1)</f>
        <v>0</v>
      </c>
      <c r="G493" s="70">
        <f>COUNTIFS('Error Log'!$A:$A,$A493,'Error Log'!$J:$J,G$1)</f>
        <v>0</v>
      </c>
      <c r="H493" s="70">
        <f>COUNTIFS('Error Log'!$A:$A,$A493,'Error Log'!$F:$F,"Source")</f>
        <v>0</v>
      </c>
      <c r="I493" s="70">
        <f>COUNTIFS('Error Log'!$A:$A,$A493,'Error Log'!$F:$F,"Target")</f>
        <v>0</v>
      </c>
      <c r="J493" s="71">
        <f t="shared" si="7"/>
        <v>0</v>
      </c>
    </row>
    <row r="494" spans="1:10">
      <c r="A494" s="82"/>
      <c r="B494" s="70" t="str">
        <f>IF(ISBLANK(A494),"",INDEX('Error Log'!$A:$J,MATCH('Scores per segment'!$A494,'Error Log'!$A:$A,0),MATCH('Scores per segment'!B$1,'Error Log'!$A$1:$J$1,0)))</f>
        <v/>
      </c>
      <c r="C494" s="70" t="str">
        <f>IF(ISBLANK(A494),"",INDEX('Error Log'!$A:$J,MATCH('Scores per segment'!$A494,'Error Log'!$A:$A,0),MATCH('Scores per segment'!C$1,'Error Log'!$A$1:$J$1,0)))</f>
        <v/>
      </c>
      <c r="D494" s="70">
        <f>IF(H494=0,wdct(TRIM(C494)),0)</f>
        <v>0</v>
      </c>
      <c r="E494" s="70">
        <f>COUNTIFS('Error Log'!$A:$A,$A494,'Error Log'!$J:$J,E$1)</f>
        <v>0</v>
      </c>
      <c r="F494" s="70">
        <f>COUNTIFS('Error Log'!$A:$A,$A494,'Error Log'!$J:$J,F$1)</f>
        <v>0</v>
      </c>
      <c r="G494" s="70">
        <f>COUNTIFS('Error Log'!$A:$A,$A494,'Error Log'!$J:$J,G$1)</f>
        <v>0</v>
      </c>
      <c r="H494" s="70">
        <f>COUNTIFS('Error Log'!$A:$A,$A494,'Error Log'!$F:$F,"Source")</f>
        <v>0</v>
      </c>
      <c r="I494" s="70">
        <f>COUNTIFS('Error Log'!$A:$A,$A494,'Error Log'!$F:$F,"Target")</f>
        <v>0</v>
      </c>
      <c r="J494" s="71">
        <f t="shared" si="7"/>
        <v>0</v>
      </c>
    </row>
    <row r="495" spans="1:10">
      <c r="A495" s="82"/>
      <c r="B495" s="70" t="str">
        <f>IF(ISBLANK(A495),"",INDEX('Error Log'!$A:$J,MATCH('Scores per segment'!$A495,'Error Log'!$A:$A,0),MATCH('Scores per segment'!B$1,'Error Log'!$A$1:$J$1,0)))</f>
        <v/>
      </c>
      <c r="C495" s="70" t="str">
        <f>IF(ISBLANK(A495),"",INDEX('Error Log'!$A:$J,MATCH('Scores per segment'!$A495,'Error Log'!$A:$A,0),MATCH('Scores per segment'!C$1,'Error Log'!$A$1:$J$1,0)))</f>
        <v/>
      </c>
      <c r="D495" s="70">
        <f>IF(H495=0,wdct(TRIM(C495)),0)</f>
        <v>0</v>
      </c>
      <c r="E495" s="70">
        <f>COUNTIFS('Error Log'!$A:$A,$A495,'Error Log'!$J:$J,E$1)</f>
        <v>0</v>
      </c>
      <c r="F495" s="70">
        <f>COUNTIFS('Error Log'!$A:$A,$A495,'Error Log'!$J:$J,F$1)</f>
        <v>0</v>
      </c>
      <c r="G495" s="70">
        <f>COUNTIFS('Error Log'!$A:$A,$A495,'Error Log'!$J:$J,G$1)</f>
        <v>0</v>
      </c>
      <c r="H495" s="70">
        <f>COUNTIFS('Error Log'!$A:$A,$A495,'Error Log'!$F:$F,"Source")</f>
        <v>0</v>
      </c>
      <c r="I495" s="70">
        <f>COUNTIFS('Error Log'!$A:$A,$A495,'Error Log'!$F:$F,"Target")</f>
        <v>0</v>
      </c>
      <c r="J495" s="71">
        <f t="shared" si="7"/>
        <v>0</v>
      </c>
    </row>
    <row r="496" spans="1:10">
      <c r="A496" s="82"/>
      <c r="B496" s="70" t="str">
        <f>IF(ISBLANK(A496),"",INDEX('Error Log'!$A:$J,MATCH('Scores per segment'!$A496,'Error Log'!$A:$A,0),MATCH('Scores per segment'!B$1,'Error Log'!$A$1:$J$1,0)))</f>
        <v/>
      </c>
      <c r="C496" s="70" t="str">
        <f>IF(ISBLANK(A496),"",INDEX('Error Log'!$A:$J,MATCH('Scores per segment'!$A496,'Error Log'!$A:$A,0),MATCH('Scores per segment'!C$1,'Error Log'!$A$1:$J$1,0)))</f>
        <v/>
      </c>
      <c r="D496" s="70">
        <f>IF(H496=0,wdct(TRIM(C496)),0)</f>
        <v>0</v>
      </c>
      <c r="E496" s="70">
        <f>COUNTIFS('Error Log'!$A:$A,$A496,'Error Log'!$J:$J,E$1)</f>
        <v>0</v>
      </c>
      <c r="F496" s="70">
        <f>COUNTIFS('Error Log'!$A:$A,$A496,'Error Log'!$J:$J,F$1)</f>
        <v>0</v>
      </c>
      <c r="G496" s="70">
        <f>COUNTIFS('Error Log'!$A:$A,$A496,'Error Log'!$J:$J,G$1)</f>
        <v>0</v>
      </c>
      <c r="H496" s="70">
        <f>COUNTIFS('Error Log'!$A:$A,$A496,'Error Log'!$F:$F,"Source")</f>
        <v>0</v>
      </c>
      <c r="I496" s="70">
        <f>COUNTIFS('Error Log'!$A:$A,$A496,'Error Log'!$F:$F,"Target")</f>
        <v>0</v>
      </c>
      <c r="J496" s="71">
        <f t="shared" si="7"/>
        <v>0</v>
      </c>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N51"/>
  <sheetViews>
    <sheetView tabSelected="1" zoomScaleNormal="100" workbookViewId="0">
      <pane ySplit="1" topLeftCell="A2" activePane="bottomLeft" state="frozen"/>
      <selection pane="bottomLeft" activeCell="B3" sqref="B3"/>
    </sheetView>
  </sheetViews>
  <sheetFormatPr defaultColWidth="9" defaultRowHeight="14.4"/>
  <cols>
    <col min="1" max="1" width="21.69921875" style="2" customWidth="1"/>
    <col min="2" max="2" width="30" style="2" customWidth="1"/>
    <col min="3" max="3" width="22.19921875" style="2" bestFit="1" customWidth="1"/>
    <col min="4" max="4" width="21.69921875" style="2" bestFit="1" customWidth="1"/>
    <col min="5" max="5" width="22.19921875" style="2" bestFit="1" customWidth="1"/>
    <col min="6" max="7" width="18.69921875" style="2" bestFit="1" customWidth="1"/>
    <col min="8" max="8" width="16.5" style="2" bestFit="1" customWidth="1"/>
    <col min="9" max="9" width="24.5" style="2" customWidth="1"/>
    <col min="10" max="10" width="13.69921875" style="2" customWidth="1"/>
    <col min="11" max="11" width="12.69921875" style="2" bestFit="1" customWidth="1"/>
    <col min="12" max="12" width="11.5" style="2" bestFit="1" customWidth="1"/>
    <col min="13" max="13" width="14" style="2" bestFit="1" customWidth="1"/>
    <col min="14" max="16384" width="9" style="72"/>
  </cols>
  <sheetData>
    <row r="1" spans="1:14">
      <c r="A1" s="120" t="s">
        <v>50</v>
      </c>
      <c r="B1" s="121"/>
      <c r="C1" s="121"/>
      <c r="D1" s="121"/>
      <c r="E1" s="121"/>
      <c r="F1" s="121"/>
      <c r="G1" s="121"/>
      <c r="H1" s="121"/>
      <c r="I1" s="121"/>
      <c r="J1" s="121"/>
      <c r="K1" s="121"/>
      <c r="L1" s="121"/>
      <c r="M1" s="122"/>
    </row>
    <row r="2" spans="1:14">
      <c r="A2" s="5" t="s">
        <v>31</v>
      </c>
      <c r="B2" s="5" t="s">
        <v>30</v>
      </c>
      <c r="C2" s="5" t="s">
        <v>54</v>
      </c>
      <c r="D2" s="5" t="s">
        <v>55</v>
      </c>
      <c r="E2" s="5" t="s">
        <v>56</v>
      </c>
      <c r="F2" s="5" t="s">
        <v>29</v>
      </c>
      <c r="G2" s="5" t="s">
        <v>27</v>
      </c>
      <c r="H2" s="5" t="s">
        <v>28</v>
      </c>
      <c r="I2" s="5" t="s">
        <v>58</v>
      </c>
      <c r="J2" s="5" t="s">
        <v>57</v>
      </c>
    </row>
    <row r="3" spans="1:14">
      <c r="A3" s="119" t="s">
        <v>21</v>
      </c>
      <c r="B3" s="4" t="s">
        <v>22</v>
      </c>
      <c r="C3" s="3" t="s">
        <v>25</v>
      </c>
      <c r="D3" s="3" t="s">
        <v>25</v>
      </c>
      <c r="E3" s="3" t="s">
        <v>25</v>
      </c>
      <c r="F3" s="3" t="s">
        <v>23</v>
      </c>
      <c r="G3" s="3" t="s">
        <v>23</v>
      </c>
      <c r="H3" s="3" t="s">
        <v>23</v>
      </c>
      <c r="I3" s="3" t="s">
        <v>59</v>
      </c>
      <c r="J3" s="3" t="s">
        <v>23</v>
      </c>
      <c r="N3" s="2"/>
    </row>
    <row r="4" spans="1:14">
      <c r="A4" s="119"/>
      <c r="B4" s="4" t="s">
        <v>7</v>
      </c>
      <c r="C4" s="3" t="s">
        <v>25</v>
      </c>
      <c r="D4" s="3" t="s">
        <v>25</v>
      </c>
      <c r="E4" s="3" t="s">
        <v>25</v>
      </c>
      <c r="F4" s="3" t="s">
        <v>60</v>
      </c>
      <c r="G4" s="3" t="s">
        <v>23</v>
      </c>
      <c r="H4" s="3" t="s">
        <v>23</v>
      </c>
      <c r="I4" s="3" t="s">
        <v>59</v>
      </c>
      <c r="J4" s="3" t="s">
        <v>60</v>
      </c>
      <c r="N4" s="2"/>
    </row>
    <row r="5" spans="1:14">
      <c r="A5" s="119"/>
      <c r="B5" s="4" t="s">
        <v>63</v>
      </c>
      <c r="C5" s="3" t="s">
        <v>25</v>
      </c>
      <c r="D5" s="3" t="s">
        <v>25</v>
      </c>
      <c r="E5" s="3" t="s">
        <v>25</v>
      </c>
      <c r="F5" s="3" t="s">
        <v>60</v>
      </c>
      <c r="G5" s="3" t="s">
        <v>60</v>
      </c>
      <c r="H5" s="3" t="s">
        <v>23</v>
      </c>
      <c r="I5" s="3" t="s">
        <v>59</v>
      </c>
      <c r="J5" s="3" t="s">
        <v>24</v>
      </c>
      <c r="N5" s="2"/>
    </row>
    <row r="6" spans="1:14">
      <c r="A6" s="119"/>
      <c r="B6" s="4" t="s">
        <v>64</v>
      </c>
      <c r="C6" s="3" t="s">
        <v>25</v>
      </c>
      <c r="D6" s="3" t="s">
        <v>25</v>
      </c>
      <c r="E6" s="3" t="s">
        <v>25</v>
      </c>
      <c r="F6" s="3" t="s">
        <v>25</v>
      </c>
      <c r="G6" s="3" t="s">
        <v>25</v>
      </c>
      <c r="H6" s="3" t="s">
        <v>25</v>
      </c>
      <c r="I6" s="3" t="s">
        <v>24</v>
      </c>
      <c r="J6" s="3" t="s">
        <v>24</v>
      </c>
      <c r="N6" s="2"/>
    </row>
    <row r="7" spans="1:14">
      <c r="A7" s="119"/>
      <c r="B7" s="4" t="s">
        <v>45</v>
      </c>
      <c r="C7" s="3" t="s">
        <v>24</v>
      </c>
      <c r="D7" s="3" t="s">
        <v>24</v>
      </c>
      <c r="E7" s="3" t="s">
        <v>25</v>
      </c>
      <c r="F7" s="3" t="s">
        <v>24</v>
      </c>
      <c r="G7" s="3" t="s">
        <v>24</v>
      </c>
      <c r="H7" s="3" t="s">
        <v>61</v>
      </c>
      <c r="I7" s="3" t="s">
        <v>24</v>
      </c>
      <c r="J7" s="3" t="s">
        <v>24</v>
      </c>
      <c r="N7" s="2"/>
    </row>
    <row r="8" spans="1:14">
      <c r="A8" s="119" t="s">
        <v>2</v>
      </c>
      <c r="B8" s="4" t="s">
        <v>65</v>
      </c>
      <c r="C8" s="3" t="s">
        <v>24</v>
      </c>
      <c r="D8" s="3" t="s">
        <v>24</v>
      </c>
      <c r="E8" s="3" t="s">
        <v>23</v>
      </c>
      <c r="F8" s="3" t="s">
        <v>24</v>
      </c>
      <c r="G8" s="3" t="s">
        <v>24</v>
      </c>
      <c r="H8" s="3" t="s">
        <v>23</v>
      </c>
      <c r="I8" s="3" t="s">
        <v>1</v>
      </c>
      <c r="J8" s="3" t="s">
        <v>24</v>
      </c>
      <c r="N8" s="2"/>
    </row>
    <row r="9" spans="1:14">
      <c r="A9" s="119"/>
      <c r="B9" s="4" t="s">
        <v>26</v>
      </c>
      <c r="C9" s="3" t="s">
        <v>23</v>
      </c>
      <c r="D9" s="3" t="s">
        <v>23</v>
      </c>
      <c r="E9" s="3" t="s">
        <v>23</v>
      </c>
      <c r="F9" s="3" t="s">
        <v>23</v>
      </c>
      <c r="G9" s="3" t="s">
        <v>23</v>
      </c>
      <c r="H9" s="3" t="s">
        <v>23</v>
      </c>
      <c r="I9" s="3" t="s">
        <v>59</v>
      </c>
      <c r="J9" s="3" t="s">
        <v>23</v>
      </c>
      <c r="N9" s="2"/>
    </row>
    <row r="10" spans="1:14">
      <c r="A10" s="119"/>
      <c r="B10" s="4" t="s">
        <v>66</v>
      </c>
      <c r="C10" s="3" t="s">
        <v>1</v>
      </c>
      <c r="D10" s="3" t="s">
        <v>1</v>
      </c>
      <c r="E10" s="3" t="s">
        <v>1</v>
      </c>
      <c r="F10" s="3" t="s">
        <v>1</v>
      </c>
      <c r="G10" s="3" t="s">
        <v>1</v>
      </c>
      <c r="H10" s="3" t="s">
        <v>1</v>
      </c>
      <c r="I10" s="3" t="s">
        <v>1</v>
      </c>
      <c r="J10" s="3" t="s">
        <v>24</v>
      </c>
      <c r="N10" s="2"/>
    </row>
    <row r="11" spans="1:14">
      <c r="A11" s="74"/>
      <c r="B11" s="74"/>
      <c r="C11" s="75"/>
      <c r="D11" s="75"/>
      <c r="E11" s="75"/>
      <c r="F11" s="75"/>
      <c r="G11" s="75"/>
      <c r="H11" s="75"/>
      <c r="N11" s="2"/>
    </row>
    <row r="13" spans="1:14">
      <c r="A13" s="9" t="s">
        <v>31</v>
      </c>
      <c r="B13" s="8" t="s">
        <v>21</v>
      </c>
      <c r="C13" s="8" t="s">
        <v>2</v>
      </c>
    </row>
    <row r="14" spans="1:14">
      <c r="A14" s="7" t="s">
        <v>21</v>
      </c>
      <c r="B14" s="10" t="s">
        <v>22</v>
      </c>
      <c r="C14" s="10" t="s">
        <v>65</v>
      </c>
    </row>
    <row r="15" spans="1:14">
      <c r="A15" s="7" t="s">
        <v>2</v>
      </c>
      <c r="B15" s="10" t="s">
        <v>7</v>
      </c>
      <c r="C15" s="10" t="s">
        <v>26</v>
      </c>
    </row>
    <row r="16" spans="1:14">
      <c r="A16" s="7"/>
      <c r="B16" s="10" t="s">
        <v>63</v>
      </c>
      <c r="C16" s="10" t="s">
        <v>66</v>
      </c>
    </row>
    <row r="17" spans="1:5">
      <c r="A17" s="7"/>
      <c r="B17" s="10" t="s">
        <v>64</v>
      </c>
      <c r="C17" s="10"/>
      <c r="D17" s="6"/>
    </row>
    <row r="18" spans="1:5">
      <c r="B18" s="10" t="s">
        <v>45</v>
      </c>
      <c r="C18" s="10"/>
      <c r="D18" s="6"/>
    </row>
    <row r="19" spans="1:5">
      <c r="B19" s="6"/>
      <c r="C19" s="6"/>
      <c r="D19" s="6"/>
    </row>
    <row r="20" spans="1:5">
      <c r="A20" s="6"/>
      <c r="B20" s="6"/>
      <c r="C20" s="6"/>
      <c r="D20" s="6"/>
    </row>
    <row r="21" spans="1:5">
      <c r="A21" s="6"/>
      <c r="B21" s="6"/>
      <c r="D21" s="6"/>
    </row>
    <row r="24" spans="1:5">
      <c r="A24" s="8" t="s">
        <v>21</v>
      </c>
      <c r="B24" s="8" t="s">
        <v>21</v>
      </c>
      <c r="C24" s="8" t="s">
        <v>21</v>
      </c>
      <c r="D24" s="8" t="s">
        <v>21</v>
      </c>
      <c r="E24" s="8" t="s">
        <v>21</v>
      </c>
    </row>
    <row r="25" spans="1:5">
      <c r="A25" s="8" t="s">
        <v>22</v>
      </c>
      <c r="B25" s="8" t="s">
        <v>7</v>
      </c>
      <c r="C25" s="8" t="s">
        <v>63</v>
      </c>
      <c r="D25" s="8" t="s">
        <v>64</v>
      </c>
      <c r="E25" s="8" t="s">
        <v>45</v>
      </c>
    </row>
    <row r="26" spans="1:5">
      <c r="A26" s="11" t="s">
        <v>54</v>
      </c>
      <c r="B26" s="11" t="s">
        <v>54</v>
      </c>
      <c r="C26" s="11" t="s">
        <v>54</v>
      </c>
      <c r="D26" s="11" t="s">
        <v>54</v>
      </c>
      <c r="E26" s="11" t="s">
        <v>56</v>
      </c>
    </row>
    <row r="27" spans="1:5">
      <c r="A27" s="11" t="s">
        <v>55</v>
      </c>
      <c r="B27" s="11" t="s">
        <v>55</v>
      </c>
      <c r="C27" s="11" t="s">
        <v>55</v>
      </c>
      <c r="D27" s="11" t="s">
        <v>55</v>
      </c>
      <c r="E27" s="11" t="s">
        <v>28</v>
      </c>
    </row>
    <row r="28" spans="1:5">
      <c r="A28" s="11" t="s">
        <v>56</v>
      </c>
      <c r="B28" s="11" t="s">
        <v>56</v>
      </c>
      <c r="C28" s="11" t="s">
        <v>56</v>
      </c>
      <c r="D28" s="11" t="s">
        <v>56</v>
      </c>
    </row>
    <row r="29" spans="1:5">
      <c r="A29" s="11" t="s">
        <v>29</v>
      </c>
      <c r="B29" s="11" t="s">
        <v>29</v>
      </c>
      <c r="C29" s="11" t="s">
        <v>29</v>
      </c>
      <c r="D29" s="11" t="s">
        <v>29</v>
      </c>
    </row>
    <row r="30" spans="1:5">
      <c r="A30" s="11" t="s">
        <v>27</v>
      </c>
      <c r="B30" s="11" t="s">
        <v>27</v>
      </c>
      <c r="C30" s="11" t="s">
        <v>27</v>
      </c>
      <c r="D30" s="11" t="s">
        <v>27</v>
      </c>
    </row>
    <row r="31" spans="1:5">
      <c r="A31" s="11" t="s">
        <v>28</v>
      </c>
      <c r="B31" s="11" t="s">
        <v>28</v>
      </c>
      <c r="C31" s="11" t="s">
        <v>28</v>
      </c>
      <c r="D31" s="11" t="s">
        <v>28</v>
      </c>
    </row>
    <row r="32" spans="1:5">
      <c r="A32" s="11" t="s">
        <v>58</v>
      </c>
      <c r="B32" s="11" t="s">
        <v>58</v>
      </c>
      <c r="C32" s="11" t="s">
        <v>58</v>
      </c>
      <c r="D32" s="11"/>
    </row>
    <row r="33" spans="1:13">
      <c r="A33" s="11" t="s">
        <v>57</v>
      </c>
      <c r="B33" s="11" t="s">
        <v>57</v>
      </c>
      <c r="C33" s="72"/>
    </row>
    <row r="34" spans="1:13">
      <c r="A34" s="72"/>
      <c r="B34" s="72"/>
      <c r="C34" s="72"/>
    </row>
    <row r="35" spans="1:13">
      <c r="A35" s="72"/>
      <c r="B35" s="72"/>
      <c r="C35" s="72"/>
    </row>
    <row r="36" spans="1:13">
      <c r="A36" s="72"/>
      <c r="B36" s="72"/>
      <c r="C36" s="76"/>
    </row>
    <row r="37" spans="1:13">
      <c r="A37" s="76"/>
      <c r="E37" s="76"/>
    </row>
    <row r="39" spans="1:13">
      <c r="A39" s="8" t="s">
        <v>2</v>
      </c>
      <c r="B39" s="8" t="s">
        <v>2</v>
      </c>
      <c r="C39" s="8" t="s">
        <v>2</v>
      </c>
      <c r="M39" s="72"/>
    </row>
    <row r="40" spans="1:13">
      <c r="A40" s="8" t="s">
        <v>65</v>
      </c>
      <c r="B40" s="8" t="s">
        <v>26</v>
      </c>
      <c r="C40" s="8" t="s">
        <v>67</v>
      </c>
      <c r="M40" s="72"/>
    </row>
    <row r="41" spans="1:13">
      <c r="A41" s="11" t="s">
        <v>56</v>
      </c>
      <c r="B41" s="11" t="s">
        <v>54</v>
      </c>
      <c r="C41" s="11" t="s">
        <v>54</v>
      </c>
      <c r="M41" s="72"/>
    </row>
    <row r="42" spans="1:13">
      <c r="A42" s="11" t="s">
        <v>28</v>
      </c>
      <c r="B42" s="11" t="s">
        <v>55</v>
      </c>
      <c r="C42" s="11" t="s">
        <v>55</v>
      </c>
      <c r="M42" s="72"/>
    </row>
    <row r="43" spans="1:13">
      <c r="A43" s="11" t="s">
        <v>58</v>
      </c>
      <c r="B43" s="11" t="s">
        <v>56</v>
      </c>
      <c r="C43" s="11" t="s">
        <v>56</v>
      </c>
      <c r="M43" s="72"/>
    </row>
    <row r="44" spans="1:13">
      <c r="A44" s="11"/>
      <c r="B44" s="11" t="s">
        <v>29</v>
      </c>
      <c r="C44" s="11" t="s">
        <v>29</v>
      </c>
      <c r="M44" s="72"/>
    </row>
    <row r="45" spans="1:13">
      <c r="A45" s="11"/>
      <c r="B45" s="11" t="s">
        <v>27</v>
      </c>
      <c r="C45" s="11" t="s">
        <v>27</v>
      </c>
      <c r="M45" s="72"/>
    </row>
    <row r="46" spans="1:13">
      <c r="B46" s="11" t="s">
        <v>28</v>
      </c>
      <c r="C46" s="11" t="s">
        <v>28</v>
      </c>
      <c r="M46" s="72"/>
    </row>
    <row r="47" spans="1:13">
      <c r="B47" s="11" t="s">
        <v>58</v>
      </c>
      <c r="M47" s="72"/>
    </row>
    <row r="48" spans="1:13">
      <c r="B48" s="11" t="s">
        <v>57</v>
      </c>
    </row>
    <row r="51" spans="1:1">
      <c r="A51" s="76"/>
    </row>
  </sheetData>
  <mergeCells count="3">
    <mergeCell ref="A8:A10"/>
    <mergeCell ref="A3:A7"/>
    <mergeCell ref="A1:M1"/>
  </mergeCells>
  <phoneticPr fontId="15" type="noConversion"/>
  <pageMargins left="0.7" right="0.7" top="0.75" bottom="0.75" header="0.3" footer="0.3"/>
  <pageSetup paperSize="9" orientation="portrait"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13</vt:i4>
      </vt:variant>
    </vt:vector>
  </HeadingPairs>
  <TitlesOfParts>
    <vt:vector size="18" baseType="lpstr">
      <vt:lpstr>ScoreCard</vt:lpstr>
      <vt:lpstr>Error Log</vt:lpstr>
      <vt:lpstr>Sheet1</vt:lpstr>
      <vt:lpstr>Scores per segment</vt:lpstr>
      <vt:lpstr>Severity_Matrix</vt:lpstr>
      <vt:lpstr>Accuracy</vt:lpstr>
      <vt:lpstr>Addition</vt:lpstr>
      <vt:lpstr>Duplication</vt:lpstr>
      <vt:lpstr>Fluency</vt:lpstr>
      <vt:lpstr>Inaccuracy_external</vt:lpstr>
      <vt:lpstr>Inaccuracy_internal</vt:lpstr>
      <vt:lpstr>Inappropriate_Selection_of_Words</vt:lpstr>
      <vt:lpstr>Issue_Type</vt:lpstr>
      <vt:lpstr>Omission</vt:lpstr>
      <vt:lpstr>Positive_Negative_Aspect</vt:lpstr>
      <vt:lpstr>Spelling</vt:lpstr>
      <vt:lpstr>Word_From</vt:lpstr>
      <vt:lpstr>Word_Order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庵 怒</dc:creator>
  <cp:lastModifiedBy>hdd</cp:lastModifiedBy>
  <dcterms:created xsi:type="dcterms:W3CDTF">2016-06-07T12:18:19Z</dcterms:created>
  <dcterms:modified xsi:type="dcterms:W3CDTF">2020-11-27T09:16:42Z</dcterms:modified>
</cp:coreProperties>
</file>