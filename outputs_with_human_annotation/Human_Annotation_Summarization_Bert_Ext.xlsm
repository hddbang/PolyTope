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B96569A9-F2B7-40C7-9DA8-D47821F89F6A}" xr6:coauthVersionLast="45" xr6:coauthVersionMax="45" xr10:uidLastSave="{00000000-0000-0000-0000-000000000000}"/>
  <bookViews>
    <workbookView xWindow="384" yWindow="384" windowWidth="21252" windowHeight="11184" tabRatio="868" activeTab="3" xr2:uid="{00000000-000D-0000-FFFF-FFFF00000000}"/>
  </bookViews>
  <sheets>
    <sheet name="ScoreCard" sheetId="18" r:id="rId1"/>
    <sheet name="Error Log" sheetId="14" r:id="rId2"/>
    <sheet name="Scores per segment" sheetId="21" r:id="rId3"/>
    <sheet name="Severity_Matrix" sheetId="19" r:id="rId4"/>
  </sheets>
  <functionGroups builtInGroupCount="19"/>
  <definedNames>
    <definedName name="_xlnm._FilterDatabase" localSheetId="1" hidden="1">'Error Log'!$A$1:$L$374</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12" i="14" l="1"/>
  <c r="J340" i="14" l="1"/>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185" i="14" l="1"/>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30" i="14"/>
  <c r="J3" i="14"/>
  <c r="J4" i="14"/>
  <c r="J5" i="14"/>
  <c r="J6" i="14"/>
  <c r="J7" i="14"/>
  <c r="J8" i="14"/>
  <c r="J9" i="14"/>
  <c r="J11"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2" i="14"/>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C10" i="18"/>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L34" i="18" l="1"/>
  <c r="I10" i="18"/>
  <c r="L29" i="18"/>
  <c r="J36" i="18"/>
  <c r="L32" i="18"/>
  <c r="L35" i="18"/>
  <c r="K36" i="18"/>
  <c r="G36" i="18"/>
  <c r="F36" i="18"/>
  <c r="I36" i="18"/>
  <c r="E36" i="18"/>
  <c r="L30" i="18"/>
  <c r="L33" i="18"/>
  <c r="L28" i="18"/>
  <c r="H36" i="18"/>
  <c r="D36" i="18"/>
  <c r="L36" i="18" l="1"/>
  <c r="F6" i="18" s="1"/>
  <c r="D98" i="21"/>
  <c r="D322" i="21"/>
  <c r="D312" i="21"/>
  <c r="D272" i="21"/>
  <c r="D21" i="21"/>
  <c r="D33" i="21"/>
  <c r="D398" i="21"/>
  <c r="D18" i="21"/>
  <c r="D412" i="21"/>
  <c r="D205" i="21"/>
  <c r="D444" i="21"/>
  <c r="D347" i="21"/>
  <c r="D283" i="21"/>
  <c r="D8" i="21"/>
  <c r="D2" i="21"/>
  <c r="D340" i="21"/>
  <c r="D135" i="21"/>
  <c r="D219" i="21"/>
  <c r="D333" i="21"/>
  <c r="D421" i="21"/>
  <c r="D498" i="21"/>
  <c r="D224" i="21"/>
  <c r="D82" i="21"/>
  <c r="D63" i="21"/>
  <c r="D119" i="21"/>
  <c r="D178" i="21"/>
  <c r="D377" i="21"/>
  <c r="D74" i="21"/>
  <c r="D147" i="21"/>
  <c r="D131" i="21"/>
  <c r="D24" i="21"/>
  <c r="D215" i="21"/>
  <c r="D397" i="21"/>
  <c r="D169" i="21"/>
  <c r="D60" i="21"/>
  <c r="D227" i="21"/>
  <c r="D266" i="21"/>
  <c r="D36" i="21"/>
  <c r="D291" i="21"/>
  <c r="D206" i="21"/>
  <c r="D16" i="21"/>
  <c r="D176" i="21"/>
  <c r="D410" i="21"/>
  <c r="D6" i="21"/>
  <c r="D38" i="21"/>
  <c r="D349" i="21"/>
  <c r="D52" i="21"/>
  <c r="D139" i="21"/>
  <c r="D89" i="21"/>
  <c r="D260" i="21"/>
  <c r="D13" i="21"/>
  <c r="D352" i="21"/>
  <c r="D492" i="21"/>
  <c r="D474" i="21"/>
  <c r="D42" i="21"/>
  <c r="D471" i="21"/>
  <c r="D387" i="21"/>
  <c r="D106" i="21"/>
  <c r="D34" i="21"/>
  <c r="D464" i="21"/>
  <c r="D136" i="21"/>
  <c r="D411" i="21"/>
  <c r="D501" i="21"/>
  <c r="D468" i="21"/>
  <c r="D500" i="21"/>
  <c r="D5" i="21"/>
  <c r="D213" i="21"/>
  <c r="D308" i="21"/>
  <c r="D250" i="21"/>
  <c r="D200" i="21"/>
  <c r="D367" i="21"/>
  <c r="D7" i="21"/>
  <c r="D371" i="21"/>
  <c r="D383" i="21"/>
  <c r="D334" i="21"/>
  <c r="D166" i="21"/>
  <c r="D292" i="21"/>
  <c r="D65" i="21"/>
  <c r="D160" i="21"/>
  <c r="D27" i="21"/>
  <c r="D356" i="21"/>
  <c r="D244" i="21"/>
  <c r="D475" i="21"/>
  <c r="D117" i="21"/>
  <c r="D393" i="21"/>
  <c r="D431" i="21"/>
  <c r="D432" i="21"/>
  <c r="D270" i="21"/>
  <c r="D223" i="21"/>
  <c r="D428" i="21"/>
  <c r="D271" i="21"/>
  <c r="D353" i="21"/>
  <c r="D107" i="21"/>
  <c r="D354" i="21"/>
  <c r="D480" i="21"/>
  <c r="D67" i="21"/>
  <c r="D470" i="21"/>
  <c r="D288" i="21"/>
  <c r="D66" i="21"/>
  <c r="D149" i="21"/>
  <c r="D99" i="21"/>
  <c r="D463" i="21"/>
  <c r="D40" i="21"/>
  <c r="D161" i="21"/>
  <c r="D221" i="21"/>
  <c r="D315" i="21"/>
  <c r="D360" i="21"/>
  <c r="D75" i="21"/>
  <c r="D163" i="21"/>
  <c r="D278" i="21"/>
  <c r="D293" i="21"/>
  <c r="D405" i="21"/>
  <c r="D35" i="21"/>
  <c r="D281" i="21"/>
  <c r="D289" i="21"/>
  <c r="D263" i="21"/>
  <c r="D69" i="21"/>
  <c r="D47" i="21"/>
  <c r="D71" i="21"/>
  <c r="D346" i="21"/>
  <c r="D122" i="21"/>
  <c r="D422" i="21"/>
  <c r="D129" i="21"/>
  <c r="D433" i="21"/>
  <c r="D138" i="21"/>
  <c r="D11" i="21"/>
  <c r="D497" i="21"/>
  <c r="D454" i="21"/>
  <c r="D388" i="21"/>
  <c r="D237" i="21"/>
  <c r="D446" i="21"/>
  <c r="D23" i="21"/>
  <c r="D389" i="21"/>
  <c r="D301" i="21"/>
  <c r="D238" i="21"/>
  <c r="D441" i="21"/>
  <c r="D304" i="21"/>
  <c r="D385" i="21"/>
  <c r="D111" i="21"/>
  <c r="D94" i="21"/>
  <c r="D12" i="21"/>
  <c r="D302" i="21"/>
  <c r="D216" i="21"/>
  <c r="D442" i="21"/>
  <c r="D317" i="21"/>
  <c r="D236" i="21"/>
  <c r="D417" i="21"/>
  <c r="D85" i="21"/>
  <c r="D158" i="21"/>
  <c r="D461" i="21"/>
  <c r="D404" i="21"/>
  <c r="D222" i="21"/>
  <c r="D249" i="21"/>
  <c r="D32" i="21"/>
  <c r="D22" i="21"/>
  <c r="D195" i="21"/>
  <c r="D177" i="21"/>
  <c r="D20" i="21"/>
  <c r="D68" i="21"/>
  <c r="D258" i="21"/>
  <c r="D172" i="21"/>
  <c r="D447" i="21"/>
  <c r="D265" i="21"/>
  <c r="D29" i="21"/>
  <c r="D152" i="21"/>
  <c r="D482" i="21"/>
  <c r="D426" i="21"/>
  <c r="D382" i="21"/>
  <c r="D457" i="21"/>
  <c r="D325" i="21"/>
  <c r="D257" i="21"/>
  <c r="D101" i="21"/>
  <c r="D285" i="21"/>
  <c r="D53" i="21"/>
  <c r="D208" i="21"/>
  <c r="D406" i="21"/>
  <c r="D28" i="21"/>
  <c r="D243" i="21"/>
  <c r="D26" i="21"/>
  <c r="D254" i="21"/>
  <c r="D413" i="21"/>
  <c r="D438" i="21"/>
  <c r="D493" i="21"/>
  <c r="D434" i="21"/>
  <c r="D314" i="21"/>
  <c r="D174" i="21"/>
  <c r="D485" i="21"/>
  <c r="D409" i="21"/>
  <c r="D415" i="21"/>
  <c r="D478" i="21"/>
  <c r="D320" i="21"/>
  <c r="D232" i="21"/>
  <c r="D145" i="21"/>
  <c r="D407" i="21"/>
  <c r="D342" i="21"/>
  <c r="D280" i="21"/>
  <c r="D240" i="21"/>
  <c r="D81" i="21"/>
  <c r="D418" i="21"/>
  <c r="D338" i="21"/>
  <c r="D211" i="21"/>
  <c r="D140" i="21"/>
  <c r="D476" i="21"/>
  <c r="D170" i="21"/>
  <c r="D187" i="21"/>
  <c r="D336" i="21"/>
  <c r="D262" i="21"/>
  <c r="D230" i="21"/>
  <c r="D323" i="21"/>
  <c r="D273" i="21"/>
  <c r="D491" i="21"/>
  <c r="D264" i="21"/>
  <c r="D296" i="21"/>
  <c r="D402" i="21"/>
  <c r="D369" i="21"/>
  <c r="D373" i="21"/>
  <c r="D148" i="21"/>
  <c r="D331" i="21"/>
  <c r="D49" i="21"/>
  <c r="D327" i="21"/>
  <c r="D15" i="21"/>
  <c r="D78" i="21"/>
  <c r="D284" i="21"/>
  <c r="D212" i="21"/>
  <c r="D220" i="21"/>
  <c r="D268" i="21"/>
  <c r="D79" i="21"/>
  <c r="D311" i="21"/>
  <c r="D210" i="21"/>
  <c r="D186" i="21"/>
  <c r="D146" i="21"/>
  <c r="D116" i="21"/>
  <c r="D96" i="21"/>
  <c r="D298" i="21"/>
  <c r="D44" i="21"/>
  <c r="D56" i="21"/>
  <c r="D54" i="21"/>
  <c r="D226" i="21"/>
  <c r="D348" i="21"/>
  <c r="D458" i="21"/>
  <c r="D332" i="21"/>
  <c r="D437" i="21"/>
  <c r="D126" i="21"/>
  <c r="D77" i="21"/>
  <c r="D449" i="21"/>
  <c r="D390" i="21"/>
  <c r="D204" i="21"/>
  <c r="D460" i="21"/>
  <c r="D488" i="21"/>
  <c r="D109" i="21"/>
  <c r="D87" i="21"/>
  <c r="D439" i="21"/>
  <c r="D179" i="21"/>
  <c r="D51" i="21"/>
  <c r="D364" i="21"/>
  <c r="D86" i="21"/>
  <c r="D76" i="21"/>
  <c r="D150" i="21"/>
  <c r="D392" i="21"/>
  <c r="D455" i="21"/>
  <c r="D130" i="21"/>
  <c r="D486" i="21"/>
  <c r="D190" i="21"/>
  <c r="D214" i="21"/>
  <c r="D64" i="21"/>
  <c r="D165" i="21"/>
  <c r="D127" i="21"/>
  <c r="D235" i="21"/>
  <c r="D151" i="21"/>
  <c r="D55" i="21"/>
  <c r="D453" i="21"/>
  <c r="D182" i="21"/>
  <c r="D162" i="21"/>
  <c r="D90" i="21"/>
  <c r="D57" i="21"/>
  <c r="D328" i="21"/>
  <c r="D95" i="21"/>
  <c r="D251" i="21"/>
  <c r="D276" i="21"/>
  <c r="D341" i="21"/>
  <c r="D102" i="21"/>
  <c r="D108" i="21"/>
  <c r="D124" i="21"/>
  <c r="D72" i="21"/>
  <c r="D483" i="21"/>
  <c r="D375" i="21"/>
  <c r="D196" i="21"/>
  <c r="D19" i="21"/>
  <c r="D228" i="21"/>
  <c r="D378" i="21"/>
  <c r="D133" i="21"/>
  <c r="D484" i="21"/>
  <c r="D384" i="21"/>
  <c r="D58" i="21"/>
  <c r="D198" i="21"/>
  <c r="D310" i="21"/>
  <c r="D184" i="21"/>
  <c r="D466" i="21"/>
  <c r="D125" i="21"/>
  <c r="D39" i="21"/>
  <c r="D386" i="21"/>
  <c r="D231" i="21"/>
  <c r="D306" i="21"/>
  <c r="D103" i="21"/>
  <c r="D207" i="21"/>
  <c r="D376" i="21"/>
  <c r="D50" i="21"/>
  <c r="D462" i="21"/>
  <c r="D143" i="21"/>
  <c r="D248" i="21"/>
  <c r="D396" i="21"/>
  <c r="D357" i="21"/>
  <c r="D241" i="21"/>
  <c r="D100" i="21"/>
  <c r="D430" i="21"/>
  <c r="D300" i="21"/>
  <c r="D450" i="21"/>
  <c r="D110" i="21"/>
  <c r="D465" i="21"/>
  <c r="D277" i="21"/>
  <c r="D279" i="21"/>
  <c r="D118" i="21"/>
  <c r="D290" i="21"/>
  <c r="D496" i="21"/>
  <c r="D423" i="21"/>
  <c r="D477" i="21"/>
  <c r="D188" i="21"/>
  <c r="D287" i="21"/>
  <c r="D490" i="21"/>
  <c r="D153" i="21"/>
  <c r="D171" i="21"/>
  <c r="D456" i="21"/>
  <c r="D275" i="21"/>
  <c r="D467" i="21"/>
  <c r="D379" i="21"/>
  <c r="D419" i="21"/>
  <c r="D105" i="21"/>
  <c r="D494" i="21"/>
  <c r="D112" i="21"/>
  <c r="D436" i="21"/>
  <c r="D401" i="21"/>
  <c r="D144" i="21"/>
  <c r="D70" i="21"/>
  <c r="D303" i="21"/>
  <c r="D344" i="21"/>
  <c r="D115" i="21"/>
  <c r="D192" i="21"/>
  <c r="D429" i="21"/>
  <c r="D329" i="21"/>
  <c r="D326" i="21"/>
  <c r="D358" i="21"/>
  <c r="D309" i="21"/>
  <c r="D157" i="21"/>
  <c r="D355" i="21"/>
  <c r="D335" i="21"/>
  <c r="D295" i="21"/>
  <c r="D305" i="21"/>
  <c r="D247" i="21"/>
  <c r="D459" i="21"/>
  <c r="D350" i="21"/>
  <c r="D154" i="21"/>
  <c r="D307" i="21"/>
  <c r="D451" i="21"/>
  <c r="D343" i="21"/>
  <c r="D368" i="21"/>
  <c r="D359" i="21"/>
  <c r="D233" i="21"/>
  <c r="D330" i="21"/>
  <c r="D448" i="21"/>
  <c r="D156" i="21"/>
  <c r="D321" i="21"/>
  <c r="D142" i="21"/>
  <c r="D175" i="21"/>
  <c r="D62" i="21"/>
  <c r="D80" i="21"/>
  <c r="D183" i="21"/>
  <c r="D370" i="21"/>
  <c r="D14" i="21"/>
  <c r="D427" i="21"/>
  <c r="D294" i="21"/>
  <c r="D173" i="21"/>
  <c r="D137" i="21"/>
  <c r="D132" i="21"/>
  <c r="D316" i="21"/>
  <c r="D435" i="21"/>
  <c r="D120" i="21"/>
  <c r="D297" i="21"/>
  <c r="D261" i="21"/>
  <c r="D425" i="21"/>
  <c r="D93" i="21"/>
  <c r="D391" i="21"/>
  <c r="D313" i="21"/>
  <c r="D194" i="21"/>
  <c r="D339" i="21"/>
  <c r="D245" i="21"/>
  <c r="D374" i="21"/>
  <c r="D472" i="21"/>
  <c r="D123" i="21"/>
  <c r="D445" i="21"/>
  <c r="D269" i="21"/>
  <c r="D362" i="21"/>
  <c r="D201" i="21"/>
  <c r="D351" i="21"/>
  <c r="D189" i="21"/>
  <c r="D97" i="21"/>
  <c r="D282" i="21"/>
  <c r="D489" i="21"/>
  <c r="D113" i="21"/>
  <c r="D394" i="21"/>
  <c r="D141" i="21"/>
  <c r="D372" i="21"/>
  <c r="D191" i="21"/>
  <c r="D202" i="21"/>
  <c r="D121" i="21"/>
  <c r="D400" i="21"/>
  <c r="D4" i="21"/>
  <c r="D225" i="21"/>
  <c r="D73" i="21"/>
  <c r="D239" i="21"/>
  <c r="D267" i="21"/>
  <c r="D366" i="21"/>
  <c r="D59" i="21"/>
  <c r="D363" i="21"/>
  <c r="D181" i="21"/>
  <c r="D381" i="21"/>
  <c r="D479" i="21"/>
  <c r="D481" i="21"/>
  <c r="D416" i="21"/>
  <c r="D37" i="21"/>
  <c r="D299" i="21"/>
  <c r="D469" i="21"/>
  <c r="D252" i="21"/>
  <c r="D30" i="21"/>
  <c r="D253" i="21"/>
  <c r="D318" i="21"/>
  <c r="D155" i="21"/>
  <c r="D440" i="21"/>
  <c r="D256" i="21"/>
  <c r="D218" i="21"/>
  <c r="D473" i="21"/>
  <c r="D395" i="21"/>
  <c r="D286" i="21"/>
  <c r="D217" i="21"/>
  <c r="D403" i="21"/>
  <c r="D17" i="21"/>
  <c r="D104" i="21"/>
  <c r="D92" i="21"/>
  <c r="D452" i="21"/>
  <c r="D193" i="21"/>
  <c r="D10" i="21"/>
  <c r="D324" i="21"/>
  <c r="D197" i="21"/>
  <c r="D209" i="21"/>
  <c r="D46" i="21"/>
  <c r="D48" i="21"/>
  <c r="D164" i="21"/>
  <c r="D242" i="21"/>
  <c r="D414" i="21"/>
  <c r="D3" i="21"/>
  <c r="D41" i="21"/>
  <c r="D168" i="21"/>
  <c r="D337" i="21"/>
  <c r="D199" i="21"/>
  <c r="D234" i="21"/>
  <c r="D246" i="21"/>
  <c r="D229" i="21"/>
  <c r="D361" i="21"/>
  <c r="D134" i="21"/>
  <c r="D203" i="21"/>
  <c r="D114" i="21"/>
  <c r="D399" i="21"/>
  <c r="D128" i="21"/>
  <c r="D345" i="21"/>
  <c r="D380" i="21"/>
  <c r="D88" i="21"/>
  <c r="D84" i="21"/>
  <c r="D159" i="21"/>
  <c r="D487" i="21"/>
  <c r="D45" i="21"/>
  <c r="D167" i="21"/>
  <c r="D83" i="21"/>
  <c r="D420" i="21"/>
  <c r="D185" i="21"/>
  <c r="D31" i="21"/>
  <c r="D259" i="21"/>
  <c r="D255" i="21"/>
  <c r="D424" i="21"/>
  <c r="D365" i="21"/>
  <c r="D43" i="21"/>
  <c r="D25" i="21"/>
  <c r="D91" i="21"/>
  <c r="D319" i="21"/>
  <c r="D61" i="21"/>
  <c r="D274" i="21"/>
  <c r="D443" i="21"/>
  <c r="D495" i="21"/>
  <c r="D408" i="21"/>
  <c r="D499" i="21"/>
  <c r="D180" i="21"/>
  <c r="D9" i="21"/>
  <c r="J9" i="21" l="1"/>
  <c r="J180" i="21"/>
  <c r="J499" i="21"/>
  <c r="J408" i="21"/>
  <c r="J495" i="21"/>
  <c r="J443" i="21"/>
  <c r="J274" i="21"/>
  <c r="J61" i="21"/>
  <c r="J319" i="21"/>
  <c r="J91" i="21"/>
  <c r="J25" i="21"/>
  <c r="J43" i="21"/>
  <c r="J365" i="21"/>
  <c r="J424" i="21"/>
  <c r="J255" i="21"/>
  <c r="J259" i="21"/>
  <c r="J31" i="21"/>
  <c r="J185" i="21"/>
  <c r="J420" i="21"/>
  <c r="J83" i="21"/>
  <c r="J167" i="21"/>
  <c r="J45" i="21"/>
  <c r="J487" i="21"/>
  <c r="J159" i="21"/>
  <c r="J84" i="21"/>
  <c r="J88" i="21"/>
  <c r="J380" i="21"/>
  <c r="J345" i="21"/>
  <c r="J128" i="21"/>
  <c r="J399" i="21"/>
  <c r="J114" i="21"/>
  <c r="J203" i="21"/>
  <c r="J134" i="21"/>
  <c r="J361" i="21"/>
  <c r="J229" i="21"/>
  <c r="J246" i="21"/>
  <c r="J234" i="21"/>
  <c r="J199" i="21"/>
  <c r="J337" i="21"/>
  <c r="J168" i="21"/>
  <c r="J41" i="21"/>
  <c r="J3" i="21"/>
  <c r="J414" i="21"/>
  <c r="J242" i="21"/>
  <c r="J164" i="21"/>
  <c r="J48" i="21"/>
  <c r="J46" i="21"/>
  <c r="J209" i="21"/>
  <c r="J197" i="21"/>
  <c r="J324" i="21"/>
  <c r="J10" i="21"/>
  <c r="J193" i="21"/>
  <c r="J452" i="21"/>
  <c r="J92" i="21"/>
  <c r="J104" i="21"/>
  <c r="J17" i="21"/>
  <c r="J403" i="21"/>
  <c r="J217" i="21"/>
  <c r="J286" i="21"/>
  <c r="J395" i="21"/>
  <c r="J473" i="21"/>
  <c r="J218" i="21"/>
  <c r="J256" i="21"/>
  <c r="J440" i="21"/>
  <c r="J155" i="21"/>
  <c r="J318" i="21"/>
  <c r="J253" i="21"/>
  <c r="J30" i="21"/>
  <c r="J252" i="21"/>
  <c r="J469" i="21"/>
  <c r="J299" i="21"/>
  <c r="J37" i="21"/>
  <c r="J416" i="21"/>
  <c r="J481" i="21"/>
  <c r="J479" i="21"/>
  <c r="J381" i="21"/>
  <c r="J181" i="21"/>
  <c r="J363" i="21"/>
  <c r="J59" i="21"/>
  <c r="J366" i="21"/>
  <c r="J267" i="21"/>
  <c r="J239" i="21"/>
  <c r="J73" i="21"/>
  <c r="J225" i="21"/>
  <c r="J4" i="21"/>
  <c r="J400" i="21"/>
  <c r="J121" i="21"/>
  <c r="J202" i="21"/>
  <c r="J191" i="21"/>
  <c r="J372" i="21"/>
  <c r="J141" i="21"/>
  <c r="J394" i="21"/>
  <c r="J113" i="21"/>
  <c r="J489" i="21"/>
  <c r="J282" i="21"/>
  <c r="J97" i="21"/>
  <c r="J189" i="21"/>
  <c r="J351" i="21"/>
  <c r="J201" i="21"/>
  <c r="J362" i="21"/>
  <c r="J269" i="21"/>
  <c r="J445" i="21"/>
  <c r="J123" i="21"/>
  <c r="J472" i="21"/>
  <c r="J374" i="21"/>
  <c r="J245" i="21"/>
  <c r="J339" i="21"/>
  <c r="J194" i="21"/>
  <c r="J313" i="21"/>
  <c r="J391" i="21"/>
  <c r="J93" i="21"/>
  <c r="J425" i="21"/>
  <c r="J261" i="21"/>
  <c r="J297" i="21"/>
  <c r="J120" i="21"/>
  <c r="J435" i="21"/>
  <c r="J316" i="21"/>
  <c r="J132" i="21"/>
  <c r="J137" i="21"/>
  <c r="J173" i="21"/>
  <c r="J294" i="21"/>
  <c r="J427" i="21"/>
  <c r="J14" i="21"/>
  <c r="J370" i="21"/>
  <c r="J183" i="21"/>
  <c r="J80" i="21"/>
  <c r="J62" i="21"/>
  <c r="J175" i="21"/>
  <c r="J142" i="21"/>
  <c r="J321" i="21"/>
  <c r="J156" i="21"/>
  <c r="J448" i="21"/>
  <c r="J330" i="21"/>
  <c r="J233" i="21"/>
  <c r="J359" i="21"/>
  <c r="J368" i="21"/>
  <c r="J343" i="21"/>
  <c r="J451" i="21"/>
  <c r="J307" i="21"/>
  <c r="J154" i="21"/>
  <c r="J350" i="21"/>
  <c r="J459" i="21"/>
  <c r="J247" i="21"/>
  <c r="J305" i="21"/>
  <c r="J295" i="21"/>
  <c r="J335" i="21"/>
  <c r="J355" i="21"/>
  <c r="J157" i="21"/>
  <c r="J309" i="21"/>
  <c r="J358" i="21"/>
  <c r="J326" i="21"/>
  <c r="J329" i="21"/>
  <c r="J429" i="21"/>
  <c r="J192" i="21"/>
  <c r="J115" i="21"/>
  <c r="J344" i="21"/>
  <c r="J303" i="21"/>
  <c r="J70" i="21"/>
  <c r="J144" i="21"/>
  <c r="J401" i="21"/>
  <c r="J436" i="21"/>
  <c r="J112" i="21"/>
  <c r="J494" i="21"/>
  <c r="J105" i="21"/>
  <c r="J419" i="21"/>
  <c r="J379" i="21"/>
  <c r="J467" i="21"/>
  <c r="J275" i="21"/>
  <c r="J456" i="21"/>
  <c r="J171" i="21"/>
  <c r="J153" i="21"/>
  <c r="J490" i="21"/>
  <c r="J287" i="21"/>
  <c r="J188" i="21"/>
  <c r="J477" i="21"/>
  <c r="J423" i="21"/>
  <c r="J496" i="21"/>
  <c r="J290" i="21"/>
  <c r="J118" i="21"/>
  <c r="J279" i="21"/>
  <c r="J277" i="21"/>
  <c r="J465" i="21"/>
  <c r="J110" i="21"/>
  <c r="J450" i="21"/>
  <c r="J300" i="21"/>
  <c r="J430" i="21"/>
  <c r="J100" i="21"/>
  <c r="J241" i="21"/>
  <c r="J357" i="21"/>
  <c r="J396" i="21"/>
  <c r="J248" i="21"/>
  <c r="J143" i="21"/>
  <c r="J462" i="21"/>
  <c r="J50" i="21"/>
  <c r="J376" i="21"/>
  <c r="J207" i="21"/>
  <c r="J103" i="21"/>
  <c r="J306" i="21"/>
  <c r="J231" i="21"/>
  <c r="J386" i="21"/>
  <c r="J39" i="21"/>
  <c r="J125" i="21"/>
  <c r="J466" i="21"/>
  <c r="J184" i="21"/>
  <c r="J310" i="21"/>
  <c r="J198" i="21"/>
  <c r="J58" i="21"/>
  <c r="J384" i="21"/>
  <c r="J484" i="21"/>
  <c r="J133" i="21"/>
  <c r="J378" i="21"/>
  <c r="J228" i="21"/>
  <c r="J19" i="21"/>
  <c r="J196" i="21"/>
  <c r="J375" i="21"/>
  <c r="J483" i="21"/>
  <c r="J72" i="21"/>
  <c r="J124" i="21"/>
  <c r="J108" i="21"/>
  <c r="J102" i="21"/>
  <c r="J341" i="21"/>
  <c r="J276" i="21"/>
  <c r="J251" i="21"/>
  <c r="J95" i="21"/>
  <c r="J328" i="21"/>
  <c r="J57" i="21"/>
  <c r="J90" i="21"/>
  <c r="J162" i="21"/>
  <c r="J182" i="21"/>
  <c r="J453" i="21"/>
  <c r="J55" i="21"/>
  <c r="J151" i="21"/>
  <c r="J235" i="21"/>
  <c r="J127" i="21"/>
  <c r="J165" i="21"/>
  <c r="J64" i="21"/>
  <c r="J214" i="21"/>
  <c r="J190" i="21"/>
  <c r="J486" i="21"/>
  <c r="J130" i="21"/>
  <c r="J455" i="21"/>
  <c r="J392" i="21"/>
  <c r="J150" i="21"/>
  <c r="J76" i="21"/>
  <c r="J86" i="21"/>
  <c r="J364" i="21"/>
  <c r="J51" i="21"/>
  <c r="J179" i="21"/>
  <c r="J439" i="21"/>
  <c r="J87" i="21"/>
  <c r="J109" i="21"/>
  <c r="J488" i="21"/>
  <c r="J460" i="21"/>
  <c r="J204" i="21"/>
  <c r="J390" i="21"/>
  <c r="J449" i="21"/>
  <c r="J77" i="21"/>
  <c r="J126" i="21"/>
  <c r="J437" i="21"/>
  <c r="J332" i="21"/>
  <c r="J458" i="21"/>
  <c r="J348" i="21"/>
  <c r="J226" i="21"/>
  <c r="J54" i="21"/>
  <c r="J56" i="21"/>
  <c r="J44" i="21"/>
  <c r="J298" i="21"/>
  <c r="J96" i="21"/>
  <c r="J116" i="21"/>
  <c r="J146" i="21"/>
  <c r="J186" i="21"/>
  <c r="J210" i="21"/>
  <c r="J311" i="21"/>
  <c r="J79" i="21"/>
  <c r="J268" i="21"/>
  <c r="J220" i="21"/>
  <c r="J212" i="21"/>
  <c r="J284" i="21"/>
  <c r="J78" i="21"/>
  <c r="J15" i="21"/>
  <c r="J327" i="21"/>
  <c r="J49" i="21"/>
  <c r="J331" i="21"/>
  <c r="J148" i="21"/>
  <c r="J373" i="21"/>
  <c r="J369" i="21"/>
  <c r="J402" i="21"/>
  <c r="J296" i="21"/>
  <c r="J264" i="21"/>
  <c r="J491" i="21"/>
  <c r="J273" i="21"/>
  <c r="J323" i="21"/>
  <c r="J230" i="21"/>
  <c r="J262" i="21"/>
  <c r="J336" i="21"/>
  <c r="J187" i="21"/>
  <c r="J170" i="21"/>
  <c r="J476" i="21"/>
  <c r="J140" i="21"/>
  <c r="J211" i="21"/>
  <c r="J338" i="21"/>
  <c r="J418" i="21"/>
  <c r="J81" i="21"/>
  <c r="J240" i="21"/>
  <c r="J280" i="21"/>
  <c r="J342" i="21"/>
  <c r="J407" i="21"/>
  <c r="J145" i="21"/>
  <c r="J232" i="21"/>
  <c r="J320" i="21"/>
  <c r="J478" i="21"/>
  <c r="J415" i="21"/>
  <c r="J409" i="21"/>
  <c r="J485" i="21"/>
  <c r="J174" i="21"/>
  <c r="J314" i="21"/>
  <c r="J434" i="21"/>
  <c r="J493" i="21"/>
  <c r="J438" i="21"/>
  <c r="J413" i="21"/>
  <c r="J254" i="21"/>
  <c r="J26" i="21"/>
  <c r="J243" i="21"/>
  <c r="J28" i="21"/>
  <c r="J406" i="21"/>
  <c r="J208" i="21"/>
  <c r="J53" i="21"/>
  <c r="J285" i="21"/>
  <c r="J101" i="21"/>
  <c r="J257" i="21"/>
  <c r="J325" i="21"/>
  <c r="J457" i="21"/>
  <c r="J382" i="21"/>
  <c r="J426" i="21"/>
  <c r="J482" i="21"/>
  <c r="J152" i="21"/>
  <c r="J29" i="21"/>
  <c r="J265" i="21"/>
  <c r="J447" i="21"/>
  <c r="J172" i="21"/>
  <c r="J258" i="21"/>
  <c r="J68" i="21"/>
  <c r="J20" i="21"/>
  <c r="J177" i="21"/>
  <c r="J195" i="21"/>
  <c r="J22" i="21"/>
  <c r="J32" i="21"/>
  <c r="J249" i="21"/>
  <c r="J222" i="21"/>
  <c r="J404" i="21"/>
  <c r="J461" i="21"/>
  <c r="J158" i="21"/>
  <c r="J85" i="21"/>
  <c r="J417" i="21"/>
  <c r="J236" i="21"/>
  <c r="J317" i="21"/>
  <c r="J442" i="21"/>
  <c r="J216" i="21"/>
  <c r="J302" i="21"/>
  <c r="J12" i="21"/>
  <c r="J94" i="21"/>
  <c r="J111" i="21"/>
  <c r="J385" i="21"/>
  <c r="J304" i="21"/>
  <c r="J441" i="21"/>
  <c r="J238" i="21"/>
  <c r="J301" i="21"/>
  <c r="J389" i="21"/>
  <c r="J23" i="21"/>
  <c r="J446" i="21"/>
  <c r="J237" i="21"/>
  <c r="J388" i="21"/>
  <c r="J454" i="21"/>
  <c r="J497" i="21"/>
  <c r="J11" i="21"/>
  <c r="J138" i="21"/>
  <c r="J433" i="21"/>
  <c r="J129" i="21"/>
  <c r="J422" i="21"/>
  <c r="J122" i="21"/>
  <c r="J346" i="21"/>
  <c r="J71" i="21"/>
  <c r="J47" i="21"/>
  <c r="J69" i="21"/>
  <c r="J263" i="21"/>
  <c r="J289" i="21"/>
  <c r="J281" i="21"/>
  <c r="J35" i="21"/>
  <c r="J405" i="21"/>
  <c r="J293" i="21"/>
  <c r="J278" i="21"/>
  <c r="J163" i="21"/>
  <c r="J75" i="21"/>
  <c r="J360" i="21"/>
  <c r="J315" i="21"/>
  <c r="J221" i="21"/>
  <c r="J161" i="21"/>
  <c r="J40" i="21"/>
  <c r="J463" i="21"/>
  <c r="J99" i="21"/>
  <c r="J149" i="21"/>
  <c r="J66" i="21"/>
  <c r="J288" i="21"/>
  <c r="J470" i="21"/>
  <c r="J67" i="21"/>
  <c r="J480" i="21"/>
  <c r="J354" i="21"/>
  <c r="J107" i="21"/>
  <c r="J353" i="21"/>
  <c r="J271" i="21"/>
  <c r="J428" i="21"/>
  <c r="J223" i="21"/>
  <c r="J270" i="21"/>
  <c r="J432" i="21"/>
  <c r="J431" i="21"/>
  <c r="J393" i="21"/>
  <c r="J117" i="21"/>
  <c r="J475" i="21"/>
  <c r="J244" i="21"/>
  <c r="J356" i="21"/>
  <c r="J27" i="21"/>
  <c r="J160" i="21"/>
  <c r="J65" i="21"/>
  <c r="J292" i="21"/>
  <c r="J166" i="21"/>
  <c r="J334" i="21"/>
  <c r="J383" i="21"/>
  <c r="J371" i="21"/>
  <c r="J7" i="21"/>
  <c r="J367" i="21"/>
  <c r="J200" i="21"/>
  <c r="J250" i="21"/>
  <c r="J308" i="21"/>
  <c r="J213" i="21"/>
  <c r="J5" i="21"/>
  <c r="J500" i="21"/>
  <c r="J468" i="21"/>
  <c r="J501" i="21"/>
  <c r="J411" i="21"/>
  <c r="J136" i="21"/>
  <c r="J464" i="21"/>
  <c r="J34" i="21"/>
  <c r="J106" i="21"/>
  <c r="J387" i="21"/>
  <c r="J471" i="21"/>
  <c r="J42" i="21"/>
  <c r="J474" i="21"/>
  <c r="J492" i="21"/>
  <c r="J352" i="21"/>
  <c r="J13" i="21"/>
  <c r="J260" i="21"/>
  <c r="J89" i="21"/>
  <c r="J139" i="21"/>
  <c r="J52" i="21"/>
  <c r="J349" i="21"/>
  <c r="J38" i="21"/>
  <c r="J6" i="21"/>
  <c r="J410" i="21"/>
  <c r="J176" i="21"/>
  <c r="J16" i="21"/>
  <c r="J206" i="21"/>
  <c r="J291" i="21"/>
  <c r="J36" i="21"/>
  <c r="J266" i="21"/>
  <c r="J227" i="21"/>
  <c r="J60" i="21"/>
  <c r="J169" i="21"/>
  <c r="J397" i="21"/>
  <c r="J215" i="21"/>
  <c r="J24" i="21"/>
  <c r="J131" i="21"/>
  <c r="J147" i="21"/>
  <c r="J74" i="21"/>
  <c r="J377" i="21"/>
  <c r="J178" i="21"/>
  <c r="J119" i="21"/>
  <c r="J63" i="21"/>
  <c r="J82" i="21"/>
  <c r="J224" i="21"/>
  <c r="J498" i="21"/>
  <c r="J421" i="21"/>
  <c r="J333" i="21"/>
  <c r="J219" i="21"/>
  <c r="J135" i="21"/>
  <c r="J340" i="21"/>
  <c r="J2" i="21"/>
  <c r="H18" i="18" s="1"/>
  <c r="I4" i="18" s="1"/>
  <c r="K5" i="18" s="1"/>
  <c r="K7" i="18" s="1"/>
  <c r="C8" i="18"/>
  <c r="I6" i="18" s="1"/>
  <c r="J8" i="21"/>
  <c r="J283" i="21"/>
  <c r="J347" i="21"/>
  <c r="J444" i="21"/>
  <c r="J205" i="21"/>
  <c r="J412" i="21"/>
  <c r="J18" i="21"/>
  <c r="J398" i="21"/>
  <c r="J33" i="21"/>
  <c r="J21" i="21"/>
  <c r="J272" i="21"/>
  <c r="J312" i="21"/>
  <c r="J322" i="21"/>
  <c r="J98" i="21"/>
</calcChain>
</file>

<file path=xl/sharedStrings.xml><?xml version="1.0" encoding="utf-8"?>
<sst xmlns="http://schemas.openxmlformats.org/spreadsheetml/2006/main" count="3126" uniqueCount="992">
  <si>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</si>
  <si>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</si>
  <si>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</si>
  <si>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</si>
  <si>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</si>
  <si>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</si>
  <si>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</si>
  <si>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</si>
  <si>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</si>
  <si>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</si>
  <si>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</si>
  <si>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</si>
  <si>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</si>
  <si>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</si>
  <si>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</si>
  <si>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</si>
  <si>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</si>
  <si>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</si>
  <si>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</si>
  <si>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</si>
  <si>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</si>
  <si>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</si>
  <si>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</si>
  <si>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</si>
  <si>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</si>
  <si>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</si>
  <si>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</si>
  <si>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</si>
  <si>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</si>
  <si>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</si>
  <si>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</si>
  <si>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</si>
  <si>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</si>
  <si>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</si>
  <si>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</si>
  <si>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</si>
  <si>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</si>
  <si>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</si>
  <si>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</si>
  <si>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</si>
  <si>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</si>
  <si>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</si>
  <si>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</si>
  <si>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</si>
  <si>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</si>
  <si>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</si>
  <si>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</si>
  <si>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</si>
  <si>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</si>
  <si>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</si>
  <si>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</si>
  <si>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</si>
  <si>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</si>
  <si>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</si>
  <si>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</si>
  <si>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</si>
  <si>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</si>
  <si>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</si>
  <si>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</si>
  <si>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</si>
  <si>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</si>
  <si>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</si>
  <si>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</si>
  <si>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</si>
  <si>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</si>
  <si>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</si>
  <si>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</si>
  <si>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</si>
  <si>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</si>
  <si>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</si>
  <si>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</si>
  <si>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</si>
  <si>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</si>
  <si>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</si>
  <si>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0-5</t>
  </si>
  <si>
    <t>1-5</t>
  </si>
  <si>
    <t>3-5</t>
  </si>
  <si>
    <t>4-5</t>
  </si>
  <si>
    <t>5-5</t>
  </si>
  <si>
    <t>6-5</t>
  </si>
  <si>
    <t>7-5</t>
    <phoneticPr fontId="4" type="noConversion"/>
  </si>
  <si>
    <t>8-5</t>
    <phoneticPr fontId="4" type="noConversion"/>
  </si>
  <si>
    <t>9-5</t>
    <phoneticPr fontId="4" type="noConversion"/>
  </si>
  <si>
    <t>10-5</t>
    <phoneticPr fontId="4" type="noConversion"/>
  </si>
  <si>
    <t>11-5</t>
    <phoneticPr fontId="4" type="noConversion"/>
  </si>
  <si>
    <t>12-5</t>
    <phoneticPr fontId="4" type="noConversion"/>
  </si>
  <si>
    <t>13-5</t>
    <phoneticPr fontId="4" type="noConversion"/>
  </si>
  <si>
    <t>14-5</t>
    <phoneticPr fontId="4" type="noConversion"/>
  </si>
  <si>
    <t>15-5</t>
    <phoneticPr fontId="4" type="noConversion"/>
  </si>
  <si>
    <t>16-5</t>
    <phoneticPr fontId="4" type="noConversion"/>
  </si>
  <si>
    <t>17-5</t>
    <phoneticPr fontId="4" type="noConversion"/>
  </si>
  <si>
    <t>18-5</t>
    <phoneticPr fontId="4" type="noConversion"/>
  </si>
  <si>
    <t>20-5</t>
    <phoneticPr fontId="4" type="noConversion"/>
  </si>
  <si>
    <t>21-5</t>
    <phoneticPr fontId="4" type="noConversion"/>
  </si>
  <si>
    <t>22-5</t>
    <phoneticPr fontId="4" type="noConversion"/>
  </si>
  <si>
    <t>23-5</t>
    <phoneticPr fontId="4" type="noConversion"/>
  </si>
  <si>
    <t>24-5</t>
    <phoneticPr fontId="4" type="noConversion"/>
  </si>
  <si>
    <t>25-5</t>
    <phoneticPr fontId="4" type="noConversion"/>
  </si>
  <si>
    <t>26-5</t>
    <phoneticPr fontId="4" type="noConversion"/>
  </si>
  <si>
    <t>27-5</t>
    <phoneticPr fontId="4" type="noConversion"/>
  </si>
  <si>
    <t>28-5</t>
    <phoneticPr fontId="4" type="noConversion"/>
  </si>
  <si>
    <t>29-5</t>
    <phoneticPr fontId="4" type="noConversion"/>
  </si>
  <si>
    <t>30-5</t>
    <phoneticPr fontId="4" type="noConversion"/>
  </si>
  <si>
    <t>31-5</t>
    <phoneticPr fontId="4" type="noConversion"/>
  </si>
  <si>
    <t>32-5</t>
    <phoneticPr fontId="4" type="noConversion"/>
  </si>
  <si>
    <t>33-5</t>
    <phoneticPr fontId="4" type="noConversion"/>
  </si>
  <si>
    <t>34-5</t>
    <phoneticPr fontId="4" type="noConversion"/>
  </si>
  <si>
    <t>35-5</t>
    <phoneticPr fontId="4" type="noConversion"/>
  </si>
  <si>
    <t>37-5</t>
    <phoneticPr fontId="4" type="noConversion"/>
  </si>
  <si>
    <t>36-5</t>
    <phoneticPr fontId="4" type="noConversion"/>
  </si>
  <si>
    <t>38-5</t>
    <phoneticPr fontId="4" type="noConversion"/>
  </si>
  <si>
    <t>39-5</t>
    <phoneticPr fontId="4" type="noConversion"/>
  </si>
  <si>
    <t>40-5</t>
    <phoneticPr fontId="4" type="noConversion"/>
  </si>
  <si>
    <t>41-5</t>
    <phoneticPr fontId="4" type="noConversion"/>
  </si>
  <si>
    <t>42-5</t>
    <phoneticPr fontId="4" type="noConversion"/>
  </si>
  <si>
    <t>43-5</t>
    <phoneticPr fontId="4" type="noConversion"/>
  </si>
  <si>
    <t>44-5</t>
    <phoneticPr fontId="4" type="noConversion"/>
  </si>
  <si>
    <t>45-5</t>
    <phoneticPr fontId="4" type="noConversion"/>
  </si>
  <si>
    <t>46-5</t>
    <phoneticPr fontId="4" type="noConversion"/>
  </si>
  <si>
    <t>47-5</t>
    <phoneticPr fontId="4" type="noConversion"/>
  </si>
  <si>
    <t>48-5</t>
    <phoneticPr fontId="4" type="noConversion"/>
  </si>
  <si>
    <t>49-5</t>
    <phoneticPr fontId="4" type="noConversion"/>
  </si>
  <si>
    <t>50-5</t>
    <phoneticPr fontId="4" type="noConversion"/>
  </si>
  <si>
    <t>51-5</t>
    <phoneticPr fontId="4" type="noConversion"/>
  </si>
  <si>
    <t>52-5</t>
    <phoneticPr fontId="4" type="noConversion"/>
  </si>
  <si>
    <t>53-5</t>
    <phoneticPr fontId="4" type="noConversion"/>
  </si>
  <si>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</si>
  <si>
    <t>torture chamber : corry ` corey ' campbell , 21 ( left ) , the ringleader of a gang dubbed the ` tattoo terrorists ' was jailed for 20 years thursday for the abuse in march/april 21 .
campbell believed the victim , greg valecce , had hurt his cat , pebbles .
three people have been sent to prison and another two are awaiting sentencing for their roles in a horrific assault on a 53-year-old man , who was beaten , tied to a chair , and covered in offensive tattoos .</t>
    <phoneticPr fontId="4" type="noConversion"/>
  </si>
  <si>
    <t>torture</t>
  </si>
  <si>
    <t>torture chamber : corry ` corey ' campbell , 21 ( left ) , the ringleader of a gang dubbed the ` tattoo terrorists ' was jailed for 20 years thursday for the abuse in march/april 21 .
campbell believed the victim , greg valecce , had hurt his cat , pebbles .
three people have been sent to prison and another two are awaiting sentencing for their roles in a horrific assault on a 53-year-old man , who was beaten , tied to a chair , and covered in offensive tattoos .</t>
  </si>
  <si>
    <t>chamber</t>
  </si>
  <si>
    <t>( left )</t>
  </si>
  <si>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</si>
  <si>
    <t>the golden bear added another magic moment to his storied career at augusta national in the par-3 contest .
at the grand old age of 75 , jack nicklaus is still capable of hitting aces .
nicklaus was playing alongside gary player and ben crenshaw as the first roar of masters week filled the skies in a sunswept georgia . '</t>
  </si>
  <si>
    <t>the crowd roared in celebration</t>
  </si>
  <si>
    <t>players cheer</t>
  </si>
  <si>
    <t>colombian camilo villegas later eclipsed nicklaus ' achievement</t>
  </si>
  <si>
    <t>villegas was beaten in a play-off by world no 74 kevin streelman</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</si>
  <si>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</si>
  <si>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bates , 73 , was working as a reserve deputy for the tulsa county sheriff 's office on april 2 when he was involved the arrest of eric harris in a weapons sting operation .</t>
    <phoneticPr fontId="4" type="noConversion"/>
  </si>
  <si>
    <t>the preliminary hearing is scheduled for july 2</t>
  </si>
  <si>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t>
  </si>
  <si>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</si>
  <si>
    <t>mcgregor is challenging jose aldo for his featherweight champion title in las vegas on july 11
conor mcgregor reveals his new tattoo of a tiger on his stomach to his instagram followers
the 26-year-old irishman has already got a picture of a gorilla eating a heart inked upon his chest and ` the notorious ' has now revealed a tiger 's face tattooed onto his stomach .</t>
  </si>
  <si>
    <t>mcgregor grabbed aldo 's featherweight champion belt in dublin</t>
  </si>
  <si>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t>
  </si>
  <si>
    <t>liverpool players mario balotelli , fabio borini , rickie lambert and lazar markovic got more than they bargained for when youtube star bas van velzen arrived at melwood .
van velzen lines up his first free-kick of the day as the liverpool stars watch on
balotelli and lambert watch as van velzen showcases his dead-ball skills at melwood</t>
  </si>
  <si>
    <t>they believed that bas van velzen was a competition winner</t>
  </si>
  <si>
    <t>they were all set to give van velzen a free-kick masterclass</t>
  </si>
  <si>
    <t>van velzen 's dead ball skills became apparent very quickly</t>
  </si>
  <si>
    <t>van velzen lines up his first free-kick of the day as the liverpool stars watch on</t>
  </si>
  <si>
    <t>balotelli and lambert watch as van velzen showcases his dead-ball skills at melwood</t>
  </si>
  <si>
    <t>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t>
  </si>
  <si>
    <t xml:space="preserve">
australian prime minister tony abbott was cheered on by a crowd of about 50 as he skolled a schooner of beer
mr abbott came under fire after the incident as anti-drinking campaigners said he was glorifying binge drinking
julie robert , a cultural studies professor at the university of technology sydney , said it was ` problematic ' that the prime minister , who she believes should be advocating against binge drinking , thought it acceptable to ` showcase his masculinity ' by skolling a beer .</t>
    <phoneticPr fontId="4" type="noConversion"/>
  </si>
  <si>
    <t>tony abbott drinking the beer in six seconds</t>
    <phoneticPr fontId="4" type="noConversion"/>
  </si>
  <si>
    <t>criticism also levelled at media and officials who made light of the event</t>
    <phoneticPr fontId="4" type="noConversion"/>
  </si>
  <si>
    <t>julie robert , a cultural studies professor at the university of technology sydney , said it was ` problematic ' that the prime minister thought it acceptable to ` showcase his masculinity ' by skolling a beer</t>
    <phoneticPr fontId="4" type="noConversion"/>
  </si>
  <si>
    <t>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t>
    <phoneticPr fontId="4" type="noConversion"/>
  </si>
  <si>
    <t xml:space="preserve">carriers of the brca1 gene , like hollywood star angelina jolie , can reduce their risk of death once they have been diagnosed with breast cancer by having their ovaries removed
women who carry a mutated version of brca1 or another gene known as brca2 face a life-time risk of breast cancer of up to 70 per cent .
if diagnosed , they face a severe threat of ovarian tumours .
</t>
    <phoneticPr fontId="4" type="noConversion"/>
  </si>
  <si>
    <t xml:space="preserve">but the theory does not apply for those with brca2 gene mutation
</t>
    <phoneticPr fontId="4" type="noConversion"/>
  </si>
  <si>
    <t>experts said benefits of having ovaries removed lasted for up to 15 years</t>
  </si>
  <si>
    <t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</si>
  <si>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t>
    <phoneticPr fontId="4" type="noConversion"/>
  </si>
  <si>
    <t>that 's up from 106 last week , said the indiana state department of health .</t>
    <phoneticPr fontId="4" type="noConversion"/>
  </si>
  <si>
    <t>outbreak has occurred among intravenous drug users and primarily involves the use of the high-powered prescription painkiller opana</t>
  </si>
  <si>
    <t>gov. mike pence approved a short-term needle exchange program two weeks ago to help combat the problem</t>
    <phoneticPr fontId="4" type="noConversion"/>
  </si>
  <si>
    <t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</si>
  <si>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derek lowe , 38 , and tina lowe , 33 , were hit shortly before 10am on sunday in durham by a train heading north .
authorities say none of the 166 passengers on the train were injured , although a man who fell ill during the delay did receive treatment
amtrak spokesman marc magliari said train no. 80 , the carolinian , was headed from charlotte to new york city when the accident occurred on property owned by norfolk-southern .</t>
    <phoneticPr fontId="4" type="noConversion"/>
  </si>
  <si>
    <t>they were homeless</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</si>
  <si>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t>
    <phoneticPr fontId="4" type="noConversion"/>
  </si>
  <si>
    <t>saskia 's football fan boyfriend made her take an arsenal test and did n't dump her thanks to her a grade
saskia scored an impressive 87 per cent , but according to her unnamed boyfriend 's feedback she ` could have performed better on q17 ' , needs to ` learn all player positions ' and should understand that ` tottenham are scum ' .
an obsessive arsenal fan made his girlfriend sit a test quizzing her about his favourite football club .</t>
    <phoneticPr fontId="4" type="noConversion"/>
  </si>
  <si>
    <t>an obsessive arsenal fan made his girlfriend sit a test quizzing her about his favourite football club .</t>
    <phoneticPr fontId="4" type="noConversion"/>
  </si>
  <si>
    <t>the bemused woman posted pictures of boyfriend 's test on twitter</t>
    <phoneticPr fontId="4" type="noConversion"/>
  </si>
  <si>
    <t>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t>
    <phoneticPr fontId="4" type="noConversion"/>
  </si>
  <si>
    <t>carlos toro , 66 , worked as a mid-level member of the medellin cartel in the 1980s when a confrontation with his boss caused him to flee from colombia fearing for his life .
an informant who spent the last 27 years working for the dea as an undercover operative in exchange for the promise of us citizenship says he 'll be deported now that he has retired .
he was n't paid for work , but was told he would be rewarded with us citizenship .</t>
    <phoneticPr fontId="4" type="noConversion"/>
  </si>
  <si>
    <t>carlos toro , 66 , worked as a mid-level member of the medellin cartel in the 1980s when a confrontation with his boss caused him to flee from colombia fearing for his life .</t>
    <phoneticPr fontId="4" type="noConversion"/>
  </si>
  <si>
    <t>being sent back to native country of colombia would be ` death sentence '</t>
    <phoneticPr fontId="4" type="noConversion"/>
  </si>
  <si>
    <t>12-5</t>
  </si>
  <si>
    <t>toro informed on cocaine overlord carlos lehder of the medellin cartel</t>
    <phoneticPr fontId="4" type="noConversion"/>
  </si>
  <si>
    <t>also provided information on former dictator of panama manuel noriega</t>
    <phoneticPr fontId="4" type="noConversion"/>
  </si>
  <si>
    <t>he is hoping for visa or green card but ca n't yet collect social security</t>
    <phoneticPr fontId="4" type="noConversion"/>
  </si>
  <si>
    <t>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t>
    <phoneticPr fontId="4" type="noConversion"/>
  </si>
  <si>
    <t>the former all black , who denies the allegations , was arrested last night after his team was defeated in the quarter finals of the european challenge cup .
world cup winning rugby star mils muliaina has been bailed after being arrested on suspicion of sexual assault .
he had come off injured during connacht 's 14-7 defeat at gloucester last night when he was approached by police .</t>
    <phoneticPr fontId="4" type="noConversion"/>
  </si>
  <si>
    <t>muliaina was held in cells overnight and questioned by officers in cardiff</t>
    <phoneticPr fontId="4" type="noConversion"/>
  </si>
  <si>
    <t>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t>
    <phoneticPr fontId="4" type="noConversion"/>
  </si>
  <si>
    <t>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t>
    <phoneticPr fontId="4" type="noConversion"/>
  </si>
  <si>
    <t xml:space="preserve"> ' .</t>
  </si>
  <si>
    <t>sucks ' domain name to extract exorbitant sums from celebrities such as kevin spacey and companies looking to protect their reputations .</t>
    <phoneticPr fontId="4" type="noConversion"/>
  </si>
  <si>
    <t xml:space="preserve"> ' .</t>
    <phoneticPr fontId="4" type="noConversion"/>
  </si>
  <si>
    <t>taken down</t>
    <phoneticPr fontId="4" type="noConversion"/>
  </si>
  <si>
    <t>kevin spacey has reportedly paid have his his ' .</t>
    <phoneticPr fontId="4" type="noConversion"/>
  </si>
  <si>
    <t>14-5</t>
  </si>
  <si>
    <t>youtube , bing , visa , bank of america and yahoo among others targeted</t>
    <phoneticPr fontId="4" type="noConversion"/>
  </si>
  <si>
    <t>us regulator will see if the actions of vox populi registry ltd. were illegal</t>
    <phoneticPr fontId="4" type="noConversion"/>
  </si>
  <si>
    <t>owners recommended to resell ' . sucks ' domains for around $ 2,499 a year</t>
    <phoneticPr fontId="4" type="noConversion"/>
  </si>
  <si>
    <t>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</si>
  <si>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the 14-year-old is now fighting for her life in delhi 's safdarjung hospital with 70 per cent burns .
she was allegedly gang-raped on sunday when she went outside her house in kosi kalan , in uttar pradesh 's mathura district , to relieve herself .
on tuesday she set herself on fire using kerosene , according to ndtv , to the shock of her brother , who doused her with water .</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</si>
  <si>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phoneticPr fontId="4" type="noConversion"/>
  </si>
  <si>
    <t>the woman , who has not been named , was arrested on suspicion of infanticide but the charge was dropped after she explained how the baby had been stillborn and that she had concealed the pregnancy from her family and friends .
police exhumed the boy 's body from his grave in norfolk last year after the case came up for periodical review .
a mother of a baby boy was arrested 27 years after his body was found wrapped in a blanket inside a sainsbury 's bag floating on a village pond .</t>
    <phoneticPr fontId="4" type="noConversion"/>
  </si>
  <si>
    <t>a mother of a baby boy was arrested 27 years after his body was found wrapped in a blanket inside a sainsbury 's bag floating on a village pond .</t>
    <phoneticPr fontId="4" type="noConversion"/>
  </si>
  <si>
    <t>Accuracy</t>
    <phoneticPr fontId="4" type="noConversion"/>
  </si>
  <si>
    <t>cps may now charge her with failing to register the birth and preventing a lawful burial</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</si>
  <si>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</si>
  <si>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robin is not fit enough to play . '</t>
    <phoneticPr fontId="4" type="noConversion"/>
  </si>
  <si>
    <t>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t>
    <phoneticPr fontId="4" type="noConversion"/>
  </si>
  <si>
    <t>kristopher hicks , now 27 , was on his way home from a night out in bath , somerset , with his girlfriend in a taxi driven by michael young , 56 , five years ago .
he suffered devastating brain injuries , developed epilepsy and now requires round-the-clock care from his mother .
mr hicks ' family , from bath , took driver mr young to the high court ( pictured ) , where a judge ruled he had unlawfully imprisoned his passenger</t>
    <phoneticPr fontId="4" type="noConversion"/>
  </si>
  <si>
    <t>driver michael young , 56 , thought passenger was planning to ` do a runner '</t>
    <phoneticPr fontId="4" type="noConversion"/>
  </si>
  <si>
    <t>so he decided to take passenger kristopher hicks him back to the taxi rank</t>
    <phoneticPr fontId="4" type="noConversion"/>
  </si>
  <si>
    <t>18-5</t>
  </si>
  <si>
    <t xml:space="preserve">mr hicks </t>
    <phoneticPr fontId="4" type="noConversion"/>
  </si>
  <si>
    <t>jumped out</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</si>
  <si>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</si>
  <si>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t>
    <phoneticPr fontId="4" type="noConversion"/>
  </si>
  <si>
    <t>more protests are expected after the lunchtime kick-off at the emirates</t>
    <phoneticPr fontId="4" type="noConversion"/>
  </si>
  <si>
    <t>with tickets at the sold-out emirates starting from # 64 for the 12.45 pm kick-off , protesters hope the image of empty seats around the ground will raise awareness of the struggles fans face to meet the rising costs of following their clubs .</t>
    <phoneticPr fontId="4" type="noConversion"/>
  </si>
  <si>
    <t>(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t>
    <phoneticPr fontId="4" type="noConversion"/>
  </si>
  <si>
    <t>the national weather service indicated a tornado may have touched down in the small town of potosi , missouri , about 70 miles from st. louis .
spotters reported a tornado about 6 miles northwest of goddard , which is less than 15 miles west of wichita .
kansas was n't the only state affected by the storms .</t>
    <phoneticPr fontId="4" type="noConversion"/>
  </si>
  <si>
    <t>kansas spotters report at least four tornadoes .</t>
  </si>
  <si>
    <t>spotters reported a tornado about 6 miles northwest of goddard , which is less than 15 miles west of wichita .</t>
    <phoneticPr fontId="4" type="noConversion"/>
  </si>
  <si>
    <t>thursday 's forecast calls for more storms but to the east .</t>
  </si>
  <si>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t>
    <phoneticPr fontId="4" type="noConversion"/>
  </si>
  <si>
    <t>star reader was diagnosed with biliary atresia within days of being born in barnsley , west yorkshire .
jade reader ( left ) said she was ` overcome with emotion ' when her twin sister shanell ( right ) gave up part of her liver to save niece star
after undergoing an operation to have her bile ducts unblocked , her parents , jade reader and matthew bygrave , were told the infant would need a liver transplant in order to survive .</t>
    <phoneticPr fontId="4" type="noConversion"/>
  </si>
  <si>
    <t>left</t>
    <phoneticPr fontId="4" type="noConversion"/>
  </si>
  <si>
    <t>right</t>
    <phoneticPr fontId="4" type="noConversion"/>
  </si>
  <si>
    <t>22-5</t>
  </si>
  <si>
    <t>neither of her parents were suitable candidates for partial liver transplant</t>
    <phoneticPr fontId="4" type="noConversion"/>
  </si>
  <si>
    <t>star underwent operation in leeds in november and has since recovered</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</si>
  <si>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</si>
  <si>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lyoto machida ( left ) and luke rockhold face off ahead of their middleweight clash this weekend '</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</si>
  <si>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t>
    <phoneticPr fontId="4" type="noConversion"/>
  </si>
  <si>
    <t>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t>
    <phoneticPr fontId="4" type="noConversion"/>
  </si>
  <si>
    <t>in round one , the chelsea stars aim to fire balls into the boot of a car from close range , with hazard and ake securing the points with a 5-3 win .</t>
  </si>
  <si>
    <t>one of the challenges the chelsea players were set was to sink balls into convertible audi 's from long range</t>
    <phoneticPr fontId="4" type="noConversion"/>
  </si>
  <si>
    <t>willian accidentally smashes the wing mirror of one of the audi 's</t>
    <phoneticPr fontId="4" type="noConversion"/>
  </si>
  <si>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</si>
  <si>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captured in fort pierce , florida , the shocking footage shows the light general aviation aircraft approaching the aero acres residential airpark .
the plane 's propellers can be heard ricocheting off the ground as the wings bounce up and down from the impact
the plane scratches along the runway and the video maker describes the sound as ` one you will not forget '</t>
    <phoneticPr fontId="4" type="noConversion"/>
  </si>
  <si>
    <t>filmmaker points out that the pilot has not deployed the landing gear</t>
    <phoneticPr fontId="4" type="noConversion"/>
  </si>
  <si>
    <t>aircraft takes off and flies 100 miles away to fort lauderdale , florida</t>
    <phoneticPr fontId="4" type="noConversion"/>
  </si>
  <si>
    <t>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t>
    <phoneticPr fontId="4" type="noConversion"/>
  </si>
  <si>
    <t>prosecutors previously said that robert dellinger , 54 , told investigators he was trying to kill himself in december 2013 when he drove his pickup truck across a median at more than 100mph and plowed into an oncoming suv .
tragic : john timmons , 29 , and amanda murphy , 24 , were killed instantly in the crash on december 7 , 2013
he faces 12 to 24 years in prison when sentencing resumes thursday .</t>
    <phoneticPr fontId="4" type="noConversion"/>
  </si>
  <si>
    <t>tragic :</t>
    <phoneticPr fontId="4" type="noConversion"/>
  </si>
  <si>
    <t>he</t>
    <phoneticPr fontId="4" type="noConversion"/>
  </si>
  <si>
    <t>murphy was eight months pregnant with their first child , a girl</t>
  </si>
  <si>
    <t>26-5</t>
  </si>
  <si>
    <t>deborah dellinger , defendant 's wife , described her husband from the witness stand as a ` man of ethics , integrity and friendship '</t>
  </si>
  <si>
    <t>dellinger pleaded guilty in february to negligent homicide for their deaths , and to assault for the death of the fetus</t>
  </si>
  <si>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</si>
  <si>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manuel pellegrini has admitted he is disappointed in yaya toure but vowed to back the manchester city midfielder -- at least until the end of the season .
sportsmail revealed that manchester city will listen to offers for toure in the summer
toure is determined not to be forced out but the chilean , speaking ahead of sunday 's visit of west ham , acknowledged the midfielder had underperformed and dismissed claims he should be given a rest .</t>
    <phoneticPr fontId="4" type="noConversion"/>
  </si>
  <si>
    <t>toure is determined not to be forced out but the chilean , speaking ahead of sunday 's visit of west ham , acknowledged the midfielder had underperformed and dismissed claims he should be given a rest .</t>
  </si>
  <si>
    <t>manchester city face west ham at upton park on sunday</t>
  </si>
  <si>
    <t>sam allardyce has warned aaron cresswell about joining manchester city</t>
  </si>
  <si>
    <t>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t>
    <phoneticPr fontId="4" type="noConversion"/>
  </si>
  <si>
    <t>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prosecutors said spears loaded the hospitalized boy 's feeding tube with a lethal amount of salt and kept on blogging</t>
    <phoneticPr fontId="4" type="noConversion"/>
  </si>
  <si>
    <t>judge who sentenced spears on wednesday said she suffers from a mental illness and said the crime was still ` unfathomable in its cruelty '</t>
  </si>
  <si>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</si>
  <si>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sentence dropped : domenico rancadore ( right and left ) fled to britain in the 1990s and was convicted in his absence in italy for his role as a ` man of honour '
domenico rancadore , who has lived in britain for more than 20 years , was given a seven-year sentence by an italian court in 1999 for being a member of the cosa nostra .
but today it emerged that the 65-year-old 's case expired last october and his european arrest warrant is to be withdrawn .</t>
    <phoneticPr fontId="4" type="noConversion"/>
  </si>
  <si>
    <t>sentence</t>
    <phoneticPr fontId="4" type="noConversion"/>
  </si>
  <si>
    <t>droped</t>
    <phoneticPr fontId="4" type="noConversion"/>
  </si>
  <si>
    <t xml:space="preserve"> ( right and left )</t>
  </si>
  <si>
    <t>in february the sicilian mafia fugitive lost battle against extradition to italy</t>
  </si>
  <si>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t>
    <phoneticPr fontId="4" type="noConversion"/>
  </si>
  <si>
    <t>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world health authorities realised that and modified the vaccine to be used in australia this winter .</t>
    <phoneticPr fontId="4" type="noConversion"/>
  </si>
  <si>
    <t>high-risk groups in australia will be able to get free flu shots from april 20</t>
  </si>
  <si>
    <t>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</si>
  <si>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ap mccoy and mr mole will have six rivals in the grade one celebration chase at sandown on saturday
his book of rides for his final day as a professional jockey will not be finalised until friday morning .
paul nicholls-trained mr mole is bracketed with irish raider special tiara and nicky henderson 's sprinter sacre , who will be ridden by cheltenham gold cup winner nico de boinville in the absence of injured barry geraghty .</t>
    <phoneticPr fontId="4" type="noConversion"/>
  </si>
  <si>
    <t>ap mccoy and mr mole will have six rivals in the grade one celebration chase at sandown on Saturday</t>
    <phoneticPr fontId="4" type="noConversion"/>
  </si>
  <si>
    <t>his book of rides for his final day as a professional jockey will not be finalised until friday morning .</t>
    <phoneticPr fontId="4" type="noConversion"/>
  </si>
  <si>
    <t>31-5</t>
  </si>
  <si>
    <t>there are three 7-2 co-favourites for the grade one celebration chase</t>
    <phoneticPr fontId="4" type="noConversion"/>
  </si>
  <si>
    <t>it will be ap mccoy 's last ride in a grade one race</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</si>
  <si>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t>
    <phoneticPr fontId="4" type="noConversion"/>
  </si>
  <si>
    <t>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he would roll the agency into another department .</t>
    <phoneticPr fontId="4" type="noConversion"/>
  </si>
  <si>
    <t>the site was pilloried in this month 's issue of national geographic magazine as having ` all the historical character of an office lobby '</t>
  </si>
  <si>
    <t>32-5</t>
  </si>
  <si>
    <t>lincoln 's tomb was designed by vermont sculptor larkin mead , who won a national contest</t>
  </si>
  <si>
    <t>it was dedicated by president ulysses s. grant in 1874</t>
  </si>
  <si>
    <t>the tomb was reconstructed in both 1899 and 1930</t>
  </si>
  <si>
    <t>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t>
    <phoneticPr fontId="4" type="noConversion"/>
  </si>
  <si>
    <t>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 the real marcia . '</t>
    <phoneticPr fontId="4" type="noConversion"/>
  </si>
  <si>
    <t>marcia 's body was found 33 days after she disappeared and ritter 's then-husband advised her against seeing the body and the crime scene photos .</t>
  </si>
  <si>
    <t>charlie , who died in 1989 , wanted their last memory to be of her running in and out of the house , ` the real marcia . '</t>
  </si>
  <si>
    <t>33-5</t>
  </si>
  <si>
    <t>the case was nashville 's most notorious unsolved murder for 33 years</t>
  </si>
  <si>
    <t>ritter , who did not see her daughter 's body at the time , recently asked to see the photos investigators took at the scene</t>
  </si>
  <si>
    <t>after seeing the photos , ritter said she shouted , ` if i had a gun i 'd kill him ! '</t>
  </si>
  <si>
    <t>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t>
    <phoneticPr fontId="4" type="noConversion"/>
  </si>
  <si>
    <t>jcno jeans , popular at nineties raves , are threatening to make a comeback
chokers , berry-coloured lips , round sunglasses and calvin klein logo t-shirts are all the rage with a new generation of fashion fans .
originally a staple of fishermen and farmers , it soon enough found its way into popular culture and temporarily dominated the music scene .</t>
    <phoneticPr fontId="4" type="noConversion"/>
  </si>
  <si>
    <t>chokers , berry-coloured lips , round sunglasses and calvin klein logo t-shirts are all the rage with a new generation of fashion fans .</t>
  </si>
  <si>
    <t>originally a staple of fishermen and farmers , it soon enough found its way into popular culture and temporarily dominated the music scene .</t>
  </si>
  <si>
    <t>other 90s/00s trends here to stay include uggs , velour and corsets</t>
  </si>
  <si>
    <t>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t>
    <phoneticPr fontId="4" type="noConversion"/>
  </si>
  <si>
    <t>rory mcilroy believes it is ` unthinkable ' that he will not win the masters at some point to complete the career grand slam .
mcilroy is hoping to complete his grand slam of majors with a victory at augusta later this month
mcilroy is looking to claim his first green jacket and become just the sixth player to win all four major titles after gene sarazen , ben hogan , gary player , jack nicklaus and tiger woods .</t>
    <phoneticPr fontId="4" type="noConversion"/>
  </si>
  <si>
    <t>rory mcilroy believes it is ` unthinkable ' that he will not win the masters at some point to complete the career grand slam .</t>
  </si>
  <si>
    <t>mcilroy is hoping to complete his grand slam of majors with a victory at augusta later this month</t>
  </si>
  <si>
    <t>final-round collapse at augusta national in 2011 was the most important day of career , mcilroy reveals</t>
  </si>
  <si>
    <t>the northern irishman finished joint eighth last year</t>
  </si>
  <si>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t>
    <phoneticPr fontId="4" type="noConversion"/>
  </si>
  <si>
    <t>jurgen klopp confirmed in a press conference he is to leave borussia dortmund this summer
an emotional klopp said he believed dortmund need a change of manager next season
klopp was immediately installed as the bookmakers ' favourite to replace manuel pellegrini at manchester city , although it is understood that the struggling premier league champions have no plans to make such a move .</t>
    <phoneticPr fontId="4" type="noConversion"/>
  </si>
  <si>
    <t>klopp was immediately installed as the bookmakers ' favourite to replace manuel pellegrini at manchester city , although it is understood that the struggling premier league champions have no plans to make such a move .</t>
  </si>
  <si>
    <t>he has denied that he wants to take a break because of exhaustion</t>
  </si>
  <si>
    <t>klopp has won two bundesliga titles and the german cup at dortmund</t>
  </si>
  <si>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t>
    <phoneticPr fontId="4" type="noConversion"/>
  </si>
  <si>
    <t>( cnn ) it was a busy week for trending stories .
rdj grew increasingly agitated as a channel 4 interviewer from the uk asked about his private life on tuesday .
they seem to spawn a new trend every other week .</t>
    <phoneticPr fontId="4" type="noConversion"/>
  </si>
  <si>
    <t>cnn</t>
    <phoneticPr fontId="4" type="noConversion"/>
  </si>
  <si>
    <t>rdj grew increasingly agitated as a channel 4 interviewer from the uk asked about his private life on tuesday .</t>
  </si>
  <si>
    <t>36-5</t>
  </si>
  <si>
    <t>they seem to spawn a new trend every other week .</t>
  </si>
  <si>
    <t>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t>
    <phoneticPr fontId="4" type="noConversion"/>
  </si>
  <si>
    <t>williams beat sabine lisicki in three sets on wednesday to progress to the semi-finals of the miami open
williams will face romania 's simona halep for a place in the final after the third-seed beat sloane stephens 6-1 , 7-5 .
the day following andy murray 's 500th win another huge cake was wheeled out to mark williams reaching the semi-final with a 7-6 , 1-6 , 6-3 progression over germany 's sabine lisicki .</t>
    <phoneticPr fontId="4" type="noConversion"/>
  </si>
  <si>
    <t>williams will face romania 's simona halep for a place in the final after the third-seed beat sloane stephens 6-1 , 7-5 .</t>
  </si>
  <si>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phoneticPr fontId="4" type="noConversion"/>
  </si>
  <si>
    <t>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tip of the iceberg : research by the world health organisation suggests that at least one in 100 babies born in the uk could suffer learning and behavioural problems because of exposure to alcohol in the womb</t>
    <phoneticPr fontId="4" type="noConversion"/>
  </si>
  <si>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</si>
  <si>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but in pakistan , free speech is dangerous , and mahmud 's exuberant exercise of it made her stick out nationwide .
two gunman shot her dead at point-blank range late friday after she locked up the second floor cafe in karachi for the night , police said .
she is in a hospital but is expected to be released on time for her daughter 's funeral .</t>
    <phoneticPr fontId="4" type="noConversion"/>
  </si>
  <si>
    <t>but in pakistan , free speech is dangerous , and mahmud 's exuberant exercise of it made her stick out nationwide .</t>
  </si>
  <si>
    <t>two gunman shot her dead at point-blank range late friday after she locked up the second floor cafe in karachi for the night , police said .</t>
  </si>
  <si>
    <t>40-5</t>
  </si>
  <si>
    <t>she is in a hospital but is expected to be released on time for her daughter 's funeral .</t>
  </si>
  <si>
    <t>she hosted a controversial discussion on the disappearance of people</t>
  </si>
  <si>
    <t>she knew what she was doing was dangerous and had received death threats before</t>
  </si>
  <si>
    <t>mahmud loved books , jimi hendrix and discussions about human rights</t>
  </si>
  <si>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t>
    <phoneticPr fontId="4" type="noConversion"/>
  </si>
  <si>
    <t>ex-juvenile offender shaun andrew mckerry , dubbed boomerang boy or homing pigeon boy in his youth , burst into shildon post office and stores , county durham , at 8pm on march 15 .
as the men wrestled , sab dhillon 's wife sam helped by hitting mckerry with a baseball bat
mr dhillon said mckerry was waving the axe around when he jumped on him and wrestled him to the floor</t>
    <phoneticPr fontId="4" type="noConversion"/>
  </si>
  <si>
    <t>as the men wrestled , sab dhillon 's wife sam helped by hitting mckerry with a baseball bat</t>
  </si>
  <si>
    <t>mr dhillon said mckerry was waving the axe around when he jumped on him and wrestled him to the floor</t>
  </si>
  <si>
    <t>41-5</t>
  </si>
  <si>
    <t>an axe-wielding robber has been jailed for attempting to rob a corner shop</t>
  </si>
  <si>
    <t>he was later revealed to be a juvenile offender nicknamed boomerang boy</t>
  </si>
  <si>
    <t>shaun andrew mckerry , 31 , had been arrested 80 times by the age of 15</t>
  </si>
  <si>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t>
    <phoneticPr fontId="4" type="noConversion"/>
  </si>
  <si>
    <t>mangu ram was 14 when he fled to kashmir as a refugee - now an old man , for the past 70 years he has been denied citizenship rights
it is almost 70 years since he fled the violence that followed the partition of india , and he is still regarded as a second class citizen in indian kashmir -- unable to own property or vote in state elections .
a hindu , traditional healer ram lives a slum house within india 's only muslim-majority state .</t>
    <phoneticPr fontId="4" type="noConversion"/>
  </si>
  <si>
    <t>mangu ram was 14 when he fled to kashmir as a refugee - now an old man , for the past 70 years he has been denied citizenship rights</t>
  </si>
  <si>
    <t>it is almost 70 years since he fled the violence that followed the partition of india , and he is still regarded as a second class citizen in indian kashmir -- unable to own property or vote in state elections .</t>
  </si>
  <si>
    <t>42-5</t>
  </si>
  <si>
    <t>a hindu , traditional healer ram lives a slum house within india 's only muslim-majority state .</t>
  </si>
  <si>
    <t>thousands of people caught in poverty because successive governments refuse to change their refugee status</t>
  </si>
  <si>
    <t>laws mean that the west pakistan refugees living in jammur and kashmir can not vote in elections or own property</t>
  </si>
  <si>
    <t>hopes that election of hindu nationalist party as a coalition partner could herald historic change for the community</t>
  </si>
  <si>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t>
    <phoneticPr fontId="4" type="noConversion"/>
  </si>
  <si>
    <t>four royal navy sailors charged with the gang rape of a young woman at an alcohol-fuelled party at a canadian barracks must stay in nova scotia until they have been tried .
bail was set at over # 2,000 for each of them but they also agreed to surrender their passports and live at the nearby stadacona naval base in halifax .
the four men appeared in turn in a courtroom in dartmouth , near halifax , where they were given identical but unusual bail conditions that could see them having to live on a canadian naval base for the next few years .</t>
    <phoneticPr fontId="4" type="noConversion"/>
  </si>
  <si>
    <t>men were in canada playing a hockey tournament with canadian forces</t>
  </si>
  <si>
    <t>bail was set at over # 2,000 for each of them but they also agreed to surrender their passports and live at the nearby stadacona naval base in halifax .</t>
  </si>
  <si>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</si>
  <si>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fc tokyo forward yoshinori muto has admitted that he is still considering whether to join premier league leaders chelsea this summer .
chelsea have made an offer for muto according to fc tokyo president naoki ogane
chelsea would look to loan muto to partner club vitesse arnhem next season but the 22-year-old is keen to join a club where he will play regularly and realise his potential .</t>
    <phoneticPr fontId="4" type="noConversion"/>
  </si>
  <si>
    <t>chelsea would look to loan muto to partner club vitesse arnhem next season but the 22-year-old is keen to join a club where he will play regularly and realise his potential .</t>
  </si>
  <si>
    <t>muto 's former manager , ranko popovic , says his potential is ` amazing '</t>
  </si>
  <si>
    <t>44-5</t>
  </si>
  <si>
    <t>jose mourinho has admitted that he is aware of the japan international</t>
  </si>
  <si>
    <t>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t>
    <phoneticPr fontId="4" type="noConversion"/>
  </si>
  <si>
    <t>four-year-old rj jackson is one of just 70 people in the world who suffers netherton 's syndrome .
his mother valerie jackson has to regularly cover him in creams to try and prevent his skin drying out .
valerie jackson , pictured left with her son rj when he was three months old , was accused of scalding her son after a member of the public mistook his rare skin disease for the signs of abuse .</t>
    <phoneticPr fontId="4" type="noConversion"/>
  </si>
  <si>
    <t>his mother valerie jackson has to regularly cover him in creams to try and prevent his skin drying out .</t>
  </si>
  <si>
    <t>four-year-old 's skin appears red and scaly , and can be itchy and painful</t>
    <phoneticPr fontId="4" type="noConversion"/>
  </si>
  <si>
    <t>says rj faces cruel taunts from bullies - most of whom are ignorant adults</t>
  </si>
  <si>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t>
    <phoneticPr fontId="4" type="noConversion"/>
  </si>
  <si>
    <t>matt giteau 's stellar displays for toulon have put him back on the wallabies radar ahead of the world cup
stuart lancaster must be free to pick his best players , no matter where in the world they ply their trade .
congratulations to australia for seeing sense and dropping the ridiculous policy of not selecting their best players if they are playing overseas .</t>
    <phoneticPr fontId="4" type="noConversion"/>
  </si>
  <si>
    <t>matt giteau 's stellar displays for toulon have put him back on the wallabies radar ahead of the world cup</t>
  </si>
  <si>
    <t>stuart lancaster must be free to pick his best players , no matter where in the world they ply their trade .</t>
  </si>
  <si>
    <t>46-5</t>
  </si>
  <si>
    <t>it leaves england looking old-fashioned and they need to react</t>
  </si>
  <si>
    <t>england need the best squad possible for the forthcoming world cup</t>
  </si>
  <si>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t>
    <phoneticPr fontId="4" type="noConversion"/>
  </si>
  <si>
    <t>transport for london ( tfl ) has revealed that the controversial posters around the london underground , featuring a bikini-clad model called renee somerfield are being removed .
campaigners against the new protein world ` are you beach body ready ? '
the advertising standards authority has also received more than 200 complaints from people saying that the adverts promote an unhealthy body image .</t>
    <phoneticPr fontId="4" type="noConversion"/>
  </si>
  <si>
    <t>the advertising standards authority has also received more than 200 complaints from people saying that the adverts promote an unhealthy body image .</t>
  </si>
  <si>
    <t>tfl say protein world has come to end of three-week ad placement period</t>
  </si>
  <si>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</si>
  <si>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called greenstone , the egg-shaped gadget acts like a beacon , or booster , to help messages move around these so-called wireless mesh networks more easily .
firechat launched last year and has been downloaded more than five million times .
it takes advantage of a feature that launched in apple 's ios 7 called multipeer connectivity framework ( mcf ) .</t>
    <phoneticPr fontId="4" type="noConversion"/>
  </si>
  <si>
    <t>firechat launched last year and has been downloaded more than five million times .</t>
  </si>
  <si>
    <t>it currently works with opeinstead of sending messages using a mobile signal , the free app and gadget create a localised network where each mobile becomes a ` node 'n garden 's firechat ` off-the-grid ' firechat app</t>
    <phoneticPr fontId="4" type="noConversion"/>
  </si>
  <si>
    <t>48-5</t>
  </si>
  <si>
    <t>it currently works with open garden 's firechat ` off-the-grid ' firechat app</t>
  </si>
  <si>
    <t>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t>
    <phoneticPr fontId="4" type="noConversion"/>
  </si>
  <si>
    <t>sent letter : prime minister david cameron has written to first great western to request it ` urgently reviews ' plans to increase fares on trains running through his witney constituency
mr cameron has promised to freeze fares in real terms for the whole of the next parliament , while labour has also pledged to bring in a ` cap ' on price hikes .
rail firms came under fire this weekend for planning a series of fare hikes of up to 87 per cent just ten days after the general election - despite the main party leaders pledging to freeze prices .</t>
    <phoneticPr fontId="4" type="noConversion"/>
  </si>
  <si>
    <t>mr cameron has promised to freeze fares in real terms for the whole of the next parliament , while labour has also pledged to bring in a ` cap ' on price hikes .</t>
  </si>
  <si>
    <t>other sharp hikes include virgin 's service between stafford and liverpool</t>
  </si>
  <si>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</si>
  <si>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not-so-tiny dancer : burlesque performer lillian bustle explained in her ted talk that ` fat ' is just another word - and using it does n't have to be an insult
during a recent ted talk , lillian bustle , from new jersey , revealed that she also calls herself ` short ' , because she is 5 ' 3 " , and ` wife ' , because she is married , noting that each of these words is just an honest description of what she is .
unfortunately , lillian added , her worldview is n't held by everyone , and she pointed to a statistic that shows that size discrimination in the workplace has risen 66 per cent in the past 30 years .</t>
    <phoneticPr fontId="4" type="noConversion"/>
  </si>
  <si>
    <t>unfortunately , lillian added , her worldview is n't held by everyone , and she pointed to a statistic that shows that size discrimination in the workplace has risen 66 per cent in the past 30 years .</t>
  </si>
  <si>
    <t>she says she likes performing burlesque because it helps open people up to liking different body types</t>
  </si>
  <si>
    <t>50-5</t>
  </si>
  <si>
    <t>the dancer says she 's thrilled at the positive reception her ted talk has received , adding that she believes it means ` body-positivity ' is working</t>
  </si>
  <si>
    <t>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</si>
  <si>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former soldier john young , 66 , and his new wife elaine , 54 , were sat in the front room of their home in oldham , greater manchester , when thugs began pelting his front window with stones .
he suffered an open wound to his forehead and a serious injury to his left eye and was taken to hospital .
however , despite undergoing emergency surgery , doctors were unable to save his eyesight meaning he is now blind in one eye .</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</si>
  <si>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</si>
  <si>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will be hoping to make his first arsenal start since his side 's 3-0 win over west ham on march 14 when the gunners face hull at the kc stadium on monday .</t>
    <phoneticPr fontId="4" type="noConversion"/>
  </si>
  <si>
    <t>( third right )</t>
  </si>
  <si>
    <t>walcott , pictured with wilshere and wojciech szczesny , has spent much of the season on the bench</t>
  </si>
  <si>
    <t>52-5</t>
  </si>
  <si>
    <t>the 26-year-old will be hoping to make his first arsenal start since his side 's 3-0 win over west ham on march 14 when the gunners face hull at the kc stadium on monday .</t>
  </si>
  <si>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</si>
  <si>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poynton , 25 , missed the entire 2014 campaign due to leg injuries sustained in a road accident in which his father keith died last april .
derbyshire wicketkeeper tom poynton has been rewarded for his successful return from injury
he will be available for the start of the season and has now committed himself to the county until the end of the 2016 season .</t>
    <phoneticPr fontId="4" type="noConversion"/>
  </si>
  <si>
    <t>54-5</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</si>
  <si>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</si>
  <si>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fans of blockbusters like men in black , batman forever and how the grinch stole christmas will have a chance to own a piece of hollywood history when an amazing collection of props and puppets goes under the hammer at the end of may .</t>
    <phoneticPr fontId="4" type="noConversion"/>
  </si>
  <si>
    <t>fans of blockbusters like men in black , batman forever and how the grinch stole christmas will have a chance to own a piece of hollywood history when an amazing collection of props and puppets goes under the hammer at the end of may .</t>
    <phoneticPr fontId="4" type="noConversion"/>
  </si>
  <si>
    <t>more than 400 items from rick baker 's cinovation studio will be auctioned</t>
  </si>
  <si>
    <t>54-5</t>
  </si>
  <si>
    <t>artist has worked on hits like men in black , batman forever and gremlins</t>
  </si>
  <si>
    <t>baker worked on michael jackson 's moonwalker film and thriller video</t>
  </si>
  <si>
    <t>56-5</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</si>
  <si>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</si>
  <si>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harley renshaw was diagnosed with cancer in his kidney , neck , lungs and bones .
harley asked if he could decorate the protective mask that holds him still while having his radiotherapy treatment like a ninja turtle
harley renshaw has been told he is cancer-free after battling an aggressive form of the disease for a year .</t>
    <phoneticPr fontId="4" type="noConversion"/>
  </si>
  <si>
    <t>57-5</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</si>
  <si>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</si>
  <si>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tragedy : carwyn scott-howell ( left ; right ) fell to his death while on holiday with his mother ceri , nine-year-old sister antonia and brother gerwyn , 19 , in the alps
the schoolboy was skiing with his family when he became separated from his mother and headed into dense woodland where he fell over a 164ft drop .
the family of the seven-year-old british boy killed in the french alps say his death has left a ` vast void in their hearts ' .</t>
    <phoneticPr fontId="4" type="noConversion"/>
  </si>
  <si>
    <t>left</t>
  </si>
  <si>
    <t>right</t>
  </si>
  <si>
    <t>57-5</t>
  </si>
  <si>
    <t>the family of the seven-year-old british boy killed in the french alps say his death has left a ` vast void in their hearts ' .</t>
  </si>
  <si>
    <t>thought he may have entered woodland as thought it was shortcut to hotel</t>
  </si>
  <si>
    <t>family described him as a ` very daring , outgoing , determined little boy '</t>
  </si>
  <si>
    <t>58-5</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</si>
  <si>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</si>
  <si>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grealish ( centre ) impressed against liverpool and is wanted by the republic of ireland and england
jack grealish must concentrate on his aston villa career rather than his international future , according to tim sherwood .
but sherwood wants grealish to focus on continuing to force his way into the villa first team .</t>
    <phoneticPr fontId="4" type="noConversion"/>
  </si>
  <si>
    <t>( centre )</t>
  </si>
  <si>
    <t>jack grealish must concentrate on his aston villa career rather than his international future , according to tim sherwood .</t>
  </si>
  <si>
    <t>58-5</t>
  </si>
  <si>
    <t>grealish will make a decision over international future at end of the season</t>
  </si>
  <si>
    <t>59-5</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</si>
  <si>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</si>
  <si>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was living off just one piece of fruit a day and would hide her food down the side of her bed so her parents would n't see it</t>
    <phoneticPr fontId="4" type="noConversion"/>
  </si>
  <si>
    <t>now 15 she has overcome the disorder and is battling back</t>
  </si>
  <si>
    <t>60-5</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</si>
  <si>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</si>
  <si>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travelling by private jet is a growing trend , with 2.5 million private flights recorded in the us in 2013 ( the latest statistics ) and 705,000 in europe .
the high landings fees give an insight into some of the most unexpectedly popular transport hubs for the rich and famous , from salzburg , in austria , to darwin , in australia .
the busiest weekends unsurprisingly occur during huge sporting events , with the super bowl in america and the monaco grand prix the priciest times of year to fly and the busiest weekends for private jets companies .</t>
    <phoneticPr fontId="4" type="noConversion"/>
  </si>
  <si>
    <t>travelling by private jet is a growing trend , with 2.5 million private flights recorded in the us in 2013 ( the latest statistics ) and 705,000 in europe .</t>
  </si>
  <si>
    <t>the high landings fees give an insight into some of the most unexpectedly popular transport hubs for the rich and famous , from salzburg , in austria , to darwin , in australia .</t>
  </si>
  <si>
    <t>60-5</t>
  </si>
  <si>
    <t>the busiest weekends unsurprisingly occur during huge sporting events , with the super bowl in america and the monaco grand prix the priciest times of year to fly and the busiest weekends for private jets companies .</t>
  </si>
  <si>
    <t>the richest compiled a list of the top airport landing charges</t>
  </si>
  <si>
    <t>prices are based on landing a private 767-400 jet carrier</t>
  </si>
  <si>
    <t>61-5</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</si>
  <si>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</si>
  <si>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t>
    <phoneticPr fontId="4" type="noConversion"/>
  </si>
  <si>
    <t>the message was ` hold nothing back ' as sterling , daniel sturridge , martin skrtel and simon mignolet unveiled the new home strip to fans in the centenary stand on friday afternoon .</t>
  </si>
  <si>
    <t>midfielder has been linked with a move away from liverpool after refusing to sign new # 100,000-a-week contract</t>
  </si>
  <si>
    <t>61-5</t>
  </si>
  <si>
    <t>captain steven gerrard did not model new strip as he prepares to leave for la galaxy in the summer</t>
  </si>
  <si>
    <t>62-5</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</si>
  <si>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2012 by a points landslide , thereby retaining the world super-middleweight title .
but sugar ray took most pride from the trilogy from forcing duran to say no mas .
he said : ` to me , making roberto duran to quit was better than knocking him out . '</t>
  </si>
  <si>
    <t>sugar ray leonard v roberto duran
floyd mayweather v manny pacquiao will be the biggest fight of all time financially and the most significant this century .
in this , the sixth in a series of 12 fights that shaped boxing history , i recall when a hard man could take no more ...</t>
    <phoneticPr fontId="4" type="noConversion"/>
  </si>
  <si>
    <t>in this , the sixth in a series of 12 fights that shaped boxing history , i recall when a hard man could take no more ...</t>
  </si>
  <si>
    <t>leonard humiliated his opponent until he said ` no mas ' - no more</t>
  </si>
  <si>
    <t>62-5</t>
  </si>
  <si>
    <t>it took duran three years to reclaim his mantle as a hero in panama</t>
  </si>
  <si>
    <t>63-5</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</si>
  <si>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</si>
  <si>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it is the first in a series of maps of the cosmos that will eventually allow a 3d view of dark matter across one eighth of the night sky .
university of manchester researchers have revealed an hd dark matter map ( shown ) .
the goal is to eventually map 12.5 per cent over five years .</t>
    <phoneticPr fontId="4" type="noConversion"/>
  </si>
  <si>
    <t>it is the first in a series of maps of the cosmos that will eventually allow a 3d view of dark matter across one eighth of the night sky .</t>
  </si>
  <si>
    <t>( shown )</t>
  </si>
  <si>
    <t>63-5</t>
  </si>
  <si>
    <t>it shows clumps of mystery particles across 0.4 per cent of the sky</t>
  </si>
  <si>
    <t>results could help reveal how galaxies form in the universe</t>
  </si>
  <si>
    <t>64-5</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</si>
  <si>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</si>
  <si>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katie gallegos from clackamas county , oregon , decided to take the pooch to a mcdonald 's drive-thru for an ice cream with his pal daisy .
but while the small female pup takes a few ladylike licks , cooper gobbles the rest of the cone up in one bite .
to date the video of cooper 's ice cream outing has been watched more than seven million times .</t>
    <phoneticPr fontId="4" type="noConversion"/>
  </si>
  <si>
    <t>to date the video of cooper 's ice cream outing has been watched more than seven million times .</t>
  </si>
  <si>
    <t>gallegos says ice cream is a weekly treat for her pets</t>
  </si>
  <si>
    <t>65-5</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</si>
  <si>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</si>
  <si>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mouscron , in belgium 's pro league , had a partnership with lille but the french side are now poised to link up with another belgian club , ostend , leaving room for a new deal and chelsea are the preferred option .
chelsea are in early discussions over a possible partnership with belgian club royal mouscron-peruwelz .
vitesse currently have chelsea 's josh mceachran , bertrand traore and wallace on their books as they look to seek europa league qualification from the dutch eredivisie .</t>
    <phoneticPr fontId="4" type="noConversion"/>
  </si>
  <si>
    <t>mouscron , in belgium 's pro league , had a partnership with lille but the french side are now poised to link up with another belgian club , ostend , leaving room for a new deal and chelsea are the preferred option .</t>
  </si>
  <si>
    <t>vitesse currently have chelsea 's josh mceachran , bertrand traore and wallace on their books as they look to seek europa league qualification from the dutch eredivisie .</t>
  </si>
  <si>
    <t>65-5</t>
  </si>
  <si>
    <t>the pro league 's royal mouscron-peruwelz are the prospective partners</t>
  </si>
  <si>
    <t>chelsea already have an agreement with vitesse arnheim in holland</t>
  </si>
  <si>
    <t>66-5</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</si>
  <si>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$ 4.13 billion</t>
  </si>
  <si>
    <t>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it did not explain exactly what caused the outage , which began in the early evening on the east coast and in the late afternoon on the west coast .</t>
    <phoneticPr fontId="4" type="noConversion"/>
  </si>
  <si>
    <t>it did not explain exactly what caused the outage , which began in the early evening on the east coast and in the late afternoon on the west coast .</t>
  </si>
  <si>
    <t>company said in statement glitch was caused by a failure during a daily system refresh</t>
  </si>
  <si>
    <t>66-5</t>
  </si>
  <si>
    <t>glitch also affected starbucks ' evolution fresh and teavana stores</t>
  </si>
  <si>
    <t>many starbucks locations closed their doors so as not to give away free drinks</t>
  </si>
  <si>
    <t>67-5</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</si>
  <si>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t>
  </si>
  <si>
    <t>floyd mayweather and manny pacquiao are less than two weeks away from playing their part in the richest fight in boxing history .
here , sportsmail takes a look at the two men 's achievements , in and out of the ring , ahead of their $ 300m mega-fight on may 2
since leaving top rank in 2006 , mayweather has looked after his own interests and negotiated a 60-40 split in his favour for his fight against pacquiao .</t>
    <phoneticPr fontId="4" type="noConversion"/>
  </si>
  <si>
    <t>69-5</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</si>
  <si>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29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</si>
  <si>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terrorists are undergoing training in rural areas of west wales , it has emerged .</t>
    <phoneticPr fontId="4" type="noConversion"/>
  </si>
  <si>
    <t>70-5</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</si>
  <si>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3-9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</si>
  <si>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manchester united have made an official approach for memphis depay ( right ) , says psv 's technical director
the 21-year-old ( left ) has scored 20 goals in 26 league games for psv this season
the eredivisie champions have confirmed that the red devils have made a move over the holland international - with united manager louis van gaal keen to make him one of his first signings this summer .</t>
    <phoneticPr fontId="4" type="noConversion"/>
  </si>
  <si>
    <t>( right )</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</si>
  <si>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3-10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</si>
  <si>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manchester united have made an official approach for memphis depay ( right ) , says psv 's technical director
the 21-year-old ( left ) has scored 20 goals in 27 league games for psv this season
the eredivisie champions have confirmed that the red devils have made a move over the holland international - with united manager louis van gaal keen to make him one of his first signings this summer .</t>
  </si>
  <si>
    <t xml:space="preserve"> ( left )</t>
  </si>
  <si>
    <t>70-5</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</si>
  <si>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3-11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</si>
  <si>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manchester united have made an official approach for memphis depay ( right ) , says psv 's technical director
the 21-year-old ( left ) has scored 20 goals in 28 league games for psv this season
the eredivisie champions have confirmed that the red devils have made a move over the holland international - with united manager louis van gaal keen to make him one of his first signings this summer .</t>
  </si>
  <si>
    <t>the eredivisie champions have confirmed that the red devils have made a move over the holland international - with united manager louis van gaal keen to make him one of his first signings this summer .</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</si>
  <si>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</si>
  <si>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manchester united have made an official approach for memphis depay ( right ) , says psv 's technical director
the 21-year-old ( left ) has scored 20 goals in 29 league games for psv this season
the eredivisie champions have confirmed that the red devils have made a move over the holland international - with united manager louis van gaal keen to make him one of his first signings this summer .</t>
  </si>
  <si>
    <t>psv beat heerenveen to lift their first eredivisie title in seven years</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</si>
  <si>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3-13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</si>
  <si>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manchester united have made an official approach for memphis depay ( right ) , says psv 's technical director
the 21-year-old ( left ) has scored 20 goals in 30 league games for psv this season
the eredivisie champions have confirmed that the red devils have made a move over the holland international - with united manager louis van gaal keen to make him one of his first signings this summer .</t>
  </si>
  <si>
    <t>paris-saint germain are also interested in the highly-rated 21-year-old</t>
  </si>
  <si>
    <t>71-5</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</si>
  <si>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63 vertebrae</t>
  </si>
  <si>
    <t>it is the first sighting of the species in wa and only the second in australia .
an omura 's whale was discovered on a remote exmouth beach in wa ( pictured ) .
a species of whale that was feared to be extinct has been found washed up on a west australian beach , giving scientists an opportunity to learn more about the mammal .</t>
    <phoneticPr fontId="4" type="noConversion"/>
  </si>
  <si>
    <t>( pictured )</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</si>
  <si>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64 vertebrae</t>
  </si>
  <si>
    <t>a species of whale that was feared to be extinct has been found washed up on a west australian beach , giving scientists an opportunity to learn more about the mammal .</t>
  </si>
  <si>
    <t>71-5</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</si>
  <si>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65 vertebrae</t>
  </si>
  <si>
    <t>it was washed up on the beach by tropical cyclone olwyn</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</si>
  <si>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66 vertebrae</t>
  </si>
  <si>
    <t>authorities found it hard at first to identify the 5.68 m juvenile female</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</si>
  <si>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67 vertebrae</t>
  </si>
  <si>
    <t>however dna profiling confirmed it was an omura 's whale</t>
  </si>
  <si>
    <t>72-5</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</si>
  <si>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31 )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</si>
  <si>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put a gloss on the scoreline after a tammy abraham double had seen chelsea take a first half lead .
chelsea took a commanding 3-1 lead back to west london after a strong showing in manchester to see off city 's young side .
tammy abraham smashes chelsea into the lead with a fierce drive into the top corner</t>
    <phoneticPr fontId="4" type="noConversion"/>
  </si>
  <si>
    <t>chelsea took a commanding 3-1 lead back to west london after a strong showing in manchester to see off city 's young side .</t>
  </si>
  <si>
    <t>tammy abraham smashes chelsea into the lead with a fierce drive into the top corner</t>
  </si>
  <si>
    <t>72-5</t>
  </si>
  <si>
    <t>manchester city struggle without injured star thierry ambrose</t>
  </si>
  <si>
    <t>73-5</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</si>
  <si>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2019 .
correction : an earlier version of this article incorrectly stated that canadians elected their first female prime minister , kim campbell .</t>
  </si>
  <si>
    <t>according to one female businesswoman in texas , hillary clinton should n't be president because her hormones might make her so irrational she 'll start an unnecessary war .
apparently , hormones are a major factor one should consider .
( cnn ) thinking about presidential candidates ?</t>
    <phoneticPr fontId="4" type="noConversion"/>
  </si>
  <si>
    <t>apparently , hormones are a major factor one should consider .</t>
  </si>
  <si>
    <t>( cnn ) thinking about presidential candidates ?</t>
  </si>
  <si>
    <t>73-5</t>
  </si>
  <si>
    <t>what 's scary is that the bias against women in the workplace is still going strong in 2015</t>
  </si>
  <si>
    <t>74-5</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</si>
  <si>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$ 45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</si>
  <si>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marco rubio told face the nation he believes people are born with a sexual preference , but insisted same-sex marriage should not be a constitutional right
the florida senator told bob schieffer that he was n't against gay marriage , but believes the ` definition of the institution of marriage should be between one man and one woman ' .
rubio also noted that , as a catholic , he believes divorce is wrong , but he would n't stop loving someone if they were divorced .</t>
    <phoneticPr fontId="4" type="noConversion"/>
  </si>
  <si>
    <t>the florida senator told bob schieffer that he was n't against gay marriage , but believes the ` definition of the institution of marriage should be between one man and one woman ' .</t>
  </si>
  <si>
    <t>rubio also noted that , as a catholic , he believes divorce is wrong , but he would n't stop loving someone if they were divorced .</t>
  </si>
  <si>
    <t>74-5</t>
  </si>
  <si>
    <t>added that it should be left up to the states to decide whether to allow it</t>
  </si>
  <si>
    <t>said he does n't agree with gay marriage , but would attend a same-sex union if it was somebody he ` cared ' for</t>
  </si>
  <si>
    <t>75-5</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</si>
  <si>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</si>
  <si>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mr hardy , 89 , is a keen military historian who studied english with j.r.r. tolkien and is now an expert on the medieval longbow .
the star , known for appearing in all creatures great and small and playing winston churchill several times , is auctioning off more than 200 items he has collected over his career .
sale : actor robert hardy is selling off his collection of antiques including a diorama of the battle of agincourt</t>
    <phoneticPr fontId="4" type="noConversion"/>
  </si>
  <si>
    <t>among the objects which have gone up for auction are a huge 3d diorama of the battle of agincourt</t>
  </si>
  <si>
    <t>76-5</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</si>
  <si>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</si>
  <si>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pablo mandado and ilze zebolde have no plans , no agenda , no cause to fight for and they are certainly in no hurry -- the couple simply has a dream to ` discover different parts of this planet a pedal at a time . '</t>
    <phoneticPr fontId="4" type="noConversion"/>
  </si>
  <si>
    <t>pablo mandado and ilze zebolde have no plans , no agenda , no cause to fight for and they are certainly in no hurry -- the couple simply has a dream to ` discover different parts of this planet a pedal at a time .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</si>
  <si>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221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</si>
  <si>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who met in riga in 2011 , are off to a flying start as they approach their first year of their open-ended odyssey on the road .
in 356 days so far they 've covered almost 7,000 miles ( 11,131.92 km by their measurements ) and been through 17 countries .
pablo mandado and ilze zebolde have no plans , no agenda , no cause to fight for and they are certainly in no hurry -- the couple simply has a dream to ` discover different parts of this planet a pedal at a time . '</t>
  </si>
  <si>
    <t>they camp or stay with couchsurfing and warmshowers hosts and spent an average $ 2.99 per day</t>
  </si>
  <si>
    <t>76-5</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</si>
  <si>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222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</si>
  <si>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who met in riga in 2011 , are off to a flying start as they approach their first year of their open-ended odyssey on the road .
in 356 days so far they 've covered almost 7,000 miles ( 11,131.92 km by their measurements ) and been through 18 countries .
pablo mandado and ilze zebolde have no plans , no agenda , no cause to fight for and they are certainly in no hurry -- the couple simply has a dream to ` discover different parts of this planet a pedal at a time . '</t>
  </si>
  <si>
    <t>they saved up for their travels , which they share on their website , while working in english restaurants</t>
  </si>
  <si>
    <t>77-5</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</si>
  <si>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t>
  </si>
  <si>
    <t>police say michael scott shemansky came to their attention after he failed to appear for a supervised visit with his son on the same day mother sandra shemansky , 57 , was found dead at the home they shared in winter garden .
he is already on parole for battery on law enforcement , has a history of bipolar mental illness , and was involuntarily committed to a psychiatric ward for an attempted suicide .
a florida man wanted as a suspect in the murder of his own mother has been on the run from police since saturday .</t>
    <phoneticPr fontId="4" type="noConversion"/>
  </si>
  <si>
    <t>78-5</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</si>
  <si>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</si>
  <si>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the couple , who does not wish to be identified , hired attorney cathy hale to sue james evans the owner of premiere photos for allegedly providing a photo booth that printed , ` poor n ***** party ' on the bottom of the pictures .
denies allegations : james evans who runs premiere photo allegedly did n't apologize for the racial slur and told the couple to ` sue ' him
the couple was n't alerted of the photos until many months after the celebration when the bride 's sister told the family about the racist incident at the photo booth the couple rented for the party .</t>
    <phoneticPr fontId="4" type="noConversion"/>
  </si>
  <si>
    <t>79-5</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</si>
  <si>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2016 iaaf world athletics championships in moscow</t>
  </si>
  <si>
    <t>the city of eugene in the united states has been awarded the rights to host the 2021 iaaf world championships .
the 2007 world championships held in osaka , japan was also awarded without a bidding process .
mo farah won gold in the men 's 10000 metres during the 2013 iaaf world athletics championships in moscow</t>
    <phoneticPr fontId="4" type="noConversion"/>
  </si>
  <si>
    <t>the 2007 world championships held in osaka , japan was also awarded without a bidding process .</t>
  </si>
  <si>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2017 iaaf world athletics championships in moscow</t>
  </si>
  <si>
    <t>the city of eugene in the united states has been awarded the rights to host the 2021 iaaf world championships .
the 2007 world championships held in osaka , japan was also awarded without a bidding process .
mo farah won gold in the men 's 10000 metres during the 2014 iaaf world athletics championships in moscow</t>
  </si>
  <si>
    <t>mo farah won gold in the men 's 10000 metres during the 2013 iaaf world athletics championships in moscow</t>
  </si>
  <si>
    <t>79-5</t>
  </si>
  <si>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2018 iaaf world athletics championships in moscow</t>
  </si>
  <si>
    <t>the city of eugene in the united states has been awarded the rights to host the 2021 iaaf world championships .
the 2007 world championships held in osaka , japan was also awarded without a bidding process .
mo farah won gold in the men 's 10000 metres during the 2015 iaaf world athletics championships in moscow</t>
  </si>
  <si>
    <t>the sport 's governing body iaaf bypassed the normal bidding process</t>
  </si>
  <si>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2019 iaaf world athletics championships in moscow</t>
  </si>
  <si>
    <t>the city of eugene in the united states has been awarded the rights to host the 2021 iaaf world championships .
the 2007 world championships held in osaka , japan was also awarded without a bidding process .
mo farah won gold in the men 's 10000 metres during the 2016 iaaf world athletics championships in moscow</t>
  </si>
  <si>
    <t>eugene missed out on bid to host 2019 event which was awarded to doha</t>
  </si>
  <si>
    <t>80-5</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</si>
  <si>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2022 campaign that champions people at the heart and soul of the game by putting grassroots clubs on the global stage .</t>
  </si>
  <si>
    <t>england full back mike brown admits he is unsure when he will return to action for club side harlequins
george north will not play against clermont auvergne on saturday and will see a neurosurgeon
northampton wing george north has been advised by leading medics not to play again this season after suffering four quick-fire concussions , while ireland 's johnny sexton was stood down for 12 weeks earlier this term .</t>
    <phoneticPr fontId="4" type="noConversion"/>
  </si>
  <si>
    <t>george north will not play against clermont auvergne on saturday and will see a neurosurgeon</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</si>
  <si>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2023 campaign that champions people at the heart and soul of the game by putting grassroots clubs on the global stage .</t>
  </si>
  <si>
    <t>england full back mike brown admits he is unsure when he will return to action for club side harlequins
george north will not play against clermont auvergne on saturday and will see a neurosurgeon
northampton wing george north has been advised by leading medics not to play again this season after suffering four quick-fire concussions , while ireland 's johnny sexton was stood down for 13 weeks earlier this term .</t>
  </si>
  <si>
    <t>northampton wing george north has been advised by leading medics not to play again this season after suffering four quick-fire concussions , while ireland 's johnny sexton was stood down for 12 weeks earlier this term .</t>
  </si>
  <si>
    <t>80-5</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</si>
  <si>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2024 campaign that champions people at the heart and soul of the game by putting grassroots clubs on the global stage .</t>
  </si>
  <si>
    <t>england full back mike brown admits he is unsure when he will return to action for club side harlequins
george north will not play against clermont auvergne on saturday and will see a neurosurgeon
northampton wing george north has been advised by leading medics not to play again this season after suffering four quick-fire concussions , while ireland 's johnny sexton was stood down for 14 weeks earlier this term .</t>
  </si>
  <si>
    <t>harlequins full back mike brown pulled out of the aviva premiership clash</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</si>
  <si>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2025 campaign that champions people at the heart and soul of the game by putting grassroots clubs on the global stage .</t>
  </si>
  <si>
    <t>england full back mike brown admits he is unsure when he will return to action for club side harlequins
george north will not play against clermont auvergne on saturday and will see a neurosurgeon
northampton wing george north has been advised by leading medics not to play again this season after suffering four quick-fire concussions , while ireland 's johnny sexton was stood down for 15 weeks earlier this term .</t>
  </si>
  <si>
    <t>brown is still wary after suffering concussion while on england dut</t>
  </si>
  <si>
    <t>81-5</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</si>
  <si>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£ 63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</si>
  <si>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after spotting him flashing a roll of # 50 notes at a casino in london 's west end .
she was sentenced to 16 years behind bars for the killing by judge william kennedy today .
the care assistant , from gillingham , kent , used her good looks to befriend the poker player , who showered her with gifts , cash and trips to fancy restaurants .</t>
    <phoneticPr fontId="4" type="noConversion"/>
  </si>
  <si>
    <t>Whole Sentence</t>
    <phoneticPr fontId="4" type="noConversion"/>
  </si>
  <si>
    <t>leonie granger , 25 , targeted playboy mehmet hassan , 56 , after spotting him flashing a roll of # 50 notes at a casino in london 's west end .</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</si>
  <si>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£ 64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</si>
  <si>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after spotting him flashing a roll of # 50 notes at a casino in london 's west end .
she was sentenced to 17 years behind bars for the killing by judge william kennedy today .
the care assistant , from gillingham , kent , used her good looks to befriend the poker player , who showered her with gifts , cash and trips to fancy restaurants .</t>
  </si>
  <si>
    <t>the care assistant , from gillingham , kent , used her good looks to befriend the poker player , who showered her with gifts , cash and trips to fancy restaurants .</t>
  </si>
  <si>
    <t>81-5</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</si>
  <si>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£ 65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</si>
  <si>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after spotting him flashing a roll of # 50 notes at a casino in london 's west end .
she was sentenced to 18 years behind bars for the killing by judge william kennedy today .
the care assistant , from gillingham , kent , used her good looks to befriend the poker player , who showered her with gifts , cash and trips to fancy restaurants .</t>
  </si>
  <si>
    <r>
      <t>went to his flat and let in boyfriend kyrron jackson and nicholas chandler</t>
    </r>
    <r>
      <rPr>
        <sz val="11"/>
        <color rgb="FF000000"/>
        <rFont val="宋体"/>
        <family val="2"/>
        <charset val="134"/>
      </rPr>
      <t>，</t>
    </r>
    <r>
      <rPr>
        <sz val="11"/>
        <color indexed="8"/>
        <rFont val="Arial"/>
        <family val="2"/>
      </rPr>
      <t>they kicked mr hassan to death and stole some of his gambling winnings</t>
    </r>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</si>
  <si>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£ 66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</si>
  <si>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after spotting him flashing a roll of # 50 notes at a casino in london 's west end .
she was sentenced to 19 years behind bars for the killing by judge william kennedy today .
the care assistant , from gillingham , kent , used her good looks to befriend the poker player , who showered her with gifts , cash and trips to fancy restaurants .</t>
  </si>
  <si>
    <t>and two men found guilty of murder</t>
    <phoneticPr fontId="4" type="noConversion"/>
  </si>
  <si>
    <t>82-5</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</si>
  <si>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9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</si>
  <si>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in his book , prof spiegelhalter pointed to a number of possible factors for the decline in sexual activity with one possible explanation being that more people are living on their own .</t>
    <phoneticPr fontId="4" type="noConversion"/>
  </si>
  <si>
    <t>in his book , prof spiegelhalter pointed to a number of possible factors for the decline in sexual activity with one possible explanation being that more people are living on their own .</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</si>
  <si>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10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</si>
  <si>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the figure in 2000 was four times a month and five times a month in 1990</t>
  </si>
  <si>
    <t>83-5</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</si>
  <si>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3-13 win over hull city , but that was his first in five games
mourinho is looking to guide his team over the line in the premier league title race , with fabregas a key cog</t>
  </si>
  <si>
    <t>cesc fabregas ( right ) captained spain on tuesday but his poor form continued as they lost 2-0 in holland
it seems an accepted trend that chelsea midfielder cesc fabregas struggles during the second half of the season and the spanish midfielder was one of the worst players on the pitch again in his country 's 2-0 defeat by holland on tuesday .
the chelsea midfielder struggled to make an impact in midfield as the european champions fell to defeat</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</si>
  <si>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3-14 win over hull city , but that was his first in five games
mourinho is looking to guide his team over the line in the premier league title race , with fabregas a key cog</t>
  </si>
  <si>
    <t>cesc fabregas ( right ) captained spain on tuesday but his poor form continued as they lost 2-0 in holland
it seems an accepted trend that chelsea midfielder cesc fabregas struggles during the second half of the season and the spanish midfielder was one of the worst players on the pitch again in his country 's 2-1 defeat by holland on tuesday .
the chelsea midfielder struggled to make an impact in midfield as the european champions fell to defeat</t>
  </si>
  <si>
    <t>the chelsea midfielder struggled to make an impact in midfield as the european champions fell to defeat</t>
  </si>
  <si>
    <t>83-5</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</si>
  <si>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3-15 win over hull city , but that was his first in five games
mourinho is looking to guide his team over the line in the premier league title race , with fabregas a key cog</t>
  </si>
  <si>
    <t>cesc fabregas ( right ) captained spain on tuesday but his poor form continued as they lost 2-0 in holland
it seems an accepted trend that chelsea midfielder cesc fabregas struggles during the second half of the season and the spanish midfielder was one of the worst players on the pitch again in his country 's 2-2 defeat by holland on tuesday .
the chelsea midfielder struggled to make an impact in midfield as the european champions fell to defeat</t>
  </si>
  <si>
    <t>cesc fabregas ' poor form continued for spain against holland on tuesday</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</si>
  <si>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3-16 win over hull city , but that was his first in five games
mourinho is looking to guide his team over the line in the premier league title race , with fabregas a key cog</t>
  </si>
  <si>
    <t>cesc fabregas ( right ) captained spain on tuesday but his poor form continued as they lost 2-0 in holland
it seems an accepted trend that chelsea midfielder cesc fabregas struggles during the second half of the season and the spanish midfielder was one of the worst players on the pitch again in his country 's 2-3 defeat by holland on tuesday .
the chelsea midfielder struggled to make an impact in midfield as the european champions fell to defeat</t>
  </si>
  <si>
    <t>chelsea midfielder captained his country but they lost 2-0 in amsterdam</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</si>
  <si>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3-17 win over hull city , but that was his first in five games
mourinho is looking to guide his team over the line in the premier league title race , with fabregas a key cog</t>
  </si>
  <si>
    <t>cesc fabregas ( right ) captained spain on tuesday but his poor form continued as they lost 2-0 in holland
it seems an accepted trend that chelsea midfielder cesc fabregas struggles during the second half of the season and the spanish midfielder was one of the worst players on the pitch again in his country 's 2-4 defeat by holland on tuesday .
the chelsea midfielder struggled to make an impact in midfield as the european champions fell to defeat</t>
  </si>
  <si>
    <t>thierry henry 's mark of 20 in 2002-03 is four more than fabregas ' total</t>
  </si>
  <si>
    <t>84-5</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</si>
  <si>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t>
  </si>
  <si>
    <t>but tibetan mastiffs are now so unpopular in china they are being sent to slaughterhouses -- and their meat put into cheap hotpots .
big beauty : tibetan mastiffs can weigh 80kg
the dogs ' dramatic decline in fortune is being partly blamed on the chinese government 's wide-reaching anti-corruption crackdown .</t>
    <phoneticPr fontId="4" type="noConversion"/>
  </si>
  <si>
    <t>big beauty : tibetan mastiffs can weigh 80kg</t>
  </si>
  <si>
    <t>tibetan mastiffs had been status symbols for china 's wealthiest</t>
  </si>
  <si>
    <t>84-5</t>
  </si>
  <si>
    <t>they were given as gifts to grateful officials by businessmen</t>
  </si>
  <si>
    <t>85-5</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</si>
  <si>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t>
  </si>
  <si>
    <t>premier league outfit west ham are closing in on the signature of jamaican starlet deshane beckford
meanwhile , west ham have revealed season tickets at the olympic stadium will cost as little as # 289 .
the skilful 17-year-old forward from montego bay united was invited to train with west ham 's academy earlier this month and has impressed coaches after spending two weeks with the club .</t>
    <phoneticPr fontId="4" type="noConversion"/>
  </si>
  <si>
    <t>the skilful 17-year-old forward from montego bay united was invited to train with west ham 's academy earlier this month and has impressed coaches after spending two weeks with the club .</t>
  </si>
  <si>
    <t>jamaican starlet beckford has been linked with a host of european clubs</t>
  </si>
  <si>
    <t>87-5</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</si>
  <si>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t>
    <phoneticPr fontId="4" type="noConversion"/>
  </si>
  <si>
    <t>half of them were assaulted before they were 18 years old .
the poll led to calls for a campaign to stem sexist or threatening behaviour on buses and trains .
the poll of 600 women from the area around paris found that half of those interviewed said they had first suffered harassment under the age of 18 .</t>
    <phoneticPr fontId="4" type="noConversion"/>
  </si>
  <si>
    <t>half of them were assaulted before they were 18 years old .</t>
  </si>
  <si>
    <t>all claimed to have been victim of harassment on transport system</t>
  </si>
  <si>
    <t>88-5</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</si>
  <si>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</si>
  <si>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last night the victim , mike lane , 40 , who was beaten by balaclava-clad protesters armed with iron bars on ropes , condemned the decision by police as ` pathetic ' .
police have dropped an investigation into a vicious assault on a huntsman just three months after it took place -- despite a wealth of evidence pointing to the identity of a suspected attacker .
attack : mike lane ,40 , who is joint master of the tedworth hunt , on the ground during the confrontation with hunt saboteurs</t>
    <phoneticPr fontId="4" type="noConversion"/>
  </si>
  <si>
    <t>police have dropped an investigation into a vicious assault on a huntsman just three months after it took place -- despite a wealth of evidence pointing to the identity of a suspected attacker .</t>
  </si>
  <si>
    <t>attack : mike lane ,40 , who is joint master of the tedworth hunt , on the ground during the confrontation with hunt saboteurs</t>
  </si>
  <si>
    <t>88-5</t>
  </si>
  <si>
    <t>attack happened as 30 riders and hounds were chasing artificial scent</t>
  </si>
  <si>
    <t>wiltshire police handed video footage and some names of saboteurs</t>
  </si>
  <si>
    <t>89-5</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</si>
  <si>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36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</si>
  <si>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leeds-based direct line is running a competition called #everydayfix .
the products were designed as part of the direct line everyday fix design makeathon .
these include forgetting to lock the door , which one company hopes to solve with their forget me lock prototype , shown</t>
    <phoneticPr fontId="4" type="noConversion"/>
  </si>
  <si>
    <t>these include forgetting to lock the door , which one company hopes to solve with their forget me lock prototype , shown</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</si>
  <si>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37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</si>
  <si>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 products were designed as part of the direct line everyday fix design makeathon .</t>
  </si>
  <si>
    <t>89-5</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</si>
  <si>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38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</si>
  <si>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they asked groups to design products to deal with common problems</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</si>
  <si>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39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</si>
  <si>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these include forgetting to lock the door and running out of battery</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</si>
  <si>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40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</si>
  <si>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you can vote for your favourite design and the winner will be crowdfunded</t>
  </si>
  <si>
    <t>90-5</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</si>
  <si>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</si>
  <si>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the former hearts boss joined the club as assistant boss to allan johnston last summer but took control of the team when his ex-tynecastle team-mate quit at the start of february .
kilmarnock interim manager gary locke has been given the role on a permanent basis after signing a three-year deal .
the 39-year-old - who will speak at a press conference on friday morning - has lost just once in seven games since taking over at rugby park .</t>
    <phoneticPr fontId="4" type="noConversion"/>
  </si>
  <si>
    <t>93-5</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</si>
  <si>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t>
  </si>
  <si>
    <t>vera baird donated # 500,000 to victims first northumbria , a charity which supports crime victims in her area and of which she is a director .
the pair now face a ministry of justice probe as critics accuse them of concocting ' a soap opera ' within the force .
sitting alongside her on the organisation 's top table is sue sim , northumbria 's chief constable , records revealed .</t>
    <phoneticPr fontId="4" type="noConversion"/>
  </si>
  <si>
    <t>94-5</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</si>
  <si>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2033 letter from gadahn making recommendations for al qaeda 's media strategy .
gadahn was married to a muslim woman from afghanistan and reportedly had at least one child .
cnn 's steve almasy contributed to this report .</t>
  </si>
  <si>
    <t>the white house announced thursday that adam gadahn , 36 , was killed in january in a u.s. government counterterrorism operation .
while he was n't one of al qaeda 's top leaders , gadahn was one of its most prominent members , given his many statements on behalf of the organization .
also known as azzam the american , he was born in 1978 .</t>
    <phoneticPr fontId="4" type="noConversion"/>
  </si>
  <si>
    <t>the white house announced thursday that adam gadahn , 36 , was killed in january in a u.s. government counterterrorism operation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</si>
  <si>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2034 letter from gadahn making recommendations for al qaeda 's media strategy .
gadahn was married to a muslim woman from afghanistan and reportedly had at least one child .
cnn 's steve almasy contributed to this report .</t>
  </si>
  <si>
    <t>the white house announced thursday that adam gadahn , 36 , was killed in january in a u.s. government counterterrorism operation .
while he was n't one of al qaeda 's top leaders , gadahn was one of its most prominent members , given his many statements on behalf of the organization .
also known as azzam the american , he was born in 1979 .</t>
  </si>
  <si>
    <t>while he was n't one of al qaeda 's top leaders , gadahn was one of its most prominent members , given his many statements on behalf of the organization .</t>
  </si>
  <si>
    <t>94-5</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</si>
  <si>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2035 letter from gadahn making recommendations for al qaeda 's media strategy .
gadahn was married to a muslim woman from afghanistan and reportedly had at least one child .
cnn 's steve almasy contributed to this report .</t>
  </si>
  <si>
    <t>the white house announced thursday that adam gadahn , 36 , was killed in january in a u.s. government counterterrorism operation .
while he was n't one of al qaeda 's top leaders , gadahn was one of its most prominent members , given his many statements on behalf of the organization .
also known as azzam the american , he was born in 1980 .</t>
  </si>
  <si>
    <t>also known as azzam the american , he was born in 1978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</si>
  <si>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2036 letter from gadahn making recommendations for al qaeda 's media strategy .
gadahn was married to a muslim woman from afghanistan and reportedly had at least one child .
cnn 's steve almasy contributed to this report .</t>
  </si>
  <si>
    <t>the white house announced thursday that adam gadahn , 36 , was killed in january in a u.s. government counterterrorism operation .
while he was n't one of al qaeda 's top leaders , gadahn was one of its most prominent members , given his many statements on behalf of the organization .
also known as azzam the american , he was born in 1981 .</t>
  </si>
  <si>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</si>
  <si>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2037 letter from gadahn making recommendations for al qaeda 's media strategy .
gadahn was married to a muslim woman from afghanistan and reportedly had at least one child .
cnn 's steve almasy contributed to this report .</t>
  </si>
  <si>
    <t>the white house announced thursday that adam gadahn , 36 , was killed in january in a u.s. government counterterrorism operation .
while he was n't one of al qaeda 's top leaders , gadahn was one of its most prominent members , given his many statements on behalf of the organization .
also known as azzam the american , he was born in 1982 .</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</si>
  <si>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</si>
  <si>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2038 letter from gadahn making recommendations for al qaeda 's media strategy .
gadahn was married to a muslim woman from afghanistan and reportedly had at least one child .
cnn 's steve almasy contributed to this report .</t>
  </si>
  <si>
    <t>the white house announced thursday that adam gadahn , 36 , was killed in january in a u.s. government counterterrorism operation .
while he was n't one of al qaeda 's top leaders , gadahn was one of its most prominent members , given his many statements on behalf of the organization .
also known as azzam the american , he was born in 1983 .</t>
  </si>
  <si>
    <t>he converted to islam in 1995 , left u.s. in 1998 and joined al qaeda , becoming a spokesman</t>
  </si>
  <si>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</si>
  <si>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martin skrtel ( left ) says departing liverpool captain steven gerrard is still one of the best players in the world
martin skrtel has praised the impact steven gerrard has had upon him since arriving at anfield in 2008 but believes liverpool can overcome the difficult challenge of replacing him .
gerrard is aiming to end his liverpool career by making the fa cup final and beating arsenal</t>
    <phoneticPr fontId="4" type="noConversion"/>
  </si>
  <si>
    <t xml:space="preserve"> left )</t>
    <phoneticPr fontId="4" type="noConversion"/>
  </si>
  <si>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</si>
  <si>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from eustis says teachers at seminole county elementary warned they would remove kindergartner logan from class because the products , manufactured by doterra , smell and are a distraction to youngsters around him .
the 32-year-old puts the oil on his neck as she believes it keeps him calm and focused
she claims her boy has been using them all year , but then a teacher 's aide complained .</t>
    <phoneticPr fontId="4" type="noConversion"/>
  </si>
  <si>
    <t xml:space="preserve">she claims her boy has been using them all year , but then a teacher 's aide complained . </t>
    <phoneticPr fontId="4" type="noConversion"/>
  </si>
  <si>
    <t xml:space="preserve">school district have said they will not suspend him as it 's a ` health issue ' </t>
  </si>
  <si>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</si>
  <si>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a new study has revealed that a third of men have never picked up a bucket and a chamois leather to wash their own car ( file pic )
meanwhile only five per cent of those surveyed said that had ever asked their children to wash the car , as a way for them to earn extra pocket money .
other reasons given for not washing cars include the rise of hand car washes and the fact that 4x4 and off-road vehicles are too large to clean .</t>
    <phoneticPr fontId="4" type="noConversion"/>
  </si>
  <si>
    <t>( file pic )</t>
  </si>
  <si>
    <t>meanwhile only five per cent of those surveyed said that had ever asked their children to wash the car , as a way for them to earn extra pocket money .</t>
  </si>
  <si>
    <t>only 12 per cent that have cleaned their own car say they do it regularly</t>
  </si>
  <si>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</si>
  <si>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ravaged : ninety condos on the beach in westhampton were obliterated by flames on wednesday afternoon
smoked poured over westhampton beach on wednesday at 3pm as a fire spread through 90 condos before the building eventually collapsed .
intense : residents said the fire , whic is being investigated , was so intense it melted the paint off buildings nearby</t>
    <phoneticPr fontId="4" type="noConversion"/>
  </si>
  <si>
    <t xml:space="preserve">ravaged : </t>
  </si>
  <si>
    <t>intense :</t>
  </si>
  <si>
    <t>smoked poured over westhampton beach on wednesday at 3pm as a fire spread through 90 condos before the building eventually collapsed .</t>
  </si>
  <si>
    <t>twelve fire teams were deployed to fight the blaze but could only battle it from the outside , it lasted past 8pm</t>
  </si>
  <si>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</si>
  <si>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moreover , her photographs and memorabilia had all been lost over the years .</t>
    <phoneticPr fontId="4" type="noConversion"/>
  </si>
  <si>
    <t>( cnn )</t>
  </si>
  <si>
    <t>moreover , her photographs and memorabilia had all been lost over the years .</t>
  </si>
  <si>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</si>
  <si>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the monarch , 88 , was spotted trotting through windsor great park aboard her faithful black fell pony , carltonlima emma .
enjoying the sunshine : the queen enjoys a ride on her fell pony carltonlima emma
the queen , who has never worn riding helmets , has been encouraged to wear the safety hats in the past but is reportedly reluctant to wear one because of her hair .</t>
    <phoneticPr fontId="4" type="noConversion"/>
  </si>
  <si>
    <t>enjoying the sunshine : the queen enjoys a ride on her fell pony carltonlima emma</t>
  </si>
  <si>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</si>
  <si>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the two men allegedly ignited an aerosol spray with a lighter causing a large flame to make contact with a quokka on rottnest island off perth in western australia on april 3 .
they have each been charged with animal cruelty and will appear in fremantle magistrates court on april 17 .
the lucky little critter survived the reckless incident but was singed by the flame .</t>
    <phoneticPr fontId="4" type="noConversion"/>
  </si>
  <si>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</si>
  <si>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leon yeaman , 55 , was allegedly killed by a single punch in the head from 28-year-old shift worker phillip pama , 28 , during a row in front of their north brisbane homes .
an argument between two brisbane neighbours over noise levels has ended in tragedy with one man dead and another charged with manslaughter .
the father of three allegedly killed his 55-year-old neighbour with one punch after he refused to turn his music down</t>
    <phoneticPr fontId="4" type="noConversion"/>
  </si>
  <si>
    <t>the father of three allegedly killed his 55-year-old neighbour with one punch after he refused to turn his music down</t>
  </si>
  <si>
    <t>pama was granted conditional bail and is set to return to court may 18 .</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</si>
  <si>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</si>
  <si>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t>
    <phoneticPr fontId="4" type="noConversion"/>
  </si>
  <si>
    <t>bradley cooper was nominated for an oscar for his portrayal of chris kyle , a navy seal and the most lethal sniper in u.s. military history .</t>
  </si>
  <si>
    <t>some complained about the film 's depiction of the iraq war</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</si>
  <si>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</si>
  <si>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jilted music teacher yulia simonova , 52 , wanted to hire a hitman to torture and murder 15-year-old damian vanya after he ended their relationship
the russian music teacher now faces 15 years in prison after being charged with attempted murder '
but police set up a sting operation , sending one of their undercover officers to pose as a hitman during a meeting with simonova in the russian city of shatura , near the capital of moscow .</t>
    <phoneticPr fontId="4" type="noConversion"/>
  </si>
  <si>
    <t>but police set up a sting operation , sending one of their undercover officers to pose as a hitman during a meeting with simonova in the russian city of shatura , near the capital of moscow .</t>
  </si>
  <si>
    <t>offered to pay ` hitman ' # 1,400</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</si>
  <si>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</si>
  <si>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louise redknapp says that a wide-leg trouser can come as a welcome relief from the skinny jean
be it denim , cropped , printed or striped , the wide leg trouser is at the forefront of ss15 trends .
the wide-leg trouser made an appearance on several catwalks including on the runway of gucci ss15 who showcased a denim take on the trend , for a high street take try the topshop miller jean ( right )</t>
    <phoneticPr fontId="4" type="noConversion"/>
  </si>
  <si>
    <t>be it denim , cropped , printed or striped , the wide leg trouser is at the forefront of ss15 trends .</t>
  </si>
  <si>
    <t>the wide-leg trouser made an appearance on several catwalks including on the runway of gucci ss15 who showcased a denim take on the trend , for a high street take try the topshop miller jean ( right )</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</si>
  <si>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</si>
  <si>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former real madrid manager said he only prays for things in is personal life , never about chelsea . '</t>
    <phoneticPr fontId="4" type="noConversion"/>
  </si>
  <si>
    <t>the former real madrid manager said he only prays for things in is personal life , never about chelsea . '</t>
  </si>
  <si>
    <t>he also claims that he is essentially a ` very good person ' despite his antics</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</si>
  <si>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</si>
  <si>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england flanker james haskell dressed in iron man costume and posted it on his instagram page
the highly-anticipated movie premiered at westfield london shopping centre on tuesday evening with fans queuing up to see the a-list cast which includes robert downey jr. , chris hemsworth and scarlett johansson .
with the new avengers : age of ultron movie released this week , james haskell showed off his inner iron man in a serious-looking instagram post .</t>
    <phoneticPr fontId="4" type="noConversion"/>
  </si>
  <si>
    <t>with the new avengers : age of ultron movie released this week , james haskell showed off his inner iron man in a serious-looking instagram post .</t>
  </si>
  <si>
    <t>haskell returned to london wasps for the 2012 season and is captain</t>
  </si>
  <si>
    <t>with fans queuing up to see the a-list cast which includes robert downey jr. , chris hemsworth and scarlett johansson .</t>
    <phoneticPr fontId="4" type="noConversion"/>
  </si>
  <si>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</si>
  <si>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on the april 1 edition of " the price is right " encountered not host drew carey but another familiar face in charge of the proceedings .
instead , there was bob barker , who hosted the tv game show for 35 years before stepping down in 2007 .
( cnn ) for the first time in eight years , a tv legend returned to doing what he does best .</t>
    <phoneticPr fontId="4" type="noConversion"/>
  </si>
  <si>
    <t>( cnn ) for the first time in eight years , a tv legend returned to doing what he does best .</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</si>
  <si>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</si>
  <si>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amateur jockey lee lewis ferguson has just a cut on his nose to show for his ordeal
teenager ferguson was flung from his horse in spectacular fashion at wincanton
ferguson 's spectacular double somersault fall from the favourite merrion square in the 4.20 pm at wincanton has been watched hundreds of thousands of times online .</t>
    <phoneticPr fontId="4" type="noConversion"/>
  </si>
  <si>
    <t>lewis ferguson was mucking out the stables as usual on thursday</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</si>
  <si>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</si>
  <si>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agent arthur baldwin was taken into custody at 12:30 am on friday on a residential street in south-eastern d.c. by the metropolitan police .
he has been hit with a felony charge of attempted burglary and another of destruction of property .
an off-duty secret service agent was arrested this morning in washington d.c. after allegedly attempting to break into a house at midnight .</t>
    <phoneticPr fontId="4" type="noConversion"/>
  </si>
  <si>
    <t>an off-duty secret service agent was arrested this morning in washington d.c. after allegedly attempting to break into a house at midnight .</t>
  </si>
  <si>
    <t>the agency revoked baldwin 's security clearance and put him on leave in light of the arrest .</t>
  </si>
  <si>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</si>
  <si>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pablo osvaldo thinks that his former team-mates andrea pirlo and francesco totti should move to boca
the 29-year-old moved to his current side on a loan deal from southampton and has become an instant hit - scoring three goals in six games .
totti ( 10 ) is a roma legend and osvaldo feels that he would be just as loved if he moved to argentina</t>
    <phoneticPr fontId="4" type="noConversion"/>
  </si>
  <si>
    <t>totti ( 10 ) is a roma legend and osvaldo feels that he would be just as loved if he moved to argentina</t>
  </si>
  <si>
    <t>osvaldo believes the boca fans ' would go crazy ' for the italian duo .</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</si>
  <si>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</si>
  <si>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fearless atif saeed , 38 , from lahore , pakistan was in the city 's safari park when he spotted the male lion in the distance .
atif saeed crept to within 10 feet of the hungry lion before leaving the safety of his car to lie on the ground
armed only with a camera , mr saeed , managed to capture a couple of frames before retreating to safety</t>
    <phoneticPr fontId="4" type="noConversion"/>
  </si>
  <si>
    <t>as soon as the camera captured the image , mr saeed had to flee for his life</t>
  </si>
  <si>
    <t>the lion charged at the intrepid photographer as he closed the car 's door</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</si>
  <si>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phoneticPr fontId="4" type="noConversion"/>
  </si>
  <si>
    <t>alves has been unable to agree a new deal with the catalan club and will leave the nou camp this summer
dinorah santana , alves 's agent and ex-wife , confirmed that the right-back had rejected a three-year deal
alves has enjoyed seven successful years at barcelona , winning four spanish titles and the champions league twice .</t>
    <phoneticPr fontId="4" type="noConversion"/>
  </si>
  <si>
    <t>dinorah santana , alves 's agent and ex-wife , confirmed that the right-back had rejected a three-year deal</t>
  </si>
  <si>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</si>
  <si>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the unnamed woman , believed to be between 25 and 45 years old , was discovered lying unconscious march 22 in the area near shore parkway and 26th avenue in the gravesend section of brooklyn .
distinctive : nypd has released images of a heart tattoo with the name ` monique ' found on an unnamed woman who died in brooklyn last month .
paramedics who responded to the scene were unable to revive her and she was pronounced dead that evening .</t>
    <phoneticPr fontId="4" type="noConversion"/>
  </si>
  <si>
    <t>distinctive :</t>
  </si>
  <si>
    <t>paramedics who responded to the scene were unable to revive her and she was pronounced dead that evening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</si>
  <si>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</si>
  <si>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an afghan lawmaker taking part in the protests in the city of khost was among the 64 people wounded , said faizullah ghairat , the provincial police chief .
kabul , afghanistan ( cnn ) a suicide bomber detonated his explosives near a group of protesters in eastern afghanistan on thursday , killing 17 people and wounding dozens more , police said .
taliban spokesman zabiullah mujahid denied his group was responsible for the attack .</t>
    <phoneticPr fontId="4" type="noConversion"/>
  </si>
  <si>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</si>
  <si>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hannah and alex purchased a 1986 hino flatbed and undertook their year and a half labor of love .
the result was a solar-powered two-bedroom , wood and steel home that now allows them to live almost self-sufficiently in nelson , new zealand .
a new zealand couple needed a home upon returning home after living in the uk , so they built one on the back of an old flatbed truck .</t>
    <phoneticPr fontId="4" type="noConversion"/>
  </si>
  <si>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</si>
  <si>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according to the yougov survey for the sunday times , 12 per cent of people questioned thought that the child should be named after william 's mother - diana the princess of wales .
a new poll has revealed that diana is the favourite option for baby if it is a girl .
brits are hoping for a baby princess this time and favour the name diana</t>
    <phoneticPr fontId="4" type="noConversion"/>
  </si>
  <si>
    <t>according to the yougov survey for the sunday times , 12 per cent of people questioned thought that the child should be named after william 's mother - diana the princess of wales .</t>
  </si>
  <si>
    <t>a new poll has revealed that diana is the favourite option for baby if it is a girl .</t>
  </si>
  <si>
    <t>alice and charlotte were the second favourite names if it 's a girl .</t>
  </si>
  <si>
    <t>if it 's a boy , then the favourite name is james , followed by alexander .</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</si>
  <si>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</si>
  <si>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shared ipad students scored around 30 points higher in a test than students who used the device on their own and non-ipad users ( stock image above )</t>
    <phoneticPr fontId="4" type="noConversion"/>
  </si>
  <si>
    <t>the findings come after the general secretary of the national association of head teachers said he was dubious about using technology as a teaching aid in non-it classes .</t>
  </si>
  <si>
    <t>however , research into the effects of the devices on literacy levels suggests the best outcome comes from youngsters sharing devices .</t>
  </si>
  <si>
    <t>( stock image above )</t>
  </si>
  <si>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</si>
  <si>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nina has tried to commit suicide .</t>
    <phoneticPr fontId="4" type="noConversion"/>
  </si>
  <si>
    <t>nina moric , 38 , posted several photographs of heavy bruising on her arms on her instagram account which has more than 40,000 users .</t>
  </si>
  <si>
    <t>nina has tried to commit suicide .</t>
  </si>
  <si>
    <t>italian media claimed the croatian-born model tried to take her own life</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</si>
  <si>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</si>
  <si>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t>
    <phoneticPr fontId="4" type="noConversion"/>
  </si>
  <si>
    <t>the heartwarming clip featured on the people 's daily online shows the young animal taking unsteady steps , wobbling about with its snout to the ground , foraging for food .</t>
    <phoneticPr fontId="4" type="noConversion"/>
  </si>
  <si>
    <t>villagers have flocked to see the two-legged animal in qionglai city</t>
    <phoneticPr fontId="4" type="noConversion"/>
  </si>
  <si>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</si>
  <si>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t>
    <phoneticPr fontId="4" type="noConversion"/>
  </si>
  <si>
    <t>the state emergency service was deluged with calls for assistance last week and has more than 4,000 jobs from the 24,196 requests still to be completed .</t>
  </si>
  <si>
    <t>ses spokeswoman stephanie wills says the organisation is concerned that more storms will these hamper clean-up efforts .</t>
  </si>
  <si>
    <t>the ses says it is concerned about the impact this will have on communities hard hit by last week 's storms - particularly in the hunter</t>
  </si>
  <si>
    <t>residents urged to prepare their homes to prevent more damage</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</si>
  <si>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</si>
  <si>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todd phillips , a front-outside tire changer for dayle coyne racing , was injuried when he was struck by the car of francesco dracone , who had come in on lap 25 for tires and fuel .
phillips was taken to the infield care center for treatment where he has received stitches for a cut on his leg and has been released .
dracone spun while exiting his put box , clipping phillips ' leg .</t>
    <phoneticPr fontId="4" type="noConversion"/>
  </si>
  <si>
    <t>dracone spun while exiting his put box , clipping phillips ' leg .</t>
  </si>
  <si>
    <t>dracone did not finish the race and wound up 23rd .</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</si>
  <si>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</si>
  <si>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anastasia pavlyuchenkova of russia beat germany 's sabine lisicki for a 2-0 lead in their fed cup tie
pavlyuchenkova saved the match point in the second set before going on to beat lisicki 4-6 , 7-6 ( 4 ) , 6-3 , after svetlana kuznetsova beat julia goerges in straight sets in the opening rubber .
the result left russia needing one win from sunday 's three matches to reach the final and bag a first fed cup title since 2008 .</t>
    <phoneticPr fontId="4" type="noConversion"/>
  </si>
  <si>
    <t>the result left russia needing one win from sunday 's three matches to reach the final and bag a first fed cup title since 2008 .</t>
  </si>
  <si>
    <t>svetlana kuznetsova beats julia goerges in straight sets in fed cup</t>
  </si>
  <si>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</si>
  <si>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milton vieira severiano confessed that he battered and shot his wife because he was jealous of men looking at her
dancer cicera alves de sena ( pictured ) was killed by her husband after he 'd yelled at her that she was ' a slut '
horrific cctv footage has emerged of a husband smashing his dancer wife 's head into concrete paving 11 times then shooting her in the face five times .</t>
    <phoneticPr fontId="4" type="noConversion"/>
  </si>
  <si>
    <t>(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</si>
  <si>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she also has a tracheostomy in her throat , the source said .</t>
    <phoneticPr fontId="4" type="noConversion"/>
  </si>
  <si>
    <t>though the 22-year-old is no longer in a medically induced coma , she remains unresponsive , cissy houston said in a statement monday after visiting her granddaughter .</t>
  </si>
  <si>
    <t>she also has a tracheostomy in her throat , the source said .</t>
  </si>
  <si>
    <t xml:space="preserve">brown 's mother says bobbi kristina brown 's condition has improved </t>
  </si>
  <si>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</si>
  <si>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sarah wilson opened up in a candid interview about how her battle with mental illness drove her to believe her life was n't worth living
ms wilson said while she now accepts she is an ` anxious person ' , when she was younger she watched everybody else coping and felt like she had ` missed out on a guide book to life ' .
she said ` people get on with their lives ' and while she had n't found a husband , nor had children , she felt increasingly isolated . '</t>
    <phoneticPr fontId="4" type="noConversion"/>
  </si>
  <si>
    <t>ms wilson said while she now accepts she is an ` anxious person ' , when she was younger she watched everybody else coping and felt like she had ` missed out on a guide book to life ' .</t>
  </si>
  <si>
    <t>she said ` people get on with their lives ' and while she had n't found a husband , nor had children , she felt increasingly isolated . '</t>
  </si>
  <si>
    <t>anxiety , stress , loneliness and a thyroid disease made her feel worthless</t>
  </si>
  <si>
    <t>one in three australian women will experience anxiety in their lifetime</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</si>
  <si>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</si>
  <si>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the ireland under 21 international wears children 's shinpads - and says is n't about to change
jack grealish is renowned for wearing his socks low when he takes to the field for aston villa
grealish was pleased to have finally made his first premier league start for villa against qpr</t>
    <phoneticPr fontId="4" type="noConversion"/>
  </si>
  <si>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</si>
  <si>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curtin gave birth in january .</t>
    <phoneticPr fontId="4" type="noConversion"/>
  </si>
  <si>
    <t>curtin gave birth in january .</t>
  </si>
  <si>
    <t>boyfriend 's ex was injecting drugs in her bathroom when she came home</t>
  </si>
  <si>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</si>
  <si>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t>
    <phoneticPr fontId="4" type="noConversion"/>
  </si>
  <si>
    <t>hk</t>
    <phoneticPr fontId="4" type="noConversion"/>
  </si>
  <si>
    <t>the plant , located in zhangzhou city , produces paraxylene ( px ) , a reportedly carcinogenic chemical used in the production of polyester films and fabrics .</t>
  </si>
  <si>
    <t>for the second time in two years</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</si>
  <si>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</si>
  <si>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being fed some treats .
but in a bid to trick her , her owner throws a broccoli spear into the mix .
she then proceeds to spit it out on the floor .</t>
    <phoneticPr fontId="4" type="noConversion"/>
  </si>
  <si>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</si>
  <si>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kushner , 32 , is one of more than a dozen former drug dealers testifying for the federal government about allegations of police wrongdoing .
witness robert kushner lost his varsity coaching job at a private academy after testifying this week about his years selling marijuana .
he told jurors tuesday that some of the undercover officers on trial had stolen $ 81,000 in cash and 7 pounds of marijuana from him during a 2007 arrest .</t>
    <phoneticPr fontId="4" type="noConversion"/>
  </si>
  <si>
    <t>he told jurors tuesday that some of the undercover officers on trial had stolen $ 81,000 in cash and 7 pounds of marijuana from him during a 2007 arrest .</t>
  </si>
  <si>
    <t>kushner had passed a background check when he was hired to coach basketball in 2010</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</si>
  <si>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</si>
  <si>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the porn site took over the address after the awards were scrapped in 2011 and the organisers allowed its registration on hsbc.com.hk to retire .
anyone trying to access the bank 's page for the young entrepreneur awards - which has since been shut down - was greeted by images of women posing naked or having sex .
hsbc has apologised after a link on its official website directed visitors to a pornographic page .</t>
    <phoneticPr fontId="4" type="noConversion"/>
  </si>
  <si>
    <t>and denied association with the page</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</si>
  <si>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</si>
  <si>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youtube user lionel hutz filmed his young son chasing the family feline around the garden in a bid to get some rest . 
 footage shows the cat licking his fur before his human friend comes along and plonks himself on top . 
 the boy then proceeds to follow the pet to his new location .</t>
    <phoneticPr fontId="4" type="noConversion"/>
  </si>
  <si>
    <t xml:space="preserve"> the boy then proceeds to follow the pet to his new location .</t>
  </si>
  <si>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</si>
  <si>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marcus and his nine-year-old sister aaliyah were trapped in a second-floor bedroom after the fire broke out on the first floor of their home in clinton .
a 13-year-old maryland boy provided firefighters with instructions during a 911 call and got himself and his little sister rescued after his family 's home caught fire on sunday morning ,
he also soothed his sister after she blurted out , ` we 're going to die ' , during the call and told her to ` stay low ' and reminded her to breathe .</t>
    <phoneticPr fontId="4" type="noConversion"/>
  </si>
  <si>
    <t>he also soothed his sister after she blurted out , ` we 're going to die ' , during the call and told her to ` stay low ' and reminded her to breathe .</t>
  </si>
  <si>
    <t>siblings saved and 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</si>
  <si>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</si>
  <si>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jerusalem ( cnn ) a palestinian teenager 's name will be removed from an israeli memorial commemorating fallen soldiers and the victims of terrorism after his family and others complained .
abu khdeir , 16 , was beaten and burned alive by three israelis in july , according to prosecutors .
mohammed abu khdeir 's name appeared this week on the wall at jerusalem 's mount herzl , the site of the national cemetery , as the nation prepared to mark its memorial day on wednesday .</t>
    <phoneticPr fontId="4" type="noConversion"/>
  </si>
  <si>
    <t>jerusalem</t>
  </si>
  <si>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</si>
  <si>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the images were taken in jervis bay , the south coast of nsw , as the neon glow illuminated one of australia 's popular beaches .
photographer andy hutchinson described the sight as a ` beautiful supernatural scene ' caused by millions of plankton omitting light .
amazing pictures have emerged of blue fluorescent algae lighting up australia 's east coast .</t>
    <phoneticPr fontId="4" type="noConversion"/>
  </si>
  <si>
    <t>amazing pictures have emerged of blue fluorescent algae lighting up australia 's east coast .</t>
  </si>
  <si>
    <t>a similar display was shown in sydney 's manly beach back in august 2014</t>
  </si>
  <si>
    <t>iain suthers , of university of new south wales , says the algae blossoms in the spring and the autumn</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</si>
  <si>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</si>
  <si>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khan ( left ) has announced his next fight will be against chris algieri at welterweight on may 30
bolton-born boxer amir khan enjoyed a day a safari park with his family in northern california
khan posed alongside , and also fed , a rare but dangerous white tiger as well posing with stunning giraffes and sea lions at six flags discovery kingdom .</t>
    <phoneticPr fontId="4" type="noConversion"/>
  </si>
  <si>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</si>
  <si>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t>
    <phoneticPr fontId="4" type="noConversion"/>
  </si>
  <si>
    <t>for some women , the test can accurately tell if the risk is as low as five per cent , which is as good as if not better than the odds for those who have chemotherapy .</t>
  </si>
  <si>
    <t>the majority of women who have breast cancer are routinely given the gruelling drug treatment following removal of the tumour to prevent recurrence .</t>
  </si>
  <si>
    <t>breast cancer patients may be spared chemotherapy thanks to new tests
tests pinpoint genetic ` markers ' in tumour and determine aggressiveness</t>
    <phoneticPr fontId="4" type="noConversion"/>
  </si>
  <si>
    <t>they are available privately for # 2,500 and may be rolled out soon on nhs</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</si>
  <si>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</si>
  <si>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bondi 's icebergs club pool was drained on thursday to create a unique catwalk for mercedes-benz fashion week australia
the collection of ten is designed to be worn in 20 different ways , and are suitable for day to night wear .
ten pieces is headed up by icebergs restaurateur maurice terzini and his partner lucy hinckfuss .</t>
    <phoneticPr fontId="4" type="noConversion"/>
  </si>
  <si>
    <t>the collection of ten is designed to be worn in 20 different ways , and are suitable for day to night wear .</t>
  </si>
  <si>
    <t>guests sat in and around the pool to take in the capsule collection of monochrome unisex pieces</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</si>
  <si>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</si>
  <si>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eighteen other ships - including hms dragon , hms enterprise and hms richmond - had emergency evacuations , data obtained by the sun showed .</t>
    <phoneticPr fontId="4" type="noConversion"/>
  </si>
  <si>
    <t>eighteen other ships - including hms dragon , hms enterprise and hms richmond - had emergency evacuations , data obtained by the sun showed .</t>
    <phoneticPr fontId="4" type="noConversion"/>
  </si>
  <si>
    <t>mod spokesman confirmed there was a strict ' no touching ' rule in place .</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</si>
  <si>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</si>
  <si>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a leading member of the notorious paedophile information exchange , which campaigned to legalise child sex in the 1970s and 80s , has joined the supporters of the media pressure group hacked off .</t>
    <phoneticPr fontId="4" type="noConversion"/>
  </si>
  <si>
    <t>the organisation , set up in the wake of the phone-hacking scandal , is campaigning against what it sees as the ` biased and unfair ' independent press standards organisation .</t>
  </si>
  <si>
    <t>69-year-old former key activist jailed in 1981 for ` corrupting public morals '</t>
  </si>
  <si>
    <t>his attendance at the meeting is likely to be an embarrassment for group</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</si>
  <si>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</si>
  <si>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a drone carrying traces of a radioactive material was found on the rooftop of japan 's equivalent to the white house on wednesday , police and government officials said .
prime minister shinzo abe 's push to restart the reactors is unpopular among many japanese , who view nuclear energy as too dangerous .
the discovery came on the same day a japanese court approved a government plan to restart two reactors at the sendai nuclear power plant in kagoshima prefecture , more than four years after the fukushima daiichi nuclear disaster .</t>
    <phoneticPr fontId="4" type="noConversion"/>
  </si>
  <si>
    <t>prime minister shinzo abe 's push to restart the reactors is unpopular among many japanese , who view nuclear energy as too dangerous .</t>
    <phoneticPr fontId="4" type="noConversion"/>
  </si>
  <si>
    <t xml:space="preserve">the drone is sparking terrorism concerns </t>
  </si>
  <si>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</si>
  <si>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the five-year-old child is called mai zizhuo and he has been shooting hoops since he was two and a half years old , reported the people 's daily online .
a viral video is making the rounds in china , which shows a small boy displaying a dazzling array of basketball skills that would put to shame many professional players .
his incredible skills have won him legions of fans across basketball-mad china .</t>
    <phoneticPr fontId="4" type="noConversion"/>
  </si>
  <si>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</si>
  <si>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vulnerable : his elderly mother suffers from alzheimer 's and used to get lost when she was left alone</t>
    <phoneticPr fontId="4" type="noConversion"/>
  </si>
  <si>
    <t>vulnerable : his elderly mother suffers from alzheimer 's and used to get lost when she was left alone</t>
  </si>
  <si>
    <t>lu xincai says no one else can look after his 84-year-old mother</t>
  </si>
  <si>
    <t>now she goes with him to work on the backseat of his motorbike</t>
  </si>
  <si>
    <t>she 's now been given her own room at the bank where he works</t>
  </si>
  <si>
    <t>louise and emma say to avoid being drowned by too much fabric try a high heeled shoe</t>
    <phoneticPr fontId="4" type="noConversion"/>
  </si>
  <si>
    <t xml:space="preserve">jessica kemp , 32 , has slammed seminole county elementary in eustis . </t>
    <phoneticPr fontId="4" type="noConversion"/>
  </si>
  <si>
    <t>bates , 73 , was working as a reserve deputy for the tulsa county sheriff 's office on april 2 when he was involved the arrest of eric harris in a weapons sting operation .</t>
  </si>
  <si>
    <t>stephen curry eclipsed his own nba record for most 3-pointers in a season , scoring 45 points to rally the golden state warriors to a 116-105 victory over the portland trail blazers on thursday night .
pau gasol ( right ) had 16 points and 15 rebounds as the chicago bulls beat miami heat 89-78 on thursday
curry ( centre ) hit eight three-pointers to to eclipse his previous nba best of 272 made in a single season</t>
    <phoneticPr fontId="4" type="noConversion"/>
  </si>
  <si>
    <t xml:space="preserve">( right ) </t>
  </si>
  <si>
    <t xml:space="preserve"> ( centre ) </t>
  </si>
  <si>
    <t>95-5</t>
  </si>
  <si>
    <t>96-5</t>
  </si>
  <si>
    <t>97-5</t>
  </si>
  <si>
    <t>98-5</t>
  </si>
  <si>
    <t>99-5</t>
  </si>
  <si>
    <t>100-5</t>
  </si>
  <si>
    <t>101-5</t>
  </si>
  <si>
    <t>102-5</t>
  </si>
  <si>
    <t>103-5</t>
  </si>
  <si>
    <t>104-5</t>
  </si>
  <si>
    <t>105-5</t>
  </si>
  <si>
    <t>106-5</t>
  </si>
  <si>
    <t>107-5</t>
  </si>
  <si>
    <t>108-5</t>
  </si>
  <si>
    <t>109-5</t>
  </si>
  <si>
    <t>110-5</t>
  </si>
  <si>
    <t>111-5</t>
  </si>
  <si>
    <t>112-5</t>
  </si>
  <si>
    <t>113-5</t>
  </si>
  <si>
    <t>114-5</t>
  </si>
  <si>
    <t>115-5</t>
  </si>
  <si>
    <t>116-5</t>
  </si>
  <si>
    <t>117-5</t>
  </si>
  <si>
    <t>118-5</t>
  </si>
  <si>
    <t>119-5</t>
  </si>
  <si>
    <t>120-5</t>
  </si>
  <si>
    <t>121-5</t>
  </si>
  <si>
    <t>122-5</t>
  </si>
  <si>
    <t>123-5</t>
  </si>
  <si>
    <t>124-5</t>
  </si>
  <si>
    <t>125-5</t>
  </si>
  <si>
    <t>126-5</t>
  </si>
  <si>
    <t>127-5</t>
  </si>
  <si>
    <t>128-5</t>
  </si>
  <si>
    <t>129-5</t>
  </si>
  <si>
    <t>130-5</t>
  </si>
  <si>
    <t>131-5</t>
  </si>
  <si>
    <t>132-5</t>
  </si>
  <si>
    <t>133-5</t>
  </si>
  <si>
    <t>134-5</t>
  </si>
  <si>
    <t>135-5</t>
  </si>
  <si>
    <t>136-5</t>
  </si>
  <si>
    <t>137-5</t>
  </si>
  <si>
    <t>138-5</t>
  </si>
  <si>
    <t>139-5</t>
  </si>
  <si>
    <t>140-5</t>
  </si>
  <si>
    <t>141-5</t>
  </si>
  <si>
    <t>142-5</t>
  </si>
  <si>
    <t>144-5</t>
  </si>
  <si>
    <t>143-5</t>
  </si>
  <si>
    <t>2-5</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</si>
  <si>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</si>
  <si>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jamar nicholson , 15 , and his friends were hanging out in an alleyway in south l.a. before school on february 10 when two police officers working for the lapd 's criminal gang-homicide unit approached the boys with their guns drawn .
suing la for millions : jamar nicholson ( left ) and his friend jason huerta ( right ) , who stand solemnly in the alleyway where nicholson was shot , are suing the city of los angeles for $ 20 million
: one of the teens present at the shooting was holding this fake gun with an orange tip that lapd say they thought was real</t>
  </si>
  <si>
    <t>jamar nicholson , 15 , and his friends were hanging out in an alleyway in south l.a. before school on february 10 when two police officers working for the lapd 's criminal gang-homicide unit approached the boys with their guns drawn .</t>
  </si>
  <si>
    <t>who stand solemnly in the alleyway where nicholson was shot</t>
  </si>
  <si>
    <t>: one of the teens present at the shooting was holding this fake gun with an orange tip that lapd say they thought was real</t>
  </si>
  <si>
    <t>jamar nicholson , 15 , was shot in the back by officer miguel gutierrez on february 10 because his friend was holding a toy gun</t>
  </si>
  <si>
    <t>officer miguel gutierrez who shot nicholson has returned to duty but the incident is under investigation</t>
  </si>
  <si>
    <t>19-5</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</si>
  <si>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</si>
  <si>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increases are driven largely by women 's drinking habits as social norms change , researchers found .
in 2012 , 8 percent of americans were considered heavy drinkers and 18 percent were binge drinkers .</t>
  </si>
  <si>
    <t>in 2012 , 8 percent of americans were considered heavy drinkers and 18 percent were binge drinkers .</t>
  </si>
  <si>
    <t>55-5</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</si>
  <si>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</si>
  <si>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a passenger filmed the driver on a bus in auckland , new zealand , and sent the video to bus company ritchies coachlines along with a complaint .
ritchies coachlines boss andrew ritchie said he was embarrassed by the ` idiot ' driver 's actions . '
in the footage the driver can be seen flicking through pages of the newspaper while the bus is in motion .</t>
  </si>
  <si>
    <t>No errors</t>
  </si>
  <si>
    <t>68-5</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</si>
  <si>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</si>
  <si>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they say the procedure should only be carried out when ` medically necessary ' because it can lead to infections and even death .
just over a quarter of women giving birth in england now have a caesarean and the rate has more than doubled since the early 1990s .
a planned caesarean costs the nhs an average of # 2,369 , compared to a natural birth at # 1,665 .</t>
  </si>
  <si>
    <t>a planned caesarean costs the nhs an average of # 2,369 , compared to a natural birth at # 1,665 .</t>
  </si>
  <si>
    <t>86-5</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</si>
  <si>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</si>
  <si>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robarge has served nearly two years behind bars which means he could be eligible for parole in about 28 years , according to valley news .</t>
  </si>
  <si>
    <t>her badly decomposed body , with her hands and head detached , was found 10 days later in unity .</t>
  </si>
  <si>
    <t>91-5</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</si>
  <si>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</si>
  <si>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filkins , 44 , of west wareham has been charged with breaking and entering , larceny over $ 250 , and malicious destruction of property .
she was discovered at the court street property in edgartown by owner mark conklin on april 17 .
a woman has been arrested after she allegedly broke into a home on martha 's vineyard , lived inside for at least a week and sold items belonging to the owners in a yard sale .</t>
  </si>
  <si>
    <t xml:space="preserve"> sold items belonging to the owners in a yard sale .</t>
  </si>
  <si>
    <t>92-5</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</si>
  <si>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</si>
  <si>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the drugs , whose value is estimated at more than $ 105 million , are the biggest cocaine seizure ever carried out by french authorities , said michael lachaux , director of customs operations in martinique .
( cnn ) french customs officers say they have seized more than 2 tons of cocaine aboard a sailboat that was falsely flying an american flag in the caribbean .
in november , french customs officials seized nearly 250 kilograms ( 550 pounds ) of cocaine on a vessel that was also off the coast of martinique , according to authorities .</t>
  </si>
  <si>
    <t xml:space="preserve"> said michael lachaux , director of customs operations in martinique .</t>
  </si>
  <si>
    <t>that was falsely flying an american flag in the caribbean .</t>
  </si>
  <si>
    <t>in november , french customs officials seized nearly 250 kilograms ( 550 pounds ) of cocaine on a vessel that was also off the coast of martinique , according to authorities .</t>
  </si>
  <si>
    <t>officers arrested one venezuelan and two spanish citizens on board the vessel</t>
  </si>
  <si>
    <t>145-5</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</si>
  <si>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</si>
  <si>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the phone , which belonged to bella crooke from melbourne , was handed in to albury police station on the nsw-victoria border on sunday morning .
police officers on duty realised the phone was unlocked and used it to post selfies and puns on the woman 's facebook page , including this photo of the phone in a holding ` cell '
bella lost her phone at a friend 's birthday party the night before and dialled her number as soon as she realised . '</t>
  </si>
  <si>
    <t>146-5</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</si>
  <si>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</si>
  <si>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a baby girl was found in the bin inside the ladies ' toilet at a chinese burger bar
the woman , yuan yen , 34 , was found to have blood on her when she was approached .
workers who found the baby , who was wrapped in a shirt but was still attached to the umbilical cord and placenta , called the police and ambulance .</t>
  </si>
  <si>
    <t>the woman , yuan yen , 34 , was found to have blood on her when she was approached .</t>
  </si>
  <si>
    <t>but was otherwise fine</t>
  </si>
  <si>
    <t>she was arrested after cctv showed her visiting the restroom</t>
  </si>
  <si>
    <t>147-5</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</si>
  <si>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</si>
  <si>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the calf 's mother watched in horror as the hippo was flung into the air before being dragged along the surface of the water in the isimangaliso wetland park , in eastern south africa .
rivals : the two male hippos had been fighting for some time and the mother of the calf thought it would be safer to remain with her herd
her decision proved fatal for the baby when one of the brawling adults grabbed the calf between its jaws .</t>
  </si>
  <si>
    <t>her decision proved fatal for the baby when one of the brawling adults grabbed the calf between its jaws .</t>
  </si>
  <si>
    <t>five-day-old hippopotamus calf mauled to death after straying between two brawling adults in south africa</t>
  </si>
  <si>
    <t>148-5</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</si>
  <si>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</si>
  <si>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ian rogers owns nine haunted dolls all of which he says contain their own personality
ian rogers , 36 , became hooked on all things paranormal as a child and took part in his first ghost hunt in the year 2000 .
since then he has spent hundreds of pounds on the creepy collection ... and he 's on the hunt for more to add .</t>
  </si>
  <si>
    <t>ian rogers , 36 , became hooked on all things paranormal as a child and took part in his first ghost hunt in the year 2000 .</t>
  </si>
  <si>
    <t>the dolls are said to be haunted with the spirits of dead people</t>
  </si>
  <si>
    <t>149-5</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</si>
  <si>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</si>
  <si>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but if any buyer decides to extend the lease , the property could be worth upwards of # 6 million .</t>
  </si>
  <si>
    <t>the knightsbridge flat has been put on the market for a fraction of the price of neighbouring homes , at £ 575,000</t>
  </si>
  <si>
    <t>but renewal would not come cheap with the cost for a new 90-year lease estimated at between £ 3.35 and £ 4.5 million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</si>
</sst>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8">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name val="Arial"/>
      <family val="2"/>
    </font>
    <font>
      <sz val="11"/>
      <color rgb="FF000000"/>
      <name val="宋体"/>
      <family val="2"/>
      <charset val="134"/>
    </font>
    <font>
      <sz val="11"/>
      <color rgb="FFFF0000"/>
      <name val="Arial"/>
      <family val="2"/>
    </font>
    <font>
      <sz val="11"/>
      <color rgb="FF000000"/>
      <name val="Arial"/>
      <family val="2"/>
    </font>
  </fonts>
  <fills count="1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
      <patternFill patternType="solid">
        <fgColor rgb="FFFFFF00"/>
        <bgColor indexed="64"/>
      </patternFill>
    </fill>
    <fill>
      <patternFill patternType="solid">
        <fgColor theme="4"/>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25">
    <xf numFmtId="0" fontId="0" fillId="0" borderId="0" xfId="0"/>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0" fontId="17" fillId="12" borderId="0" xfId="0" applyFont="1" applyFill="1" applyBorder="1" applyAlignment="1">
      <alignment vertical="center"/>
    </xf>
    <xf numFmtId="0" fontId="17" fillId="13" borderId="0" xfId="0" applyFont="1" applyFill="1" applyBorder="1" applyAlignment="1">
      <alignment vertical="center"/>
    </xf>
    <xf numFmtId="49" fontId="18" fillId="0" borderId="1" xfId="0" applyNumberFormat="1" applyFont="1" applyFill="1" applyBorder="1" applyAlignment="1">
      <alignment horizontal="left" vertical="center"/>
    </xf>
    <xf numFmtId="49" fontId="11" fillId="0" borderId="1" xfId="0" applyNumberFormat="1" applyFont="1" applyFill="1" applyBorder="1" applyAlignment="1"/>
    <xf numFmtId="49" fontId="17" fillId="0" borderId="1" xfId="0" applyNumberFormat="1" applyFont="1" applyFill="1" applyBorder="1" applyAlignment="1">
      <alignment horizontal="left" vertical="center"/>
    </xf>
    <xf numFmtId="49" fontId="11" fillId="0" borderId="1" xfId="0" applyNumberFormat="1" applyFont="1" applyFill="1" applyBorder="1"/>
    <xf numFmtId="49" fontId="36" fillId="0" borderId="1" xfId="0" applyNumberFormat="1" applyFont="1" applyFill="1" applyBorder="1"/>
    <xf numFmtId="0" fontId="17" fillId="0" borderId="1" xfId="0" applyFont="1" applyFill="1" applyBorder="1" applyAlignment="1">
      <alignment vertical="center"/>
    </xf>
    <xf numFmtId="49" fontId="9" fillId="0" borderId="1" xfId="0" applyNumberFormat="1" applyFont="1" applyFill="1" applyBorder="1"/>
    <xf numFmtId="0" fontId="17" fillId="0" borderId="1" xfId="0" applyFont="1" applyFill="1" applyBorder="1" applyAlignment="1">
      <alignment horizontal="left" vertical="center"/>
    </xf>
    <xf numFmtId="0" fontId="11" fillId="0" borderId="1" xfId="0" applyFont="1" applyFill="1" applyBorder="1"/>
    <xf numFmtId="49" fontId="27" fillId="0" borderId="1" xfId="0" applyNumberFormat="1" applyFont="1" applyFill="1" applyBorder="1"/>
    <xf numFmtId="49" fontId="27" fillId="0" borderId="0" xfId="0" applyNumberFormat="1" applyFont="1" applyFill="1"/>
    <xf numFmtId="1" fontId="18" fillId="0" borderId="1" xfId="0" applyNumberFormat="1" applyFont="1" applyFill="1" applyBorder="1" applyAlignment="1">
      <alignment horizontal="left" vertical="center"/>
    </xf>
    <xf numFmtId="0" fontId="18" fillId="0" borderId="1" xfId="0" applyFont="1" applyFill="1" applyBorder="1" applyAlignment="1">
      <alignment horizontal="center" vertical="center"/>
    </xf>
    <xf numFmtId="0" fontId="16" fillId="0" borderId="1" xfId="0" applyFont="1" applyFill="1" applyBorder="1" applyAlignment="1">
      <alignment horizontal="center" vertical="center" wrapText="1"/>
    </xf>
    <xf numFmtId="0" fontId="16" fillId="0" borderId="1" xfId="0" applyFont="1" applyFill="1" applyBorder="1" applyAlignment="1" applyProtection="1">
      <alignment horizontal="center" vertical="center" wrapText="1"/>
      <protection locked="0"/>
    </xf>
    <xf numFmtId="165" fontId="17" fillId="0" borderId="1" xfId="0" applyNumberFormat="1" applyFont="1" applyFill="1" applyBorder="1" applyAlignment="1">
      <alignment horizontal="center" vertical="center"/>
    </xf>
    <xf numFmtId="49" fontId="6" fillId="0" borderId="1" xfId="0" applyNumberFormat="1" applyFont="1" applyFill="1" applyBorder="1" applyAlignment="1"/>
    <xf numFmtId="0" fontId="17" fillId="0" borderId="1" xfId="0" applyFont="1" applyFill="1" applyBorder="1" applyAlignment="1" applyProtection="1">
      <alignment horizontal="left" vertical="center"/>
      <protection locked="0"/>
    </xf>
    <xf numFmtId="0" fontId="17" fillId="0" borderId="1" xfId="0" applyFont="1" applyFill="1" applyBorder="1" applyAlignment="1" applyProtection="1">
      <alignment horizontal="left" vertical="center" wrapText="1"/>
      <protection locked="0"/>
    </xf>
    <xf numFmtId="0" fontId="17" fillId="0" borderId="0" xfId="0" applyFont="1" applyFill="1" applyBorder="1" applyAlignment="1">
      <alignment vertical="center"/>
    </xf>
    <xf numFmtId="0" fontId="17" fillId="0" borderId="1" xfId="0" applyFont="1" applyFill="1" applyBorder="1" applyAlignment="1"/>
    <xf numFmtId="49" fontId="11" fillId="0" borderId="1" xfId="0" applyNumberFormat="1" applyFont="1" applyFill="1" applyBorder="1" applyAlignment="1">
      <alignment wrapText="1"/>
    </xf>
    <xf numFmtId="0" fontId="17" fillId="0" borderId="0" xfId="0" applyFont="1" applyFill="1" applyBorder="1" applyAlignment="1" applyProtection="1">
      <alignment horizontal="left" vertical="center"/>
      <protection locked="0"/>
    </xf>
    <xf numFmtId="0" fontId="34" fillId="0" borderId="1" xfId="0" applyFont="1" applyFill="1" applyBorder="1" applyAlignment="1" applyProtection="1">
      <alignment horizontal="left" vertical="center"/>
      <protection locked="0"/>
    </xf>
    <xf numFmtId="0" fontId="17" fillId="0" borderId="1" xfId="0" quotePrefix="1" applyFont="1" applyFill="1" applyBorder="1" applyAlignment="1" applyProtection="1">
      <alignment horizontal="left" vertical="center"/>
      <protection locked="0"/>
    </xf>
    <xf numFmtId="0" fontId="17" fillId="0" borderId="1" xfId="0" applyFont="1" applyFill="1" applyBorder="1"/>
    <xf numFmtId="0" fontId="17" fillId="0" borderId="0" xfId="0" applyFont="1" applyFill="1" applyAlignment="1" applyProtection="1">
      <alignment horizontal="left" vertical="center"/>
      <protection locked="0"/>
    </xf>
    <xf numFmtId="0" fontId="35" fillId="0" borderId="1" xfId="0" applyFont="1" applyFill="1" applyBorder="1" applyAlignment="1" applyProtection="1">
      <alignment horizontal="left" vertical="center"/>
      <protection locked="0"/>
    </xf>
    <xf numFmtId="0" fontId="17" fillId="0" borderId="0" xfId="0" applyFont="1" applyFill="1" applyAlignment="1">
      <alignment vertical="center"/>
    </xf>
    <xf numFmtId="0" fontId="37" fillId="0" borderId="1" xfId="0" applyFont="1" applyFill="1" applyBorder="1" applyAlignment="1" applyProtection="1">
      <alignment horizontal="left" vertical="center"/>
      <protection locked="0"/>
    </xf>
    <xf numFmtId="49" fontId="9" fillId="0" borderId="0" xfId="0" applyNumberFormat="1" applyFont="1" applyFill="1"/>
    <xf numFmtId="165" fontId="11" fillId="0" borderId="1" xfId="0" applyNumberFormat="1" applyFont="1" applyFill="1" applyBorder="1" applyAlignment="1">
      <alignment horizontal="center" vertical="center"/>
    </xf>
    <xf numFmtId="0" fontId="11" fillId="0" borderId="1" xfId="0" applyFont="1" applyFill="1" applyBorder="1" applyAlignment="1" applyProtection="1">
      <alignment horizontal="left" vertical="center"/>
      <protection locked="0"/>
    </xf>
    <xf numFmtId="0" fontId="11" fillId="0" borderId="1" xfId="0" applyFont="1" applyFill="1" applyBorder="1" applyAlignment="1" applyProtection="1">
      <alignment horizontal="left" vertical="center" wrapText="1"/>
      <protection locked="0"/>
    </xf>
    <xf numFmtId="0" fontId="11" fillId="0" borderId="1" xfId="0" applyFont="1" applyFill="1" applyBorder="1" applyAlignment="1">
      <alignment vertical="center"/>
    </xf>
    <xf numFmtId="0" fontId="11" fillId="0" borderId="0" xfId="0" applyFont="1" applyFill="1" applyBorder="1" applyAlignment="1">
      <alignment vertical="center"/>
    </xf>
    <xf numFmtId="0" fontId="11" fillId="0" borderId="0" xfId="0" applyFont="1" applyBorder="1" applyAlignment="1">
      <alignment vertical="center"/>
    </xf>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656">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topLeftCell="A7" zoomScale="80" zoomScaleNormal="80" zoomScalePageLayoutView="110" workbookViewId="0">
      <selection activeCell="G22" sqref="G22"/>
    </sheetView>
  </sheetViews>
  <sheetFormatPr defaultColWidth="7.69921875" defaultRowHeight="13.8"/>
  <cols>
    <col min="1" max="1" width="3.19921875" style="24" customWidth="1"/>
    <col min="2" max="2" width="16.69921875" style="24" bestFit="1" customWidth="1"/>
    <col min="3" max="3" width="24" style="24" bestFit="1" customWidth="1"/>
    <col min="4" max="5" width="16.69921875" style="24" customWidth="1"/>
    <col min="6" max="6" width="17.5" style="24" customWidth="1"/>
    <col min="7" max="9" width="16.69921875" style="24" customWidth="1"/>
    <col min="10" max="10" width="21.69921875" style="24" customWidth="1"/>
    <col min="11" max="12" width="16.69921875" style="24" customWidth="1"/>
    <col min="13" max="16384" width="7.69921875" style="24"/>
  </cols>
  <sheetData>
    <row r="2" spans="2:11">
      <c r="B2" s="115" t="s">
        <v>16</v>
      </c>
      <c r="C2" s="115"/>
      <c r="E2" s="115" t="s">
        <v>15</v>
      </c>
      <c r="F2" s="115"/>
      <c r="H2" s="115" t="s">
        <v>49</v>
      </c>
      <c r="I2" s="115"/>
    </row>
    <row r="4" spans="2:11">
      <c r="B4" s="24" t="s">
        <v>18</v>
      </c>
      <c r="C4" s="25"/>
      <c r="E4" s="24" t="s">
        <v>14</v>
      </c>
      <c r="F4" s="39">
        <f>COUNTA('Error Log'!A:A)-1</f>
        <v>400</v>
      </c>
      <c r="H4" s="24" t="s">
        <v>42</v>
      </c>
      <c r="I4" s="40">
        <f>H18</f>
        <v>86.387434554973822</v>
      </c>
      <c r="K4" s="33"/>
    </row>
    <row r="5" spans="2:11">
      <c r="C5" s="26"/>
      <c r="F5" s="26"/>
      <c r="K5" s="34">
        <f>I4</f>
        <v>86.387434554973822</v>
      </c>
    </row>
    <row r="6" spans="2:11">
      <c r="B6" s="24" t="s">
        <v>51</v>
      </c>
      <c r="C6" s="27"/>
      <c r="D6" s="24" t="s">
        <v>52</v>
      </c>
      <c r="E6" s="24" t="s">
        <v>9</v>
      </c>
      <c r="F6" s="39">
        <f>L36</f>
        <v>380</v>
      </c>
      <c r="H6" s="24" t="s">
        <v>12</v>
      </c>
      <c r="I6" s="41">
        <f>IF(C8=0,"0",1000*(F6/C8))</f>
        <v>36.173250832936695</v>
      </c>
      <c r="K6" s="35">
        <v>1</v>
      </c>
    </row>
    <row r="7" spans="2:11">
      <c r="C7" s="26"/>
      <c r="F7" s="26"/>
      <c r="I7" s="26"/>
      <c r="K7" s="36">
        <f>200-(K5+K6)</f>
        <v>112.61256544502618</v>
      </c>
    </row>
    <row r="8" spans="2:11">
      <c r="B8" s="24" t="s">
        <v>11</v>
      </c>
      <c r="C8" s="75">
        <f>SUM('Scores per segment'!D:D)</f>
        <v>10505</v>
      </c>
      <c r="E8" s="24" t="s">
        <v>38</v>
      </c>
      <c r="F8" s="39" t="e">
        <f>#REF!</f>
        <v>#REF!</v>
      </c>
      <c r="H8" s="24" t="s">
        <v>39</v>
      </c>
      <c r="I8" s="42" t="str">
        <f>IF(C10=0,"0",(F8/C10))</f>
        <v>0</v>
      </c>
      <c r="K8" s="35"/>
    </row>
    <row r="9" spans="2:11">
      <c r="C9" s="26"/>
      <c r="I9" s="26"/>
      <c r="K9" s="35"/>
    </row>
    <row r="10" spans="2:11">
      <c r="B10" s="24" t="s">
        <v>10</v>
      </c>
      <c r="C10" s="25">
        <f>COUNT('Scores per segment'!A:A)</f>
        <v>0</v>
      </c>
      <c r="E10" s="24" t="s">
        <v>13</v>
      </c>
      <c r="F10" s="39">
        <f>COUNTIFS('Error Log'!D:D,"*",'Error Log'!E:E,"")</f>
        <v>20</v>
      </c>
      <c r="H10" s="24" t="s">
        <v>19</v>
      </c>
      <c r="I10" s="42" t="str">
        <f>IF(C10=0,"0",(F10/C10))</f>
        <v>0</v>
      </c>
    </row>
    <row r="11" spans="2:11">
      <c r="C11" s="32"/>
    </row>
    <row r="12" spans="2:11" ht="14.4" thickBot="1">
      <c r="B12" s="28"/>
      <c r="C12" s="28"/>
      <c r="D12" s="28"/>
      <c r="E12" s="28"/>
      <c r="F12" s="28"/>
      <c r="G12" s="28"/>
      <c r="H12" s="28"/>
      <c r="I12" s="28"/>
    </row>
    <row r="13" spans="2:11" ht="14.4" thickTop="1">
      <c r="B13" s="31"/>
      <c r="C13" s="31"/>
      <c r="D13" s="31"/>
      <c r="E13" s="31"/>
      <c r="F13" s="31"/>
      <c r="G13" s="31"/>
      <c r="H13" s="31"/>
      <c r="I13" s="31"/>
      <c r="J13" s="31"/>
    </row>
    <row r="15" spans="2:11">
      <c r="D15" s="38" t="s">
        <v>40</v>
      </c>
    </row>
    <row r="16" spans="2:11">
      <c r="C16" s="32"/>
    </row>
    <row r="17" spans="2:12" ht="15.6">
      <c r="C17" s="37"/>
      <c r="D17" s="56" t="s">
        <v>35</v>
      </c>
      <c r="E17" s="57" t="s">
        <v>36</v>
      </c>
      <c r="F17" s="58" t="s">
        <v>37</v>
      </c>
      <c r="G17" s="71" t="s">
        <v>48</v>
      </c>
      <c r="H17" s="66" t="s">
        <v>53</v>
      </c>
    </row>
    <row r="18" spans="2:12" ht="15.6">
      <c r="C18" s="65" t="s">
        <v>43</v>
      </c>
      <c r="D18" s="56">
        <f>COUNTIF('Error Log'!$J:$J,D$17)</f>
        <v>193</v>
      </c>
      <c r="E18" s="57">
        <f>COUNTIF('Error Log'!$J:$J,E$17)</f>
        <v>186</v>
      </c>
      <c r="F18" s="58">
        <f>COUNTIF('Error Log'!$J:$J,F$17)</f>
        <v>0</v>
      </c>
      <c r="G18" s="71">
        <f>COUNTIF('Error Log'!$F:$F,"Target")</f>
        <v>0</v>
      </c>
      <c r="H18" s="67">
        <f>SUMPRODUCT('Scores per segment'!J:J,'Scores per segment'!D:D)/SUM('Scores per segment'!D:D)</f>
        <v>86.387434554973822</v>
      </c>
    </row>
    <row r="21" spans="2:12">
      <c r="C21" s="32"/>
    </row>
    <row r="22" spans="2:12" ht="14.4" thickBot="1">
      <c r="B22" s="28"/>
      <c r="C22" s="28"/>
      <c r="D22" s="28"/>
      <c r="E22" s="28"/>
      <c r="F22" s="28"/>
      <c r="G22" s="28"/>
      <c r="H22" s="28"/>
      <c r="I22" s="28"/>
      <c r="J22" s="28"/>
      <c r="K22" s="28"/>
      <c r="L22" s="28"/>
    </row>
    <row r="23" spans="2:12" ht="14.4" thickTop="1">
      <c r="B23" s="31"/>
      <c r="C23" s="31"/>
      <c r="D23" s="31"/>
      <c r="E23" s="31"/>
      <c r="F23" s="31"/>
      <c r="G23" s="31"/>
      <c r="H23" s="31"/>
      <c r="I23" s="31"/>
      <c r="J23" s="31"/>
      <c r="K23" s="31"/>
      <c r="L23" s="31"/>
    </row>
    <row r="24" spans="2:12">
      <c r="B24" s="31"/>
      <c r="C24" s="31"/>
      <c r="D24" s="31"/>
      <c r="E24" s="31"/>
      <c r="F24" s="31"/>
      <c r="G24" s="31"/>
      <c r="H24" s="31"/>
      <c r="I24" s="31"/>
      <c r="J24" s="31"/>
      <c r="K24" s="31"/>
      <c r="L24" s="31"/>
    </row>
    <row r="25" spans="2:12">
      <c r="B25" s="31"/>
      <c r="D25" s="38" t="s">
        <v>41</v>
      </c>
      <c r="E25" s="31"/>
      <c r="F25" s="31"/>
      <c r="G25" s="31"/>
      <c r="H25" s="31"/>
      <c r="I25" s="31"/>
      <c r="J25" s="31"/>
      <c r="K25" s="31"/>
      <c r="L25" s="31"/>
    </row>
    <row r="26" spans="2:12" ht="14.4" thickBot="1">
      <c r="B26" s="31"/>
      <c r="C26" s="31"/>
      <c r="D26" s="31"/>
      <c r="E26" s="31"/>
      <c r="F26" s="31"/>
      <c r="G26" s="31"/>
      <c r="H26" s="31"/>
      <c r="I26" s="31"/>
      <c r="J26" s="31"/>
      <c r="K26" s="31"/>
      <c r="L26" s="31"/>
    </row>
    <row r="27" spans="2:12" ht="14.4" thickBot="1">
      <c r="B27" s="43" t="s">
        <v>31</v>
      </c>
      <c r="C27" s="44" t="s">
        <v>30</v>
      </c>
      <c r="D27" s="44" t="s">
        <v>54</v>
      </c>
      <c r="E27" s="44" t="s">
        <v>55</v>
      </c>
      <c r="F27" s="44" t="s">
        <v>56</v>
      </c>
      <c r="G27" s="44" t="s">
        <v>29</v>
      </c>
      <c r="H27" s="44" t="s">
        <v>27</v>
      </c>
      <c r="I27" s="44" t="s">
        <v>72</v>
      </c>
      <c r="J27" s="44" t="s">
        <v>73</v>
      </c>
      <c r="K27" s="44" t="s">
        <v>57</v>
      </c>
      <c r="L27" s="45" t="s">
        <v>6</v>
      </c>
    </row>
    <row r="28" spans="2:12">
      <c r="B28" s="120" t="s">
        <v>8</v>
      </c>
      <c r="C28" s="59" t="s">
        <v>22</v>
      </c>
      <c r="D28" s="46">
        <f>COUNTIFS('Error Log'!$E:$E,$B$28,'Error Log'!$F:$F,$C28,'Error Log'!$G:$G,D$27)</f>
        <v>2</v>
      </c>
      <c r="E28" s="46">
        <f>COUNTIFS('Error Log'!$E:$E,$B$28,'Error Log'!$F:$F,$C28,'Error Log'!$G:$G,E$27)</f>
        <v>0</v>
      </c>
      <c r="F28" s="53">
        <f>COUNTIFS('Error Log'!$E:$E,$B$28,'Error Log'!$F:$F,$C28,'Error Log'!$G:$G,F$27)</f>
        <v>0</v>
      </c>
      <c r="G28" s="53">
        <f>COUNTIFS('Error Log'!$E:$E,$B$28,'Error Log'!$F:$F,$C28,'Error Log'!$G:$G,G$27)</f>
        <v>0</v>
      </c>
      <c r="H28" s="53">
        <f>COUNTIFS('Error Log'!$E:$E,$B$28,'Error Log'!$F:$F,$C28,'Error Log'!$G:$G,H$27)</f>
        <v>0</v>
      </c>
      <c r="I28" s="53">
        <f>COUNTIFS('Error Log'!$E:$E,$B$28,'Error Log'!$F:$F,$C28,'Error Log'!$G:$G,I$27)</f>
        <v>43</v>
      </c>
      <c r="J28" s="46">
        <f>COUNTIFS('Error Log'!$E:$E,$B$28,'Error Log'!$F:$F,$C28,'Error Log'!$G:$G,J$27)</f>
        <v>0</v>
      </c>
      <c r="K28" s="52">
        <f>COUNTIFS('Error Log'!$E:$E,$B$28,'Error Log'!$F:$F,$C28,'Error Log'!$G:$G,K$27)</f>
        <v>132</v>
      </c>
      <c r="L28" s="63">
        <f t="shared" ref="L28:L35" si="0">SUM(D28:K28)</f>
        <v>177</v>
      </c>
    </row>
    <row r="29" spans="2:12">
      <c r="B29" s="119"/>
      <c r="C29" s="60" t="s">
        <v>7</v>
      </c>
      <c r="D29" s="47">
        <f>COUNTIFS('Error Log'!$E:$E,$B$28,'Error Log'!$F:$F,$C29,'Error Log'!$G:$G,D$27)</f>
        <v>1</v>
      </c>
      <c r="E29" s="47">
        <f>COUNTIFS('Error Log'!$E:$E,$B$28,'Error Log'!$F:$F,$C29,'Error Log'!$G:$G,E$27)</f>
        <v>0</v>
      </c>
      <c r="F29" s="54">
        <f>COUNTIFS('Error Log'!$E:$E,$B$28,'Error Log'!$F:$F,$C29,'Error Log'!$G:$G,F$27)</f>
        <v>2</v>
      </c>
      <c r="G29" s="54">
        <f>COUNTIFS('Error Log'!$E:$E,$B$28,'Error Log'!$F:$F,$C29,'Error Log'!$G:$G,G$27)</f>
        <v>0</v>
      </c>
      <c r="H29" s="54">
        <f>COUNTIFS('Error Log'!$E:$E,$B$28,'Error Log'!$F:$F,$C29,'Error Log'!$G:$G,H$27)</f>
        <v>2</v>
      </c>
      <c r="I29" s="54">
        <f>COUNTIFS('Error Log'!$E:$E,$B$28,'Error Log'!$F:$F,$C29,'Error Log'!$G:$G,I$27)</f>
        <v>1</v>
      </c>
      <c r="J29" s="49">
        <f>COUNTIFS('Error Log'!$E:$E,$B$28,'Error Log'!$F:$F,$C29,'Error Log'!$G:$G,J$27)</f>
        <v>0</v>
      </c>
      <c r="K29" s="50">
        <f>COUNTIFS('Error Log'!$E:$E,$B$28,'Error Log'!$F:$F,$C29,'Error Log'!$G:$G,K$27)</f>
        <v>188</v>
      </c>
      <c r="L29" s="64">
        <f t="shared" si="0"/>
        <v>194</v>
      </c>
    </row>
    <row r="30" spans="2:12">
      <c r="B30" s="119"/>
      <c r="C30" s="60" t="s">
        <v>68</v>
      </c>
      <c r="D30" s="47">
        <f>COUNTIFS('Error Log'!$E:$E,$B$28,'Error Log'!$F:$F,$C30,'Error Log'!$G:$G,D$27)</f>
        <v>0</v>
      </c>
      <c r="E30" s="47">
        <f>COUNTIFS('Error Log'!$E:$E,$B$28,'Error Log'!$F:$F,$C30,'Error Log'!$G:$G,E$27)</f>
        <v>0</v>
      </c>
      <c r="F30" s="54">
        <f>COUNTIFS('Error Log'!$E:$E,$B$28,'Error Log'!$F:$F,$C30,'Error Log'!$G:$G,F$27)</f>
        <v>0</v>
      </c>
      <c r="G30" s="54">
        <f>COUNTIFS('Error Log'!$E:$E,$B$28,'Error Log'!$F:$F,$C30,'Error Log'!$G:$G,G$27)</f>
        <v>0</v>
      </c>
      <c r="H30" s="54">
        <f>COUNTIFS('Error Log'!$E:$E,$B$28,'Error Log'!$F:$F,$C30,'Error Log'!$G:$G,H$27)</f>
        <v>0</v>
      </c>
      <c r="I30" s="54">
        <f>COUNTIFS('Error Log'!$E:$E,$B$28,'Error Log'!$F:$F,$C30,'Error Log'!$G:$G,I$27)</f>
        <v>0</v>
      </c>
      <c r="J30" s="47">
        <f>COUNTIFS('Error Log'!$E:$E,$B$28,'Error Log'!$F:$F,$C30,'Error Log'!$G:$G,J$27)</f>
        <v>0</v>
      </c>
      <c r="K30" s="50">
        <f>COUNTIFS('Error Log'!$E:$E,$B$28,'Error Log'!$F:$F,$C30,'Error Log'!$G:$G,K$27)</f>
        <v>0</v>
      </c>
      <c r="L30" s="64">
        <f t="shared" si="0"/>
        <v>0</v>
      </c>
    </row>
    <row r="31" spans="2:12">
      <c r="B31" s="119"/>
      <c r="C31" s="60" t="s">
        <v>69</v>
      </c>
      <c r="D31" s="47">
        <f>COUNTIFS('Error Log'!$E:$E,$B$28,'Error Log'!$F:$F,$C31,'Error Log'!$G:$G,D$27)</f>
        <v>0</v>
      </c>
      <c r="E31" s="47">
        <f>COUNTIFS('Error Log'!$E:$E,$B$28,'Error Log'!$F:$F,$C31,'Error Log'!$G:$G,E$27)</f>
        <v>0</v>
      </c>
      <c r="F31" s="54">
        <f>COUNTIFS('Error Log'!$E:$E,$B$28,'Error Log'!$F:$F,$C31,'Error Log'!$G:$G,F$27)</f>
        <v>0</v>
      </c>
      <c r="G31" s="54">
        <f>COUNTIFS('Error Log'!$E:$E,$B$28,'Error Log'!$F:$F,$C31,'Error Log'!$G:$G,G$27)</f>
        <v>0</v>
      </c>
      <c r="H31" s="54">
        <f>COUNTIFS('Error Log'!$E:$E,$B$28,'Error Log'!$F:$F,$C31,'Error Log'!$G:$G,H$27)</f>
        <v>0</v>
      </c>
      <c r="I31" s="54">
        <f>COUNTIFS('Error Log'!$E:$E,$B$28,'Error Log'!$F:$F,$C31,'Error Log'!$G:$G,I$27)</f>
        <v>0</v>
      </c>
      <c r="J31" s="47">
        <f>COUNTIFS('Error Log'!$E:$E,$B$28,'Error Log'!$F:$F,$C31,'Error Log'!$G:$G,J$27)</f>
        <v>0</v>
      </c>
      <c r="K31" s="50">
        <f>COUNTIFS('Error Log'!$E:$E,$B$28,'Error Log'!$F:$F,$C31,'Error Log'!$G:$G,K$27)</f>
        <v>0</v>
      </c>
      <c r="L31" s="64">
        <f t="shared" ref="L31" si="1">SUM(D31:K31)</f>
        <v>0</v>
      </c>
    </row>
    <row r="32" spans="2:12" ht="14.4" thickBot="1">
      <c r="B32" s="119"/>
      <c r="C32" s="60" t="s">
        <v>45</v>
      </c>
      <c r="D32" s="49">
        <f>COUNTIFS('Error Log'!$E:$E,$B$28,'Error Log'!$F:$F,$C32,'Error Log'!$G:$G,D$27)</f>
        <v>0</v>
      </c>
      <c r="E32" s="49">
        <f>COUNTIFS('Error Log'!$E:$E,$B$28,'Error Log'!$F:$F,$C32,'Error Log'!$G:$G,E$27)</f>
        <v>0</v>
      </c>
      <c r="F32" s="49">
        <f>COUNTIFS('Error Log'!$E:$E,$B$28,'Error Log'!$F:$F,$C32,'Error Log'!$G:$G,F$27)</f>
        <v>0</v>
      </c>
      <c r="G32" s="49">
        <f>COUNTIFS('Error Log'!$E:$E,$B$28,'Error Log'!$F:$F,$C32,'Error Log'!$G:$G,G$27)</f>
        <v>0</v>
      </c>
      <c r="H32" s="49">
        <f>COUNTIFS('Error Log'!$E:$E,$B$28,'Error Log'!$F:$F,$C32,'Error Log'!$G:$G,H$27)</f>
        <v>0</v>
      </c>
      <c r="I32" s="49">
        <f>COUNTIFS('Error Log'!$E:$E,$B$28,'Error Log'!$F:$F,$C32,'Error Log'!$G:$G,I$27)</f>
        <v>0</v>
      </c>
      <c r="J32" s="47">
        <f>COUNTIFS('Error Log'!$E:$E,$B$28,'Error Log'!$F:$F,$C32,'Error Log'!$G:$G,J$27)</f>
        <v>0</v>
      </c>
      <c r="K32" s="50">
        <f>COUNTIFS('Error Log'!$E:$E,$B$28,'Error Log'!$F:$F,$C32,'Error Log'!$G:$G,K$27)</f>
        <v>0</v>
      </c>
      <c r="L32" s="64">
        <f t="shared" si="0"/>
        <v>0</v>
      </c>
    </row>
    <row r="33" spans="2:12">
      <c r="B33" s="118" t="s">
        <v>2</v>
      </c>
      <c r="C33" s="61" t="s">
        <v>71</v>
      </c>
      <c r="D33" s="55">
        <f>COUNTIFS('Error Log'!$E:$E,$B$33,'Error Log'!$F:$F,$C33,'Error Log'!$G:$G,D$27)</f>
        <v>0</v>
      </c>
      <c r="E33" s="51">
        <f>COUNTIFS('Error Log'!$E:$E,$B$33,'Error Log'!$F:$F,$C33,'Error Log'!$G:$G,E$27)</f>
        <v>0</v>
      </c>
      <c r="F33" s="51">
        <f>COUNTIFS('Error Log'!$E:$E,$B$33,'Error Log'!$F:$F,$C33,'Error Log'!$G:$G,F$27)</f>
        <v>0</v>
      </c>
      <c r="G33" s="51">
        <f>COUNTIFS('Error Log'!$E:$E,$B$33,'Error Log'!$F:$F,$C33,'Error Log'!$G:$G,G$27)</f>
        <v>0</v>
      </c>
      <c r="H33" s="51">
        <f>COUNTIFS('Error Log'!$E:$E,$B$33,'Error Log'!$F:$F,$C33,'Error Log'!$G:$G,H$27)</f>
        <v>0</v>
      </c>
      <c r="I33" s="51">
        <f>COUNTIFS('Error Log'!$E:$E,$B$33,'Error Log'!$F:$F,$C33,'Error Log'!$G:$G,I$27)</f>
        <v>0</v>
      </c>
      <c r="J33" s="48">
        <f>COUNTIFS('Error Log'!$E:$E,$B$33,'Error Log'!$F:$F,$C33,'Error Log'!$G:$G,J$27)</f>
        <v>0</v>
      </c>
      <c r="K33" s="51">
        <f>COUNTIFS('Error Log'!$E:$E,$B$33,'Error Log'!$F:$F,$C33,'Error Log'!$G:$G,K$27)</f>
        <v>0</v>
      </c>
      <c r="L33" s="63">
        <f t="shared" si="0"/>
        <v>0</v>
      </c>
    </row>
    <row r="34" spans="2:12">
      <c r="B34" s="119"/>
      <c r="C34" s="60" t="s">
        <v>26</v>
      </c>
      <c r="D34" s="50">
        <f>COUNTIFS('Error Log'!$E:$E,$B$33,'Error Log'!$F:$F,$C34,'Error Log'!$G:$G,D$27)</f>
        <v>0</v>
      </c>
      <c r="E34" s="50">
        <f>COUNTIFS('Error Log'!$E:$E,$B$33,'Error Log'!$F:$F,$C34,'Error Log'!$G:$G,E$27)</f>
        <v>0</v>
      </c>
      <c r="F34" s="50">
        <f>COUNTIFS('Error Log'!$E:$E,$B$33,'Error Log'!$F:$F,$C34,'Error Log'!$G:$G,F$27)</f>
        <v>0</v>
      </c>
      <c r="G34" s="50">
        <f>COUNTIFS('Error Log'!$E:$E,$B$33,'Error Log'!$F:$F,$C34,'Error Log'!$G:$G,G$27)</f>
        <v>0</v>
      </c>
      <c r="H34" s="50">
        <f>COUNTIFS('Error Log'!$E:$E,$B$33,'Error Log'!$F:$F,$C34,'Error Log'!$G:$G,H$27)</f>
        <v>0</v>
      </c>
      <c r="I34" s="50">
        <f>COUNTIFS('Error Log'!$E:$E,$B$33,'Error Log'!$F:$F,$C34,'Error Log'!$G:$G,I$27)</f>
        <v>0</v>
      </c>
      <c r="J34" s="49">
        <f>COUNTIFS('Error Log'!$E:$E,$B$33,'Error Log'!$F:$F,$C34,'Error Log'!$G:$G,J$27)</f>
        <v>0</v>
      </c>
      <c r="K34" s="50">
        <f>COUNTIFS('Error Log'!$E:$E,$B$33,'Error Log'!$F:$F,$C34,'Error Log'!$G:$G,K$27)</f>
        <v>9</v>
      </c>
      <c r="L34" s="64">
        <f t="shared" si="0"/>
        <v>9</v>
      </c>
    </row>
    <row r="35" spans="2:12" ht="14.4" thickBot="1">
      <c r="B35" s="119"/>
      <c r="C35" s="60" t="s">
        <v>70</v>
      </c>
      <c r="D35" s="54">
        <f>COUNTIFS('Error Log'!$E:$E,$B$33,'Error Log'!$F:$F,$C35,'Error Log'!$G:$G,D$27)</f>
        <v>0</v>
      </c>
      <c r="E35" s="50">
        <f>COUNTIFS('Error Log'!$E:$E,$B$33,'Error Log'!$F:$F,$C35,'Error Log'!$G:$G,E$27)</f>
        <v>0</v>
      </c>
      <c r="F35" s="50">
        <f>COUNTIFS('Error Log'!$E:$E,$B$33,'Error Log'!$F:$F,$C35,'Error Log'!$G:$G,F$27)</f>
        <v>0</v>
      </c>
      <c r="G35" s="50">
        <f>COUNTIFS('Error Log'!$E:$E,$B$33,'Error Log'!$F:$F,$C35,'Error Log'!$G:$G,G$27)</f>
        <v>0</v>
      </c>
      <c r="H35" s="50">
        <f>COUNTIFS('Error Log'!$E:$E,$B$33,'Error Log'!$F:$F,$C35,'Error Log'!$G:$G,H$27)</f>
        <v>0</v>
      </c>
      <c r="I35" s="50">
        <f>COUNTIFS('Error Log'!$E:$E,$B$33,'Error Log'!$F:$F,$C35,'Error Log'!$G:$G,I$27)</f>
        <v>0</v>
      </c>
      <c r="J35" s="49">
        <f>COUNTIFS('Error Log'!$E:$E,$B$33,'Error Log'!$F:$F,$C35,'Error Log'!$G:$G,J$27)</f>
        <v>0</v>
      </c>
      <c r="K35" s="50">
        <f>COUNTIFS('Error Log'!$E:$E,$B$33,'Error Log'!$F:$F,$C35,'Error Log'!$G:$G,K$27)</f>
        <v>0</v>
      </c>
      <c r="L35" s="64">
        <f t="shared" si="0"/>
        <v>0</v>
      </c>
    </row>
    <row r="36" spans="2:12" ht="16.2" thickBot="1">
      <c r="B36" s="116" t="s">
        <v>6</v>
      </c>
      <c r="C36" s="117"/>
      <c r="D36" s="29">
        <f t="shared" ref="D36:L36" si="2">SUM(D28:D35)</f>
        <v>3</v>
      </c>
      <c r="E36" s="29">
        <f t="shared" si="2"/>
        <v>0</v>
      </c>
      <c r="F36" s="29">
        <f t="shared" si="2"/>
        <v>2</v>
      </c>
      <c r="G36" s="29">
        <f t="shared" si="2"/>
        <v>0</v>
      </c>
      <c r="H36" s="29">
        <f t="shared" si="2"/>
        <v>2</v>
      </c>
      <c r="I36" s="29">
        <f t="shared" si="2"/>
        <v>44</v>
      </c>
      <c r="J36" s="29">
        <f t="shared" si="2"/>
        <v>0</v>
      </c>
      <c r="K36" s="29">
        <f t="shared" si="2"/>
        <v>329</v>
      </c>
      <c r="L36" s="62">
        <f t="shared" si="2"/>
        <v>380</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27"/>
  <sheetViews>
    <sheetView showGridLines="0" zoomScaleNormal="100" zoomScalePageLayoutView="80" workbookViewId="0">
      <pane ySplit="1" topLeftCell="A2" activePane="bottomLeft" state="frozen"/>
      <selection pane="bottomLeft" activeCell="D9" sqref="D9"/>
    </sheetView>
  </sheetViews>
  <sheetFormatPr defaultColWidth="11" defaultRowHeight="13.8"/>
  <cols>
    <col min="1" max="1" width="13.69921875" style="20" customWidth="1"/>
    <col min="2" max="2" width="10" style="21" bestFit="1" customWidth="1"/>
    <col min="3" max="3" width="19.19921875" style="22" customWidth="1"/>
    <col min="4" max="4" width="42.69921875" style="22" customWidth="1"/>
    <col min="5" max="5" width="14.69921875" style="23" bestFit="1" customWidth="1"/>
    <col min="6" max="6" width="13.69921875" style="23" bestFit="1" customWidth="1"/>
    <col min="7" max="7" width="16.69921875" style="23" bestFit="1" customWidth="1"/>
    <col min="8" max="8" width="19.5" style="23" customWidth="1"/>
    <col min="9" max="9" width="11.09765625" style="23" customWidth="1"/>
    <col min="10" max="10" width="13.19921875" style="19" customWidth="1"/>
    <col min="11" max="11" width="17.19921875" style="97" customWidth="1"/>
    <col min="12" max="16384" width="11" style="19"/>
  </cols>
  <sheetData>
    <row r="1" spans="1:11" ht="41.4">
      <c r="A1" s="89" t="s">
        <v>20</v>
      </c>
      <c r="B1" s="90" t="s">
        <v>17</v>
      </c>
      <c r="C1" s="91" t="s">
        <v>4</v>
      </c>
      <c r="D1" s="91" t="s">
        <v>5</v>
      </c>
      <c r="E1" s="92" t="s">
        <v>0</v>
      </c>
      <c r="F1" s="92" t="s">
        <v>3</v>
      </c>
      <c r="G1" s="92" t="s">
        <v>33</v>
      </c>
      <c r="H1" s="92" t="s">
        <v>32</v>
      </c>
      <c r="I1" s="92" t="s">
        <v>62</v>
      </c>
      <c r="J1" s="92" t="s">
        <v>34</v>
      </c>
    </row>
    <row r="2" spans="1:11" ht="14.4">
      <c r="A2" s="79" t="s">
        <v>74</v>
      </c>
      <c r="B2" s="93">
        <v>1</v>
      </c>
      <c r="C2" s="94" t="s">
        <v>126</v>
      </c>
      <c r="D2" s="79" t="s">
        <v>127</v>
      </c>
      <c r="E2" s="95" t="s">
        <v>21</v>
      </c>
      <c r="F2" s="95" t="s">
        <v>22</v>
      </c>
      <c r="G2" s="95" t="s">
        <v>28</v>
      </c>
      <c r="H2" s="95" t="s">
        <v>128</v>
      </c>
      <c r="I2" s="96"/>
      <c r="J2" s="83" t="str">
        <f>IF(E2="Invalid_Segment","Invalid",IFERROR(INDEX(Severity_Matrix!$C$3:$M$10,MATCH('Error Log'!$F2,Severity_Matrix!$B$3:$B$10,0),MATCH('Error Log'!$G2,Severity_Matrix!$C$2:$M$2,0)),"No errors"))</f>
        <v>Major</v>
      </c>
      <c r="K2" s="99"/>
    </row>
    <row r="3" spans="1:11" ht="14.4">
      <c r="A3" s="79" t="s">
        <v>74</v>
      </c>
      <c r="B3" s="93">
        <v>2</v>
      </c>
      <c r="C3" s="94" t="s">
        <v>126</v>
      </c>
      <c r="D3" s="79" t="s">
        <v>129</v>
      </c>
      <c r="E3" s="95" t="s">
        <v>21</v>
      </c>
      <c r="F3" s="95" t="s">
        <v>22</v>
      </c>
      <c r="G3" s="95" t="s">
        <v>28</v>
      </c>
      <c r="H3" s="95" t="s">
        <v>130</v>
      </c>
      <c r="I3" s="96"/>
      <c r="J3" s="83" t="str">
        <f>IF(E3="Invalid_Segment","Invalid",IFERROR(INDEX(Severity_Matrix!$C$3:$M$10,MATCH('Error Log'!$F3,Severity_Matrix!$B$3:$B$10,0),MATCH('Error Log'!$G3,Severity_Matrix!$C$2:$M$2,0)),"No errors"))</f>
        <v>Major</v>
      </c>
      <c r="K3" s="99"/>
    </row>
    <row r="4" spans="1:11" ht="14.4">
      <c r="A4" s="79" t="s">
        <v>74</v>
      </c>
      <c r="B4" s="93">
        <v>3</v>
      </c>
      <c r="C4" s="94" t="s">
        <v>126</v>
      </c>
      <c r="D4" s="79" t="s">
        <v>129</v>
      </c>
      <c r="E4" s="95" t="s">
        <v>21</v>
      </c>
      <c r="F4" s="95" t="s">
        <v>22</v>
      </c>
      <c r="G4" s="95" t="s">
        <v>28</v>
      </c>
      <c r="H4" s="95" t="s">
        <v>131</v>
      </c>
      <c r="I4" s="96"/>
      <c r="J4" s="83" t="str">
        <f>IF(E4="Invalid_Segment","Invalid",IFERROR(INDEX(Severity_Matrix!$C$3:$M$10,MATCH('Error Log'!$F4,Severity_Matrix!$B$3:$B$10,0),MATCH('Error Log'!$G4,Severity_Matrix!$C$2:$M$2,0)),"No errors"))</f>
        <v>Major</v>
      </c>
      <c r="K4" s="99"/>
    </row>
    <row r="5" spans="1:11" s="76" customFormat="1" ht="14.4">
      <c r="A5" s="79" t="s">
        <v>75</v>
      </c>
      <c r="B5" s="93">
        <v>1</v>
      </c>
      <c r="C5" s="94" t="s">
        <v>132</v>
      </c>
      <c r="D5" s="79" t="s">
        <v>133</v>
      </c>
      <c r="E5" s="95" t="s">
        <v>21</v>
      </c>
      <c r="F5" s="95" t="s">
        <v>7</v>
      </c>
      <c r="G5" s="95" t="s">
        <v>57</v>
      </c>
      <c r="H5" s="95" t="s">
        <v>134</v>
      </c>
      <c r="I5" s="96"/>
      <c r="J5" s="83" t="str">
        <f>IF(E5="Invalid_Segment","Invalid",IFERROR(INDEX(Severity_Matrix!$C$3:$M$10,MATCH('Error Log'!$F5,Severity_Matrix!$B$3:$B$10,0),MATCH('Error Log'!$G5,Severity_Matrix!$C$2:$M$2,0)),"No errors"))</f>
        <v>Critical</v>
      </c>
      <c r="K5" s="99"/>
    </row>
    <row r="6" spans="1:11" s="76" customFormat="1" ht="14.4">
      <c r="A6" s="79" t="s">
        <v>75</v>
      </c>
      <c r="B6" s="93">
        <v>2</v>
      </c>
      <c r="C6" s="94" t="s">
        <v>132</v>
      </c>
      <c r="D6" s="79" t="s">
        <v>133</v>
      </c>
      <c r="E6" s="95" t="s">
        <v>21</v>
      </c>
      <c r="F6" s="95" t="s">
        <v>7</v>
      </c>
      <c r="G6" s="95" t="s">
        <v>57</v>
      </c>
      <c r="H6" s="95" t="s">
        <v>135</v>
      </c>
      <c r="I6" s="96"/>
      <c r="J6" s="83" t="str">
        <f>IF(E6="Invalid_Segment","Invalid",IFERROR(INDEX(Severity_Matrix!$C$3:$M$10,MATCH('Error Log'!$F6,Severity_Matrix!$B$3:$B$10,0),MATCH('Error Log'!$G6,Severity_Matrix!$C$2:$M$2,0)),"No errors"))</f>
        <v>Critical</v>
      </c>
      <c r="K6" s="99"/>
    </row>
    <row r="7" spans="1:11" s="76" customFormat="1" ht="14.4">
      <c r="A7" s="79" t="s">
        <v>75</v>
      </c>
      <c r="B7" s="93">
        <v>3</v>
      </c>
      <c r="C7" s="94" t="s">
        <v>132</v>
      </c>
      <c r="D7" s="79" t="s">
        <v>133</v>
      </c>
      <c r="E7" s="95" t="s">
        <v>21</v>
      </c>
      <c r="F7" s="95" t="s">
        <v>7</v>
      </c>
      <c r="G7" s="95" t="s">
        <v>57</v>
      </c>
      <c r="H7" s="95" t="s">
        <v>136</v>
      </c>
      <c r="I7" s="96"/>
      <c r="J7" s="83" t="str">
        <f>IF(E7="Invalid_Segment","Invalid",IFERROR(INDEX(Severity_Matrix!$C$3:$M$10,MATCH('Error Log'!$F7,Severity_Matrix!$B$3:$B$10,0),MATCH('Error Log'!$G7,Severity_Matrix!$C$2:$M$2,0)),"No errors"))</f>
        <v>Critical</v>
      </c>
      <c r="K7" s="99"/>
    </row>
    <row r="8" spans="1:11" s="76" customFormat="1" ht="14.4">
      <c r="A8" s="79" t="s">
        <v>75</v>
      </c>
      <c r="B8" s="93">
        <v>4</v>
      </c>
      <c r="C8" s="94" t="s">
        <v>132</v>
      </c>
      <c r="D8" s="79" t="s">
        <v>133</v>
      </c>
      <c r="E8" s="95" t="s">
        <v>21</v>
      </c>
      <c r="F8" s="95" t="s">
        <v>7</v>
      </c>
      <c r="G8" s="95" t="s">
        <v>57</v>
      </c>
      <c r="H8" s="95" t="s">
        <v>137</v>
      </c>
      <c r="I8" s="96"/>
      <c r="J8" s="83" t="str">
        <f>IF(E8="Invalid_Segment","Invalid",IFERROR(INDEX(Severity_Matrix!$C$3:$M$10,MATCH('Error Log'!$F8,Severity_Matrix!$B$3:$B$10,0),MATCH('Error Log'!$G8,Severity_Matrix!$C$2:$M$2,0)),"No errors"))</f>
        <v>Critical</v>
      </c>
      <c r="K8" s="99"/>
    </row>
    <row r="9" spans="1:11" ht="14.4">
      <c r="A9" s="79" t="s">
        <v>76</v>
      </c>
      <c r="B9" s="93">
        <v>1</v>
      </c>
      <c r="C9" s="94" t="s">
        <v>138</v>
      </c>
      <c r="D9" s="79" t="s">
        <v>139</v>
      </c>
      <c r="E9" s="95" t="s">
        <v>21</v>
      </c>
      <c r="F9" s="95" t="s">
        <v>7</v>
      </c>
      <c r="G9" s="95" t="s">
        <v>57</v>
      </c>
      <c r="H9" s="95" t="s">
        <v>140</v>
      </c>
      <c r="I9" s="95"/>
      <c r="J9" s="83" t="str">
        <f>IF(E9="Invalid_Segment","Invalid",IFERROR(INDEX(Severity_Matrix!$C$3:$M$10,MATCH('Error Log'!$F9,Severity_Matrix!$B$3:$B$10,0),MATCH('Error Log'!$G9,Severity_Matrix!$C$2:$M$2,0)),"No errors"))</f>
        <v>Critical</v>
      </c>
      <c r="K9" s="79"/>
    </row>
    <row r="10" spans="1:11" ht="14.4">
      <c r="A10" s="79" t="s">
        <v>76</v>
      </c>
      <c r="B10" s="93">
        <v>2</v>
      </c>
      <c r="C10" s="94" t="s">
        <v>138</v>
      </c>
      <c r="D10" s="79" t="s">
        <v>139</v>
      </c>
      <c r="E10" s="95" t="s">
        <v>21</v>
      </c>
      <c r="F10" s="95" t="s">
        <v>22</v>
      </c>
      <c r="G10" s="95" t="s">
        <v>57</v>
      </c>
      <c r="H10" s="95" t="s">
        <v>879</v>
      </c>
      <c r="I10" s="95"/>
      <c r="J10" s="83"/>
      <c r="K10" s="79"/>
    </row>
    <row r="11" spans="1:11" ht="14.4">
      <c r="A11" s="79" t="s">
        <v>77</v>
      </c>
      <c r="B11" s="93">
        <v>1</v>
      </c>
      <c r="C11" s="94" t="s">
        <v>141</v>
      </c>
      <c r="D11" s="79" t="s">
        <v>880</v>
      </c>
      <c r="E11" s="95" t="s">
        <v>21</v>
      </c>
      <c r="F11" s="95" t="s">
        <v>22</v>
      </c>
      <c r="G11" s="95" t="s">
        <v>28</v>
      </c>
      <c r="H11" s="95" t="s">
        <v>881</v>
      </c>
      <c r="I11" s="95"/>
      <c r="J11" s="83" t="str">
        <f>IF(E11="Invalid_Segment","Invalid",IFERROR(INDEX(Severity_Matrix!$C$3:$M$10,MATCH('Error Log'!$F11,Severity_Matrix!$B$3:$B$10,0),MATCH('Error Log'!$G11,Severity_Matrix!$C$2:$M$2,0)),"No errors"))</f>
        <v>Major</v>
      </c>
      <c r="K11" s="79"/>
    </row>
    <row r="12" spans="1:11" ht="14.4">
      <c r="A12" s="79" t="s">
        <v>77</v>
      </c>
      <c r="B12" s="93">
        <v>2</v>
      </c>
      <c r="C12" s="94" t="s">
        <v>141</v>
      </c>
      <c r="D12" s="79" t="s">
        <v>880</v>
      </c>
      <c r="E12" s="95" t="s">
        <v>21</v>
      </c>
      <c r="F12" s="95" t="s">
        <v>22</v>
      </c>
      <c r="G12" s="95" t="s">
        <v>28</v>
      </c>
      <c r="H12" s="95" t="s">
        <v>882</v>
      </c>
      <c r="I12" s="95"/>
      <c r="J12" s="83" t="str">
        <f>IF(E12="Invalid_Segment","Invalid",IFERROR(INDEX(Severity_Matrix!$C$3:$M$10,MATCH('Error Log'!$F12,Severity_Matrix!$B$3:$B$10,0),MATCH('Error Log'!$G12,Severity_Matrix!$C$2:$M$2,0)),"No errors"))</f>
        <v>Major</v>
      </c>
      <c r="K12" s="79"/>
    </row>
    <row r="13" spans="1:11" ht="14.4">
      <c r="A13" s="79" t="s">
        <v>78</v>
      </c>
      <c r="B13" s="93">
        <v>1</v>
      </c>
      <c r="C13" s="94" t="s">
        <v>142</v>
      </c>
      <c r="D13" s="79" t="s">
        <v>143</v>
      </c>
      <c r="E13" s="95" t="s">
        <v>21</v>
      </c>
      <c r="F13" s="95" t="s">
        <v>7</v>
      </c>
      <c r="G13" s="95" t="s">
        <v>57</v>
      </c>
      <c r="H13" s="95" t="s">
        <v>144</v>
      </c>
      <c r="I13" s="96"/>
      <c r="J13" s="83" t="str">
        <f>IF(E13="Invalid_Segment","Invalid",IFERROR(INDEX(Severity_Matrix!$C$3:$M$10,MATCH('Error Log'!$F13,Severity_Matrix!$B$3:$B$10,0),MATCH('Error Log'!$G13,Severity_Matrix!$C$2:$M$2,0)),"No errors"))</f>
        <v>Critical</v>
      </c>
      <c r="K13" s="99"/>
    </row>
    <row r="14" spans="1:11" s="77" customFormat="1">
      <c r="A14" s="79" t="s">
        <v>79</v>
      </c>
      <c r="B14" s="93">
        <v>1</v>
      </c>
      <c r="C14" s="79" t="s">
        <v>145</v>
      </c>
      <c r="D14" s="79" t="s">
        <v>146</v>
      </c>
      <c r="E14" s="95" t="s">
        <v>21</v>
      </c>
      <c r="F14" s="95" t="s">
        <v>7</v>
      </c>
      <c r="G14" s="95" t="s">
        <v>57</v>
      </c>
      <c r="H14" s="95" t="s">
        <v>147</v>
      </c>
      <c r="I14" s="96"/>
      <c r="J14" s="83" t="str">
        <f>IF(E14="Invalid_Segment","Invalid",IFERROR(INDEX(Severity_Matrix!$C$3:$M$10,MATCH('Error Log'!$F14,Severity_Matrix!$B$3:$B$10,0),MATCH('Error Log'!$G14,Severity_Matrix!$C$2:$M$2,0)),"No errors"))</f>
        <v>Critical</v>
      </c>
      <c r="K14" s="99"/>
    </row>
    <row r="15" spans="1:11" s="77" customFormat="1">
      <c r="A15" s="79" t="s">
        <v>79</v>
      </c>
      <c r="B15" s="93">
        <v>2</v>
      </c>
      <c r="C15" s="79" t="s">
        <v>145</v>
      </c>
      <c r="D15" s="79" t="s">
        <v>146</v>
      </c>
      <c r="E15" s="95" t="s">
        <v>21</v>
      </c>
      <c r="F15" s="95" t="s">
        <v>7</v>
      </c>
      <c r="G15" s="95" t="s">
        <v>57</v>
      </c>
      <c r="H15" s="95" t="s">
        <v>148</v>
      </c>
      <c r="I15" s="96"/>
      <c r="J15" s="83" t="str">
        <f>IF(E15="Invalid_Segment","Invalid",IFERROR(INDEX(Severity_Matrix!$C$3:$M$10,MATCH('Error Log'!$F15,Severity_Matrix!$B$3:$B$10,0),MATCH('Error Log'!$G15,Severity_Matrix!$C$2:$M$2,0)),"No errors"))</f>
        <v>Critical</v>
      </c>
      <c r="K15" s="99"/>
    </row>
    <row r="16" spans="1:11" s="77" customFormat="1">
      <c r="A16" s="79" t="s">
        <v>79</v>
      </c>
      <c r="B16" s="93">
        <v>3</v>
      </c>
      <c r="C16" s="79" t="s">
        <v>145</v>
      </c>
      <c r="D16" s="79" t="s">
        <v>146</v>
      </c>
      <c r="E16" s="95" t="s">
        <v>21</v>
      </c>
      <c r="F16" s="95" t="s">
        <v>7</v>
      </c>
      <c r="G16" s="95" t="s">
        <v>57</v>
      </c>
      <c r="H16" s="95" t="s">
        <v>149</v>
      </c>
      <c r="I16" s="96"/>
      <c r="J16" s="83" t="str">
        <f>IF(E16="Invalid_Segment","Invalid",IFERROR(INDEX(Severity_Matrix!$C$3:$M$10,MATCH('Error Log'!$F16,Severity_Matrix!$B$3:$B$10,0),MATCH('Error Log'!$G16,Severity_Matrix!$C$2:$M$2,0)),"No errors"))</f>
        <v>Critical</v>
      </c>
      <c r="K16" s="99"/>
    </row>
    <row r="17" spans="1:11" s="77" customFormat="1">
      <c r="A17" s="79" t="s">
        <v>79</v>
      </c>
      <c r="B17" s="93">
        <v>4</v>
      </c>
      <c r="C17" s="79" t="s">
        <v>145</v>
      </c>
      <c r="D17" s="79" t="s">
        <v>146</v>
      </c>
      <c r="E17" s="95" t="s">
        <v>21</v>
      </c>
      <c r="F17" s="95" t="s">
        <v>22</v>
      </c>
      <c r="G17" s="95" t="s">
        <v>57</v>
      </c>
      <c r="H17" s="95" t="s">
        <v>150</v>
      </c>
      <c r="I17" s="96"/>
      <c r="J17" s="83" t="str">
        <f>IF(E17="Invalid_Segment","Invalid",IFERROR(INDEX(Severity_Matrix!$C$3:$M$10,MATCH('Error Log'!$F17,Severity_Matrix!$B$3:$B$10,0),MATCH('Error Log'!$G17,Severity_Matrix!$C$2:$M$2,0)),"No errors"))</f>
        <v>Major</v>
      </c>
      <c r="K17" s="99"/>
    </row>
    <row r="18" spans="1:11" s="77" customFormat="1">
      <c r="A18" s="79" t="s">
        <v>79</v>
      </c>
      <c r="B18" s="93">
        <v>5</v>
      </c>
      <c r="C18" s="79" t="s">
        <v>145</v>
      </c>
      <c r="D18" s="79" t="s">
        <v>146</v>
      </c>
      <c r="E18" s="95" t="s">
        <v>21</v>
      </c>
      <c r="F18" s="95" t="s">
        <v>22</v>
      </c>
      <c r="G18" s="95" t="s">
        <v>57</v>
      </c>
      <c r="H18" s="95" t="s">
        <v>151</v>
      </c>
      <c r="I18" s="96"/>
      <c r="J18" s="83" t="str">
        <f>IF(E18="Invalid_Segment","Invalid",IFERROR(INDEX(Severity_Matrix!$C$3:$M$10,MATCH('Error Log'!$F18,Severity_Matrix!$B$3:$B$10,0),MATCH('Error Log'!$G18,Severity_Matrix!$C$2:$M$2,0)),"No errors"))</f>
        <v>Major</v>
      </c>
      <c r="K18" s="99"/>
    </row>
    <row r="19" spans="1:11">
      <c r="A19" s="79" t="s">
        <v>80</v>
      </c>
      <c r="B19" s="93">
        <v>1</v>
      </c>
      <c r="C19" s="79" t="s">
        <v>152</v>
      </c>
      <c r="D19" s="79" t="s">
        <v>153</v>
      </c>
      <c r="E19" s="95" t="s">
        <v>21</v>
      </c>
      <c r="F19" s="95" t="s">
        <v>7</v>
      </c>
      <c r="G19" s="95" t="s">
        <v>57</v>
      </c>
      <c r="H19" s="95" t="s">
        <v>154</v>
      </c>
      <c r="I19" s="96"/>
      <c r="J19" s="83" t="str">
        <f>IF(E19="Invalid_Segment","Invalid",IFERROR(INDEX(Severity_Matrix!$C$3:$M$10,MATCH('Error Log'!$F19,Severity_Matrix!$B$3:$B$10,0),MATCH('Error Log'!$G19,Severity_Matrix!$C$2:$M$2,0)),"No errors"))</f>
        <v>Critical</v>
      </c>
      <c r="K19" s="99"/>
    </row>
    <row r="20" spans="1:11">
      <c r="A20" s="79" t="s">
        <v>80</v>
      </c>
      <c r="B20" s="93">
        <v>2</v>
      </c>
      <c r="C20" s="79" t="s">
        <v>152</v>
      </c>
      <c r="D20" s="79" t="s">
        <v>153</v>
      </c>
      <c r="E20" s="95" t="s">
        <v>21</v>
      </c>
      <c r="F20" s="95" t="s">
        <v>7</v>
      </c>
      <c r="G20" s="95" t="s">
        <v>57</v>
      </c>
      <c r="H20" s="95" t="s">
        <v>155</v>
      </c>
      <c r="I20" s="96"/>
      <c r="J20" s="83" t="str">
        <f>IF(E20="Invalid_Segment","Invalid",IFERROR(INDEX(Severity_Matrix!$C$3:$M$10,MATCH('Error Log'!$F20,Severity_Matrix!$B$3:$B$10,0),MATCH('Error Log'!$G20,Severity_Matrix!$C$2:$M$2,0)),"No errors"))</f>
        <v>Critical</v>
      </c>
      <c r="K20" s="99"/>
    </row>
    <row r="21" spans="1:11">
      <c r="A21" s="79" t="s">
        <v>80</v>
      </c>
      <c r="B21" s="93">
        <v>3</v>
      </c>
      <c r="C21" s="79" t="s">
        <v>152</v>
      </c>
      <c r="D21" s="79" t="s">
        <v>153</v>
      </c>
      <c r="E21" s="95" t="s">
        <v>21</v>
      </c>
      <c r="F21" s="95" t="s">
        <v>22</v>
      </c>
      <c r="G21" s="95" t="s">
        <v>57</v>
      </c>
      <c r="H21" s="95" t="s">
        <v>156</v>
      </c>
      <c r="I21" s="96"/>
      <c r="J21" s="83" t="str">
        <f>IF(E21="Invalid_Segment","Invalid",IFERROR(INDEX(Severity_Matrix!$C$3:$M$10,MATCH('Error Log'!$F21,Severity_Matrix!$B$3:$B$10,0),MATCH('Error Log'!$G21,Severity_Matrix!$C$2:$M$2,0)),"No errors"))</f>
        <v>Major</v>
      </c>
      <c r="K21" s="99"/>
    </row>
    <row r="22" spans="1:11">
      <c r="A22" s="79" t="s">
        <v>81</v>
      </c>
      <c r="B22" s="93">
        <v>1</v>
      </c>
      <c r="C22" s="79" t="s">
        <v>157</v>
      </c>
      <c r="D22" s="79" t="s">
        <v>158</v>
      </c>
      <c r="E22" s="95" t="s">
        <v>21</v>
      </c>
      <c r="F22" s="95" t="s">
        <v>7</v>
      </c>
      <c r="G22" s="95" t="s">
        <v>57</v>
      </c>
      <c r="H22" s="95" t="s">
        <v>159</v>
      </c>
      <c r="I22" s="96"/>
      <c r="J22" s="83" t="str">
        <f>IF(E22="Invalid_Segment","Invalid",IFERROR(INDEX(Severity_Matrix!$C$3:$M$10,MATCH('Error Log'!$F22,Severity_Matrix!$B$3:$B$10,0),MATCH('Error Log'!$G22,Severity_Matrix!$C$2:$M$2,0)),"No errors"))</f>
        <v>Critical</v>
      </c>
      <c r="K22" s="99"/>
    </row>
    <row r="23" spans="1:11">
      <c r="A23" s="79" t="s">
        <v>81</v>
      </c>
      <c r="B23" s="93">
        <v>2</v>
      </c>
      <c r="C23" s="79" t="s">
        <v>157</v>
      </c>
      <c r="D23" s="79" t="s">
        <v>158</v>
      </c>
      <c r="E23" s="95" t="s">
        <v>21</v>
      </c>
      <c r="F23" s="95" t="s">
        <v>7</v>
      </c>
      <c r="G23" s="95" t="s">
        <v>57</v>
      </c>
      <c r="H23" s="95" t="s">
        <v>160</v>
      </c>
      <c r="I23" s="96"/>
      <c r="J23" s="83" t="str">
        <f>IF(E23="Invalid_Segment","Invalid",IFERROR(INDEX(Severity_Matrix!$C$3:$M$10,MATCH('Error Log'!$F23,Severity_Matrix!$B$3:$B$10,0),MATCH('Error Log'!$G23,Severity_Matrix!$C$2:$M$2,0)),"No errors"))</f>
        <v>Critical</v>
      </c>
      <c r="K23" s="99"/>
    </row>
    <row r="24" spans="1:11">
      <c r="A24" s="79" t="s">
        <v>82</v>
      </c>
      <c r="B24" s="93">
        <v>1</v>
      </c>
      <c r="C24" s="79" t="s">
        <v>161</v>
      </c>
      <c r="D24" s="79" t="s">
        <v>162</v>
      </c>
      <c r="E24" s="95" t="s">
        <v>21</v>
      </c>
      <c r="F24" s="95" t="s">
        <v>22</v>
      </c>
      <c r="G24" s="95" t="s">
        <v>57</v>
      </c>
      <c r="H24" s="95" t="s">
        <v>163</v>
      </c>
      <c r="I24" s="96"/>
      <c r="J24" s="83" t="str">
        <f>IF(E24="Invalid_Segment","Invalid",IFERROR(INDEX(Severity_Matrix!$C$3:$M$10,MATCH('Error Log'!$F24,Severity_Matrix!$B$3:$B$10,0),MATCH('Error Log'!$G24,Severity_Matrix!$C$2:$M$2,0)),"No errors"))</f>
        <v>Major</v>
      </c>
      <c r="K24" s="99"/>
    </row>
    <row r="25" spans="1:11">
      <c r="A25" s="79" t="s">
        <v>82</v>
      </c>
      <c r="B25" s="93">
        <v>2</v>
      </c>
      <c r="C25" s="79" t="s">
        <v>161</v>
      </c>
      <c r="D25" s="79" t="s">
        <v>162</v>
      </c>
      <c r="E25" s="95" t="s">
        <v>21</v>
      </c>
      <c r="F25" s="95" t="s">
        <v>7</v>
      </c>
      <c r="G25" s="95" t="s">
        <v>57</v>
      </c>
      <c r="H25" s="95" t="s">
        <v>164</v>
      </c>
      <c r="I25" s="96"/>
      <c r="J25" s="83" t="str">
        <f>IF(E25="Invalid_Segment","Invalid",IFERROR(INDEX(Severity_Matrix!$C$3:$M$10,MATCH('Error Log'!$F25,Severity_Matrix!$B$3:$B$10,0),MATCH('Error Log'!$G25,Severity_Matrix!$C$2:$M$2,0)),"No errors"))</f>
        <v>Critical</v>
      </c>
      <c r="K25" s="99"/>
    </row>
    <row r="26" spans="1:11">
      <c r="A26" s="79" t="s">
        <v>82</v>
      </c>
      <c r="B26" s="93">
        <v>3</v>
      </c>
      <c r="C26" s="79" t="s">
        <v>161</v>
      </c>
      <c r="D26" s="79" t="s">
        <v>162</v>
      </c>
      <c r="E26" s="95" t="s">
        <v>21</v>
      </c>
      <c r="F26" s="95" t="s">
        <v>7</v>
      </c>
      <c r="G26" s="95" t="s">
        <v>57</v>
      </c>
      <c r="H26" s="95" t="s">
        <v>165</v>
      </c>
      <c r="I26" s="96"/>
      <c r="J26" s="83" t="str">
        <f>IF(E26="Invalid_Segment","Invalid",IFERROR(INDEX(Severity_Matrix!$C$3:$M$10,MATCH('Error Log'!$F26,Severity_Matrix!$B$3:$B$10,0),MATCH('Error Log'!$G26,Severity_Matrix!$C$2:$M$2,0)),"No errors"))</f>
        <v>Critical</v>
      </c>
      <c r="K26" s="99"/>
    </row>
    <row r="27" spans="1:11">
      <c r="A27" s="79" t="s">
        <v>83</v>
      </c>
      <c r="B27" s="93">
        <v>1</v>
      </c>
      <c r="C27" s="79" t="s">
        <v>166</v>
      </c>
      <c r="D27" s="79" t="s">
        <v>167</v>
      </c>
      <c r="E27" s="95" t="s">
        <v>21</v>
      </c>
      <c r="F27" s="95" t="s">
        <v>7</v>
      </c>
      <c r="G27" s="95" t="s">
        <v>57</v>
      </c>
      <c r="H27" s="95" t="s">
        <v>168</v>
      </c>
      <c r="I27" s="96"/>
      <c r="J27" s="83" t="str">
        <f>IF(E27="Invalid_Segment","Invalid",IFERROR(INDEX(Severity_Matrix!$C$3:$M$10,MATCH('Error Log'!$F27,Severity_Matrix!$B$3:$B$10,0),MATCH('Error Log'!$G27,Severity_Matrix!$C$2:$M$2,0)),"No errors"))</f>
        <v>Critical</v>
      </c>
      <c r="K27" s="99"/>
    </row>
    <row r="28" spans="1:11">
      <c r="A28" s="79" t="s">
        <v>84</v>
      </c>
      <c r="B28" s="93">
        <v>1</v>
      </c>
      <c r="C28" s="79" t="s">
        <v>169</v>
      </c>
      <c r="D28" s="79" t="s">
        <v>170</v>
      </c>
      <c r="E28" s="95" t="s">
        <v>2</v>
      </c>
      <c r="F28" s="95" t="s">
        <v>26</v>
      </c>
      <c r="G28" s="95" t="s">
        <v>57</v>
      </c>
      <c r="H28" s="95" t="s">
        <v>171</v>
      </c>
      <c r="I28" s="96"/>
      <c r="J28" s="83" t="str">
        <f>IF(E28="Invalid_Segment","Invalid",IFERROR(INDEX(Severity_Matrix!$C$3:$M$10,MATCH('Error Log'!$F28,Severity_Matrix!$B$3:$B$10,0),MATCH('Error Log'!$G28,Severity_Matrix!$C$2:$M$2,0)),"No errors"))</f>
        <v>Major</v>
      </c>
      <c r="K28" s="99"/>
    </row>
    <row r="29" spans="1:11">
      <c r="A29" s="79" t="s">
        <v>84</v>
      </c>
      <c r="B29" s="93">
        <v>2</v>
      </c>
      <c r="C29" s="79" t="s">
        <v>169</v>
      </c>
      <c r="D29" s="79" t="s">
        <v>170</v>
      </c>
      <c r="E29" s="95" t="s">
        <v>21</v>
      </c>
      <c r="F29" s="95" t="s">
        <v>7</v>
      </c>
      <c r="G29" s="95" t="s">
        <v>57</v>
      </c>
      <c r="H29" s="95" t="s">
        <v>172</v>
      </c>
      <c r="I29" s="96"/>
      <c r="J29" s="83" t="str">
        <f>IF(E29="Invalid_Segment","Invalid",IFERROR(INDEX(Severity_Matrix!$C$3:$M$10,MATCH('Error Log'!$F29,Severity_Matrix!$B$3:$B$10,0),MATCH('Error Log'!$G29,Severity_Matrix!$C$2:$M$2,0)),"No errors"))</f>
        <v>Critical</v>
      </c>
      <c r="K29" s="99"/>
    </row>
    <row r="30" spans="1:11">
      <c r="A30" s="79" t="s">
        <v>85</v>
      </c>
      <c r="B30" s="93">
        <v>1</v>
      </c>
      <c r="C30" s="79" t="s">
        <v>173</v>
      </c>
      <c r="D30" s="79" t="s">
        <v>174</v>
      </c>
      <c r="E30" s="95" t="s">
        <v>21</v>
      </c>
      <c r="F30" s="95" t="s">
        <v>22</v>
      </c>
      <c r="G30" s="95" t="s">
        <v>57</v>
      </c>
      <c r="H30" s="95" t="s">
        <v>175</v>
      </c>
      <c r="I30" s="96"/>
      <c r="J30" s="83" t="str">
        <f>IF(E30="Invalid_Segment","Invalid",IFERROR(INDEX(Severity_Matrix!$C$3:$M$10,MATCH('Error Log'!$F30,Severity_Matrix!$B$3:$B$10,0),MATCH('Error Log'!$G30,Severity_Matrix!$C$2:$M$2,0)),"No errors"))</f>
        <v>Major</v>
      </c>
      <c r="K30" s="99"/>
    </row>
    <row r="31" spans="1:11">
      <c r="A31" s="79" t="s">
        <v>85</v>
      </c>
      <c r="B31" s="93">
        <v>2</v>
      </c>
      <c r="C31" s="79" t="s">
        <v>173</v>
      </c>
      <c r="D31" s="79" t="s">
        <v>174</v>
      </c>
      <c r="E31" s="95" t="s">
        <v>21</v>
      </c>
      <c r="F31" s="95" t="s">
        <v>7</v>
      </c>
      <c r="G31" s="95" t="s">
        <v>57</v>
      </c>
      <c r="H31" s="95" t="s">
        <v>176</v>
      </c>
      <c r="I31" s="96"/>
      <c r="J31" s="83" t="str">
        <f>IF(E31="Invalid_Segment","Invalid",IFERROR(INDEX(Severity_Matrix!$C$3:$M$10,MATCH('Error Log'!$F31,Severity_Matrix!$B$3:$B$10,0),MATCH('Error Log'!$G31,Severity_Matrix!$C$2:$M$2,0)),"No errors"))</f>
        <v>Critical</v>
      </c>
      <c r="K31" s="99"/>
    </row>
    <row r="32" spans="1:11">
      <c r="A32" s="79" t="s">
        <v>177</v>
      </c>
      <c r="B32" s="93">
        <v>3</v>
      </c>
      <c r="C32" s="79" t="s">
        <v>173</v>
      </c>
      <c r="D32" s="79" t="s">
        <v>174</v>
      </c>
      <c r="E32" s="95" t="s">
        <v>21</v>
      </c>
      <c r="F32" s="95" t="s">
        <v>7</v>
      </c>
      <c r="G32" s="95" t="s">
        <v>57</v>
      </c>
      <c r="H32" s="95" t="s">
        <v>178</v>
      </c>
      <c r="I32" s="96"/>
      <c r="J32" s="83" t="str">
        <f>IF(E32="Invalid_Segment","Invalid",IFERROR(INDEX(Severity_Matrix!$C$3:$M$10,MATCH('Error Log'!$F32,Severity_Matrix!$B$3:$B$10,0),MATCH('Error Log'!$G32,Severity_Matrix!$C$2:$M$2,0)),"No errors"))</f>
        <v>Critical</v>
      </c>
      <c r="K32" s="99"/>
    </row>
    <row r="33" spans="1:11">
      <c r="A33" s="79" t="s">
        <v>177</v>
      </c>
      <c r="B33" s="93">
        <v>4</v>
      </c>
      <c r="C33" s="79" t="s">
        <v>173</v>
      </c>
      <c r="D33" s="79" t="s">
        <v>174</v>
      </c>
      <c r="E33" s="95" t="s">
        <v>21</v>
      </c>
      <c r="F33" s="95" t="s">
        <v>7</v>
      </c>
      <c r="G33" s="95" t="s">
        <v>57</v>
      </c>
      <c r="H33" s="95" t="s">
        <v>179</v>
      </c>
      <c r="I33" s="96"/>
      <c r="J33" s="83" t="str">
        <f>IF(E33="Invalid_Segment","Invalid",IFERROR(INDEX(Severity_Matrix!$C$3:$M$10,MATCH('Error Log'!$F33,Severity_Matrix!$B$3:$B$10,0),MATCH('Error Log'!$G33,Severity_Matrix!$C$2:$M$2,0)),"No errors"))</f>
        <v>Critical</v>
      </c>
      <c r="K33" s="99"/>
    </row>
    <row r="34" spans="1:11">
      <c r="A34" s="79" t="s">
        <v>177</v>
      </c>
      <c r="B34" s="93">
        <v>5</v>
      </c>
      <c r="C34" s="79" t="s">
        <v>173</v>
      </c>
      <c r="D34" s="79" t="s">
        <v>174</v>
      </c>
      <c r="E34" s="95" t="s">
        <v>21</v>
      </c>
      <c r="F34" s="95" t="s">
        <v>7</v>
      </c>
      <c r="G34" s="95" t="s">
        <v>57</v>
      </c>
      <c r="H34" s="95" t="s">
        <v>180</v>
      </c>
      <c r="I34" s="96"/>
      <c r="J34" s="83" t="str">
        <f>IF(E34="Invalid_Segment","Invalid",IFERROR(INDEX(Severity_Matrix!$C$3:$M$10,MATCH('Error Log'!$F34,Severity_Matrix!$B$3:$B$10,0),MATCH('Error Log'!$G34,Severity_Matrix!$C$2:$M$2,0)),"No errors"))</f>
        <v>Critical</v>
      </c>
      <c r="K34" s="99"/>
    </row>
    <row r="35" spans="1:11">
      <c r="A35" s="79" t="s">
        <v>86</v>
      </c>
      <c r="B35" s="93">
        <v>1</v>
      </c>
      <c r="C35" s="79" t="s">
        <v>181</v>
      </c>
      <c r="D35" s="79" t="s">
        <v>182</v>
      </c>
      <c r="E35" s="95" t="s">
        <v>21</v>
      </c>
      <c r="F35" s="95" t="s">
        <v>7</v>
      </c>
      <c r="G35" s="95" t="s">
        <v>57</v>
      </c>
      <c r="H35" s="95" t="s">
        <v>183</v>
      </c>
      <c r="I35" s="96"/>
      <c r="J35" s="83" t="str">
        <f>IF(E35="Invalid_Segment","Invalid",IFERROR(INDEX(Severity_Matrix!$C$3:$M$10,MATCH('Error Log'!$F35,Severity_Matrix!$B$3:$B$10,0),MATCH('Error Log'!$G35,Severity_Matrix!$C$2:$M$2,0)),"No errors"))</f>
        <v>Critical</v>
      </c>
      <c r="K35" s="99"/>
    </row>
    <row r="36" spans="1:11">
      <c r="A36" s="79" t="s">
        <v>87</v>
      </c>
      <c r="B36" s="93">
        <v>1</v>
      </c>
      <c r="C36" s="79" t="s">
        <v>184</v>
      </c>
      <c r="D36" s="79" t="s">
        <v>185</v>
      </c>
      <c r="E36" s="95" t="s">
        <v>21</v>
      </c>
      <c r="F36" s="95" t="s">
        <v>7</v>
      </c>
      <c r="G36" s="95" t="s">
        <v>27</v>
      </c>
      <c r="H36" s="95" t="s">
        <v>186</v>
      </c>
      <c r="I36" s="96"/>
      <c r="J36" s="83" t="str">
        <f>IF(E36="Invalid_Segment","Invalid",IFERROR(INDEX(Severity_Matrix!$C$3:$M$10,MATCH('Error Log'!$F36,Severity_Matrix!$B$3:$B$10,0),MATCH('Error Log'!$G36,Severity_Matrix!$C$2:$M$2,0)),"No errors"))</f>
        <v>Major</v>
      </c>
      <c r="K36" s="99"/>
    </row>
    <row r="37" spans="1:11">
      <c r="A37" s="79" t="s">
        <v>87</v>
      </c>
      <c r="B37" s="93">
        <v>2</v>
      </c>
      <c r="C37" s="79" t="s">
        <v>184</v>
      </c>
      <c r="D37" s="79" t="s">
        <v>185</v>
      </c>
      <c r="E37" s="95" t="s">
        <v>21</v>
      </c>
      <c r="F37" s="95" t="s">
        <v>22</v>
      </c>
      <c r="G37" s="95" t="s">
        <v>57</v>
      </c>
      <c r="H37" s="95" t="s">
        <v>187</v>
      </c>
      <c r="I37" s="96"/>
      <c r="J37" s="83" t="str">
        <f>IF(E37="Invalid_Segment","Invalid",IFERROR(INDEX(Severity_Matrix!$C$3:$M$10,MATCH('Error Log'!$F37,Severity_Matrix!$B$3:$B$10,0),MATCH('Error Log'!$G37,Severity_Matrix!$C$2:$M$2,0)),"No errors"))</f>
        <v>Major</v>
      </c>
      <c r="K37" s="99"/>
    </row>
    <row r="38" spans="1:11">
      <c r="A38" s="79" t="s">
        <v>87</v>
      </c>
      <c r="B38" s="93">
        <v>3</v>
      </c>
      <c r="C38" s="79" t="s">
        <v>184</v>
      </c>
      <c r="D38" s="79" t="s">
        <v>185</v>
      </c>
      <c r="E38" s="95" t="s">
        <v>21</v>
      </c>
      <c r="F38" s="95" t="s">
        <v>7</v>
      </c>
      <c r="G38" s="95" t="s">
        <v>27</v>
      </c>
      <c r="H38" s="95" t="s">
        <v>188</v>
      </c>
      <c r="I38" s="96"/>
      <c r="J38" s="83" t="str">
        <f>IF(E38="Invalid_Segment","Invalid",IFERROR(INDEX(Severity_Matrix!$C$3:$M$10,MATCH('Error Log'!$F38,Severity_Matrix!$B$3:$B$10,0),MATCH('Error Log'!$G38,Severity_Matrix!$C$2:$M$2,0)),"No errors"))</f>
        <v>Major</v>
      </c>
      <c r="K38" s="99"/>
    </row>
    <row r="39" spans="1:11">
      <c r="A39" s="79" t="s">
        <v>87</v>
      </c>
      <c r="B39" s="93">
        <v>4</v>
      </c>
      <c r="C39" s="79" t="s">
        <v>184</v>
      </c>
      <c r="D39" s="79" t="s">
        <v>185</v>
      </c>
      <c r="E39" s="95" t="s">
        <v>21</v>
      </c>
      <c r="F39" s="95" t="s">
        <v>7</v>
      </c>
      <c r="G39" s="95" t="s">
        <v>56</v>
      </c>
      <c r="H39" s="95" t="s">
        <v>189</v>
      </c>
      <c r="I39" s="96"/>
      <c r="J39" s="83" t="str">
        <f>IF(E39="Invalid_Segment","Invalid",IFERROR(INDEX(Severity_Matrix!$C$3:$M$10,MATCH('Error Log'!$F39,Severity_Matrix!$B$3:$B$10,0),MATCH('Error Log'!$G39,Severity_Matrix!$C$2:$M$2,0)),"No errors"))</f>
        <v>Critical</v>
      </c>
      <c r="K39" s="99"/>
    </row>
    <row r="40" spans="1:11">
      <c r="A40" s="79" t="s">
        <v>87</v>
      </c>
      <c r="B40" s="93">
        <v>5</v>
      </c>
      <c r="C40" s="79" t="s">
        <v>184</v>
      </c>
      <c r="D40" s="79" t="s">
        <v>185</v>
      </c>
      <c r="E40" s="95" t="s">
        <v>2</v>
      </c>
      <c r="F40" s="95" t="s">
        <v>26</v>
      </c>
      <c r="G40" s="95" t="s">
        <v>57</v>
      </c>
      <c r="H40" s="95" t="s">
        <v>190</v>
      </c>
      <c r="I40" s="96"/>
      <c r="J40" s="83" t="str">
        <f>IF(E40="Invalid_Segment","Invalid",IFERROR(INDEX(Severity_Matrix!$C$3:$M$10,MATCH('Error Log'!$F40,Severity_Matrix!$B$3:$B$10,0),MATCH('Error Log'!$G40,Severity_Matrix!$C$2:$M$2,0)),"No errors"))</f>
        <v>Major</v>
      </c>
      <c r="K40" s="99"/>
    </row>
    <row r="41" spans="1:11">
      <c r="A41" s="79" t="s">
        <v>191</v>
      </c>
      <c r="B41" s="93">
        <v>6</v>
      </c>
      <c r="C41" s="79" t="s">
        <v>184</v>
      </c>
      <c r="D41" s="79" t="s">
        <v>185</v>
      </c>
      <c r="E41" s="95" t="s">
        <v>21</v>
      </c>
      <c r="F41" s="95" t="s">
        <v>7</v>
      </c>
      <c r="G41" s="95" t="s">
        <v>57</v>
      </c>
      <c r="H41" s="95" t="s">
        <v>192</v>
      </c>
      <c r="I41" s="96"/>
      <c r="J41" s="83" t="str">
        <f>IF(E41="Invalid_Segment","Invalid",IFERROR(INDEX(Severity_Matrix!$C$3:$M$10,MATCH('Error Log'!$F41,Severity_Matrix!$B$3:$B$10,0),MATCH('Error Log'!$G41,Severity_Matrix!$C$2:$M$2,0)),"No errors"))</f>
        <v>Critical</v>
      </c>
      <c r="K41" s="99"/>
    </row>
    <row r="42" spans="1:11">
      <c r="A42" s="79" t="s">
        <v>191</v>
      </c>
      <c r="B42" s="93">
        <v>7</v>
      </c>
      <c r="C42" s="79" t="s">
        <v>184</v>
      </c>
      <c r="D42" s="79" t="s">
        <v>185</v>
      </c>
      <c r="E42" s="95" t="s">
        <v>21</v>
      </c>
      <c r="F42" s="95" t="s">
        <v>7</v>
      </c>
      <c r="G42" s="95" t="s">
        <v>57</v>
      </c>
      <c r="H42" s="95" t="s">
        <v>193</v>
      </c>
      <c r="I42" s="96"/>
      <c r="J42" s="83" t="str">
        <f>IF(E42="Invalid_Segment","Invalid",IFERROR(INDEX(Severity_Matrix!$C$3:$M$10,MATCH('Error Log'!$F42,Severity_Matrix!$B$3:$B$10,0),MATCH('Error Log'!$G42,Severity_Matrix!$C$2:$M$2,0)),"No errors"))</f>
        <v>Critical</v>
      </c>
      <c r="K42" s="99"/>
    </row>
    <row r="43" spans="1:11">
      <c r="A43" s="79" t="s">
        <v>191</v>
      </c>
      <c r="B43" s="93">
        <v>8</v>
      </c>
      <c r="C43" s="79" t="s">
        <v>184</v>
      </c>
      <c r="D43" s="79" t="s">
        <v>185</v>
      </c>
      <c r="E43" s="95" t="s">
        <v>21</v>
      </c>
      <c r="F43" s="95" t="s">
        <v>7</v>
      </c>
      <c r="G43" s="95" t="s">
        <v>57</v>
      </c>
      <c r="H43" s="95" t="s">
        <v>194</v>
      </c>
      <c r="I43" s="96"/>
      <c r="J43" s="83" t="str">
        <f>IF(E43="Invalid_Segment","Invalid",IFERROR(INDEX(Severity_Matrix!$C$3:$M$10,MATCH('Error Log'!$F43,Severity_Matrix!$B$3:$B$10,0),MATCH('Error Log'!$G43,Severity_Matrix!$C$2:$M$2,0)),"No errors"))</f>
        <v>Critical</v>
      </c>
      <c r="K43" s="99"/>
    </row>
    <row r="44" spans="1:11">
      <c r="A44" s="79" t="s">
        <v>88</v>
      </c>
      <c r="B44" s="93">
        <v>1</v>
      </c>
      <c r="C44" s="79" t="s">
        <v>195</v>
      </c>
      <c r="D44" s="79" t="s">
        <v>196</v>
      </c>
      <c r="E44" s="95"/>
      <c r="F44" s="95"/>
      <c r="G44" s="95"/>
      <c r="H44" s="97"/>
      <c r="I44" s="96"/>
      <c r="J44" s="83" t="str">
        <f>IF(E44="Invalid_Segment","Invalid",IFERROR(INDEX(Severity_Matrix!$C$3:$M$10,MATCH('Error Log'!$F44,Severity_Matrix!$B$3:$B$10,0),MATCH('Error Log'!$G44,Severity_Matrix!$C$2:$M$2,0)),"No errors"))</f>
        <v>No errors</v>
      </c>
      <c r="K44" s="99"/>
    </row>
    <row r="45" spans="1:11">
      <c r="A45" s="79" t="s">
        <v>89</v>
      </c>
      <c r="B45" s="93">
        <v>1</v>
      </c>
      <c r="C45" s="93" t="s">
        <v>197</v>
      </c>
      <c r="D45" s="79" t="s">
        <v>198</v>
      </c>
      <c r="E45" s="95" t="s">
        <v>21</v>
      </c>
      <c r="F45" s="95" t="s">
        <v>22</v>
      </c>
      <c r="G45" s="95" t="s">
        <v>57</v>
      </c>
      <c r="H45" s="95" t="s">
        <v>199</v>
      </c>
      <c r="I45" s="96"/>
      <c r="J45" s="83" t="str">
        <f>IF(E45="Invalid_Segment","Invalid",IFERROR(INDEX(Severity_Matrix!$C$3:$M$10,MATCH('Error Log'!$F45,Severity_Matrix!$B$3:$B$10,0),MATCH('Error Log'!$G45,Severity_Matrix!$C$2:$M$2,0)),"No errors"))</f>
        <v>Major</v>
      </c>
      <c r="K45" s="99"/>
    </row>
    <row r="46" spans="1:11">
      <c r="A46" s="79" t="s">
        <v>89</v>
      </c>
      <c r="B46" s="93">
        <v>2</v>
      </c>
      <c r="C46" s="93" t="s">
        <v>197</v>
      </c>
      <c r="D46" s="79" t="s">
        <v>198</v>
      </c>
      <c r="E46" s="95" t="s">
        <v>200</v>
      </c>
      <c r="F46" s="95" t="s">
        <v>7</v>
      </c>
      <c r="G46" s="95" t="s">
        <v>57</v>
      </c>
      <c r="H46" s="95" t="s">
        <v>201</v>
      </c>
      <c r="I46" s="96"/>
      <c r="J46" s="83" t="str">
        <f>IF(E46="Invalid_Segment","Invalid",IFERROR(INDEX(Severity_Matrix!$C$3:$M$10,MATCH('Error Log'!$F46,Severity_Matrix!$B$3:$B$10,0),MATCH('Error Log'!$G46,Severity_Matrix!$C$2:$M$2,0)),"No errors"))</f>
        <v>Critical</v>
      </c>
      <c r="K46" s="99"/>
    </row>
    <row r="47" spans="1:11">
      <c r="A47" s="79" t="s">
        <v>90</v>
      </c>
      <c r="B47" s="93">
        <v>1</v>
      </c>
      <c r="C47" s="79" t="s">
        <v>202</v>
      </c>
      <c r="D47" s="79" t="s">
        <v>203</v>
      </c>
      <c r="E47" s="95"/>
      <c r="F47" s="95"/>
      <c r="G47" s="95"/>
      <c r="H47" s="95"/>
      <c r="I47" s="96"/>
      <c r="J47" s="83" t="str">
        <f>IF(E47="Invalid_Segment","Invalid",IFERROR(INDEX(Severity_Matrix!$C$3:$M$10,MATCH('Error Log'!$F47,Severity_Matrix!$B$3:$B$10,0),MATCH('Error Log'!$G47,Severity_Matrix!$C$2:$M$2,0)),"No errors"))</f>
        <v>No errors</v>
      </c>
      <c r="K47" s="99"/>
    </row>
    <row r="48" spans="1:11">
      <c r="A48" s="79" t="s">
        <v>91</v>
      </c>
      <c r="B48" s="93">
        <v>1</v>
      </c>
      <c r="C48" s="79" t="s">
        <v>204</v>
      </c>
      <c r="D48" s="79" t="s">
        <v>205</v>
      </c>
      <c r="E48" s="95" t="s">
        <v>21</v>
      </c>
      <c r="F48" s="95" t="s">
        <v>7</v>
      </c>
      <c r="G48" s="95" t="s">
        <v>57</v>
      </c>
      <c r="H48" s="95" t="s">
        <v>206</v>
      </c>
      <c r="I48" s="96"/>
      <c r="J48" s="83" t="str">
        <f>IF(E48="Invalid_Segment","Invalid",IFERROR(INDEX(Severity_Matrix!$C$3:$M$10,MATCH('Error Log'!$F48,Severity_Matrix!$B$3:$B$10,0),MATCH('Error Log'!$G48,Severity_Matrix!$C$2:$M$2,0)),"No errors"))</f>
        <v>Critical</v>
      </c>
      <c r="K48" s="99"/>
    </row>
    <row r="49" spans="1:11">
      <c r="A49" s="79" t="s">
        <v>91</v>
      </c>
      <c r="B49" s="93">
        <v>2</v>
      </c>
      <c r="C49" s="79" t="s">
        <v>204</v>
      </c>
      <c r="D49" s="79" t="s">
        <v>205</v>
      </c>
      <c r="E49" s="95" t="s">
        <v>21</v>
      </c>
      <c r="F49" s="95" t="s">
        <v>7</v>
      </c>
      <c r="G49" s="95" t="s">
        <v>57</v>
      </c>
      <c r="H49" s="95" t="s">
        <v>207</v>
      </c>
      <c r="I49" s="96"/>
      <c r="J49" s="83" t="str">
        <f>IF(E49="Invalid_Segment","Invalid",IFERROR(INDEX(Severity_Matrix!$C$3:$M$10,MATCH('Error Log'!$F49,Severity_Matrix!$B$3:$B$10,0),MATCH('Error Log'!$G49,Severity_Matrix!$C$2:$M$2,0)),"No errors"))</f>
        <v>Critical</v>
      </c>
      <c r="K49" s="99"/>
    </row>
    <row r="50" spans="1:11">
      <c r="A50" s="79" t="s">
        <v>208</v>
      </c>
      <c r="B50" s="93">
        <v>3</v>
      </c>
      <c r="C50" s="79" t="s">
        <v>204</v>
      </c>
      <c r="D50" s="79" t="s">
        <v>205</v>
      </c>
      <c r="E50" s="95" t="s">
        <v>21</v>
      </c>
      <c r="F50" s="95" t="s">
        <v>7</v>
      </c>
      <c r="G50" s="95" t="s">
        <v>54</v>
      </c>
      <c r="H50" s="95" t="s">
        <v>209</v>
      </c>
      <c r="I50" s="96"/>
      <c r="J50" s="83" t="str">
        <f>IF(E50="Invalid_Segment","Invalid",IFERROR(INDEX(Severity_Matrix!$C$3:$M$10,MATCH('Error Log'!$F50,Severity_Matrix!$B$3:$B$10,0),MATCH('Error Log'!$G50,Severity_Matrix!$C$2:$M$2,0)),"No errors"))</f>
        <v>Critical</v>
      </c>
      <c r="K50" s="99"/>
    </row>
    <row r="51" spans="1:11">
      <c r="A51" s="79" t="s">
        <v>208</v>
      </c>
      <c r="B51" s="93">
        <v>4</v>
      </c>
      <c r="C51" s="79" t="s">
        <v>204</v>
      </c>
      <c r="D51" s="79" t="s">
        <v>205</v>
      </c>
      <c r="E51" s="95" t="s">
        <v>21</v>
      </c>
      <c r="F51" s="95" t="s">
        <v>7</v>
      </c>
      <c r="G51" s="95" t="s">
        <v>56</v>
      </c>
      <c r="H51" s="95" t="s">
        <v>210</v>
      </c>
      <c r="I51" s="96"/>
      <c r="J51" s="83" t="str">
        <f>IF(E51="Invalid_Segment","Invalid",IFERROR(INDEX(Severity_Matrix!$C$3:$M$10,MATCH('Error Log'!$F51,Severity_Matrix!$B$3:$B$10,0),MATCH('Error Log'!$G51,Severity_Matrix!$C$2:$M$2,0)),"No errors"))</f>
        <v>Critical</v>
      </c>
      <c r="K51" s="99"/>
    </row>
    <row r="52" spans="1:11">
      <c r="A52" s="79" t="s">
        <v>92</v>
      </c>
      <c r="B52" s="93">
        <v>1</v>
      </c>
      <c r="C52" s="79" t="s">
        <v>211</v>
      </c>
      <c r="D52" s="79" t="s">
        <v>212</v>
      </c>
      <c r="E52" s="95" t="s">
        <v>21</v>
      </c>
      <c r="F52" s="95" t="s">
        <v>7</v>
      </c>
      <c r="G52" s="95" t="s">
        <v>57</v>
      </c>
      <c r="H52" s="95" t="s">
        <v>213</v>
      </c>
      <c r="I52" s="96"/>
      <c r="J52" s="83" t="str">
        <f>IF(E52="Invalid_Segment","Invalid",IFERROR(INDEX(Severity_Matrix!$C$3:$M$10,MATCH('Error Log'!$F52,Severity_Matrix!$B$3:$B$10,0),MATCH('Error Log'!$G52,Severity_Matrix!$C$2:$M$2,0)),"No errors"))</f>
        <v>Critical</v>
      </c>
      <c r="K52" s="99"/>
    </row>
    <row r="53" spans="1:11">
      <c r="A53" s="79" t="s">
        <v>92</v>
      </c>
      <c r="B53" s="93">
        <v>2</v>
      </c>
      <c r="C53" s="79" t="s">
        <v>211</v>
      </c>
      <c r="D53" s="79" t="s">
        <v>212</v>
      </c>
      <c r="E53" s="95" t="s">
        <v>21</v>
      </c>
      <c r="F53" s="95" t="s">
        <v>22</v>
      </c>
      <c r="G53" s="95" t="s">
        <v>57</v>
      </c>
      <c r="H53" s="95" t="s">
        <v>214</v>
      </c>
      <c r="I53" s="96"/>
      <c r="J53" s="83" t="str">
        <f>IF(E53="Invalid_Segment","Invalid",IFERROR(INDEX(Severity_Matrix!$C$3:$M$10,MATCH('Error Log'!$F53,Severity_Matrix!$B$3:$B$10,0),MATCH('Error Log'!$G53,Severity_Matrix!$C$2:$M$2,0)),"No errors"))</f>
        <v>Major</v>
      </c>
      <c r="K53" s="99"/>
    </row>
    <row r="54" spans="1:11">
      <c r="A54" s="80" t="s">
        <v>93</v>
      </c>
      <c r="B54" s="93">
        <v>1</v>
      </c>
      <c r="C54" s="79" t="s">
        <v>215</v>
      </c>
      <c r="D54" s="98" t="s">
        <v>216</v>
      </c>
      <c r="E54" s="95" t="s">
        <v>21</v>
      </c>
      <c r="F54" s="95" t="s">
        <v>7</v>
      </c>
      <c r="G54" s="95" t="s">
        <v>57</v>
      </c>
      <c r="H54" s="95" t="s">
        <v>217</v>
      </c>
      <c r="I54" s="96"/>
      <c r="J54" s="83" t="str">
        <f>IF(E54="Invalid_Segment","Invalid",IFERROR(INDEX(Severity_Matrix!$C$3:$M$10,MATCH('Error Log'!$F54,Severity_Matrix!$B$3:$B$10,0),MATCH('Error Log'!$G54,Severity_Matrix!$C$2:$M$2,0)),"No errors"))</f>
        <v>Critical</v>
      </c>
      <c r="K54" s="99"/>
    </row>
    <row r="55" spans="1:11">
      <c r="A55" s="80" t="s">
        <v>93</v>
      </c>
      <c r="B55" s="93">
        <v>2</v>
      </c>
      <c r="C55" s="79" t="s">
        <v>215</v>
      </c>
      <c r="D55" s="98" t="s">
        <v>216</v>
      </c>
      <c r="E55" s="95" t="s">
        <v>21</v>
      </c>
      <c r="F55" s="95" t="s">
        <v>22</v>
      </c>
      <c r="G55" s="95" t="s">
        <v>57</v>
      </c>
      <c r="H55" s="95" t="s">
        <v>218</v>
      </c>
      <c r="I55" s="96"/>
      <c r="J55" s="83" t="str">
        <f>IF(E55="Invalid_Segment","Invalid",IFERROR(INDEX(Severity_Matrix!$C$3:$M$10,MATCH('Error Log'!$F55,Severity_Matrix!$B$3:$B$10,0),MATCH('Error Log'!$G55,Severity_Matrix!$C$2:$M$2,0)),"No errors"))</f>
        <v>Major</v>
      </c>
      <c r="K55" s="80"/>
    </row>
    <row r="56" spans="1:11">
      <c r="A56" s="80" t="s">
        <v>93</v>
      </c>
      <c r="B56" s="93">
        <v>3</v>
      </c>
      <c r="C56" s="79" t="s">
        <v>215</v>
      </c>
      <c r="D56" s="98" t="s">
        <v>216</v>
      </c>
      <c r="E56" s="95" t="s">
        <v>21</v>
      </c>
      <c r="F56" s="95" t="s">
        <v>7</v>
      </c>
      <c r="G56" s="95" t="s">
        <v>57</v>
      </c>
      <c r="H56" s="95" t="s">
        <v>219</v>
      </c>
      <c r="I56" s="96"/>
      <c r="J56" s="83" t="str">
        <f>IF(E56="Invalid_Segment","Invalid",IFERROR(INDEX(Severity_Matrix!$C$3:$M$10,MATCH('Error Log'!$F56,Severity_Matrix!$B$3:$B$10,0),MATCH('Error Log'!$G56,Severity_Matrix!$C$2:$M$2,0)),"No errors"))</f>
        <v>Critical</v>
      </c>
      <c r="K56" s="80"/>
    </row>
    <row r="57" spans="1:11">
      <c r="A57" s="80" t="s">
        <v>94</v>
      </c>
      <c r="B57" s="93">
        <v>1</v>
      </c>
      <c r="C57" s="98" t="s">
        <v>220</v>
      </c>
      <c r="D57" s="98" t="s">
        <v>221</v>
      </c>
      <c r="E57" s="95" t="s">
        <v>21</v>
      </c>
      <c r="F57" s="95" t="s">
        <v>22</v>
      </c>
      <c r="G57" s="95" t="s">
        <v>28</v>
      </c>
      <c r="H57" s="95" t="s">
        <v>222</v>
      </c>
      <c r="I57" s="96"/>
      <c r="J57" s="83" t="str">
        <f>IF(E57="Invalid_Segment","Invalid",IFERROR(INDEX(Severity_Matrix!$C$3:$M$10,MATCH('Error Log'!$F57,Severity_Matrix!$B$3:$B$10,0),MATCH('Error Log'!$G57,Severity_Matrix!$C$2:$M$2,0)),"No errors"))</f>
        <v>Major</v>
      </c>
      <c r="K57" s="80"/>
    </row>
    <row r="58" spans="1:11">
      <c r="A58" s="80" t="s">
        <v>94</v>
      </c>
      <c r="B58" s="93">
        <v>2</v>
      </c>
      <c r="C58" s="98" t="s">
        <v>220</v>
      </c>
      <c r="D58" s="98" t="s">
        <v>221</v>
      </c>
      <c r="E58" s="95" t="s">
        <v>21</v>
      </c>
      <c r="F58" s="95" t="s">
        <v>22</v>
      </c>
      <c r="G58" s="95" t="s">
        <v>28</v>
      </c>
      <c r="H58" s="95" t="s">
        <v>223</v>
      </c>
      <c r="I58" s="96"/>
      <c r="J58" s="83" t="str">
        <f>IF(E58="Invalid_Segment","Invalid",IFERROR(INDEX(Severity_Matrix!$C$3:$M$10,MATCH('Error Log'!$F58,Severity_Matrix!$B$3:$B$10,0),MATCH('Error Log'!$G58,Severity_Matrix!$C$2:$M$2,0)),"No errors"))</f>
        <v>Major</v>
      </c>
      <c r="K58" s="80"/>
    </row>
    <row r="59" spans="1:11">
      <c r="A59" s="80" t="s">
        <v>224</v>
      </c>
      <c r="B59" s="93">
        <v>3</v>
      </c>
      <c r="C59" s="98" t="s">
        <v>220</v>
      </c>
      <c r="D59" s="98" t="s">
        <v>221</v>
      </c>
      <c r="E59" s="95" t="s">
        <v>21</v>
      </c>
      <c r="F59" s="95" t="s">
        <v>7</v>
      </c>
      <c r="G59" s="95" t="s">
        <v>57</v>
      </c>
      <c r="H59" s="95" t="s">
        <v>225</v>
      </c>
      <c r="I59" s="96"/>
      <c r="J59" s="83" t="str">
        <f>IF(E59="Invalid_Segment","Invalid",IFERROR(INDEX(Severity_Matrix!$C$3:$M$10,MATCH('Error Log'!$F59,Severity_Matrix!$B$3:$B$10,0),MATCH('Error Log'!$G59,Severity_Matrix!$C$2:$M$2,0)),"No errors"))</f>
        <v>Critical</v>
      </c>
      <c r="K59" s="80"/>
    </row>
    <row r="60" spans="1:11">
      <c r="A60" s="80" t="s">
        <v>224</v>
      </c>
      <c r="B60" s="93">
        <v>4</v>
      </c>
      <c r="C60" s="98" t="s">
        <v>220</v>
      </c>
      <c r="D60" s="98" t="s">
        <v>221</v>
      </c>
      <c r="E60" s="95" t="s">
        <v>21</v>
      </c>
      <c r="F60" s="95" t="s">
        <v>7</v>
      </c>
      <c r="G60" s="95" t="s">
        <v>57</v>
      </c>
      <c r="H60" s="95" t="s">
        <v>226</v>
      </c>
      <c r="I60" s="96"/>
      <c r="J60" s="83" t="str">
        <f>IF(E60="Invalid_Segment","Invalid",IFERROR(INDEX(Severity_Matrix!$C$3:$M$10,MATCH('Error Log'!$F60,Severity_Matrix!$B$3:$B$10,0),MATCH('Error Log'!$G60,Severity_Matrix!$C$2:$M$2,0)),"No errors"))</f>
        <v>Critical</v>
      </c>
      <c r="K60" s="80"/>
    </row>
    <row r="61" spans="1:11">
      <c r="A61" s="80" t="s">
        <v>95</v>
      </c>
      <c r="B61" s="93">
        <v>1</v>
      </c>
      <c r="C61" s="98" t="s">
        <v>227</v>
      </c>
      <c r="D61" s="98" t="s">
        <v>228</v>
      </c>
      <c r="E61" s="95" t="s">
        <v>21</v>
      </c>
      <c r="F61" s="95" t="s">
        <v>22</v>
      </c>
      <c r="G61" s="95" t="s">
        <v>28</v>
      </c>
      <c r="H61" s="95" t="s">
        <v>222</v>
      </c>
      <c r="I61" s="96"/>
      <c r="J61" s="83" t="str">
        <f>IF(E61="Invalid_Segment","Invalid",IFERROR(INDEX(Severity_Matrix!$C$3:$M$10,MATCH('Error Log'!$F61,Severity_Matrix!$B$3:$B$10,0),MATCH('Error Log'!$G61,Severity_Matrix!$C$2:$M$2,0)),"No errors"))</f>
        <v>Major</v>
      </c>
      <c r="K61" s="80"/>
    </row>
    <row r="62" spans="1:11">
      <c r="A62" s="80" t="s">
        <v>96</v>
      </c>
      <c r="B62" s="93">
        <v>1</v>
      </c>
      <c r="C62" s="98" t="s">
        <v>229</v>
      </c>
      <c r="D62" s="98" t="s">
        <v>230</v>
      </c>
      <c r="E62" s="95" t="s">
        <v>21</v>
      </c>
      <c r="F62" s="95" t="s">
        <v>22</v>
      </c>
      <c r="G62" s="95" t="s">
        <v>57</v>
      </c>
      <c r="H62" s="95" t="s">
        <v>231</v>
      </c>
      <c r="I62" s="96"/>
      <c r="J62" s="83" t="str">
        <f>IF(E62="Invalid_Segment","Invalid",IFERROR(INDEX(Severity_Matrix!$C$3:$M$10,MATCH('Error Log'!$F62,Severity_Matrix!$B$3:$B$10,0),MATCH('Error Log'!$G62,Severity_Matrix!$C$2:$M$2,0)),"No errors"))</f>
        <v>Major</v>
      </c>
      <c r="K62" s="80"/>
    </row>
    <row r="63" spans="1:11">
      <c r="A63" s="80" t="s">
        <v>96</v>
      </c>
      <c r="B63" s="93">
        <v>2</v>
      </c>
      <c r="C63" s="98" t="s">
        <v>229</v>
      </c>
      <c r="D63" s="98" t="s">
        <v>230</v>
      </c>
      <c r="E63" s="95" t="s">
        <v>21</v>
      </c>
      <c r="F63" s="95" t="s">
        <v>22</v>
      </c>
      <c r="G63" s="95" t="s">
        <v>57</v>
      </c>
      <c r="H63" s="95" t="s">
        <v>232</v>
      </c>
      <c r="I63" s="96"/>
      <c r="J63" s="83" t="str">
        <f>IF(E63="Invalid_Segment","Invalid",IFERROR(INDEX(Severity_Matrix!$C$3:$M$10,MATCH('Error Log'!$F63,Severity_Matrix!$B$3:$B$10,0),MATCH('Error Log'!$G63,Severity_Matrix!$C$2:$M$2,0)),"No errors"))</f>
        <v>Major</v>
      </c>
      <c r="K63" s="80"/>
    </row>
    <row r="64" spans="1:11">
      <c r="A64" s="80" t="s">
        <v>96</v>
      </c>
      <c r="B64" s="93">
        <v>3</v>
      </c>
      <c r="C64" s="98" t="s">
        <v>229</v>
      </c>
      <c r="D64" s="98" t="s">
        <v>230</v>
      </c>
      <c r="E64" s="95" t="s">
        <v>21</v>
      </c>
      <c r="F64" s="95" t="s">
        <v>7</v>
      </c>
      <c r="G64" s="95" t="s">
        <v>57</v>
      </c>
      <c r="H64" s="95" t="s">
        <v>233</v>
      </c>
      <c r="I64" s="96"/>
      <c r="J64" s="83" t="str">
        <f>IF(E64="Invalid_Segment","Invalid",IFERROR(INDEX(Severity_Matrix!$C$3:$M$10,MATCH('Error Log'!$F64,Severity_Matrix!$B$3:$B$10,0),MATCH('Error Log'!$G64,Severity_Matrix!$C$2:$M$2,0)),"No errors"))</f>
        <v>Critical</v>
      </c>
      <c r="K64" s="80"/>
    </row>
    <row r="65" spans="1:11">
      <c r="A65" s="80" t="s">
        <v>97</v>
      </c>
      <c r="B65" s="93">
        <v>1</v>
      </c>
      <c r="C65" s="98" t="s">
        <v>234</v>
      </c>
      <c r="D65" s="98" t="s">
        <v>235</v>
      </c>
      <c r="E65" s="95" t="s">
        <v>21</v>
      </c>
      <c r="F65" s="95" t="s">
        <v>7</v>
      </c>
      <c r="G65" s="95" t="s">
        <v>57</v>
      </c>
      <c r="H65" s="95" t="s">
        <v>236</v>
      </c>
      <c r="I65" s="96"/>
      <c r="J65" s="83" t="str">
        <f>IF(E65="Invalid_Segment","Invalid",IFERROR(INDEX(Severity_Matrix!$C$3:$M$10,MATCH('Error Log'!$F65,Severity_Matrix!$B$3:$B$10,0),MATCH('Error Log'!$G65,Severity_Matrix!$C$2:$M$2,0)),"No errors"))</f>
        <v>Critical</v>
      </c>
      <c r="K65" s="80"/>
    </row>
    <row r="66" spans="1:11">
      <c r="A66" s="80" t="s">
        <v>97</v>
      </c>
      <c r="B66" s="93">
        <v>2</v>
      </c>
      <c r="C66" s="98" t="s">
        <v>234</v>
      </c>
      <c r="D66" s="98" t="s">
        <v>235</v>
      </c>
      <c r="E66" s="95" t="s">
        <v>21</v>
      </c>
      <c r="F66" s="95" t="s">
        <v>7</v>
      </c>
      <c r="G66" s="95" t="s">
        <v>57</v>
      </c>
      <c r="H66" s="95" t="s">
        <v>237</v>
      </c>
      <c r="I66" s="96"/>
      <c r="J66" s="83" t="str">
        <f>IF(E66="Invalid_Segment","Invalid",IFERROR(INDEX(Severity_Matrix!$C$3:$M$10,MATCH('Error Log'!$F66,Severity_Matrix!$B$3:$B$10,0),MATCH('Error Log'!$G66,Severity_Matrix!$C$2:$M$2,0)),"No errors"))</f>
        <v>Critical</v>
      </c>
      <c r="K66" s="80"/>
    </row>
    <row r="67" spans="1:11">
      <c r="A67" s="80" t="s">
        <v>98</v>
      </c>
      <c r="B67" s="93">
        <v>1</v>
      </c>
      <c r="C67" s="98" t="s">
        <v>238</v>
      </c>
      <c r="D67" s="98" t="s">
        <v>239</v>
      </c>
      <c r="E67" s="95" t="s">
        <v>21</v>
      </c>
      <c r="F67" s="95" t="s">
        <v>22</v>
      </c>
      <c r="G67" s="95" t="s">
        <v>28</v>
      </c>
      <c r="H67" s="95" t="s">
        <v>240</v>
      </c>
      <c r="I67" s="96"/>
      <c r="J67" s="83" t="str">
        <f>IF(E67="Invalid_Segment","Invalid",IFERROR(INDEX(Severity_Matrix!$C$3:$M$10,MATCH('Error Log'!$F67,Severity_Matrix!$B$3:$B$10,0),MATCH('Error Log'!$G67,Severity_Matrix!$C$2:$M$2,0)),"No errors"))</f>
        <v>Major</v>
      </c>
      <c r="K67" s="80"/>
    </row>
    <row r="68" spans="1:11">
      <c r="A68" s="80" t="s">
        <v>98</v>
      </c>
      <c r="B68" s="93">
        <v>2</v>
      </c>
      <c r="C68" s="98" t="s">
        <v>238</v>
      </c>
      <c r="D68" s="98" t="s">
        <v>239</v>
      </c>
      <c r="E68" s="95" t="s">
        <v>21</v>
      </c>
      <c r="F68" s="95" t="s">
        <v>22</v>
      </c>
      <c r="G68" s="95" t="s">
        <v>54</v>
      </c>
      <c r="H68" s="95" t="s">
        <v>241</v>
      </c>
      <c r="I68" s="96"/>
      <c r="J68" s="83" t="str">
        <f>IF(E68="Invalid_Segment","Invalid",IFERROR(INDEX(Severity_Matrix!$C$3:$M$10,MATCH('Error Log'!$F68,Severity_Matrix!$B$3:$B$10,0),MATCH('Error Log'!$G68,Severity_Matrix!$C$2:$M$2,0)),"No errors"))</f>
        <v>Critical</v>
      </c>
      <c r="K68" s="80"/>
    </row>
    <row r="69" spans="1:11">
      <c r="A69" s="80" t="s">
        <v>98</v>
      </c>
      <c r="B69" s="93">
        <v>3</v>
      </c>
      <c r="C69" s="98" t="s">
        <v>238</v>
      </c>
      <c r="D69" s="98" t="s">
        <v>239</v>
      </c>
      <c r="E69" s="95" t="s">
        <v>21</v>
      </c>
      <c r="F69" s="95" t="s">
        <v>7</v>
      </c>
      <c r="G69" s="95" t="s">
        <v>57</v>
      </c>
      <c r="H69" s="95" t="s">
        <v>242</v>
      </c>
      <c r="I69" s="96"/>
      <c r="J69" s="83" t="str">
        <f>IF(E69="Invalid_Segment","Invalid",IFERROR(INDEX(Severity_Matrix!$C$3:$M$10,MATCH('Error Log'!$F69,Severity_Matrix!$B$3:$B$10,0),MATCH('Error Log'!$G69,Severity_Matrix!$C$2:$M$2,0)),"No errors"))</f>
        <v>Critical</v>
      </c>
      <c r="K69" s="80"/>
    </row>
    <row r="70" spans="1:11">
      <c r="A70" s="80" t="s">
        <v>243</v>
      </c>
      <c r="B70" s="93">
        <v>4</v>
      </c>
      <c r="C70" s="98" t="s">
        <v>238</v>
      </c>
      <c r="D70" s="98" t="s">
        <v>239</v>
      </c>
      <c r="E70" s="95" t="s">
        <v>21</v>
      </c>
      <c r="F70" s="95" t="s">
        <v>7</v>
      </c>
      <c r="G70" s="95" t="s">
        <v>57</v>
      </c>
      <c r="H70" s="95" t="s">
        <v>244</v>
      </c>
      <c r="I70" s="96"/>
      <c r="J70" s="83" t="str">
        <f>IF(E70="Invalid_Segment","Invalid",IFERROR(INDEX(Severity_Matrix!$C$3:$M$10,MATCH('Error Log'!$F70,Severity_Matrix!$B$3:$B$10,0),MATCH('Error Log'!$G70,Severity_Matrix!$C$2:$M$2,0)),"No errors"))</f>
        <v>Critical</v>
      </c>
      <c r="K70" s="80"/>
    </row>
    <row r="71" spans="1:11">
      <c r="A71" s="80" t="s">
        <v>243</v>
      </c>
      <c r="B71" s="93">
        <v>5</v>
      </c>
      <c r="C71" s="98" t="s">
        <v>238</v>
      </c>
      <c r="D71" s="98" t="s">
        <v>239</v>
      </c>
      <c r="E71" s="95" t="s">
        <v>21</v>
      </c>
      <c r="F71" s="95" t="s">
        <v>7</v>
      </c>
      <c r="G71" s="95" t="s">
        <v>57</v>
      </c>
      <c r="H71" s="95" t="s">
        <v>245</v>
      </c>
      <c r="I71" s="96"/>
      <c r="J71" s="83" t="str">
        <f>IF(E71="Invalid_Segment","Invalid",IFERROR(INDEX(Severity_Matrix!$C$3:$M$10,MATCH('Error Log'!$F71,Severity_Matrix!$B$3:$B$10,0),MATCH('Error Log'!$G71,Severity_Matrix!$C$2:$M$2,0)),"No errors"))</f>
        <v>Critical</v>
      </c>
      <c r="K71" s="80"/>
    </row>
    <row r="72" spans="1:11">
      <c r="A72" s="80" t="s">
        <v>99</v>
      </c>
      <c r="B72" s="93">
        <v>1</v>
      </c>
      <c r="C72" s="98" t="s">
        <v>246</v>
      </c>
      <c r="D72" s="98" t="s">
        <v>247</v>
      </c>
      <c r="E72" s="95" t="s">
        <v>21</v>
      </c>
      <c r="F72" s="95" t="s">
        <v>7</v>
      </c>
      <c r="G72" s="95" t="s">
        <v>57</v>
      </c>
      <c r="H72" s="95" t="s">
        <v>248</v>
      </c>
      <c r="I72" s="96"/>
      <c r="J72" s="83" t="str">
        <f>IF(E72="Invalid_Segment","Invalid",IFERROR(INDEX(Severity_Matrix!$C$3:$M$10,MATCH('Error Log'!$F72,Severity_Matrix!$B$3:$B$10,0),MATCH('Error Log'!$G72,Severity_Matrix!$C$2:$M$2,0)),"No errors"))</f>
        <v>Critical</v>
      </c>
      <c r="K72" s="80"/>
    </row>
    <row r="73" spans="1:11">
      <c r="A73" s="80" t="s">
        <v>99</v>
      </c>
      <c r="B73" s="93">
        <v>2</v>
      </c>
      <c r="C73" s="98" t="s">
        <v>246</v>
      </c>
      <c r="D73" s="98" t="s">
        <v>247</v>
      </c>
      <c r="E73" s="95" t="s">
        <v>21</v>
      </c>
      <c r="F73" s="95" t="s">
        <v>7</v>
      </c>
      <c r="G73" s="95" t="s">
        <v>57</v>
      </c>
      <c r="H73" s="95" t="s">
        <v>249</v>
      </c>
      <c r="I73" s="96"/>
      <c r="J73" s="83" t="str">
        <f>IF(E73="Invalid_Segment","Invalid",IFERROR(INDEX(Severity_Matrix!$C$3:$M$10,MATCH('Error Log'!$F73,Severity_Matrix!$B$3:$B$10,0),MATCH('Error Log'!$G73,Severity_Matrix!$C$2:$M$2,0)),"No errors"))</f>
        <v>Critical</v>
      </c>
      <c r="K73" s="80"/>
    </row>
    <row r="74" spans="1:11">
      <c r="A74" s="80" t="s">
        <v>99</v>
      </c>
      <c r="B74" s="93">
        <v>3</v>
      </c>
      <c r="C74" s="98" t="s">
        <v>246</v>
      </c>
      <c r="D74" s="98" t="s">
        <v>247</v>
      </c>
      <c r="E74" s="95" t="s">
        <v>21</v>
      </c>
      <c r="F74" s="95" t="s">
        <v>7</v>
      </c>
      <c r="G74" s="95" t="s">
        <v>57</v>
      </c>
      <c r="H74" s="95" t="s">
        <v>250</v>
      </c>
      <c r="I74" s="96"/>
      <c r="J74" s="83" t="str">
        <f>IF(E74="Invalid_Segment","Invalid",IFERROR(INDEX(Severity_Matrix!$C$3:$M$10,MATCH('Error Log'!$F74,Severity_Matrix!$B$3:$B$10,0),MATCH('Error Log'!$G74,Severity_Matrix!$C$2:$M$2,0)),"No errors"))</f>
        <v>Critical</v>
      </c>
      <c r="K74" s="80"/>
    </row>
    <row r="75" spans="1:11">
      <c r="A75" s="80" t="s">
        <v>100</v>
      </c>
      <c r="B75" s="93">
        <v>1</v>
      </c>
      <c r="C75" s="98" t="s">
        <v>251</v>
      </c>
      <c r="D75" s="98" t="s">
        <v>252</v>
      </c>
      <c r="E75" s="95" t="s">
        <v>21</v>
      </c>
      <c r="F75" s="95" t="s">
        <v>7</v>
      </c>
      <c r="G75" s="95" t="s">
        <v>57</v>
      </c>
      <c r="H75" s="95" t="s">
        <v>253</v>
      </c>
      <c r="I75" s="96"/>
      <c r="J75" s="83" t="str">
        <f>IF(E75="Invalid_Segment","Invalid",IFERROR(INDEX(Severity_Matrix!$C$3:$M$10,MATCH('Error Log'!$F75,Severity_Matrix!$B$3:$B$10,0),MATCH('Error Log'!$G75,Severity_Matrix!$C$2:$M$2,0)),"No errors"))</f>
        <v>Critical</v>
      </c>
      <c r="K75" s="80"/>
    </row>
    <row r="76" spans="1:11">
      <c r="A76" s="80" t="s">
        <v>101</v>
      </c>
      <c r="B76" s="93">
        <v>1</v>
      </c>
      <c r="C76" s="98" t="s">
        <v>254</v>
      </c>
      <c r="D76" s="98" t="s">
        <v>255</v>
      </c>
      <c r="E76" s="95" t="s">
        <v>21</v>
      </c>
      <c r="F76" s="95" t="s">
        <v>22</v>
      </c>
      <c r="G76" s="95" t="s">
        <v>28</v>
      </c>
      <c r="H76" s="95" t="s">
        <v>256</v>
      </c>
      <c r="I76" s="96"/>
      <c r="J76" s="83" t="str">
        <f>IF(E76="Invalid_Segment","Invalid",IFERROR(INDEX(Severity_Matrix!$C$3:$M$10,MATCH('Error Log'!$F76,Severity_Matrix!$B$3:$B$10,0),MATCH('Error Log'!$G76,Severity_Matrix!$C$2:$M$2,0)),"No errors"))</f>
        <v>Major</v>
      </c>
      <c r="K76" s="80"/>
    </row>
    <row r="77" spans="1:11">
      <c r="A77" s="80" t="s">
        <v>101</v>
      </c>
      <c r="B77" s="93">
        <v>2</v>
      </c>
      <c r="C77" s="98" t="s">
        <v>254</v>
      </c>
      <c r="D77" s="98" t="s">
        <v>255</v>
      </c>
      <c r="E77" s="95" t="s">
        <v>21</v>
      </c>
      <c r="F77" s="95" t="s">
        <v>22</v>
      </c>
      <c r="G77" s="95" t="s">
        <v>28</v>
      </c>
      <c r="H77" s="95" t="s">
        <v>257</v>
      </c>
      <c r="I77" s="96"/>
      <c r="J77" s="83" t="str">
        <f>IF(E77="Invalid_Segment","Invalid",IFERROR(INDEX(Severity_Matrix!$C$3:$M$10,MATCH('Error Log'!$F77,Severity_Matrix!$B$3:$B$10,0),MATCH('Error Log'!$G77,Severity_Matrix!$C$2:$M$2,0)),"No errors"))</f>
        <v>Major</v>
      </c>
      <c r="K77" s="80"/>
    </row>
    <row r="78" spans="1:11">
      <c r="A78" s="80" t="s">
        <v>101</v>
      </c>
      <c r="B78" s="93">
        <v>3</v>
      </c>
      <c r="C78" s="98" t="s">
        <v>254</v>
      </c>
      <c r="D78" s="98" t="s">
        <v>255</v>
      </c>
      <c r="E78" s="95" t="s">
        <v>21</v>
      </c>
      <c r="F78" s="95" t="s">
        <v>22</v>
      </c>
      <c r="G78" s="95" t="s">
        <v>28</v>
      </c>
      <c r="H78" s="95" t="s">
        <v>258</v>
      </c>
      <c r="I78" s="96"/>
      <c r="J78" s="83" t="str">
        <f>IF(E78="Invalid_Segment","Invalid",IFERROR(INDEX(Severity_Matrix!$C$3:$M$10,MATCH('Error Log'!$F78,Severity_Matrix!$B$3:$B$10,0),MATCH('Error Log'!$G78,Severity_Matrix!$C$2:$M$2,0)),"No errors"))</f>
        <v>Major</v>
      </c>
      <c r="K78" s="80"/>
    </row>
    <row r="79" spans="1:11">
      <c r="A79" s="80" t="s">
        <v>101</v>
      </c>
      <c r="B79" s="93">
        <v>4</v>
      </c>
      <c r="C79" s="98" t="s">
        <v>254</v>
      </c>
      <c r="D79" s="98" t="s">
        <v>255</v>
      </c>
      <c r="E79" s="95" t="s">
        <v>21</v>
      </c>
      <c r="F79" s="95" t="s">
        <v>7</v>
      </c>
      <c r="G79" s="95" t="s">
        <v>57</v>
      </c>
      <c r="H79" s="95" t="s">
        <v>259</v>
      </c>
      <c r="I79" s="96"/>
      <c r="J79" s="83" t="str">
        <f>IF(E79="Invalid_Segment","Invalid",IFERROR(INDEX(Severity_Matrix!$C$3:$M$10,MATCH('Error Log'!$F79,Severity_Matrix!$B$3:$B$10,0),MATCH('Error Log'!$G79,Severity_Matrix!$C$2:$M$2,0)),"No errors"))</f>
        <v>Critical</v>
      </c>
      <c r="K79" s="80"/>
    </row>
    <row r="80" spans="1:11">
      <c r="A80" s="80" t="s">
        <v>102</v>
      </c>
      <c r="B80" s="93">
        <v>1</v>
      </c>
      <c r="C80" s="98" t="s">
        <v>260</v>
      </c>
      <c r="D80" s="98" t="s">
        <v>261</v>
      </c>
      <c r="E80" s="95" t="s">
        <v>21</v>
      </c>
      <c r="F80" s="95" t="s">
        <v>7</v>
      </c>
      <c r="G80" s="95" t="s">
        <v>57</v>
      </c>
      <c r="H80" s="95" t="s">
        <v>262</v>
      </c>
      <c r="I80" s="96"/>
      <c r="J80" s="83" t="str">
        <f>IF(E80="Invalid_Segment","Invalid",IFERROR(INDEX(Severity_Matrix!$C$3:$M$10,MATCH('Error Log'!$F80,Severity_Matrix!$B$3:$B$10,0),MATCH('Error Log'!$G80,Severity_Matrix!$C$2:$M$2,0)),"No errors"))</f>
        <v>Critical</v>
      </c>
      <c r="K80" s="80"/>
    </row>
    <row r="81" spans="1:11">
      <c r="A81" s="80" t="s">
        <v>103</v>
      </c>
      <c r="B81" s="93">
        <v>1</v>
      </c>
      <c r="C81" s="98" t="s">
        <v>263</v>
      </c>
      <c r="D81" s="98" t="s">
        <v>264</v>
      </c>
      <c r="E81" s="95" t="s">
        <v>21</v>
      </c>
      <c r="F81" s="95" t="s">
        <v>22</v>
      </c>
      <c r="G81" s="95" t="s">
        <v>57</v>
      </c>
      <c r="H81" s="95" t="s">
        <v>265</v>
      </c>
      <c r="I81" s="96"/>
      <c r="J81" s="83" t="str">
        <f>IF(E81="Invalid_Segment","Invalid",IFERROR(INDEX(Severity_Matrix!$C$3:$M$10,MATCH('Error Log'!$F81,Severity_Matrix!$B$3:$B$10,0),MATCH('Error Log'!$G81,Severity_Matrix!$C$2:$M$2,0)),"No errors"))</f>
        <v>Major</v>
      </c>
      <c r="K81" s="80"/>
    </row>
    <row r="82" spans="1:11">
      <c r="A82" s="80" t="s">
        <v>103</v>
      </c>
      <c r="B82" s="93">
        <v>2</v>
      </c>
      <c r="C82" s="98" t="s">
        <v>263</v>
      </c>
      <c r="D82" s="98" t="s">
        <v>264</v>
      </c>
      <c r="E82" s="95" t="s">
        <v>21</v>
      </c>
      <c r="F82" s="95" t="s">
        <v>22</v>
      </c>
      <c r="G82" s="95" t="s">
        <v>57</v>
      </c>
      <c r="H82" s="95" t="s">
        <v>266</v>
      </c>
      <c r="I82" s="96"/>
      <c r="J82" s="83" t="str">
        <f>IF(E82="Invalid_Segment","Invalid",IFERROR(INDEX(Severity_Matrix!$C$3:$M$10,MATCH('Error Log'!$F82,Severity_Matrix!$B$3:$B$10,0),MATCH('Error Log'!$G82,Severity_Matrix!$C$2:$M$2,0)),"No errors"))</f>
        <v>Major</v>
      </c>
      <c r="K82" s="80"/>
    </row>
    <row r="83" spans="1:11">
      <c r="A83" s="80" t="s">
        <v>267</v>
      </c>
      <c r="B83" s="93">
        <v>3</v>
      </c>
      <c r="C83" s="98" t="s">
        <v>263</v>
      </c>
      <c r="D83" s="98" t="s">
        <v>264</v>
      </c>
      <c r="E83" s="95" t="s">
        <v>21</v>
      </c>
      <c r="F83" s="95" t="s">
        <v>7</v>
      </c>
      <c r="G83" s="95" t="s">
        <v>57</v>
      </c>
      <c r="H83" s="95" t="s">
        <v>268</v>
      </c>
      <c r="I83" s="96"/>
      <c r="J83" s="83" t="str">
        <f>IF(E83="Invalid_Segment","Invalid",IFERROR(INDEX(Severity_Matrix!$C$3:$M$10,MATCH('Error Log'!$F83,Severity_Matrix!$B$3:$B$10,0),MATCH('Error Log'!$G83,Severity_Matrix!$C$2:$M$2,0)),"No errors"))</f>
        <v>Critical</v>
      </c>
      <c r="K83" s="80"/>
    </row>
    <row r="84" spans="1:11">
      <c r="A84" s="80" t="s">
        <v>267</v>
      </c>
      <c r="B84" s="93">
        <v>4</v>
      </c>
      <c r="C84" s="98" t="s">
        <v>263</v>
      </c>
      <c r="D84" s="98" t="s">
        <v>264</v>
      </c>
      <c r="E84" s="95" t="s">
        <v>21</v>
      </c>
      <c r="F84" s="95" t="s">
        <v>7</v>
      </c>
      <c r="G84" s="95" t="s">
        <v>57</v>
      </c>
      <c r="H84" s="95" t="s">
        <v>269</v>
      </c>
      <c r="I84" s="96"/>
      <c r="J84" s="83" t="str">
        <f>IF(E84="Invalid_Segment","Invalid",IFERROR(INDEX(Severity_Matrix!$C$3:$M$10,MATCH('Error Log'!$F84,Severity_Matrix!$B$3:$B$10,0),MATCH('Error Log'!$G84,Severity_Matrix!$C$2:$M$2,0)),"No errors"))</f>
        <v>Critical</v>
      </c>
      <c r="K84" s="80"/>
    </row>
    <row r="85" spans="1:11">
      <c r="A85" s="80" t="s">
        <v>104</v>
      </c>
      <c r="B85" s="93">
        <v>1</v>
      </c>
      <c r="C85" s="98" t="s">
        <v>270</v>
      </c>
      <c r="D85" s="98" t="s">
        <v>271</v>
      </c>
      <c r="E85" s="95" t="s">
        <v>21</v>
      </c>
      <c r="F85" s="95" t="s">
        <v>22</v>
      </c>
      <c r="G85" s="95" t="s">
        <v>54</v>
      </c>
      <c r="H85" s="95" t="s">
        <v>241</v>
      </c>
      <c r="I85" s="96"/>
      <c r="J85" s="83" t="str">
        <f>IF(E85="Invalid_Segment","Invalid",IFERROR(INDEX(Severity_Matrix!$C$3:$M$10,MATCH('Error Log'!$F85,Severity_Matrix!$B$3:$B$10,0),MATCH('Error Log'!$G85,Severity_Matrix!$C$2:$M$2,0)),"No errors"))</f>
        <v>Critical</v>
      </c>
      <c r="K85" s="80"/>
    </row>
    <row r="86" spans="1:11">
      <c r="A86" s="80" t="s">
        <v>104</v>
      </c>
      <c r="B86" s="93">
        <v>2</v>
      </c>
      <c r="C86" s="98" t="s">
        <v>270</v>
      </c>
      <c r="D86" s="98" t="s">
        <v>271</v>
      </c>
      <c r="E86" s="95" t="s">
        <v>21</v>
      </c>
      <c r="F86" s="95" t="s">
        <v>7</v>
      </c>
      <c r="G86" s="95" t="s">
        <v>57</v>
      </c>
      <c r="H86" s="95" t="s">
        <v>272</v>
      </c>
      <c r="I86" s="96"/>
      <c r="J86" s="83" t="str">
        <f>IF(E86="Invalid_Segment","Invalid",IFERROR(INDEX(Severity_Matrix!$C$3:$M$10,MATCH('Error Log'!$F86,Severity_Matrix!$B$3:$B$10,0),MATCH('Error Log'!$G86,Severity_Matrix!$C$2:$M$2,0)),"No errors"))</f>
        <v>Critical</v>
      </c>
      <c r="K86" s="80"/>
    </row>
    <row r="87" spans="1:11">
      <c r="A87" s="80" t="s">
        <v>273</v>
      </c>
      <c r="B87" s="93">
        <v>3</v>
      </c>
      <c r="C87" s="98" t="s">
        <v>270</v>
      </c>
      <c r="D87" s="98" t="s">
        <v>271</v>
      </c>
      <c r="E87" s="95"/>
      <c r="F87" s="95"/>
      <c r="G87" s="95"/>
      <c r="H87" s="95" t="s">
        <v>274</v>
      </c>
      <c r="I87" s="96"/>
      <c r="J87" s="83" t="str">
        <f>IF(E87="Invalid_Segment","Invalid",IFERROR(INDEX(Severity_Matrix!$C$3:$M$10,MATCH('Error Log'!$F87,Severity_Matrix!$B$3:$B$10,0),MATCH('Error Log'!$G87,Severity_Matrix!$C$2:$M$2,0)),"No errors"))</f>
        <v>No errors</v>
      </c>
      <c r="K87" s="80"/>
    </row>
    <row r="88" spans="1:11">
      <c r="A88" s="80" t="s">
        <v>273</v>
      </c>
      <c r="B88" s="93">
        <v>4</v>
      </c>
      <c r="C88" s="98" t="s">
        <v>270</v>
      </c>
      <c r="D88" s="98" t="s">
        <v>271</v>
      </c>
      <c r="E88" s="95" t="s">
        <v>21</v>
      </c>
      <c r="F88" s="95" t="s">
        <v>7</v>
      </c>
      <c r="G88" s="95" t="s">
        <v>57</v>
      </c>
      <c r="H88" s="95" t="s">
        <v>275</v>
      </c>
      <c r="I88" s="96"/>
      <c r="J88" s="83" t="str">
        <f>IF(E88="Invalid_Segment","Invalid",IFERROR(INDEX(Severity_Matrix!$C$3:$M$10,MATCH('Error Log'!$F88,Severity_Matrix!$B$3:$B$10,0),MATCH('Error Log'!$G88,Severity_Matrix!$C$2:$M$2,0)),"No errors"))</f>
        <v>Critical</v>
      </c>
      <c r="K88" s="80"/>
    </row>
    <row r="89" spans="1:11">
      <c r="A89" s="80" t="s">
        <v>273</v>
      </c>
      <c r="B89" s="93">
        <v>5</v>
      </c>
      <c r="C89" s="98" t="s">
        <v>270</v>
      </c>
      <c r="D89" s="98" t="s">
        <v>271</v>
      </c>
      <c r="E89" s="95" t="s">
        <v>21</v>
      </c>
      <c r="F89" s="95" t="s">
        <v>7</v>
      </c>
      <c r="G89" s="95" t="s">
        <v>57</v>
      </c>
      <c r="H89" s="95" t="s">
        <v>276</v>
      </c>
      <c r="I89" s="96"/>
      <c r="J89" s="83" t="str">
        <f>IF(E89="Invalid_Segment","Invalid",IFERROR(INDEX(Severity_Matrix!$C$3:$M$10,MATCH('Error Log'!$F89,Severity_Matrix!$B$3:$B$10,0),MATCH('Error Log'!$G89,Severity_Matrix!$C$2:$M$2,0)),"No errors"))</f>
        <v>Critical</v>
      </c>
      <c r="K89" s="80"/>
    </row>
    <row r="90" spans="1:11">
      <c r="A90" s="80" t="s">
        <v>105</v>
      </c>
      <c r="B90" s="93">
        <v>1</v>
      </c>
      <c r="C90" s="98" t="s">
        <v>277</v>
      </c>
      <c r="D90" s="98" t="s">
        <v>278</v>
      </c>
      <c r="E90" s="95" t="s">
        <v>21</v>
      </c>
      <c r="F90" s="95" t="s">
        <v>22</v>
      </c>
      <c r="G90" s="95" t="s">
        <v>57</v>
      </c>
      <c r="H90" s="95" t="s">
        <v>279</v>
      </c>
      <c r="I90" s="96"/>
      <c r="J90" s="83" t="str">
        <f>IF(E90="Invalid_Segment","Invalid",IFERROR(INDEX(Severity_Matrix!$C$3:$M$10,MATCH('Error Log'!$F90,Severity_Matrix!$B$3:$B$10,0),MATCH('Error Log'!$G90,Severity_Matrix!$C$2:$M$2,0)),"No errors"))</f>
        <v>Major</v>
      </c>
      <c r="K90" s="80"/>
    </row>
    <row r="91" spans="1:11">
      <c r="A91" s="80" t="s">
        <v>105</v>
      </c>
      <c r="B91" s="93">
        <v>2</v>
      </c>
      <c r="C91" s="98" t="s">
        <v>277</v>
      </c>
      <c r="D91" s="98" t="s">
        <v>278</v>
      </c>
      <c r="E91" s="95" t="s">
        <v>21</v>
      </c>
      <c r="F91" s="95" t="s">
        <v>22</v>
      </c>
      <c r="G91" s="95" t="s">
        <v>57</v>
      </c>
      <c r="H91" s="95" t="s">
        <v>280</v>
      </c>
      <c r="I91" s="96"/>
      <c r="J91" s="83" t="str">
        <f>IF(E91="Invalid_Segment","Invalid",IFERROR(INDEX(Severity_Matrix!$C$3:$M$10,MATCH('Error Log'!$F91,Severity_Matrix!$B$3:$B$10,0),MATCH('Error Log'!$G91,Severity_Matrix!$C$2:$M$2,0)),"No errors"))</f>
        <v>Major</v>
      </c>
      <c r="K91" s="80"/>
    </row>
    <row r="92" spans="1:11">
      <c r="A92" s="80" t="s">
        <v>281</v>
      </c>
      <c r="B92" s="93">
        <v>3</v>
      </c>
      <c r="C92" s="98" t="s">
        <v>277</v>
      </c>
      <c r="D92" s="98" t="s">
        <v>278</v>
      </c>
      <c r="E92" s="95" t="s">
        <v>21</v>
      </c>
      <c r="F92" s="95" t="s">
        <v>7</v>
      </c>
      <c r="G92" s="95" t="s">
        <v>57</v>
      </c>
      <c r="H92" s="95" t="s">
        <v>282</v>
      </c>
      <c r="I92" s="96"/>
      <c r="J92" s="83" t="str">
        <f>IF(E92="Invalid_Segment","Invalid",IFERROR(INDEX(Severity_Matrix!$C$3:$M$10,MATCH('Error Log'!$F92,Severity_Matrix!$B$3:$B$10,0),MATCH('Error Log'!$G92,Severity_Matrix!$C$2:$M$2,0)),"No errors"))</f>
        <v>Critical</v>
      </c>
      <c r="K92" s="80"/>
    </row>
    <row r="93" spans="1:11">
      <c r="A93" s="80" t="s">
        <v>281</v>
      </c>
      <c r="B93" s="93">
        <v>4</v>
      </c>
      <c r="C93" s="98" t="s">
        <v>277</v>
      </c>
      <c r="D93" s="98" t="s">
        <v>278</v>
      </c>
      <c r="E93" s="95" t="s">
        <v>21</v>
      </c>
      <c r="F93" s="95" t="s">
        <v>7</v>
      </c>
      <c r="G93" s="95" t="s">
        <v>57</v>
      </c>
      <c r="H93" s="95" t="s">
        <v>283</v>
      </c>
      <c r="I93" s="96"/>
      <c r="J93" s="83" t="str">
        <f>IF(E93="Invalid_Segment","Invalid",IFERROR(INDEX(Severity_Matrix!$C$3:$M$10,MATCH('Error Log'!$F93,Severity_Matrix!$B$3:$B$10,0),MATCH('Error Log'!$G93,Severity_Matrix!$C$2:$M$2,0)),"No errors"))</f>
        <v>Critical</v>
      </c>
      <c r="K93" s="80"/>
    </row>
    <row r="94" spans="1:11">
      <c r="A94" s="80" t="s">
        <v>281</v>
      </c>
      <c r="B94" s="93">
        <v>5</v>
      </c>
      <c r="C94" s="98" t="s">
        <v>277</v>
      </c>
      <c r="D94" s="98" t="s">
        <v>278</v>
      </c>
      <c r="E94" s="95" t="s">
        <v>21</v>
      </c>
      <c r="F94" s="95" t="s">
        <v>7</v>
      </c>
      <c r="G94" s="95" t="s">
        <v>57</v>
      </c>
      <c r="H94" s="95" t="s">
        <v>284</v>
      </c>
      <c r="I94" s="96"/>
      <c r="J94" s="83" t="str">
        <f>IF(E94="Invalid_Segment","Invalid",IFERROR(INDEX(Severity_Matrix!$C$3:$M$10,MATCH('Error Log'!$F94,Severity_Matrix!$B$3:$B$10,0),MATCH('Error Log'!$G94,Severity_Matrix!$C$2:$M$2,0)),"No errors"))</f>
        <v>Critical</v>
      </c>
      <c r="K94" s="80"/>
    </row>
    <row r="95" spans="1:11">
      <c r="A95" s="80" t="s">
        <v>106</v>
      </c>
      <c r="B95" s="93">
        <v>1</v>
      </c>
      <c r="C95" s="98" t="s">
        <v>285</v>
      </c>
      <c r="D95" s="98" t="s">
        <v>286</v>
      </c>
      <c r="E95" s="95" t="s">
        <v>21</v>
      </c>
      <c r="F95" s="95" t="s">
        <v>22</v>
      </c>
      <c r="G95" s="95" t="s">
        <v>57</v>
      </c>
      <c r="H95" s="95" t="s">
        <v>287</v>
      </c>
      <c r="I95" s="96"/>
      <c r="J95" s="83" t="str">
        <f>IF(E95="Invalid_Segment","Invalid",IFERROR(INDEX(Severity_Matrix!$C$3:$M$10,MATCH('Error Log'!$F95,Severity_Matrix!$B$3:$B$10,0),MATCH('Error Log'!$G95,Severity_Matrix!$C$2:$M$2,0)),"No errors"))</f>
        <v>Major</v>
      </c>
      <c r="K95" s="80"/>
    </row>
    <row r="96" spans="1:11">
      <c r="A96" s="80" t="s">
        <v>106</v>
      </c>
      <c r="B96" s="93">
        <v>2</v>
      </c>
      <c r="C96" s="98" t="s">
        <v>285</v>
      </c>
      <c r="D96" s="98" t="s">
        <v>286</v>
      </c>
      <c r="E96" s="95" t="s">
        <v>21</v>
      </c>
      <c r="F96" s="95" t="s">
        <v>22</v>
      </c>
      <c r="G96" s="95" t="s">
        <v>57</v>
      </c>
      <c r="H96" s="95" t="s">
        <v>288</v>
      </c>
      <c r="I96" s="96"/>
      <c r="J96" s="83" t="str">
        <f>IF(E96="Invalid_Segment","Invalid",IFERROR(INDEX(Severity_Matrix!$C$3:$M$10,MATCH('Error Log'!$F96,Severity_Matrix!$B$3:$B$10,0),MATCH('Error Log'!$G96,Severity_Matrix!$C$2:$M$2,0)),"No errors"))</f>
        <v>Major</v>
      </c>
      <c r="K96" s="80"/>
    </row>
    <row r="97" spans="1:11">
      <c r="A97" s="80" t="s">
        <v>106</v>
      </c>
      <c r="B97" s="93">
        <v>3</v>
      </c>
      <c r="C97" s="98" t="s">
        <v>285</v>
      </c>
      <c r="D97" s="98" t="s">
        <v>286</v>
      </c>
      <c r="E97" s="95" t="s">
        <v>21</v>
      </c>
      <c r="F97" s="95" t="s">
        <v>7</v>
      </c>
      <c r="G97" s="95" t="s">
        <v>57</v>
      </c>
      <c r="H97" s="95" t="s">
        <v>289</v>
      </c>
      <c r="I97" s="96"/>
      <c r="J97" s="83" t="str">
        <f>IF(E97="Invalid_Segment","Invalid",IFERROR(INDEX(Severity_Matrix!$C$3:$M$10,MATCH('Error Log'!$F97,Severity_Matrix!$B$3:$B$10,0),MATCH('Error Log'!$G97,Severity_Matrix!$C$2:$M$2,0)),"No errors"))</f>
        <v>Critical</v>
      </c>
      <c r="K97" s="80"/>
    </row>
    <row r="98" spans="1:11">
      <c r="A98" s="80" t="s">
        <v>107</v>
      </c>
      <c r="B98" s="93">
        <v>1</v>
      </c>
      <c r="C98" s="98" t="s">
        <v>290</v>
      </c>
      <c r="D98" s="98" t="s">
        <v>291</v>
      </c>
      <c r="E98" s="95" t="s">
        <v>21</v>
      </c>
      <c r="F98" s="95" t="s">
        <v>22</v>
      </c>
      <c r="G98" s="95" t="s">
        <v>57</v>
      </c>
      <c r="H98" s="95" t="s">
        <v>292</v>
      </c>
      <c r="I98" s="96"/>
      <c r="J98" s="83" t="str">
        <f>IF(E98="Invalid_Segment","Invalid",IFERROR(INDEX(Severity_Matrix!$C$3:$M$10,MATCH('Error Log'!$F98,Severity_Matrix!$B$3:$B$10,0),MATCH('Error Log'!$G98,Severity_Matrix!$C$2:$M$2,0)),"No errors"))</f>
        <v>Major</v>
      </c>
      <c r="K98" s="80"/>
    </row>
    <row r="99" spans="1:11">
      <c r="A99" s="80" t="s">
        <v>107</v>
      </c>
      <c r="B99" s="93">
        <v>2</v>
      </c>
      <c r="C99" s="98" t="s">
        <v>290</v>
      </c>
      <c r="D99" s="98" t="s">
        <v>291</v>
      </c>
      <c r="E99" s="95" t="s">
        <v>21</v>
      </c>
      <c r="F99" s="95" t="s">
        <v>22</v>
      </c>
      <c r="G99" s="95" t="s">
        <v>57</v>
      </c>
      <c r="H99" s="95" t="s">
        <v>293</v>
      </c>
      <c r="I99" s="96"/>
      <c r="J99" s="83" t="str">
        <f>IF(E99="Invalid_Segment","Invalid",IFERROR(INDEX(Severity_Matrix!$C$3:$M$10,MATCH('Error Log'!$F99,Severity_Matrix!$B$3:$B$10,0),MATCH('Error Log'!$G99,Severity_Matrix!$C$2:$M$2,0)),"No errors"))</f>
        <v>Major</v>
      </c>
      <c r="K99" s="80"/>
    </row>
    <row r="100" spans="1:11">
      <c r="A100" s="80" t="s">
        <v>107</v>
      </c>
      <c r="B100" s="93">
        <v>3</v>
      </c>
      <c r="C100" s="98" t="s">
        <v>290</v>
      </c>
      <c r="D100" s="98" t="s">
        <v>291</v>
      </c>
      <c r="E100" s="95" t="s">
        <v>21</v>
      </c>
      <c r="F100" s="95" t="s">
        <v>7</v>
      </c>
      <c r="G100" s="95" t="s">
        <v>57</v>
      </c>
      <c r="H100" s="95" t="s">
        <v>294</v>
      </c>
      <c r="I100" s="96"/>
      <c r="J100" s="83" t="str">
        <f>IF(E100="Invalid_Segment","Invalid",IFERROR(INDEX(Severity_Matrix!$C$3:$M$10,MATCH('Error Log'!$F100,Severity_Matrix!$B$3:$B$10,0),MATCH('Error Log'!$G100,Severity_Matrix!$C$2:$M$2,0)),"No errors"))</f>
        <v>Critical</v>
      </c>
      <c r="K100" s="80"/>
    </row>
    <row r="101" spans="1:11">
      <c r="A101" s="80" t="s">
        <v>107</v>
      </c>
      <c r="B101" s="93">
        <v>4</v>
      </c>
      <c r="C101" s="98" t="s">
        <v>290</v>
      </c>
      <c r="D101" s="98" t="s">
        <v>291</v>
      </c>
      <c r="E101" s="95" t="s">
        <v>21</v>
      </c>
      <c r="F101" s="95" t="s">
        <v>7</v>
      </c>
      <c r="G101" s="95" t="s">
        <v>57</v>
      </c>
      <c r="H101" s="95" t="s">
        <v>295</v>
      </c>
      <c r="I101" s="96"/>
      <c r="J101" s="83" t="str">
        <f>IF(E101="Invalid_Segment","Invalid",IFERROR(INDEX(Severity_Matrix!$C$3:$M$10,MATCH('Error Log'!$F101,Severity_Matrix!$B$3:$B$10,0),MATCH('Error Log'!$G101,Severity_Matrix!$C$2:$M$2,0)),"No errors"))</f>
        <v>Critical</v>
      </c>
      <c r="K101" s="80"/>
    </row>
    <row r="102" spans="1:11">
      <c r="A102" s="80" t="s">
        <v>108</v>
      </c>
      <c r="B102" s="93">
        <v>1</v>
      </c>
      <c r="C102" s="98" t="s">
        <v>296</v>
      </c>
      <c r="D102" s="98" t="s">
        <v>297</v>
      </c>
      <c r="E102" s="95" t="s">
        <v>21</v>
      </c>
      <c r="F102" s="95" t="s">
        <v>22</v>
      </c>
      <c r="G102" s="95" t="s">
        <v>57</v>
      </c>
      <c r="H102" s="95" t="s">
        <v>298</v>
      </c>
      <c r="I102" s="96"/>
      <c r="J102" s="83" t="str">
        <f>IF(E102="Invalid_Segment","Invalid",IFERROR(INDEX(Severity_Matrix!$C$3:$M$10,MATCH('Error Log'!$F102,Severity_Matrix!$B$3:$B$10,0),MATCH('Error Log'!$G102,Severity_Matrix!$C$2:$M$2,0)),"No errors"))</f>
        <v>Major</v>
      </c>
      <c r="K102" s="80"/>
    </row>
    <row r="103" spans="1:11">
      <c r="A103" s="80" t="s">
        <v>108</v>
      </c>
      <c r="B103" s="93">
        <v>2</v>
      </c>
      <c r="C103" s="98" t="s">
        <v>296</v>
      </c>
      <c r="D103" s="98" t="s">
        <v>297</v>
      </c>
      <c r="E103" s="95" t="s">
        <v>21</v>
      </c>
      <c r="F103" s="95" t="s">
        <v>7</v>
      </c>
      <c r="G103" s="95" t="s">
        <v>57</v>
      </c>
      <c r="H103" s="95" t="s">
        <v>299</v>
      </c>
      <c r="I103" s="96"/>
      <c r="J103" s="83" t="str">
        <f>IF(E103="Invalid_Segment","Invalid",IFERROR(INDEX(Severity_Matrix!$C$3:$M$10,MATCH('Error Log'!$F103,Severity_Matrix!$B$3:$B$10,0),MATCH('Error Log'!$G103,Severity_Matrix!$C$2:$M$2,0)),"No errors"))</f>
        <v>Critical</v>
      </c>
      <c r="K103" s="80"/>
    </row>
    <row r="104" spans="1:11">
      <c r="A104" s="80" t="s">
        <v>108</v>
      </c>
      <c r="B104" s="93">
        <v>3</v>
      </c>
      <c r="C104" s="98" t="s">
        <v>296</v>
      </c>
      <c r="D104" s="98" t="s">
        <v>297</v>
      </c>
      <c r="E104" s="95" t="s">
        <v>21</v>
      </c>
      <c r="F104" s="95" t="s">
        <v>7</v>
      </c>
      <c r="G104" s="95" t="s">
        <v>57</v>
      </c>
      <c r="H104" s="95" t="s">
        <v>300</v>
      </c>
      <c r="I104" s="96"/>
      <c r="J104" s="83" t="str">
        <f>IF(E104="Invalid_Segment","Invalid",IFERROR(INDEX(Severity_Matrix!$C$3:$M$10,MATCH('Error Log'!$F104,Severity_Matrix!$B$3:$B$10,0),MATCH('Error Log'!$G104,Severity_Matrix!$C$2:$M$2,0)),"No errors"))</f>
        <v>Critical</v>
      </c>
      <c r="K104" s="80"/>
    </row>
    <row r="105" spans="1:11">
      <c r="A105" s="80" t="s">
        <v>109</v>
      </c>
      <c r="B105" s="93">
        <v>1</v>
      </c>
      <c r="C105" s="98" t="s">
        <v>301</v>
      </c>
      <c r="D105" s="98" t="s">
        <v>302</v>
      </c>
      <c r="E105" s="95" t="s">
        <v>21</v>
      </c>
      <c r="F105" s="95" t="s">
        <v>22</v>
      </c>
      <c r="G105" s="95" t="s">
        <v>28</v>
      </c>
      <c r="H105" s="95" t="s">
        <v>303</v>
      </c>
      <c r="I105" s="96"/>
      <c r="J105" s="83" t="str">
        <f>IF(E105="Invalid_Segment","Invalid",IFERROR(INDEX(Severity_Matrix!$C$3:$M$10,MATCH('Error Log'!$F105,Severity_Matrix!$B$3:$B$10,0),MATCH('Error Log'!$G105,Severity_Matrix!$C$2:$M$2,0)),"No errors"))</f>
        <v>Major</v>
      </c>
      <c r="K105" s="80"/>
    </row>
    <row r="106" spans="1:11">
      <c r="A106" s="80" t="s">
        <v>109</v>
      </c>
      <c r="B106" s="93">
        <v>2</v>
      </c>
      <c r="C106" s="98" t="s">
        <v>301</v>
      </c>
      <c r="D106" s="98" t="s">
        <v>302</v>
      </c>
      <c r="E106" s="95" t="s">
        <v>21</v>
      </c>
      <c r="F106" s="95" t="s">
        <v>22</v>
      </c>
      <c r="G106" s="95" t="s">
        <v>57</v>
      </c>
      <c r="H106" s="95" t="s">
        <v>304</v>
      </c>
      <c r="I106" s="96"/>
      <c r="J106" s="83" t="str">
        <f>IF(E106="Invalid_Segment","Invalid",IFERROR(INDEX(Severity_Matrix!$C$3:$M$10,MATCH('Error Log'!$F106,Severity_Matrix!$B$3:$B$10,0),MATCH('Error Log'!$G106,Severity_Matrix!$C$2:$M$2,0)),"No errors"))</f>
        <v>Major</v>
      </c>
      <c r="K106" s="80"/>
    </row>
    <row r="107" spans="1:11">
      <c r="A107" s="80" t="s">
        <v>305</v>
      </c>
      <c r="B107" s="93">
        <v>3</v>
      </c>
      <c r="C107" s="98" t="s">
        <v>301</v>
      </c>
      <c r="D107" s="98" t="s">
        <v>302</v>
      </c>
      <c r="E107" s="95" t="s">
        <v>21</v>
      </c>
      <c r="F107" s="95" t="s">
        <v>22</v>
      </c>
      <c r="G107" s="95" t="s">
        <v>57</v>
      </c>
      <c r="H107" s="95" t="s">
        <v>306</v>
      </c>
      <c r="I107" s="96"/>
      <c r="J107" s="83" t="str">
        <f>IF(E107="Invalid_Segment","Invalid",IFERROR(INDEX(Severity_Matrix!$C$3:$M$10,MATCH('Error Log'!$F107,Severity_Matrix!$B$3:$B$10,0),MATCH('Error Log'!$G107,Severity_Matrix!$C$2:$M$2,0)),"No errors"))</f>
        <v>Major</v>
      </c>
      <c r="K107" s="80"/>
    </row>
    <row r="108" spans="1:11">
      <c r="A108" s="80" t="s">
        <v>110</v>
      </c>
      <c r="B108" s="93">
        <v>1</v>
      </c>
      <c r="C108" s="98" t="s">
        <v>307</v>
      </c>
      <c r="D108" s="98" t="s">
        <v>308</v>
      </c>
      <c r="E108" s="95" t="s">
        <v>21</v>
      </c>
      <c r="F108" s="95" t="s">
        <v>22</v>
      </c>
      <c r="G108" s="95" t="s">
        <v>57</v>
      </c>
      <c r="H108" s="95" t="s">
        <v>309</v>
      </c>
      <c r="I108" s="96"/>
      <c r="J108" s="83" t="str">
        <f>IF(E108="Invalid_Segment","Invalid",IFERROR(INDEX(Severity_Matrix!$C$3:$M$10,MATCH('Error Log'!$F108,Severity_Matrix!$B$3:$B$10,0),MATCH('Error Log'!$G108,Severity_Matrix!$C$2:$M$2,0)),"No errors"))</f>
        <v>Major</v>
      </c>
      <c r="K108" s="80"/>
    </row>
    <row r="109" spans="1:11">
      <c r="A109" s="80" t="s">
        <v>111</v>
      </c>
      <c r="B109" s="93">
        <v>1</v>
      </c>
      <c r="C109" s="98" t="s">
        <v>310</v>
      </c>
      <c r="D109" s="98" t="s">
        <v>311</v>
      </c>
      <c r="E109" s="95"/>
      <c r="F109" s="95"/>
      <c r="G109" s="95"/>
      <c r="H109" s="95"/>
      <c r="I109" s="96"/>
      <c r="J109" s="83" t="str">
        <f>IF(E109="Invalid_Segment","Invalid",IFERROR(INDEX(Severity_Matrix!$C$3:$M$10,MATCH('Error Log'!$F109,Severity_Matrix!$B$3:$B$10,0),MATCH('Error Log'!$G109,Severity_Matrix!$C$2:$M$2,0)),"No errors"))</f>
        <v>No errors</v>
      </c>
      <c r="K109" s="80"/>
    </row>
    <row r="110" spans="1:11">
      <c r="A110" s="80" t="s">
        <v>112</v>
      </c>
      <c r="B110" s="93">
        <v>1</v>
      </c>
      <c r="C110" s="98" t="s">
        <v>312</v>
      </c>
      <c r="D110" s="98" t="s">
        <v>313</v>
      </c>
      <c r="E110" s="95" t="s">
        <v>21</v>
      </c>
      <c r="F110" s="95" t="s">
        <v>22</v>
      </c>
      <c r="G110" s="95" t="s">
        <v>57</v>
      </c>
      <c r="H110" s="95" t="s">
        <v>314</v>
      </c>
      <c r="I110" s="96"/>
      <c r="J110" s="83" t="str">
        <f>IF(E110="Invalid_Segment","Invalid",IFERROR(INDEX(Severity_Matrix!$C$3:$M$10,MATCH('Error Log'!$F110,Severity_Matrix!$B$3:$B$10,0),MATCH('Error Log'!$G110,Severity_Matrix!$C$2:$M$2,0)),"No errors"))</f>
        <v>Major</v>
      </c>
      <c r="K110" s="80"/>
    </row>
    <row r="111" spans="1:11">
      <c r="A111" s="80" t="s">
        <v>112</v>
      </c>
      <c r="B111" s="93">
        <v>2</v>
      </c>
      <c r="C111" s="98" t="s">
        <v>312</v>
      </c>
      <c r="D111" s="98" t="s">
        <v>313</v>
      </c>
      <c r="E111" s="95" t="s">
        <v>21</v>
      </c>
      <c r="F111" s="95" t="s">
        <v>22</v>
      </c>
      <c r="G111" s="95" t="s">
        <v>57</v>
      </c>
      <c r="H111" s="95" t="s">
        <v>315</v>
      </c>
      <c r="I111" s="96"/>
      <c r="J111" s="83" t="str">
        <f>IF(E111="Invalid_Segment","Invalid",IFERROR(INDEX(Severity_Matrix!$C$3:$M$10,MATCH('Error Log'!$F111,Severity_Matrix!$B$3:$B$10,0),MATCH('Error Log'!$G111,Severity_Matrix!$C$2:$M$2,0)),"No errors"))</f>
        <v>Major</v>
      </c>
      <c r="K111" s="80"/>
    </row>
    <row r="112" spans="1:11">
      <c r="A112" s="80" t="s">
        <v>316</v>
      </c>
      <c r="B112" s="93">
        <v>3</v>
      </c>
      <c r="C112" s="98" t="s">
        <v>312</v>
      </c>
      <c r="D112" s="98" t="s">
        <v>313</v>
      </c>
      <c r="E112" s="95" t="s">
        <v>21</v>
      </c>
      <c r="F112" s="95" t="s">
        <v>22</v>
      </c>
      <c r="G112" s="95" t="s">
        <v>57</v>
      </c>
      <c r="H112" s="95" t="s">
        <v>317</v>
      </c>
      <c r="I112" s="96"/>
      <c r="J112" s="83" t="str">
        <f>IF(E112="Invalid_Segment","Invalid",IFERROR(INDEX(Severity_Matrix!$C$3:$M$10,MATCH('Error Log'!$F112,Severity_Matrix!$B$3:$B$10,0),MATCH('Error Log'!$G112,Severity_Matrix!$C$2:$M$2,0)),"No errors"))</f>
        <v>Major</v>
      </c>
      <c r="K112" s="80"/>
    </row>
    <row r="113" spans="1:11">
      <c r="A113" s="80" t="s">
        <v>316</v>
      </c>
      <c r="B113" s="93">
        <v>4</v>
      </c>
      <c r="C113" s="98" t="s">
        <v>312</v>
      </c>
      <c r="D113" s="98" t="s">
        <v>313</v>
      </c>
      <c r="E113" s="95" t="s">
        <v>21</v>
      </c>
      <c r="F113" s="95" t="s">
        <v>7</v>
      </c>
      <c r="G113" s="95" t="s">
        <v>57</v>
      </c>
      <c r="H113" s="95" t="s">
        <v>318</v>
      </c>
      <c r="I113" s="96"/>
      <c r="J113" s="83" t="str">
        <f>IF(E113="Invalid_Segment","Invalid",IFERROR(INDEX(Severity_Matrix!$C$3:$M$10,MATCH('Error Log'!$F113,Severity_Matrix!$B$3:$B$10,0),MATCH('Error Log'!$G113,Severity_Matrix!$C$2:$M$2,0)),"No errors"))</f>
        <v>Critical</v>
      </c>
      <c r="K113" s="80"/>
    </row>
    <row r="114" spans="1:11">
      <c r="A114" s="80" t="s">
        <v>316</v>
      </c>
      <c r="B114" s="93">
        <v>5</v>
      </c>
      <c r="C114" s="98" t="s">
        <v>312</v>
      </c>
      <c r="D114" s="98" t="s">
        <v>313</v>
      </c>
      <c r="E114" s="95" t="s">
        <v>21</v>
      </c>
      <c r="F114" s="95" t="s">
        <v>7</v>
      </c>
      <c r="G114" s="95" t="s">
        <v>57</v>
      </c>
      <c r="H114" s="95" t="s">
        <v>319</v>
      </c>
      <c r="I114" s="96"/>
      <c r="J114" s="83" t="str">
        <f>IF(E114="Invalid_Segment","Invalid",IFERROR(INDEX(Severity_Matrix!$C$3:$M$10,MATCH('Error Log'!$F114,Severity_Matrix!$B$3:$B$10,0),MATCH('Error Log'!$G114,Severity_Matrix!$C$2:$M$2,0)),"No errors"))</f>
        <v>Critical</v>
      </c>
      <c r="K114" s="80"/>
    </row>
    <row r="115" spans="1:11">
      <c r="A115" s="80" t="s">
        <v>316</v>
      </c>
      <c r="B115" s="93">
        <v>6</v>
      </c>
      <c r="C115" s="98" t="s">
        <v>312</v>
      </c>
      <c r="D115" s="98" t="s">
        <v>313</v>
      </c>
      <c r="E115" s="95" t="s">
        <v>21</v>
      </c>
      <c r="F115" s="95" t="s">
        <v>7</v>
      </c>
      <c r="G115" s="95" t="s">
        <v>57</v>
      </c>
      <c r="H115" s="95" t="s">
        <v>320</v>
      </c>
      <c r="I115" s="96"/>
      <c r="J115" s="83" t="str">
        <f>IF(E115="Invalid_Segment","Invalid",IFERROR(INDEX(Severity_Matrix!$C$3:$M$10,MATCH('Error Log'!$F115,Severity_Matrix!$B$3:$B$10,0),MATCH('Error Log'!$G115,Severity_Matrix!$C$2:$M$2,0)),"No errors"))</f>
        <v>Critical</v>
      </c>
      <c r="K115" s="80"/>
    </row>
    <row r="116" spans="1:11">
      <c r="A116" s="80" t="s">
        <v>113</v>
      </c>
      <c r="B116" s="93">
        <v>1</v>
      </c>
      <c r="C116" s="98" t="s">
        <v>321</v>
      </c>
      <c r="D116" s="98" t="s">
        <v>322</v>
      </c>
      <c r="E116" s="95" t="s">
        <v>21</v>
      </c>
      <c r="F116" s="95" t="s">
        <v>22</v>
      </c>
      <c r="G116" s="95" t="s">
        <v>57</v>
      </c>
      <c r="H116" s="95" t="s">
        <v>323</v>
      </c>
      <c r="I116" s="96"/>
      <c r="J116" s="83" t="str">
        <f>IF(E116="Invalid_Segment","Invalid",IFERROR(INDEX(Severity_Matrix!$C$3:$M$10,MATCH('Error Log'!$F116,Severity_Matrix!$B$3:$B$10,0),MATCH('Error Log'!$G116,Severity_Matrix!$C$2:$M$2,0)),"No errors"))</f>
        <v>Major</v>
      </c>
      <c r="K116" s="80"/>
    </row>
    <row r="117" spans="1:11">
      <c r="A117" s="80" t="s">
        <v>113</v>
      </c>
      <c r="B117" s="93">
        <v>2</v>
      </c>
      <c r="C117" s="98" t="s">
        <v>321</v>
      </c>
      <c r="D117" s="98" t="s">
        <v>322</v>
      </c>
      <c r="E117" s="95" t="s">
        <v>21</v>
      </c>
      <c r="F117" s="95" t="s">
        <v>22</v>
      </c>
      <c r="G117" s="95" t="s">
        <v>57</v>
      </c>
      <c r="H117" s="95" t="s">
        <v>324</v>
      </c>
      <c r="I117" s="96"/>
      <c r="J117" s="83" t="str">
        <f>IF(E117="Invalid_Segment","Invalid",IFERROR(INDEX(Severity_Matrix!$C$3:$M$10,MATCH('Error Log'!$F117,Severity_Matrix!$B$3:$B$10,0),MATCH('Error Log'!$G117,Severity_Matrix!$C$2:$M$2,0)),"No errors"))</f>
        <v>Major</v>
      </c>
      <c r="K117" s="80"/>
    </row>
    <row r="118" spans="1:11">
      <c r="A118" s="80" t="s">
        <v>325</v>
      </c>
      <c r="B118" s="93">
        <v>3</v>
      </c>
      <c r="C118" s="98" t="s">
        <v>321</v>
      </c>
      <c r="D118" s="98" t="s">
        <v>322</v>
      </c>
      <c r="E118" s="95" t="s">
        <v>21</v>
      </c>
      <c r="F118" s="95" t="s">
        <v>7</v>
      </c>
      <c r="G118" s="95" t="s">
        <v>57</v>
      </c>
      <c r="H118" s="95" t="s">
        <v>326</v>
      </c>
      <c r="I118" s="96"/>
      <c r="J118" s="83" t="str">
        <f>IF(E118="Invalid_Segment","Invalid",IFERROR(INDEX(Severity_Matrix!$C$3:$M$10,MATCH('Error Log'!$F118,Severity_Matrix!$B$3:$B$10,0),MATCH('Error Log'!$G118,Severity_Matrix!$C$2:$M$2,0)),"No errors"))</f>
        <v>Critical</v>
      </c>
      <c r="K118" s="80"/>
    </row>
    <row r="119" spans="1:11">
      <c r="A119" s="80" t="s">
        <v>325</v>
      </c>
      <c r="B119" s="93">
        <v>4</v>
      </c>
      <c r="C119" s="98" t="s">
        <v>321</v>
      </c>
      <c r="D119" s="98" t="s">
        <v>322</v>
      </c>
      <c r="E119" s="95" t="s">
        <v>21</v>
      </c>
      <c r="F119" s="95" t="s">
        <v>7</v>
      </c>
      <c r="G119" s="95" t="s">
        <v>57</v>
      </c>
      <c r="H119" s="95" t="s">
        <v>327</v>
      </c>
      <c r="I119" s="96"/>
      <c r="J119" s="83" t="str">
        <f>IF(E119="Invalid_Segment","Invalid",IFERROR(INDEX(Severity_Matrix!$C$3:$M$10,MATCH('Error Log'!$F119,Severity_Matrix!$B$3:$B$10,0),MATCH('Error Log'!$G119,Severity_Matrix!$C$2:$M$2,0)),"No errors"))</f>
        <v>Critical</v>
      </c>
      <c r="K119" s="80"/>
    </row>
    <row r="120" spans="1:11">
      <c r="A120" s="80" t="s">
        <v>325</v>
      </c>
      <c r="B120" s="93">
        <v>5</v>
      </c>
      <c r="C120" s="98" t="s">
        <v>321</v>
      </c>
      <c r="D120" s="98" t="s">
        <v>322</v>
      </c>
      <c r="E120" s="95" t="s">
        <v>21</v>
      </c>
      <c r="F120" s="95" t="s">
        <v>7</v>
      </c>
      <c r="G120" s="95" t="s">
        <v>57</v>
      </c>
      <c r="H120" s="95" t="s">
        <v>328</v>
      </c>
      <c r="I120" s="96"/>
      <c r="J120" s="83" t="str">
        <f>IF(E120="Invalid_Segment","Invalid",IFERROR(INDEX(Severity_Matrix!$C$3:$M$10,MATCH('Error Log'!$F120,Severity_Matrix!$B$3:$B$10,0),MATCH('Error Log'!$G120,Severity_Matrix!$C$2:$M$2,0)),"No errors"))</f>
        <v>Critical</v>
      </c>
      <c r="K120" s="80"/>
    </row>
    <row r="121" spans="1:11">
      <c r="A121" s="80" t="s">
        <v>114</v>
      </c>
      <c r="B121" s="93">
        <v>1</v>
      </c>
      <c r="C121" s="98" t="s">
        <v>329</v>
      </c>
      <c r="D121" s="98" t="s">
        <v>330</v>
      </c>
      <c r="E121" s="95" t="s">
        <v>21</v>
      </c>
      <c r="F121" s="95" t="s">
        <v>22</v>
      </c>
      <c r="G121" s="95" t="s">
        <v>57</v>
      </c>
      <c r="H121" s="95" t="s">
        <v>331</v>
      </c>
      <c r="I121" s="96"/>
      <c r="J121" s="83" t="str">
        <f>IF(E121="Invalid_Segment","Invalid",IFERROR(INDEX(Severity_Matrix!$C$3:$M$10,MATCH('Error Log'!$F121,Severity_Matrix!$B$3:$B$10,0),MATCH('Error Log'!$G121,Severity_Matrix!$C$2:$M$2,0)),"No errors"))</f>
        <v>Major</v>
      </c>
      <c r="K121" s="80"/>
    </row>
    <row r="122" spans="1:11">
      <c r="A122" s="80" t="s">
        <v>114</v>
      </c>
      <c r="B122" s="93">
        <v>2</v>
      </c>
      <c r="C122" s="98" t="s">
        <v>329</v>
      </c>
      <c r="D122" s="98" t="s">
        <v>330</v>
      </c>
      <c r="E122" s="95" t="s">
        <v>21</v>
      </c>
      <c r="F122" s="95" t="s">
        <v>22</v>
      </c>
      <c r="G122" s="95" t="s">
        <v>57</v>
      </c>
      <c r="H122" s="95" t="s">
        <v>332</v>
      </c>
      <c r="I122" s="96"/>
      <c r="J122" s="83" t="str">
        <f>IF(E122="Invalid_Segment","Invalid",IFERROR(INDEX(Severity_Matrix!$C$3:$M$10,MATCH('Error Log'!$F122,Severity_Matrix!$B$3:$B$10,0),MATCH('Error Log'!$G122,Severity_Matrix!$C$2:$M$2,0)),"No errors"))</f>
        <v>Major</v>
      </c>
      <c r="K122" s="80"/>
    </row>
    <row r="123" spans="1:11">
      <c r="A123" s="80" t="s">
        <v>333</v>
      </c>
      <c r="B123" s="93">
        <v>3</v>
      </c>
      <c r="C123" s="98" t="s">
        <v>329</v>
      </c>
      <c r="D123" s="98" t="s">
        <v>330</v>
      </c>
      <c r="E123" s="95" t="s">
        <v>21</v>
      </c>
      <c r="F123" s="95" t="s">
        <v>22</v>
      </c>
      <c r="G123" s="95" t="s">
        <v>57</v>
      </c>
      <c r="H123" s="95" t="s">
        <v>334</v>
      </c>
      <c r="I123" s="96"/>
      <c r="J123" s="83" t="str">
        <f>IF(E123="Invalid_Segment","Invalid",IFERROR(INDEX(Severity_Matrix!$C$3:$M$10,MATCH('Error Log'!$F123,Severity_Matrix!$B$3:$B$10,0),MATCH('Error Log'!$G123,Severity_Matrix!$C$2:$M$2,0)),"No errors"))</f>
        <v>Major</v>
      </c>
      <c r="K123" s="80"/>
    </row>
    <row r="124" spans="1:11">
      <c r="A124" s="80" t="s">
        <v>333</v>
      </c>
      <c r="B124" s="93">
        <v>4</v>
      </c>
      <c r="C124" s="98" t="s">
        <v>329</v>
      </c>
      <c r="D124" s="98" t="s">
        <v>330</v>
      </c>
      <c r="E124" s="95" t="s">
        <v>21</v>
      </c>
      <c r="F124" s="95" t="s">
        <v>7</v>
      </c>
      <c r="G124" s="95" t="s">
        <v>57</v>
      </c>
      <c r="H124" s="95" t="s">
        <v>335</v>
      </c>
      <c r="I124" s="96"/>
      <c r="J124" s="83" t="str">
        <f>IF(E124="Invalid_Segment","Invalid",IFERROR(INDEX(Severity_Matrix!$C$3:$M$10,MATCH('Error Log'!$F124,Severity_Matrix!$B$3:$B$10,0),MATCH('Error Log'!$G124,Severity_Matrix!$C$2:$M$2,0)),"No errors"))</f>
        <v>Critical</v>
      </c>
      <c r="K124" s="80"/>
    </row>
    <row r="125" spans="1:11">
      <c r="A125" s="80" t="s">
        <v>333</v>
      </c>
      <c r="B125" s="93">
        <v>5</v>
      </c>
      <c r="C125" s="98" t="s">
        <v>329</v>
      </c>
      <c r="D125" s="98" t="s">
        <v>330</v>
      </c>
      <c r="E125" s="95" t="s">
        <v>21</v>
      </c>
      <c r="F125" s="95" t="s">
        <v>7</v>
      </c>
      <c r="G125" s="95" t="s">
        <v>57</v>
      </c>
      <c r="H125" s="95" t="s">
        <v>336</v>
      </c>
      <c r="I125" s="96"/>
      <c r="J125" s="83" t="str">
        <f>IF(E125="Invalid_Segment","Invalid",IFERROR(INDEX(Severity_Matrix!$C$3:$M$10,MATCH('Error Log'!$F125,Severity_Matrix!$B$3:$B$10,0),MATCH('Error Log'!$G125,Severity_Matrix!$C$2:$M$2,0)),"No errors"))</f>
        <v>Critical</v>
      </c>
      <c r="K125" s="80"/>
    </row>
    <row r="126" spans="1:11">
      <c r="A126" s="80" t="s">
        <v>333</v>
      </c>
      <c r="B126" s="93">
        <v>6</v>
      </c>
      <c r="C126" s="98" t="s">
        <v>329</v>
      </c>
      <c r="D126" s="98" t="s">
        <v>330</v>
      </c>
      <c r="E126" s="95" t="s">
        <v>21</v>
      </c>
      <c r="F126" s="95" t="s">
        <v>7</v>
      </c>
      <c r="G126" s="95" t="s">
        <v>57</v>
      </c>
      <c r="H126" s="95" t="s">
        <v>337</v>
      </c>
      <c r="I126" s="96"/>
      <c r="J126" s="83" t="str">
        <f>IF(E126="Invalid_Segment","Invalid",IFERROR(INDEX(Severity_Matrix!$C$3:$M$10,MATCH('Error Log'!$F126,Severity_Matrix!$B$3:$B$10,0),MATCH('Error Log'!$G126,Severity_Matrix!$C$2:$M$2,0)),"No errors"))</f>
        <v>Critical</v>
      </c>
      <c r="K126" s="80"/>
    </row>
    <row r="127" spans="1:11">
      <c r="A127" s="80" t="s">
        <v>115</v>
      </c>
      <c r="B127" s="93">
        <v>1</v>
      </c>
      <c r="C127" s="98" t="s">
        <v>338</v>
      </c>
      <c r="D127" s="98" t="s">
        <v>339</v>
      </c>
      <c r="E127" s="95" t="s">
        <v>21</v>
      </c>
      <c r="F127" s="95" t="s">
        <v>7</v>
      </c>
      <c r="G127" s="95" t="s">
        <v>57</v>
      </c>
      <c r="H127" s="95" t="s">
        <v>340</v>
      </c>
      <c r="I127" s="96"/>
      <c r="J127" s="83" t="str">
        <f>IF(E127="Invalid_Segment","Invalid",IFERROR(INDEX(Severity_Matrix!$C$3:$M$10,MATCH('Error Log'!$F127,Severity_Matrix!$B$3:$B$10,0),MATCH('Error Log'!$G127,Severity_Matrix!$C$2:$M$2,0)),"No errors"))</f>
        <v>Critical</v>
      </c>
      <c r="K127" s="80"/>
    </row>
    <row r="128" spans="1:11">
      <c r="A128" s="80" t="s">
        <v>115</v>
      </c>
      <c r="B128" s="93">
        <v>2</v>
      </c>
      <c r="C128" s="98" t="s">
        <v>338</v>
      </c>
      <c r="D128" s="98" t="s">
        <v>339</v>
      </c>
      <c r="E128" s="95" t="s">
        <v>21</v>
      </c>
      <c r="F128" s="95" t="s">
        <v>22</v>
      </c>
      <c r="G128" s="95" t="s">
        <v>57</v>
      </c>
      <c r="H128" s="95" t="s">
        <v>341</v>
      </c>
      <c r="I128" s="96"/>
      <c r="J128" s="83" t="str">
        <f>IF(E128="Invalid_Segment","Invalid",IFERROR(INDEX(Severity_Matrix!$C$3:$M$10,MATCH('Error Log'!$F128,Severity_Matrix!$B$3:$B$10,0),MATCH('Error Log'!$G128,Severity_Matrix!$C$2:$M$2,0)),"No errors"))</f>
        <v>Major</v>
      </c>
      <c r="K128" s="80"/>
    </row>
    <row r="129" spans="1:11" ht="14.4">
      <c r="A129" s="79" t="s">
        <v>116</v>
      </c>
      <c r="B129" s="93">
        <v>1</v>
      </c>
      <c r="C129" s="94" t="s">
        <v>342</v>
      </c>
      <c r="D129" s="79" t="s">
        <v>343</v>
      </c>
      <c r="E129" s="95" t="s">
        <v>21</v>
      </c>
      <c r="F129" s="95" t="s">
        <v>22</v>
      </c>
      <c r="G129" s="95" t="s">
        <v>57</v>
      </c>
      <c r="H129" s="95" t="s">
        <v>344</v>
      </c>
      <c r="I129" s="96"/>
      <c r="J129" s="83" t="str">
        <f>IF(E129="Invalid_Segment","Invalid",IFERROR(INDEX(Severity_Matrix!$C$3:$M$10,MATCH('Error Log'!$F129,Severity_Matrix!$B$3:$B$10,0),MATCH('Error Log'!$G129,Severity_Matrix!$C$2:$M$2,0)),"No errors"))</f>
        <v>Major</v>
      </c>
      <c r="K129" s="80"/>
    </row>
    <row r="130" spans="1:11" ht="14.4">
      <c r="A130" s="79" t="s">
        <v>116</v>
      </c>
      <c r="B130" s="93">
        <v>2</v>
      </c>
      <c r="C130" s="94" t="s">
        <v>342</v>
      </c>
      <c r="D130" s="79" t="s">
        <v>343</v>
      </c>
      <c r="E130" s="95" t="s">
        <v>21</v>
      </c>
      <c r="F130" s="95" t="s">
        <v>7</v>
      </c>
      <c r="G130" s="95" t="s">
        <v>57</v>
      </c>
      <c r="H130" s="95" t="s">
        <v>345</v>
      </c>
      <c r="I130" s="95"/>
      <c r="J130" s="83" t="str">
        <f>IF(E130="Invalid_Segment","Invalid",IFERROR(INDEX(Severity_Matrix!$C$3:$M$10,MATCH('Error Log'!$F130,Severity_Matrix!$B$3:$B$10,0),MATCH('Error Log'!$G130,Severity_Matrix!$C$2:$M$2,0)),"No errors"))</f>
        <v>Critical</v>
      </c>
      <c r="K130" s="80"/>
    </row>
    <row r="131" spans="1:11" ht="14.4">
      <c r="A131" s="79" t="s">
        <v>346</v>
      </c>
      <c r="B131" s="93">
        <v>3</v>
      </c>
      <c r="C131" s="94" t="s">
        <v>342</v>
      </c>
      <c r="D131" s="79" t="s">
        <v>343</v>
      </c>
      <c r="E131" s="95" t="s">
        <v>21</v>
      </c>
      <c r="F131" s="95" t="s">
        <v>7</v>
      </c>
      <c r="G131" s="95" t="s">
        <v>57</v>
      </c>
      <c r="H131" s="95" t="s">
        <v>347</v>
      </c>
      <c r="I131" s="95"/>
      <c r="J131" s="83" t="str">
        <f>IF(E131="Invalid_Segment","Invalid",IFERROR(INDEX(Severity_Matrix!$C$3:$M$10,MATCH('Error Log'!$F131,Severity_Matrix!$B$3:$B$10,0),MATCH('Error Log'!$G131,Severity_Matrix!$C$2:$M$2,0)),"No errors"))</f>
        <v>Critical</v>
      </c>
    </row>
    <row r="132" spans="1:11" ht="14.4">
      <c r="A132" s="79" t="s">
        <v>117</v>
      </c>
      <c r="B132" s="93">
        <v>1</v>
      </c>
      <c r="C132" s="94" t="s">
        <v>348</v>
      </c>
      <c r="D132" s="79" t="s">
        <v>349</v>
      </c>
      <c r="E132" s="95" t="s">
        <v>21</v>
      </c>
      <c r="F132" s="95" t="s">
        <v>22</v>
      </c>
      <c r="G132" s="95" t="s">
        <v>57</v>
      </c>
      <c r="H132" s="95" t="s">
        <v>350</v>
      </c>
      <c r="I132" s="95"/>
      <c r="J132" s="83" t="str">
        <f>IF(E132="Invalid_Segment","Invalid",IFERROR(INDEX(Severity_Matrix!$C$3:$M$10,MATCH('Error Log'!$F132,Severity_Matrix!$B$3:$B$10,0),MATCH('Error Log'!$G132,Severity_Matrix!$C$2:$M$2,0)),"No errors"))</f>
        <v>Major</v>
      </c>
    </row>
    <row r="133" spans="1:11" ht="14.4">
      <c r="A133" s="79" t="s">
        <v>117</v>
      </c>
      <c r="B133" s="93">
        <v>2</v>
      </c>
      <c r="C133" s="94" t="s">
        <v>348</v>
      </c>
      <c r="D133" s="79" t="s">
        <v>349</v>
      </c>
      <c r="E133" s="95" t="s">
        <v>21</v>
      </c>
      <c r="F133" s="95" t="s">
        <v>7</v>
      </c>
      <c r="G133" s="95" t="s">
        <v>57</v>
      </c>
      <c r="H133" s="95" t="s">
        <v>351</v>
      </c>
      <c r="I133" s="95"/>
      <c r="J133" s="83" t="str">
        <f>IF(E133="Invalid_Segment","Invalid",IFERROR(INDEX(Severity_Matrix!$C$3:$M$10,MATCH('Error Log'!$F133,Severity_Matrix!$B$3:$B$10,0),MATCH('Error Log'!$G133,Severity_Matrix!$C$2:$M$2,0)),"No errors"))</f>
        <v>Critical</v>
      </c>
    </row>
    <row r="134" spans="1:11" ht="14.4">
      <c r="A134" s="79" t="s">
        <v>117</v>
      </c>
      <c r="B134" s="93">
        <v>3</v>
      </c>
      <c r="C134" s="94" t="s">
        <v>348</v>
      </c>
      <c r="D134" s="79" t="s">
        <v>349</v>
      </c>
      <c r="E134" s="95" t="s">
        <v>21</v>
      </c>
      <c r="F134" s="95" t="s">
        <v>7</v>
      </c>
      <c r="G134" s="95" t="s">
        <v>57</v>
      </c>
      <c r="H134" s="95" t="s">
        <v>352</v>
      </c>
      <c r="I134" s="95"/>
      <c r="J134" s="83" t="str">
        <f>IF(E134="Invalid_Segment","Invalid",IFERROR(INDEX(Severity_Matrix!$C$3:$M$10,MATCH('Error Log'!$F134,Severity_Matrix!$B$3:$B$10,0),MATCH('Error Log'!$G134,Severity_Matrix!$C$2:$M$2,0)),"No errors"))</f>
        <v>Critical</v>
      </c>
    </row>
    <row r="135" spans="1:11" ht="14.4">
      <c r="A135" s="79" t="s">
        <v>118</v>
      </c>
      <c r="B135" s="93">
        <v>1</v>
      </c>
      <c r="C135" s="94" t="s">
        <v>353</v>
      </c>
      <c r="D135" s="79" t="s">
        <v>354</v>
      </c>
      <c r="E135" s="95" t="s">
        <v>21</v>
      </c>
      <c r="F135" s="95" t="s">
        <v>22</v>
      </c>
      <c r="G135" s="95" t="s">
        <v>57</v>
      </c>
      <c r="H135" s="97" t="s">
        <v>355</v>
      </c>
      <c r="I135" s="95"/>
      <c r="J135" s="83" t="str">
        <f>IF(E135="Invalid_Segment","Invalid",IFERROR(INDEX(Severity_Matrix!$C$3:$M$10,MATCH('Error Log'!$F135,Severity_Matrix!$B$3:$B$10,0),MATCH('Error Log'!$G135,Severity_Matrix!$C$2:$M$2,0)),"No errors"))</f>
        <v>Major</v>
      </c>
    </row>
    <row r="136" spans="1:11" ht="14.4">
      <c r="A136" s="79" t="s">
        <v>118</v>
      </c>
      <c r="B136" s="93">
        <v>2</v>
      </c>
      <c r="C136" s="94" t="s">
        <v>353</v>
      </c>
      <c r="D136" s="79" t="s">
        <v>354</v>
      </c>
      <c r="E136" s="95" t="s">
        <v>21</v>
      </c>
      <c r="F136" s="95" t="s">
        <v>22</v>
      </c>
      <c r="G136" s="95" t="s">
        <v>57</v>
      </c>
      <c r="H136" s="97" t="s">
        <v>356</v>
      </c>
      <c r="I136" s="95"/>
      <c r="J136" s="83" t="str">
        <f>IF(E136="Invalid_Segment","Invalid",IFERROR(INDEX(Severity_Matrix!$C$3:$M$10,MATCH('Error Log'!$F136,Severity_Matrix!$B$3:$B$10,0),MATCH('Error Log'!$G136,Severity_Matrix!$C$2:$M$2,0)),"No errors"))</f>
        <v>Major</v>
      </c>
    </row>
    <row r="137" spans="1:11" ht="14.4">
      <c r="A137" s="79" t="s">
        <v>357</v>
      </c>
      <c r="B137" s="93">
        <v>3</v>
      </c>
      <c r="C137" s="94" t="s">
        <v>353</v>
      </c>
      <c r="D137" s="79" t="s">
        <v>354</v>
      </c>
      <c r="E137" s="95" t="s">
        <v>21</v>
      </c>
      <c r="F137" s="95" t="s">
        <v>7</v>
      </c>
      <c r="G137" s="95" t="s">
        <v>57</v>
      </c>
      <c r="H137" s="95" t="s">
        <v>358</v>
      </c>
      <c r="I137" s="95"/>
      <c r="J137" s="83" t="str">
        <f>IF(E137="Invalid_Segment","Invalid",IFERROR(INDEX(Severity_Matrix!$C$3:$M$10,MATCH('Error Log'!$F137,Severity_Matrix!$B$3:$B$10,0),MATCH('Error Log'!$G137,Severity_Matrix!$C$2:$M$2,0)),"No errors"))</f>
        <v>Critical</v>
      </c>
    </row>
    <row r="138" spans="1:11" ht="14.4">
      <c r="A138" s="79" t="s">
        <v>357</v>
      </c>
      <c r="B138" s="93">
        <v>4</v>
      </c>
      <c r="C138" s="94" t="s">
        <v>353</v>
      </c>
      <c r="D138" s="79" t="s">
        <v>354</v>
      </c>
      <c r="E138" s="95" t="s">
        <v>21</v>
      </c>
      <c r="F138" s="95" t="s">
        <v>7</v>
      </c>
      <c r="G138" s="95" t="s">
        <v>57</v>
      </c>
      <c r="H138" s="95" t="s">
        <v>359</v>
      </c>
      <c r="I138" s="95"/>
      <c r="J138" s="83" t="str">
        <f>IF(E138="Invalid_Segment","Invalid",IFERROR(INDEX(Severity_Matrix!$C$3:$M$10,MATCH('Error Log'!$F138,Severity_Matrix!$B$3:$B$10,0),MATCH('Error Log'!$G138,Severity_Matrix!$C$2:$M$2,0)),"No errors"))</f>
        <v>Critical</v>
      </c>
    </row>
    <row r="139" spans="1:11" ht="14.4">
      <c r="A139" s="79" t="s">
        <v>119</v>
      </c>
      <c r="B139" s="93">
        <v>1</v>
      </c>
      <c r="C139" s="94" t="s">
        <v>360</v>
      </c>
      <c r="D139" s="79" t="s">
        <v>361</v>
      </c>
      <c r="E139" s="95" t="s">
        <v>21</v>
      </c>
      <c r="F139" s="95" t="s">
        <v>22</v>
      </c>
      <c r="G139" s="95" t="s">
        <v>57</v>
      </c>
      <c r="H139" s="95" t="s">
        <v>362</v>
      </c>
      <c r="I139" s="96"/>
      <c r="J139" s="83" t="str">
        <f>IF(E139="Invalid_Segment","Invalid",IFERROR(INDEX(Severity_Matrix!$C$3:$M$10,MATCH('Error Log'!$F139,Severity_Matrix!$B$3:$B$10,0),MATCH('Error Log'!$G139,Severity_Matrix!$C$2:$M$2,0)),"No errors"))</f>
        <v>Major</v>
      </c>
    </row>
    <row r="140" spans="1:11" ht="14.4">
      <c r="A140" s="79" t="s">
        <v>119</v>
      </c>
      <c r="B140" s="93">
        <v>2</v>
      </c>
      <c r="C140" s="94" t="s">
        <v>360</v>
      </c>
      <c r="D140" s="79" t="s">
        <v>361</v>
      </c>
      <c r="E140" s="95" t="s">
        <v>21</v>
      </c>
      <c r="F140" s="95" t="s">
        <v>7</v>
      </c>
      <c r="G140" s="95" t="s">
        <v>57</v>
      </c>
      <c r="H140" s="95" t="s">
        <v>363</v>
      </c>
      <c r="I140" s="96"/>
      <c r="J140" s="83" t="str">
        <f>IF(E140="Invalid_Segment","Invalid",IFERROR(INDEX(Severity_Matrix!$C$3:$M$10,MATCH('Error Log'!$F140,Severity_Matrix!$B$3:$B$10,0),MATCH('Error Log'!$G140,Severity_Matrix!$C$2:$M$2,0)),"No errors"))</f>
        <v>Critical</v>
      </c>
    </row>
    <row r="141" spans="1:11">
      <c r="A141" s="79" t="s">
        <v>120</v>
      </c>
      <c r="B141" s="93">
        <v>1</v>
      </c>
      <c r="C141" s="79" t="s">
        <v>364</v>
      </c>
      <c r="D141" s="79" t="s">
        <v>365</v>
      </c>
      <c r="E141" s="95" t="s">
        <v>21</v>
      </c>
      <c r="F141" s="95" t="s">
        <v>22</v>
      </c>
      <c r="G141" s="95" t="s">
        <v>57</v>
      </c>
      <c r="H141" s="95" t="s">
        <v>366</v>
      </c>
      <c r="I141" s="96"/>
      <c r="J141" s="83" t="str">
        <f>IF(E141="Invalid_Segment","Invalid",IFERROR(INDEX(Severity_Matrix!$C$3:$M$10,MATCH('Error Log'!$F141,Severity_Matrix!$B$3:$B$10,0),MATCH('Error Log'!$G141,Severity_Matrix!$C$2:$M$2,0)),"No errors"))</f>
        <v>Major</v>
      </c>
    </row>
    <row r="142" spans="1:11">
      <c r="A142" s="79" t="s">
        <v>120</v>
      </c>
      <c r="B142" s="93">
        <v>2</v>
      </c>
      <c r="C142" s="79" t="s">
        <v>364</v>
      </c>
      <c r="D142" s="79" t="s">
        <v>365</v>
      </c>
      <c r="E142" s="95" t="s">
        <v>21</v>
      </c>
      <c r="F142" s="95" t="s">
        <v>7</v>
      </c>
      <c r="G142" s="95" t="s">
        <v>57</v>
      </c>
      <c r="H142" s="95" t="s">
        <v>367</v>
      </c>
      <c r="I142" s="96"/>
      <c r="J142" s="83" t="str">
        <f>IF(E142="Invalid_Segment","Invalid",IFERROR(INDEX(Severity_Matrix!$C$3:$M$10,MATCH('Error Log'!$F142,Severity_Matrix!$B$3:$B$10,0),MATCH('Error Log'!$G142,Severity_Matrix!$C$2:$M$2,0)),"No errors"))</f>
        <v>Critical</v>
      </c>
    </row>
    <row r="143" spans="1:11">
      <c r="A143" s="79" t="s">
        <v>368</v>
      </c>
      <c r="B143" s="93">
        <v>3</v>
      </c>
      <c r="C143" s="79" t="s">
        <v>364</v>
      </c>
      <c r="D143" s="79" t="s">
        <v>365</v>
      </c>
      <c r="E143" s="95" t="s">
        <v>21</v>
      </c>
      <c r="F143" s="95" t="s">
        <v>7</v>
      </c>
      <c r="G143" s="95" t="s">
        <v>57</v>
      </c>
      <c r="H143" s="95" t="s">
        <v>369</v>
      </c>
      <c r="I143" s="96"/>
      <c r="J143" s="83" t="str">
        <f>IF(E143="Invalid_Segment","Invalid",IFERROR(INDEX(Severity_Matrix!$C$3:$M$10,MATCH('Error Log'!$F143,Severity_Matrix!$B$3:$B$10,0),MATCH('Error Log'!$G143,Severity_Matrix!$C$2:$M$2,0)),"No errors"))</f>
        <v>Critical</v>
      </c>
    </row>
    <row r="144" spans="1:11">
      <c r="A144" s="79" t="s">
        <v>121</v>
      </c>
      <c r="B144" s="93">
        <v>1</v>
      </c>
      <c r="C144" s="79" t="s">
        <v>370</v>
      </c>
      <c r="D144" s="79" t="s">
        <v>371</v>
      </c>
      <c r="E144" s="95" t="s">
        <v>21</v>
      </c>
      <c r="F144" s="95" t="s">
        <v>22</v>
      </c>
      <c r="G144" s="95" t="s">
        <v>57</v>
      </c>
      <c r="H144" s="95" t="s">
        <v>372</v>
      </c>
      <c r="I144" s="96"/>
      <c r="J144" s="83" t="str">
        <f>IF(E144="Invalid_Segment","Invalid",IFERROR(INDEX(Severity_Matrix!$C$3:$M$10,MATCH('Error Log'!$F144,Severity_Matrix!$B$3:$B$10,0),MATCH('Error Log'!$G144,Severity_Matrix!$C$2:$M$2,0)),"No errors"))</f>
        <v>Major</v>
      </c>
    </row>
    <row r="145" spans="1:10">
      <c r="A145" s="79" t="s">
        <v>121</v>
      </c>
      <c r="B145" s="93">
        <v>2</v>
      </c>
      <c r="C145" s="79" t="s">
        <v>370</v>
      </c>
      <c r="D145" s="79" t="s">
        <v>371</v>
      </c>
      <c r="E145" s="95" t="s">
        <v>21</v>
      </c>
      <c r="F145" s="95" t="s">
        <v>7</v>
      </c>
      <c r="G145" s="95" t="s">
        <v>57</v>
      </c>
      <c r="H145" s="95" t="s">
        <v>373</v>
      </c>
      <c r="I145" s="96"/>
      <c r="J145" s="83" t="str">
        <f>IF(E145="Invalid_Segment","Invalid",IFERROR(INDEX(Severity_Matrix!$C$3:$M$10,MATCH('Error Log'!$F145,Severity_Matrix!$B$3:$B$10,0),MATCH('Error Log'!$G145,Severity_Matrix!$C$2:$M$2,0)),"No errors"))</f>
        <v>Critical</v>
      </c>
    </row>
    <row r="146" spans="1:10">
      <c r="A146" s="79" t="s">
        <v>122</v>
      </c>
      <c r="B146" s="93">
        <v>1</v>
      </c>
      <c r="C146" s="79" t="s">
        <v>374</v>
      </c>
      <c r="D146" s="79" t="s">
        <v>375</v>
      </c>
      <c r="E146" s="95" t="s">
        <v>21</v>
      </c>
      <c r="F146" s="95" t="s">
        <v>22</v>
      </c>
      <c r="G146" s="95" t="s">
        <v>57</v>
      </c>
      <c r="H146" s="95" t="s">
        <v>376</v>
      </c>
      <c r="I146" s="96"/>
      <c r="J146" s="83" t="str">
        <f>IF(E146="Invalid_Segment","Invalid",IFERROR(INDEX(Severity_Matrix!$C$3:$M$10,MATCH('Error Log'!$F146,Severity_Matrix!$B$3:$B$10,0),MATCH('Error Log'!$G146,Severity_Matrix!$C$2:$M$2,0)),"No errors"))</f>
        <v>Major</v>
      </c>
    </row>
    <row r="147" spans="1:10">
      <c r="A147" s="79" t="s">
        <v>122</v>
      </c>
      <c r="B147" s="93">
        <v>2</v>
      </c>
      <c r="C147" s="79" t="s">
        <v>374</v>
      </c>
      <c r="D147" s="79" t="s">
        <v>375</v>
      </c>
      <c r="E147" s="95" t="s">
        <v>21</v>
      </c>
      <c r="F147" s="95" t="s">
        <v>7</v>
      </c>
      <c r="G147" s="95" t="s">
        <v>57</v>
      </c>
      <c r="H147" s="95" t="s">
        <v>377</v>
      </c>
      <c r="I147" s="96"/>
      <c r="J147" s="83" t="str">
        <f>IF(E147="Invalid_Segment","Invalid",IFERROR(INDEX(Severity_Matrix!$C$3:$M$10,MATCH('Error Log'!$F147,Severity_Matrix!$B$3:$B$10,0),MATCH('Error Log'!$G147,Severity_Matrix!$C$2:$M$2,0)),"No errors"))</f>
        <v>Critical</v>
      </c>
    </row>
    <row r="148" spans="1:10">
      <c r="A148" s="79" t="s">
        <v>378</v>
      </c>
      <c r="B148" s="93">
        <v>3</v>
      </c>
      <c r="C148" s="79" t="s">
        <v>374</v>
      </c>
      <c r="D148" s="79" t="s">
        <v>375</v>
      </c>
      <c r="E148" s="95" t="s">
        <v>21</v>
      </c>
      <c r="F148" s="95" t="s">
        <v>7</v>
      </c>
      <c r="G148" s="95" t="s">
        <v>57</v>
      </c>
      <c r="H148" s="95" t="s">
        <v>379</v>
      </c>
      <c r="I148" s="95"/>
      <c r="J148" s="83" t="str">
        <f>IF(E148="Invalid_Segment","Invalid",IFERROR(INDEX(Severity_Matrix!$C$3:$M$10,MATCH('Error Log'!$F148,Severity_Matrix!$B$3:$B$10,0),MATCH('Error Log'!$G148,Severity_Matrix!$C$2:$M$2,0)),"No errors"))</f>
        <v>Critical</v>
      </c>
    </row>
    <row r="149" spans="1:10">
      <c r="A149" s="79" t="s">
        <v>123</v>
      </c>
      <c r="B149" s="93">
        <v>1</v>
      </c>
      <c r="C149" s="79" t="s">
        <v>380</v>
      </c>
      <c r="D149" s="79" t="s">
        <v>381</v>
      </c>
      <c r="E149" s="95"/>
      <c r="F149" s="95"/>
      <c r="G149" s="95"/>
      <c r="H149" s="95"/>
      <c r="I149" s="96"/>
      <c r="J149" s="83" t="str">
        <f>IF(E149="Invalid_Segment","Invalid",IFERROR(INDEX(Severity_Matrix!$C$3:$M$10,MATCH('Error Log'!$F149,Severity_Matrix!$B$3:$B$10,0),MATCH('Error Log'!$G149,Severity_Matrix!$C$2:$M$2,0)),"No errors"))</f>
        <v>No errors</v>
      </c>
    </row>
    <row r="150" spans="1:10">
      <c r="A150" s="79" t="s">
        <v>124</v>
      </c>
      <c r="B150" s="93">
        <v>1</v>
      </c>
      <c r="C150" s="79" t="s">
        <v>382</v>
      </c>
      <c r="D150" s="79" t="s">
        <v>383</v>
      </c>
      <c r="E150" s="95" t="s">
        <v>21</v>
      </c>
      <c r="F150" s="95" t="s">
        <v>22</v>
      </c>
      <c r="G150" s="95" t="s">
        <v>28</v>
      </c>
      <c r="H150" s="95" t="s">
        <v>384</v>
      </c>
      <c r="I150" s="96"/>
      <c r="J150" s="83" t="str">
        <f>IF(E150="Invalid_Segment","Invalid",IFERROR(INDEX(Severity_Matrix!$C$3:$M$10,MATCH('Error Log'!$F150,Severity_Matrix!$B$3:$B$10,0),MATCH('Error Log'!$G150,Severity_Matrix!$C$2:$M$2,0)),"No errors"))</f>
        <v>Major</v>
      </c>
    </row>
    <row r="151" spans="1:10">
      <c r="A151" s="79" t="s">
        <v>124</v>
      </c>
      <c r="B151" s="93">
        <v>2</v>
      </c>
      <c r="C151" s="79" t="s">
        <v>382</v>
      </c>
      <c r="D151" s="79" t="s">
        <v>383</v>
      </c>
      <c r="E151" s="95" t="s">
        <v>21</v>
      </c>
      <c r="F151" s="95" t="s">
        <v>7</v>
      </c>
      <c r="G151" s="95" t="s">
        <v>57</v>
      </c>
      <c r="H151" s="95" t="s">
        <v>385</v>
      </c>
      <c r="I151" s="96"/>
      <c r="J151" s="83" t="str">
        <f>IF(E151="Invalid_Segment","Invalid",IFERROR(INDEX(Severity_Matrix!$C$3:$M$10,MATCH('Error Log'!$F151,Severity_Matrix!$B$3:$B$10,0),MATCH('Error Log'!$G151,Severity_Matrix!$C$2:$M$2,0)),"No errors"))</f>
        <v>Critical</v>
      </c>
    </row>
    <row r="152" spans="1:10">
      <c r="A152" s="79" t="s">
        <v>386</v>
      </c>
      <c r="B152" s="93">
        <v>3</v>
      </c>
      <c r="C152" s="79" t="s">
        <v>382</v>
      </c>
      <c r="D152" s="79" t="s">
        <v>383</v>
      </c>
      <c r="E152" s="95" t="s">
        <v>21</v>
      </c>
      <c r="F152" s="95" t="s">
        <v>7</v>
      </c>
      <c r="G152" s="95" t="s">
        <v>57</v>
      </c>
      <c r="H152" s="95" t="s">
        <v>387</v>
      </c>
      <c r="I152" s="95"/>
      <c r="J152" s="83" t="str">
        <f>IF(E152="Invalid_Segment","Invalid",IFERROR(INDEX(Severity_Matrix!$C$3:$M$10,MATCH('Error Log'!$F152,Severity_Matrix!$B$3:$B$10,0),MATCH('Error Log'!$G152,Severity_Matrix!$C$2:$M$2,0)),"No errors"))</f>
        <v>Critical</v>
      </c>
    </row>
    <row r="153" spans="1:10">
      <c r="A153" s="79" t="s">
        <v>125</v>
      </c>
      <c r="B153" s="93">
        <v>1</v>
      </c>
      <c r="C153" s="79" t="s">
        <v>388</v>
      </c>
      <c r="D153" s="79" t="s">
        <v>389</v>
      </c>
      <c r="E153" s="95"/>
      <c r="F153" s="95"/>
      <c r="G153" s="95"/>
      <c r="H153" s="95"/>
      <c r="I153" s="95"/>
      <c r="J153" s="83" t="str">
        <f>IF(E153="Invalid_Segment","Invalid",IFERROR(INDEX(Severity_Matrix!$C$3:$M$10,MATCH('Error Log'!$F153,Severity_Matrix!$B$3:$B$10,0),MATCH('Error Log'!$G153,Severity_Matrix!$C$2:$M$2,0)),"No errors"))</f>
        <v>No errors</v>
      </c>
    </row>
    <row r="154" spans="1:10">
      <c r="A154" s="80" t="s">
        <v>390</v>
      </c>
      <c r="B154" s="93">
        <v>1</v>
      </c>
      <c r="C154" s="98" t="s">
        <v>391</v>
      </c>
      <c r="D154" s="98" t="s">
        <v>392</v>
      </c>
      <c r="E154" s="95" t="s">
        <v>21</v>
      </c>
      <c r="F154" s="95" t="s">
        <v>22</v>
      </c>
      <c r="G154" s="95" t="s">
        <v>57</v>
      </c>
      <c r="H154" s="95" t="s">
        <v>393</v>
      </c>
      <c r="I154" s="95"/>
      <c r="J154" s="83" t="str">
        <f>IF(E154="Invalid_Segment","Invalid",IFERROR(INDEX(Severity_Matrix!$C$3:$M$10,MATCH('Error Log'!$F154,Severity_Matrix!$B$3:$B$10,0),MATCH('Error Log'!$G154,Severity_Matrix!$C$2:$M$2,0)),"No errors"))</f>
        <v>Major</v>
      </c>
    </row>
    <row r="155" spans="1:10">
      <c r="A155" s="80" t="s">
        <v>390</v>
      </c>
      <c r="B155" s="93">
        <v>2</v>
      </c>
      <c r="C155" s="98" t="s">
        <v>391</v>
      </c>
      <c r="D155" s="98" t="s">
        <v>392</v>
      </c>
      <c r="E155" s="95" t="s">
        <v>21</v>
      </c>
      <c r="F155" s="95" t="s">
        <v>7</v>
      </c>
      <c r="G155" s="95" t="s">
        <v>57</v>
      </c>
      <c r="H155" s="95" t="s">
        <v>394</v>
      </c>
      <c r="I155" s="95"/>
      <c r="J155" s="83" t="str">
        <f>IF(E155="Invalid_Segment","Invalid",IFERROR(INDEX(Severity_Matrix!$C$3:$M$10,MATCH('Error Log'!$F155,Severity_Matrix!$B$3:$B$10,0),MATCH('Error Log'!$G155,Severity_Matrix!$C$2:$M$2,0)),"No errors"))</f>
        <v>Critical</v>
      </c>
    </row>
    <row r="156" spans="1:10">
      <c r="A156" s="80" t="s">
        <v>395</v>
      </c>
      <c r="B156" s="93">
        <v>3</v>
      </c>
      <c r="C156" s="98" t="s">
        <v>391</v>
      </c>
      <c r="D156" s="98" t="s">
        <v>392</v>
      </c>
      <c r="E156" s="95" t="s">
        <v>21</v>
      </c>
      <c r="F156" s="95" t="s">
        <v>7</v>
      </c>
      <c r="G156" s="95" t="s">
        <v>57</v>
      </c>
      <c r="H156" s="95" t="s">
        <v>396</v>
      </c>
      <c r="I156" s="95"/>
      <c r="J156" s="83" t="str">
        <f>IF(E156="Invalid_Segment","Invalid",IFERROR(INDEX(Severity_Matrix!$C$3:$M$10,MATCH('Error Log'!$F156,Severity_Matrix!$B$3:$B$10,0),MATCH('Error Log'!$G156,Severity_Matrix!$C$2:$M$2,0)),"No errors"))</f>
        <v>Critical</v>
      </c>
    </row>
    <row r="157" spans="1:10">
      <c r="A157" s="80" t="s">
        <v>395</v>
      </c>
      <c r="B157" s="93">
        <v>4</v>
      </c>
      <c r="C157" s="98" t="s">
        <v>391</v>
      </c>
      <c r="D157" s="98" t="s">
        <v>392</v>
      </c>
      <c r="E157" s="95" t="s">
        <v>21</v>
      </c>
      <c r="F157" s="95" t="s">
        <v>7</v>
      </c>
      <c r="G157" s="95" t="s">
        <v>57</v>
      </c>
      <c r="H157" s="95" t="s">
        <v>397</v>
      </c>
      <c r="I157" s="95"/>
      <c r="J157" s="83" t="str">
        <f>IF(E157="Invalid_Segment","Invalid",IFERROR(INDEX(Severity_Matrix!$C$3:$M$10,MATCH('Error Log'!$F157,Severity_Matrix!$B$3:$B$10,0),MATCH('Error Log'!$G157,Severity_Matrix!$C$2:$M$2,0)),"No errors"))</f>
        <v>Critical</v>
      </c>
    </row>
    <row r="158" spans="1:10">
      <c r="A158" s="80" t="s">
        <v>398</v>
      </c>
      <c r="B158" s="93">
        <v>1</v>
      </c>
      <c r="C158" s="98" t="s">
        <v>399</v>
      </c>
      <c r="D158" s="98" t="s">
        <v>400</v>
      </c>
      <c r="E158" s="95"/>
      <c r="F158" s="95"/>
      <c r="G158" s="95"/>
      <c r="H158" s="95"/>
      <c r="I158" s="95"/>
      <c r="J158" s="83" t="str">
        <f>IF(E158="Invalid_Segment","Invalid",IFERROR(INDEX(Severity_Matrix!$C$3:$M$10,MATCH('Error Log'!$F158,Severity_Matrix!$B$3:$B$10,0),MATCH('Error Log'!$G158,Severity_Matrix!$C$2:$M$2,0)),"No errors"))</f>
        <v>No errors</v>
      </c>
    </row>
    <row r="159" spans="1:10">
      <c r="A159" s="80" t="s">
        <v>401</v>
      </c>
      <c r="B159" s="93">
        <v>1</v>
      </c>
      <c r="C159" s="98" t="s">
        <v>402</v>
      </c>
      <c r="D159" s="98" t="s">
        <v>403</v>
      </c>
      <c r="E159" s="95" t="s">
        <v>21</v>
      </c>
      <c r="F159" s="95" t="s">
        <v>22</v>
      </c>
      <c r="G159" s="95" t="s">
        <v>28</v>
      </c>
      <c r="H159" s="95" t="s">
        <v>404</v>
      </c>
      <c r="I159" s="95"/>
      <c r="J159" s="83" t="str">
        <f>IF(E159="Invalid_Segment","Invalid",IFERROR(INDEX(Severity_Matrix!$C$3:$M$10,MATCH('Error Log'!$F159,Severity_Matrix!$B$3:$B$10,0),MATCH('Error Log'!$G159,Severity_Matrix!$C$2:$M$2,0)),"No errors"))</f>
        <v>Major</v>
      </c>
    </row>
    <row r="160" spans="1:10">
      <c r="A160" s="80" t="s">
        <v>401</v>
      </c>
      <c r="B160" s="93">
        <v>2</v>
      </c>
      <c r="C160" s="98" t="s">
        <v>402</v>
      </c>
      <c r="D160" s="98" t="s">
        <v>403</v>
      </c>
      <c r="E160" s="95" t="s">
        <v>21</v>
      </c>
      <c r="F160" s="95" t="s">
        <v>22</v>
      </c>
      <c r="G160" s="95" t="s">
        <v>28</v>
      </c>
      <c r="H160" s="95" t="s">
        <v>405</v>
      </c>
      <c r="I160" s="95"/>
      <c r="J160" s="83" t="str">
        <f>IF(E160="Invalid_Segment","Invalid",IFERROR(INDEX(Severity_Matrix!$C$3:$M$10,MATCH('Error Log'!$F160,Severity_Matrix!$B$3:$B$10,0),MATCH('Error Log'!$G160,Severity_Matrix!$C$2:$M$2,0)),"No errors"))</f>
        <v>Major</v>
      </c>
    </row>
    <row r="161" spans="1:10">
      <c r="A161" s="80" t="s">
        <v>406</v>
      </c>
      <c r="B161" s="93">
        <v>3</v>
      </c>
      <c r="C161" s="98" t="s">
        <v>402</v>
      </c>
      <c r="D161" s="98" t="s">
        <v>403</v>
      </c>
      <c r="E161" s="95" t="s">
        <v>21</v>
      </c>
      <c r="F161" s="95" t="s">
        <v>22</v>
      </c>
      <c r="G161" s="95" t="s">
        <v>57</v>
      </c>
      <c r="H161" s="95" t="s">
        <v>407</v>
      </c>
      <c r="I161" s="95"/>
      <c r="J161" s="83" t="str">
        <f>IF(E161="Invalid_Segment","Invalid",IFERROR(INDEX(Severity_Matrix!$C$3:$M$10,MATCH('Error Log'!$F161,Severity_Matrix!$B$3:$B$10,0),MATCH('Error Log'!$G161,Severity_Matrix!$C$2:$M$2,0)),"No errors"))</f>
        <v>Major</v>
      </c>
    </row>
    <row r="162" spans="1:10">
      <c r="A162" s="80" t="s">
        <v>406</v>
      </c>
      <c r="B162" s="93">
        <v>4</v>
      </c>
      <c r="C162" s="98" t="s">
        <v>402</v>
      </c>
      <c r="D162" s="98" t="s">
        <v>403</v>
      </c>
      <c r="E162" s="95" t="s">
        <v>21</v>
      </c>
      <c r="F162" s="95" t="s">
        <v>7</v>
      </c>
      <c r="G162" s="95" t="s">
        <v>57</v>
      </c>
      <c r="H162" s="95" t="s">
        <v>408</v>
      </c>
      <c r="I162" s="95"/>
      <c r="J162" s="83" t="str">
        <f>IF(E162="Invalid_Segment","Invalid",IFERROR(INDEX(Severity_Matrix!$C$3:$M$10,MATCH('Error Log'!$F162,Severity_Matrix!$B$3:$B$10,0),MATCH('Error Log'!$G162,Severity_Matrix!$C$2:$M$2,0)),"No errors"))</f>
        <v>Critical</v>
      </c>
    </row>
    <row r="163" spans="1:10">
      <c r="A163" s="80" t="s">
        <v>406</v>
      </c>
      <c r="B163" s="93">
        <v>5</v>
      </c>
      <c r="C163" s="98" t="s">
        <v>402</v>
      </c>
      <c r="D163" s="98" t="s">
        <v>403</v>
      </c>
      <c r="E163" s="95" t="s">
        <v>21</v>
      </c>
      <c r="F163" s="95" t="s">
        <v>7</v>
      </c>
      <c r="G163" s="95" t="s">
        <v>57</v>
      </c>
      <c r="H163" s="95" t="s">
        <v>409</v>
      </c>
      <c r="I163" s="95"/>
      <c r="J163" s="83" t="str">
        <f>IF(E163="Invalid_Segment","Invalid",IFERROR(INDEX(Severity_Matrix!$C$3:$M$10,MATCH('Error Log'!$F163,Severity_Matrix!$B$3:$B$10,0),MATCH('Error Log'!$G163,Severity_Matrix!$C$2:$M$2,0)),"No errors"))</f>
        <v>Critical</v>
      </c>
    </row>
    <row r="164" spans="1:10">
      <c r="A164" s="80" t="s">
        <v>410</v>
      </c>
      <c r="B164" s="93">
        <v>1</v>
      </c>
      <c r="C164" s="98" t="s">
        <v>411</v>
      </c>
      <c r="D164" s="98" t="s">
        <v>412</v>
      </c>
      <c r="E164" s="95" t="s">
        <v>21</v>
      </c>
      <c r="F164" s="95" t="s">
        <v>22</v>
      </c>
      <c r="G164" s="95" t="s">
        <v>28</v>
      </c>
      <c r="H164" s="95" t="s">
        <v>413</v>
      </c>
      <c r="I164" s="95"/>
      <c r="J164" s="83" t="str">
        <f>IF(E164="Invalid_Segment","Invalid",IFERROR(INDEX(Severity_Matrix!$C$3:$M$10,MATCH('Error Log'!$F164,Severity_Matrix!$B$3:$B$10,0),MATCH('Error Log'!$G164,Severity_Matrix!$C$2:$M$2,0)),"No errors"))</f>
        <v>Major</v>
      </c>
    </row>
    <row r="165" spans="1:10">
      <c r="A165" s="80" t="s">
        <v>410</v>
      </c>
      <c r="B165" s="93">
        <v>2</v>
      </c>
      <c r="C165" s="98" t="s">
        <v>411</v>
      </c>
      <c r="D165" s="98" t="s">
        <v>412</v>
      </c>
      <c r="E165" s="95" t="s">
        <v>2</v>
      </c>
      <c r="F165" s="95" t="s">
        <v>26</v>
      </c>
      <c r="G165" s="95" t="s">
        <v>57</v>
      </c>
      <c r="H165" s="95" t="s">
        <v>414</v>
      </c>
      <c r="I165" s="95"/>
      <c r="J165" s="83" t="str">
        <f>IF(E165="Invalid_Segment","Invalid",IFERROR(INDEX(Severity_Matrix!$C$3:$M$10,MATCH('Error Log'!$F165,Severity_Matrix!$B$3:$B$10,0),MATCH('Error Log'!$G165,Severity_Matrix!$C$2:$M$2,0)),"No errors"))</f>
        <v>Major</v>
      </c>
    </row>
    <row r="166" spans="1:10">
      <c r="A166" s="80" t="s">
        <v>415</v>
      </c>
      <c r="B166" s="93">
        <v>3</v>
      </c>
      <c r="C166" s="98" t="s">
        <v>411</v>
      </c>
      <c r="D166" s="98" t="s">
        <v>412</v>
      </c>
      <c r="E166" s="95" t="s">
        <v>21</v>
      </c>
      <c r="F166" s="95" t="s">
        <v>7</v>
      </c>
      <c r="G166" s="95" t="s">
        <v>57</v>
      </c>
      <c r="H166" s="95" t="s">
        <v>416</v>
      </c>
      <c r="I166" s="95"/>
      <c r="J166" s="83" t="str">
        <f>IF(E166="Invalid_Segment","Invalid",IFERROR(INDEX(Severity_Matrix!$C$3:$M$10,MATCH('Error Log'!$F166,Severity_Matrix!$B$3:$B$10,0),MATCH('Error Log'!$G166,Severity_Matrix!$C$2:$M$2,0)),"No errors"))</f>
        <v>Critical</v>
      </c>
    </row>
    <row r="167" spans="1:10">
      <c r="A167" s="80" t="s">
        <v>417</v>
      </c>
      <c r="B167" s="93">
        <v>1</v>
      </c>
      <c r="C167" s="98" t="s">
        <v>418</v>
      </c>
      <c r="D167" s="98" t="s">
        <v>419</v>
      </c>
      <c r="E167" s="95" t="s">
        <v>21</v>
      </c>
      <c r="F167" s="95" t="s">
        <v>7</v>
      </c>
      <c r="G167" s="95" t="s">
        <v>57</v>
      </c>
      <c r="H167" s="95" t="s">
        <v>420</v>
      </c>
      <c r="I167" s="95"/>
      <c r="J167" s="83" t="str">
        <f>IF(E167="Invalid_Segment","Invalid",IFERROR(INDEX(Severity_Matrix!$C$3:$M$10,MATCH('Error Log'!$F167,Severity_Matrix!$B$3:$B$10,0),MATCH('Error Log'!$G167,Severity_Matrix!$C$2:$M$2,0)),"No errors"))</f>
        <v>Critical</v>
      </c>
    </row>
    <row r="168" spans="1:10">
      <c r="A168" s="80" t="s">
        <v>421</v>
      </c>
      <c r="B168" s="93">
        <v>1</v>
      </c>
      <c r="C168" s="98" t="s">
        <v>422</v>
      </c>
      <c r="D168" s="98" t="s">
        <v>423</v>
      </c>
      <c r="E168" s="95" t="s">
        <v>21</v>
      </c>
      <c r="F168" s="95" t="s">
        <v>22</v>
      </c>
      <c r="G168" s="95" t="s">
        <v>57</v>
      </c>
      <c r="H168" s="100" t="s">
        <v>424</v>
      </c>
      <c r="I168" s="95"/>
      <c r="J168" s="83" t="str">
        <f>IF(E168="Invalid_Segment","Invalid",IFERROR(INDEX(Severity_Matrix!$C$3:$M$10,MATCH('Error Log'!$F168,Severity_Matrix!$B$3:$B$10,0),MATCH('Error Log'!$G168,Severity_Matrix!$C$2:$M$2,0)),"No errors"))</f>
        <v>Major</v>
      </c>
    </row>
    <row r="169" spans="1:10">
      <c r="A169" s="80" t="s">
        <v>421</v>
      </c>
      <c r="B169" s="93">
        <v>2</v>
      </c>
      <c r="C169" s="98" t="s">
        <v>422</v>
      </c>
      <c r="D169" s="98" t="s">
        <v>423</v>
      </c>
      <c r="E169" s="95" t="s">
        <v>21</v>
      </c>
      <c r="F169" s="95" t="s">
        <v>22</v>
      </c>
      <c r="G169" s="95" t="s">
        <v>57</v>
      </c>
      <c r="H169" s="95" t="s">
        <v>425</v>
      </c>
      <c r="I169" s="95"/>
      <c r="J169" s="83" t="str">
        <f>IF(E169="Invalid_Segment","Invalid",IFERROR(INDEX(Severity_Matrix!$C$3:$M$10,MATCH('Error Log'!$F169,Severity_Matrix!$B$3:$B$10,0),MATCH('Error Log'!$G169,Severity_Matrix!$C$2:$M$2,0)),"No errors"))</f>
        <v>Major</v>
      </c>
    </row>
    <row r="170" spans="1:10">
      <c r="A170" s="80" t="s">
        <v>426</v>
      </c>
      <c r="B170" s="93">
        <v>3</v>
      </c>
      <c r="C170" s="98" t="s">
        <v>422</v>
      </c>
      <c r="D170" s="98" t="s">
        <v>423</v>
      </c>
      <c r="E170" s="95" t="s">
        <v>21</v>
      </c>
      <c r="F170" s="95" t="s">
        <v>22</v>
      </c>
      <c r="G170" s="95" t="s">
        <v>57</v>
      </c>
      <c r="H170" s="95" t="s">
        <v>427</v>
      </c>
      <c r="I170" s="95"/>
      <c r="J170" s="83" t="str">
        <f>IF(E170="Invalid_Segment","Invalid",IFERROR(INDEX(Severity_Matrix!$C$3:$M$10,MATCH('Error Log'!$F170,Severity_Matrix!$B$3:$B$10,0),MATCH('Error Log'!$G170,Severity_Matrix!$C$2:$M$2,0)),"No errors"))</f>
        <v>Major</v>
      </c>
    </row>
    <row r="171" spans="1:10">
      <c r="A171" s="80" t="s">
        <v>426</v>
      </c>
      <c r="B171" s="93">
        <v>4</v>
      </c>
      <c r="C171" s="98" t="s">
        <v>422</v>
      </c>
      <c r="D171" s="98" t="s">
        <v>423</v>
      </c>
      <c r="E171" s="95" t="s">
        <v>21</v>
      </c>
      <c r="F171" s="95" t="s">
        <v>7</v>
      </c>
      <c r="G171" s="95" t="s">
        <v>57</v>
      </c>
      <c r="H171" s="95" t="s">
        <v>428</v>
      </c>
      <c r="I171" s="95"/>
      <c r="J171" s="83" t="str">
        <f>IF(E171="Invalid_Segment","Invalid",IFERROR(INDEX(Severity_Matrix!$C$3:$M$10,MATCH('Error Log'!$F171,Severity_Matrix!$B$3:$B$10,0),MATCH('Error Log'!$G171,Severity_Matrix!$C$2:$M$2,0)),"No errors"))</f>
        <v>Critical</v>
      </c>
    </row>
    <row r="172" spans="1:10">
      <c r="A172" s="80" t="s">
        <v>426</v>
      </c>
      <c r="B172" s="93">
        <v>5</v>
      </c>
      <c r="C172" s="98" t="s">
        <v>422</v>
      </c>
      <c r="D172" s="98" t="s">
        <v>423</v>
      </c>
      <c r="E172" s="95" t="s">
        <v>21</v>
      </c>
      <c r="F172" s="95" t="s">
        <v>7</v>
      </c>
      <c r="G172" s="95" t="s">
        <v>57</v>
      </c>
      <c r="H172" s="95" t="s">
        <v>429</v>
      </c>
      <c r="I172" s="95"/>
      <c r="J172" s="83" t="str">
        <f>IF(E172="Invalid_Segment","Invalid",IFERROR(INDEX(Severity_Matrix!$C$3:$M$10,MATCH('Error Log'!$F172,Severity_Matrix!$B$3:$B$10,0),MATCH('Error Log'!$G172,Severity_Matrix!$C$2:$M$2,0)),"No errors"))</f>
        <v>Critical</v>
      </c>
    </row>
    <row r="173" spans="1:10">
      <c r="A173" s="80" t="s">
        <v>430</v>
      </c>
      <c r="B173" s="93">
        <v>1</v>
      </c>
      <c r="C173" s="98" t="s">
        <v>431</v>
      </c>
      <c r="D173" s="98" t="s">
        <v>432</v>
      </c>
      <c r="E173" s="95" t="s">
        <v>21</v>
      </c>
      <c r="F173" s="95" t="s">
        <v>22</v>
      </c>
      <c r="G173" s="95" t="s">
        <v>57</v>
      </c>
      <c r="H173" s="95" t="s">
        <v>433</v>
      </c>
      <c r="I173" s="95"/>
      <c r="J173" s="83" t="str">
        <f>IF(E173="Invalid_Segment","Invalid",IFERROR(INDEX(Severity_Matrix!$C$3:$M$10,MATCH('Error Log'!$F173,Severity_Matrix!$B$3:$B$10,0),MATCH('Error Log'!$G173,Severity_Matrix!$C$2:$M$2,0)),"No errors"))</f>
        <v>Major</v>
      </c>
    </row>
    <row r="174" spans="1:10">
      <c r="A174" s="80" t="s">
        <v>430</v>
      </c>
      <c r="B174" s="93">
        <v>2</v>
      </c>
      <c r="C174" s="98" t="s">
        <v>431</v>
      </c>
      <c r="D174" s="98" t="s">
        <v>432</v>
      </c>
      <c r="E174" s="95" t="s">
        <v>21</v>
      </c>
      <c r="F174" s="95" t="s">
        <v>7</v>
      </c>
      <c r="G174" s="95" t="s">
        <v>57</v>
      </c>
      <c r="H174" s="95" t="s">
        <v>434</v>
      </c>
      <c r="I174" s="96"/>
      <c r="J174" s="83" t="str">
        <f>IF(E174="Invalid_Segment","Invalid",IFERROR(INDEX(Severity_Matrix!$C$3:$M$10,MATCH('Error Log'!$F174,Severity_Matrix!$B$3:$B$10,0),MATCH('Error Log'!$G174,Severity_Matrix!$C$2:$M$2,0)),"No errors"))</f>
        <v>Critical</v>
      </c>
    </row>
    <row r="175" spans="1:10">
      <c r="A175" s="80" t="s">
        <v>435</v>
      </c>
      <c r="B175" s="93">
        <v>3</v>
      </c>
      <c r="C175" s="98" t="s">
        <v>431</v>
      </c>
      <c r="D175" s="98" t="s">
        <v>432</v>
      </c>
      <c r="E175" s="95" t="s">
        <v>21</v>
      </c>
      <c r="F175" s="95" t="s">
        <v>7</v>
      </c>
      <c r="G175" s="95" t="s">
        <v>57</v>
      </c>
      <c r="H175" s="95" t="s">
        <v>436</v>
      </c>
      <c r="I175" s="96"/>
      <c r="J175" s="83" t="str">
        <f>IF(E175="Invalid_Segment","Invalid",IFERROR(INDEX(Severity_Matrix!$C$3:$M$10,MATCH('Error Log'!$F175,Severity_Matrix!$B$3:$B$10,0),MATCH('Error Log'!$G175,Severity_Matrix!$C$2:$M$2,0)),"No errors"))</f>
        <v>Critical</v>
      </c>
    </row>
    <row r="176" spans="1:10">
      <c r="A176" s="80" t="s">
        <v>437</v>
      </c>
      <c r="B176" s="93">
        <v>1</v>
      </c>
      <c r="C176" s="98" t="s">
        <v>438</v>
      </c>
      <c r="D176" s="98" t="s">
        <v>439</v>
      </c>
      <c r="E176" s="95" t="s">
        <v>21</v>
      </c>
      <c r="F176" s="95" t="s">
        <v>22</v>
      </c>
      <c r="G176" s="95" t="s">
        <v>57</v>
      </c>
      <c r="H176" s="95" t="s">
        <v>440</v>
      </c>
      <c r="I176" s="96"/>
      <c r="J176" s="83" t="str">
        <f>IF(E176="Invalid_Segment","Invalid",IFERROR(INDEX(Severity_Matrix!$C$3:$M$10,MATCH('Error Log'!$F176,Severity_Matrix!$B$3:$B$10,0),MATCH('Error Log'!$G176,Severity_Matrix!$C$2:$M$2,0)),"No errors"))</f>
        <v>Major</v>
      </c>
    </row>
    <row r="177" spans="1:10">
      <c r="A177" s="80" t="s">
        <v>437</v>
      </c>
      <c r="B177" s="93">
        <v>2</v>
      </c>
      <c r="C177" s="98" t="s">
        <v>438</v>
      </c>
      <c r="D177" s="98" t="s">
        <v>439</v>
      </c>
      <c r="E177" s="95" t="s">
        <v>21</v>
      </c>
      <c r="F177" s="95" t="s">
        <v>7</v>
      </c>
      <c r="G177" s="95" t="s">
        <v>57</v>
      </c>
      <c r="H177" s="95" t="s">
        <v>441</v>
      </c>
      <c r="I177" s="96"/>
      <c r="J177" s="83" t="str">
        <f>IF(E177="Invalid_Segment","Invalid",IFERROR(INDEX(Severity_Matrix!$C$3:$M$10,MATCH('Error Log'!$F177,Severity_Matrix!$B$3:$B$10,0),MATCH('Error Log'!$G177,Severity_Matrix!$C$2:$M$2,0)),"No errors"))</f>
        <v>Critical</v>
      </c>
    </row>
    <row r="178" spans="1:10">
      <c r="A178" s="80" t="s">
        <v>442</v>
      </c>
      <c r="B178" s="93">
        <v>3</v>
      </c>
      <c r="C178" s="98" t="s">
        <v>438</v>
      </c>
      <c r="D178" s="98" t="s">
        <v>439</v>
      </c>
      <c r="E178" s="95" t="s">
        <v>21</v>
      </c>
      <c r="F178" s="95" t="s">
        <v>7</v>
      </c>
      <c r="G178" s="95" t="s">
        <v>57</v>
      </c>
      <c r="H178" s="95" t="s">
        <v>443</v>
      </c>
      <c r="I178" s="96"/>
      <c r="J178" s="83" t="str">
        <f>IF(E178="Invalid_Segment","Invalid",IFERROR(INDEX(Severity_Matrix!$C$3:$M$10,MATCH('Error Log'!$F178,Severity_Matrix!$B$3:$B$10,0),MATCH('Error Log'!$G178,Severity_Matrix!$C$2:$M$2,0)),"No errors"))</f>
        <v>Critical</v>
      </c>
    </row>
    <row r="179" spans="1:10">
      <c r="A179" s="80" t="s">
        <v>444</v>
      </c>
      <c r="B179" s="93">
        <v>1</v>
      </c>
      <c r="C179" s="98" t="s">
        <v>445</v>
      </c>
      <c r="D179" s="98" t="s">
        <v>446</v>
      </c>
      <c r="E179" s="95" t="s">
        <v>21</v>
      </c>
      <c r="F179" s="95" t="s">
        <v>22</v>
      </c>
      <c r="G179" s="95" t="s">
        <v>57</v>
      </c>
      <c r="H179" s="95" t="s">
        <v>447</v>
      </c>
      <c r="I179" s="95"/>
      <c r="J179" s="83" t="str">
        <f>IF(E179="Invalid_Segment","Invalid",IFERROR(INDEX(Severity_Matrix!$C$3:$M$10,MATCH('Error Log'!$F179,Severity_Matrix!$B$3:$B$10,0),MATCH('Error Log'!$G179,Severity_Matrix!$C$2:$M$2,0)),"No errors"))</f>
        <v>Major</v>
      </c>
    </row>
    <row r="180" spans="1:10">
      <c r="A180" s="80" t="s">
        <v>444</v>
      </c>
      <c r="B180" s="93">
        <v>2</v>
      </c>
      <c r="C180" s="98" t="s">
        <v>445</v>
      </c>
      <c r="D180" s="98" t="s">
        <v>446</v>
      </c>
      <c r="E180" s="95" t="s">
        <v>21</v>
      </c>
      <c r="F180" s="95" t="s">
        <v>22</v>
      </c>
      <c r="G180" s="95" t="s">
        <v>28</v>
      </c>
      <c r="H180" s="95" t="s">
        <v>448</v>
      </c>
      <c r="I180" s="95"/>
      <c r="J180" s="83" t="str">
        <f>IF(E180="Invalid_Segment","Invalid",IFERROR(INDEX(Severity_Matrix!$C$3:$M$10,MATCH('Error Log'!$F180,Severity_Matrix!$B$3:$B$10,0),MATCH('Error Log'!$G180,Severity_Matrix!$C$2:$M$2,0)),"No errors"))</f>
        <v>Major</v>
      </c>
    </row>
    <row r="181" spans="1:10">
      <c r="A181" s="80" t="s">
        <v>449</v>
      </c>
      <c r="B181" s="93">
        <v>3</v>
      </c>
      <c r="C181" s="98" t="s">
        <v>445</v>
      </c>
      <c r="D181" s="98" t="s">
        <v>446</v>
      </c>
      <c r="E181" s="95" t="s">
        <v>21</v>
      </c>
      <c r="F181" s="95" t="s">
        <v>7</v>
      </c>
      <c r="G181" s="95" t="s">
        <v>57</v>
      </c>
      <c r="H181" s="95" t="s">
        <v>450</v>
      </c>
      <c r="I181" s="95"/>
      <c r="J181" s="83" t="str">
        <f>IF(E181="Invalid_Segment","Invalid",IFERROR(INDEX(Severity_Matrix!$C$3:$M$10,MATCH('Error Log'!$F181,Severity_Matrix!$B$3:$B$10,0),MATCH('Error Log'!$G181,Severity_Matrix!$C$2:$M$2,0)),"No errors"))</f>
        <v>Critical</v>
      </c>
    </row>
    <row r="182" spans="1:10">
      <c r="A182" s="80" t="s">
        <v>449</v>
      </c>
      <c r="B182" s="93">
        <v>4</v>
      </c>
      <c r="C182" s="98" t="s">
        <v>445</v>
      </c>
      <c r="D182" s="98" t="s">
        <v>446</v>
      </c>
      <c r="E182" s="95" t="s">
        <v>21</v>
      </c>
      <c r="F182" s="95" t="s">
        <v>7</v>
      </c>
      <c r="G182" s="95" t="s">
        <v>57</v>
      </c>
      <c r="H182" s="95" t="s">
        <v>451</v>
      </c>
      <c r="I182" s="95"/>
      <c r="J182" s="83" t="str">
        <f>IF(E182="Invalid_Segment","Invalid",IFERROR(INDEX(Severity_Matrix!$C$3:$M$10,MATCH('Error Log'!$F182,Severity_Matrix!$B$3:$B$10,0),MATCH('Error Log'!$G182,Severity_Matrix!$C$2:$M$2,0)),"No errors"))</f>
        <v>Critical</v>
      </c>
    </row>
    <row r="183" spans="1:10">
      <c r="A183" s="80" t="s">
        <v>452</v>
      </c>
      <c r="B183" s="93">
        <v>1</v>
      </c>
      <c r="C183" s="98" t="s">
        <v>453</v>
      </c>
      <c r="D183" s="98" t="s">
        <v>454</v>
      </c>
      <c r="E183" s="95" t="s">
        <v>21</v>
      </c>
      <c r="F183" s="95" t="s">
        <v>22</v>
      </c>
      <c r="G183" s="95" t="s">
        <v>57</v>
      </c>
      <c r="H183" s="95" t="s">
        <v>455</v>
      </c>
      <c r="I183" s="96"/>
      <c r="J183" s="83" t="str">
        <f>IF(E183="Invalid_Segment","Invalid",IFERROR(INDEX(Severity_Matrix!$C$3:$M$10,MATCH('Error Log'!$F183,Severity_Matrix!$B$3:$B$10,0),MATCH('Error Log'!$G183,Severity_Matrix!$C$2:$M$2,0)),"No errors"))</f>
        <v>Major</v>
      </c>
    </row>
    <row r="184" spans="1:10">
      <c r="A184" s="80" t="s">
        <v>452</v>
      </c>
      <c r="B184" s="93">
        <v>2</v>
      </c>
      <c r="C184" s="98" t="s">
        <v>453</v>
      </c>
      <c r="D184" s="98" t="s">
        <v>454</v>
      </c>
      <c r="E184" s="95" t="s">
        <v>21</v>
      </c>
      <c r="F184" s="95" t="s">
        <v>7</v>
      </c>
      <c r="G184" s="95" t="s">
        <v>57</v>
      </c>
      <c r="H184" s="95" t="s">
        <v>456</v>
      </c>
      <c r="I184" s="96"/>
      <c r="J184" s="83" t="str">
        <f>IF(E184="Invalid_Segment","Invalid",IFERROR(INDEX(Severity_Matrix!$C$3:$M$10,MATCH('Error Log'!$F184,Severity_Matrix!$B$3:$B$10,0),MATCH('Error Log'!$G184,Severity_Matrix!$C$2:$M$2,0)),"No errors"))</f>
        <v>Critical</v>
      </c>
    </row>
    <row r="185" spans="1:10">
      <c r="A185" s="79" t="s">
        <v>457</v>
      </c>
      <c r="B185" s="93">
        <v>1</v>
      </c>
      <c r="C185" s="79" t="s">
        <v>458</v>
      </c>
      <c r="D185" s="79" t="s">
        <v>459</v>
      </c>
      <c r="E185" s="95" t="s">
        <v>21</v>
      </c>
      <c r="F185" s="95" t="s">
        <v>22</v>
      </c>
      <c r="G185" s="95" t="s">
        <v>57</v>
      </c>
      <c r="H185" s="95" t="s">
        <v>460</v>
      </c>
      <c r="I185" s="96"/>
      <c r="J185" s="83" t="str">
        <f>IF(E185="Invalid_Segment","Invalid",IFERROR(INDEX(Severity_Matrix!$C$3:$M$10,MATCH('Error Log'!$F185,Severity_Matrix!$B$3:$B$10,0),MATCH('Error Log'!$G185,Severity_Matrix!$C$2:$M$2,0)),"No errors"))</f>
        <v>Major</v>
      </c>
    </row>
    <row r="186" spans="1:10">
      <c r="A186" s="79" t="s">
        <v>457</v>
      </c>
      <c r="B186" s="93">
        <v>2</v>
      </c>
      <c r="C186" s="79" t="s">
        <v>458</v>
      </c>
      <c r="D186" s="79" t="s">
        <v>459</v>
      </c>
      <c r="E186" s="95" t="s">
        <v>21</v>
      </c>
      <c r="F186" s="95" t="s">
        <v>22</v>
      </c>
      <c r="G186" s="95" t="s">
        <v>57</v>
      </c>
      <c r="H186" s="95" t="s">
        <v>461</v>
      </c>
      <c r="I186" s="96"/>
      <c r="J186" s="83" t="str">
        <f>IF(E186="Invalid_Segment","Invalid",IFERROR(INDEX(Severity_Matrix!$C$3:$M$10,MATCH('Error Log'!$F186,Severity_Matrix!$B$3:$B$10,0),MATCH('Error Log'!$G186,Severity_Matrix!$C$2:$M$2,0)),"No errors"))</f>
        <v>Major</v>
      </c>
    </row>
    <row r="187" spans="1:10">
      <c r="A187" s="79" t="s">
        <v>462</v>
      </c>
      <c r="B187" s="93">
        <v>3</v>
      </c>
      <c r="C187" s="79" t="s">
        <v>458</v>
      </c>
      <c r="D187" s="79" t="s">
        <v>459</v>
      </c>
      <c r="E187" s="95" t="s">
        <v>21</v>
      </c>
      <c r="F187" s="95" t="s">
        <v>7</v>
      </c>
      <c r="G187" s="95" t="s">
        <v>57</v>
      </c>
      <c r="H187" s="95" t="s">
        <v>463</v>
      </c>
      <c r="I187" s="96"/>
      <c r="J187" s="83" t="str">
        <f>IF(E187="Invalid_Segment","Invalid",IFERROR(INDEX(Severity_Matrix!$C$3:$M$10,MATCH('Error Log'!$F187,Severity_Matrix!$B$3:$B$10,0),MATCH('Error Log'!$G187,Severity_Matrix!$C$2:$M$2,0)),"No errors"))</f>
        <v>Critical</v>
      </c>
    </row>
    <row r="188" spans="1:10">
      <c r="A188" s="79" t="s">
        <v>462</v>
      </c>
      <c r="B188" s="93">
        <v>4</v>
      </c>
      <c r="C188" s="79" t="s">
        <v>458</v>
      </c>
      <c r="D188" s="79" t="s">
        <v>459</v>
      </c>
      <c r="E188" s="95" t="s">
        <v>21</v>
      </c>
      <c r="F188" s="95" t="s">
        <v>7</v>
      </c>
      <c r="G188" s="95" t="s">
        <v>57</v>
      </c>
      <c r="H188" s="95" t="s">
        <v>464</v>
      </c>
      <c r="I188" s="96"/>
      <c r="J188" s="83" t="str">
        <f>IF(E188="Invalid_Segment","Invalid",IFERROR(INDEX(Severity_Matrix!$C$3:$M$10,MATCH('Error Log'!$F188,Severity_Matrix!$B$3:$B$10,0),MATCH('Error Log'!$G188,Severity_Matrix!$C$2:$M$2,0)),"No errors"))</f>
        <v>Critical</v>
      </c>
    </row>
    <row r="189" spans="1:10">
      <c r="A189" s="79" t="s">
        <v>465</v>
      </c>
      <c r="B189" s="93">
        <v>1</v>
      </c>
      <c r="C189" s="79" t="s">
        <v>466</v>
      </c>
      <c r="D189" s="79" t="s">
        <v>467</v>
      </c>
      <c r="E189" s="95" t="s">
        <v>21</v>
      </c>
      <c r="F189" s="95" t="s">
        <v>22</v>
      </c>
      <c r="G189" s="95" t="s">
        <v>57</v>
      </c>
      <c r="H189" s="95" t="s">
        <v>468</v>
      </c>
      <c r="I189" s="96"/>
      <c r="J189" s="83" t="str">
        <f>IF(E189="Invalid_Segment","Invalid",IFERROR(INDEX(Severity_Matrix!$C$3:$M$10,MATCH('Error Log'!$F189,Severity_Matrix!$B$3:$B$10,0),MATCH('Error Log'!$G189,Severity_Matrix!$C$2:$M$2,0)),"No errors"))</f>
        <v>Major</v>
      </c>
    </row>
    <row r="190" spans="1:10">
      <c r="A190" s="79" t="s">
        <v>465</v>
      </c>
      <c r="B190" s="93">
        <v>2</v>
      </c>
      <c r="C190" s="79" t="s">
        <v>466</v>
      </c>
      <c r="D190" s="79" t="s">
        <v>467</v>
      </c>
      <c r="E190" s="95" t="s">
        <v>21</v>
      </c>
      <c r="F190" s="95" t="s">
        <v>7</v>
      </c>
      <c r="G190" s="95" t="s">
        <v>57</v>
      </c>
      <c r="H190" s="95" t="s">
        <v>469</v>
      </c>
      <c r="I190" s="96"/>
      <c r="J190" s="83" t="str">
        <f>IF(E190="Invalid_Segment","Invalid",IFERROR(INDEX(Severity_Matrix!$C$3:$M$10,MATCH('Error Log'!$F190,Severity_Matrix!$B$3:$B$10,0),MATCH('Error Log'!$G190,Severity_Matrix!$C$2:$M$2,0)),"No errors"))</f>
        <v>Critical</v>
      </c>
    </row>
    <row r="191" spans="1:10">
      <c r="A191" s="79" t="s">
        <v>470</v>
      </c>
      <c r="B191" s="93">
        <v>3</v>
      </c>
      <c r="C191" s="79" t="s">
        <v>466</v>
      </c>
      <c r="D191" s="79" t="s">
        <v>467</v>
      </c>
      <c r="E191" s="95" t="s">
        <v>21</v>
      </c>
      <c r="F191" s="95" t="s">
        <v>7</v>
      </c>
      <c r="G191" s="95" t="s">
        <v>57</v>
      </c>
      <c r="H191" s="95" t="s">
        <v>471</v>
      </c>
      <c r="I191" s="96"/>
      <c r="J191" s="83" t="str">
        <f>IF(E191="Invalid_Segment","Invalid",IFERROR(INDEX(Severity_Matrix!$C$3:$M$10,MATCH('Error Log'!$F191,Severity_Matrix!$B$3:$B$10,0),MATCH('Error Log'!$G191,Severity_Matrix!$C$2:$M$2,0)),"No errors"))</f>
        <v>Critical</v>
      </c>
    </row>
    <row r="192" spans="1:10">
      <c r="A192" s="79" t="s">
        <v>470</v>
      </c>
      <c r="B192" s="93">
        <v>4</v>
      </c>
      <c r="C192" s="79" t="s">
        <v>466</v>
      </c>
      <c r="D192" s="79" t="s">
        <v>467</v>
      </c>
      <c r="E192" s="95" t="s">
        <v>21</v>
      </c>
      <c r="F192" s="95" t="s">
        <v>7</v>
      </c>
      <c r="G192" s="95" t="s">
        <v>57</v>
      </c>
      <c r="H192" s="95" t="s">
        <v>472</v>
      </c>
      <c r="I192" s="96"/>
      <c r="J192" s="83" t="str">
        <f>IF(E192="Invalid_Segment","Invalid",IFERROR(INDEX(Severity_Matrix!$C$3:$M$10,MATCH('Error Log'!$F192,Severity_Matrix!$B$3:$B$10,0),MATCH('Error Log'!$G192,Severity_Matrix!$C$2:$M$2,0)),"No errors"))</f>
        <v>Critical</v>
      </c>
    </row>
    <row r="193" spans="1:10">
      <c r="A193" s="79" t="s">
        <v>473</v>
      </c>
      <c r="B193" s="93">
        <v>1</v>
      </c>
      <c r="C193" s="79" t="s">
        <v>474</v>
      </c>
      <c r="D193" s="79" t="s">
        <v>475</v>
      </c>
      <c r="E193" s="95"/>
      <c r="F193" s="95"/>
      <c r="G193" s="95"/>
      <c r="H193" s="95"/>
      <c r="I193" s="96"/>
      <c r="J193" s="83" t="str">
        <f>IF(E193="Invalid_Segment","Invalid",IFERROR(INDEX(Severity_Matrix!$C$3:$M$10,MATCH('Error Log'!$F193,Severity_Matrix!$B$3:$B$10,0),MATCH('Error Log'!$G193,Severity_Matrix!$C$2:$M$2,0)),"No errors"))</f>
        <v>No errors</v>
      </c>
    </row>
    <row r="194" spans="1:10">
      <c r="A194" s="79" t="s">
        <v>476</v>
      </c>
      <c r="B194" s="93">
        <v>1</v>
      </c>
      <c r="C194" s="79" t="s">
        <v>477</v>
      </c>
      <c r="D194" s="79" t="s">
        <v>478</v>
      </c>
      <c r="E194" s="95"/>
      <c r="F194" s="95"/>
      <c r="G194" s="95"/>
      <c r="H194" s="95"/>
      <c r="I194" s="96"/>
      <c r="J194" s="83" t="str">
        <f>IF(E194="Invalid_Segment","Invalid",IFERROR(INDEX(Severity_Matrix!$C$3:$M$10,MATCH('Error Log'!$F194,Severity_Matrix!$B$3:$B$10,0),MATCH('Error Log'!$G194,Severity_Matrix!$C$2:$M$2,0)),"No errors"))</f>
        <v>No errors</v>
      </c>
    </row>
    <row r="195" spans="1:10">
      <c r="A195" s="79" t="s">
        <v>479</v>
      </c>
      <c r="B195" s="93">
        <v>1</v>
      </c>
      <c r="C195" s="79" t="s">
        <v>480</v>
      </c>
      <c r="D195" s="79" t="s">
        <v>481</v>
      </c>
      <c r="E195" s="95" t="s">
        <v>21</v>
      </c>
      <c r="F195" s="95" t="s">
        <v>22</v>
      </c>
      <c r="G195" s="95" t="s">
        <v>28</v>
      </c>
      <c r="H195" s="95" t="s">
        <v>482</v>
      </c>
      <c r="I195" s="96"/>
      <c r="J195" s="83" t="str">
        <f>IF(E195="Invalid_Segment","Invalid",IFERROR(INDEX(Severity_Matrix!$C$3:$M$10,MATCH('Error Log'!$F195,Severity_Matrix!$B$3:$B$10,0),MATCH('Error Log'!$G195,Severity_Matrix!$C$2:$M$2,0)),"No errors"))</f>
        <v>Major</v>
      </c>
    </row>
    <row r="196" spans="1:10">
      <c r="A196" s="79" t="s">
        <v>479</v>
      </c>
      <c r="B196" s="93">
        <v>2</v>
      </c>
      <c r="C196" s="79" t="s">
        <v>483</v>
      </c>
      <c r="D196" s="79" t="s">
        <v>484</v>
      </c>
      <c r="E196" s="95" t="s">
        <v>21</v>
      </c>
      <c r="F196" s="95" t="s">
        <v>22</v>
      </c>
      <c r="G196" s="95" t="s">
        <v>28</v>
      </c>
      <c r="H196" s="95" t="s">
        <v>485</v>
      </c>
      <c r="I196" s="96"/>
      <c r="J196" s="83" t="str">
        <f>IF(E196="Invalid_Segment","Invalid",IFERROR(INDEX(Severity_Matrix!$C$3:$M$10,MATCH('Error Log'!$F196,Severity_Matrix!$B$3:$B$10,0),MATCH('Error Log'!$G196,Severity_Matrix!$C$2:$M$2,0)),"No errors"))</f>
        <v>Major</v>
      </c>
    </row>
    <row r="197" spans="1:10">
      <c r="A197" s="79" t="s">
        <v>486</v>
      </c>
      <c r="B197" s="93">
        <v>3</v>
      </c>
      <c r="C197" s="79" t="s">
        <v>487</v>
      </c>
      <c r="D197" s="79" t="s">
        <v>488</v>
      </c>
      <c r="E197" s="95" t="s">
        <v>21</v>
      </c>
      <c r="F197" s="95" t="s">
        <v>22</v>
      </c>
      <c r="G197" s="95" t="s">
        <v>57</v>
      </c>
      <c r="H197" s="95" t="s">
        <v>489</v>
      </c>
      <c r="I197" s="96"/>
      <c r="J197" s="83" t="str">
        <f>IF(E197="Invalid_Segment","Invalid",IFERROR(INDEX(Severity_Matrix!$C$3:$M$10,MATCH('Error Log'!$F197,Severity_Matrix!$B$3:$B$10,0),MATCH('Error Log'!$G197,Severity_Matrix!$C$2:$M$2,0)),"No errors"))</f>
        <v>Major</v>
      </c>
    </row>
    <row r="198" spans="1:10">
      <c r="A198" s="79" t="s">
        <v>486</v>
      </c>
      <c r="B198" s="93">
        <v>4</v>
      </c>
      <c r="C198" s="79" t="s">
        <v>490</v>
      </c>
      <c r="D198" s="79" t="s">
        <v>491</v>
      </c>
      <c r="E198" s="95" t="s">
        <v>21</v>
      </c>
      <c r="F198" s="95" t="s">
        <v>7</v>
      </c>
      <c r="G198" s="95" t="s">
        <v>57</v>
      </c>
      <c r="H198" s="95" t="s">
        <v>492</v>
      </c>
      <c r="I198" s="96"/>
      <c r="J198" s="83" t="str">
        <f>IF(E198="Invalid_Segment","Invalid",IFERROR(INDEX(Severity_Matrix!$C$3:$M$10,MATCH('Error Log'!$F198,Severity_Matrix!$B$3:$B$10,0),MATCH('Error Log'!$G198,Severity_Matrix!$C$2:$M$2,0)),"No errors"))</f>
        <v>Critical</v>
      </c>
    </row>
    <row r="199" spans="1:10">
      <c r="A199" s="79" t="s">
        <v>486</v>
      </c>
      <c r="B199" s="93">
        <v>5</v>
      </c>
      <c r="C199" s="79" t="s">
        <v>493</v>
      </c>
      <c r="D199" s="79" t="s">
        <v>494</v>
      </c>
      <c r="E199" s="95" t="s">
        <v>21</v>
      </c>
      <c r="F199" s="95" t="s">
        <v>7</v>
      </c>
      <c r="G199" s="95" t="s">
        <v>57</v>
      </c>
      <c r="H199" s="95" t="s">
        <v>495</v>
      </c>
      <c r="I199" s="96"/>
      <c r="J199" s="83" t="str">
        <f>IF(E199="Invalid_Segment","Invalid",IFERROR(INDEX(Severity_Matrix!$C$3:$M$10,MATCH('Error Log'!$F199,Severity_Matrix!$B$3:$B$10,0),MATCH('Error Log'!$G199,Severity_Matrix!$C$2:$M$2,0)),"No errors"))</f>
        <v>Critical</v>
      </c>
    </row>
    <row r="200" spans="1:10">
      <c r="A200" s="79" t="s">
        <v>496</v>
      </c>
      <c r="B200" s="93">
        <v>1</v>
      </c>
      <c r="C200" s="79" t="s">
        <v>497</v>
      </c>
      <c r="D200" s="79" t="s">
        <v>498</v>
      </c>
      <c r="E200" s="95" t="s">
        <v>21</v>
      </c>
      <c r="F200" s="95" t="s">
        <v>22</v>
      </c>
      <c r="G200" s="95" t="s">
        <v>28</v>
      </c>
      <c r="H200" s="95" t="s">
        <v>499</v>
      </c>
      <c r="I200" s="96"/>
      <c r="J200" s="83" t="str">
        <f>IF(E200="Invalid_Segment","Invalid",IFERROR(INDEX(Severity_Matrix!$C$3:$M$10,MATCH('Error Log'!$F200,Severity_Matrix!$B$3:$B$10,0),MATCH('Error Log'!$G200,Severity_Matrix!$C$2:$M$2,0)),"No errors"))</f>
        <v>Major</v>
      </c>
    </row>
    <row r="201" spans="1:10">
      <c r="A201" s="79" t="s">
        <v>496</v>
      </c>
      <c r="B201" s="93">
        <v>2</v>
      </c>
      <c r="C201" s="79" t="s">
        <v>500</v>
      </c>
      <c r="D201" s="79" t="s">
        <v>498</v>
      </c>
      <c r="E201" s="95" t="s">
        <v>21</v>
      </c>
      <c r="F201" s="95" t="s">
        <v>22</v>
      </c>
      <c r="G201" s="95" t="s">
        <v>57</v>
      </c>
      <c r="H201" s="95" t="s">
        <v>501</v>
      </c>
      <c r="I201" s="96"/>
      <c r="J201" s="83" t="str">
        <f>IF(E201="Invalid_Segment","Invalid",IFERROR(INDEX(Severity_Matrix!$C$3:$M$10,MATCH('Error Log'!$F201,Severity_Matrix!$B$3:$B$10,0),MATCH('Error Log'!$G201,Severity_Matrix!$C$2:$M$2,0)),"No errors"))</f>
        <v>Major</v>
      </c>
    </row>
    <row r="202" spans="1:10">
      <c r="A202" s="79" t="s">
        <v>502</v>
      </c>
      <c r="B202" s="93">
        <v>3</v>
      </c>
      <c r="C202" s="79" t="s">
        <v>503</v>
      </c>
      <c r="D202" s="79" t="s">
        <v>498</v>
      </c>
      <c r="E202" s="95" t="s">
        <v>21</v>
      </c>
      <c r="F202" s="95" t="s">
        <v>7</v>
      </c>
      <c r="G202" s="95" t="s">
        <v>57</v>
      </c>
      <c r="H202" s="95" t="s">
        <v>504</v>
      </c>
      <c r="I202" s="96"/>
      <c r="J202" s="83" t="str">
        <f>IF(E202="Invalid_Segment","Invalid",IFERROR(INDEX(Severity_Matrix!$C$3:$M$10,MATCH('Error Log'!$F202,Severity_Matrix!$B$3:$B$10,0),MATCH('Error Log'!$G202,Severity_Matrix!$C$2:$M$2,0)),"No errors"))</f>
        <v>Critical</v>
      </c>
    </row>
    <row r="203" spans="1:10">
      <c r="A203" s="79" t="s">
        <v>502</v>
      </c>
      <c r="B203" s="93">
        <v>4</v>
      </c>
      <c r="C203" s="79" t="s">
        <v>505</v>
      </c>
      <c r="D203" s="79" t="s">
        <v>498</v>
      </c>
      <c r="E203" s="95" t="s">
        <v>21</v>
      </c>
      <c r="F203" s="95" t="s">
        <v>7</v>
      </c>
      <c r="G203" s="95" t="s">
        <v>57</v>
      </c>
      <c r="H203" s="95" t="s">
        <v>506</v>
      </c>
      <c r="I203" s="96"/>
      <c r="J203" s="83" t="str">
        <f>IF(E203="Invalid_Segment","Invalid",IFERROR(INDEX(Severity_Matrix!$C$3:$M$10,MATCH('Error Log'!$F203,Severity_Matrix!$B$3:$B$10,0),MATCH('Error Log'!$G203,Severity_Matrix!$C$2:$M$2,0)),"No errors"))</f>
        <v>Critical</v>
      </c>
    </row>
    <row r="204" spans="1:10">
      <c r="A204" s="79" t="s">
        <v>502</v>
      </c>
      <c r="B204" s="93">
        <v>5</v>
      </c>
      <c r="C204" s="79" t="s">
        <v>507</v>
      </c>
      <c r="D204" s="79" t="s">
        <v>498</v>
      </c>
      <c r="E204" s="95" t="s">
        <v>21</v>
      </c>
      <c r="F204" s="95" t="s">
        <v>7</v>
      </c>
      <c r="G204" s="95" t="s">
        <v>57</v>
      </c>
      <c r="H204" s="95" t="s">
        <v>508</v>
      </c>
      <c r="I204" s="96"/>
      <c r="J204" s="83" t="str">
        <f>IF(E204="Invalid_Segment","Invalid",IFERROR(INDEX(Severity_Matrix!$C$3:$M$10,MATCH('Error Log'!$F204,Severity_Matrix!$B$3:$B$10,0),MATCH('Error Log'!$G204,Severity_Matrix!$C$2:$M$2,0)),"No errors"))</f>
        <v>Critical</v>
      </c>
    </row>
    <row r="205" spans="1:10">
      <c r="A205" s="79" t="s">
        <v>509</v>
      </c>
      <c r="B205" s="93">
        <v>1</v>
      </c>
      <c r="C205" s="79" t="s">
        <v>510</v>
      </c>
      <c r="D205" s="79" t="s">
        <v>511</v>
      </c>
      <c r="E205" s="95" t="s">
        <v>21</v>
      </c>
      <c r="F205" s="95" t="s">
        <v>22</v>
      </c>
      <c r="G205" s="95" t="s">
        <v>57</v>
      </c>
      <c r="H205" s="95" t="s">
        <v>512</v>
      </c>
      <c r="I205" s="96"/>
      <c r="J205" s="83" t="str">
        <f>IF(E205="Invalid_Segment","Invalid",IFERROR(INDEX(Severity_Matrix!$C$3:$M$10,MATCH('Error Log'!$F205,Severity_Matrix!$B$3:$B$10,0),MATCH('Error Log'!$G205,Severity_Matrix!$C$2:$M$2,0)),"No errors"))</f>
        <v>Major</v>
      </c>
    </row>
    <row r="206" spans="1:10">
      <c r="A206" s="79" t="s">
        <v>509</v>
      </c>
      <c r="B206" s="93">
        <v>2</v>
      </c>
      <c r="C206" s="79" t="s">
        <v>510</v>
      </c>
      <c r="D206" s="79" t="s">
        <v>511</v>
      </c>
      <c r="E206" s="95" t="s">
        <v>21</v>
      </c>
      <c r="F206" s="95" t="s">
        <v>22</v>
      </c>
      <c r="G206" s="95" t="s">
        <v>57</v>
      </c>
      <c r="H206" s="95" t="s">
        <v>513</v>
      </c>
      <c r="I206" s="96"/>
      <c r="J206" s="83" t="str">
        <f>IF(E206="Invalid_Segment","Invalid",IFERROR(INDEX(Severity_Matrix!$C$3:$M$10,MATCH('Error Log'!$F206,Severity_Matrix!$B$3:$B$10,0),MATCH('Error Log'!$G206,Severity_Matrix!$C$2:$M$2,0)),"No errors"))</f>
        <v>Major</v>
      </c>
    </row>
    <row r="207" spans="1:10">
      <c r="A207" s="79" t="s">
        <v>514</v>
      </c>
      <c r="B207" s="93">
        <v>3</v>
      </c>
      <c r="C207" s="79" t="s">
        <v>510</v>
      </c>
      <c r="D207" s="79" t="s">
        <v>511</v>
      </c>
      <c r="E207" s="95" t="s">
        <v>21</v>
      </c>
      <c r="F207" s="95" t="s">
        <v>7</v>
      </c>
      <c r="G207" s="95" t="s">
        <v>57</v>
      </c>
      <c r="H207" s="95" t="s">
        <v>515</v>
      </c>
      <c r="I207" s="96"/>
      <c r="J207" s="83" t="str">
        <f>IF(E207="Invalid_Segment","Invalid",IFERROR(INDEX(Severity_Matrix!$C$3:$M$10,MATCH('Error Log'!$F207,Severity_Matrix!$B$3:$B$10,0),MATCH('Error Log'!$G207,Severity_Matrix!$C$2:$M$2,0)),"No errors"))</f>
        <v>Critical</v>
      </c>
    </row>
    <row r="208" spans="1:10">
      <c r="A208" s="79" t="s">
        <v>516</v>
      </c>
      <c r="B208" s="93">
        <v>1</v>
      </c>
      <c r="C208" s="79" t="s">
        <v>517</v>
      </c>
      <c r="D208" s="79" t="s">
        <v>518</v>
      </c>
      <c r="E208" s="95" t="s">
        <v>21</v>
      </c>
      <c r="F208" s="95" t="s">
        <v>22</v>
      </c>
      <c r="G208" s="95" t="s">
        <v>57</v>
      </c>
      <c r="H208" s="95" t="s">
        <v>519</v>
      </c>
      <c r="I208" s="96"/>
      <c r="J208" s="83" t="str">
        <f>IF(E208="Invalid_Segment","Invalid",IFERROR(INDEX(Severity_Matrix!$C$3:$M$10,MATCH('Error Log'!$F208,Severity_Matrix!$B$3:$B$10,0),MATCH('Error Log'!$G208,Severity_Matrix!$C$2:$M$2,0)),"No errors"))</f>
        <v>Major</v>
      </c>
    </row>
    <row r="209" spans="1:10">
      <c r="A209" s="79" t="s">
        <v>516</v>
      </c>
      <c r="B209" s="93">
        <v>2</v>
      </c>
      <c r="C209" s="79" t="s">
        <v>517</v>
      </c>
      <c r="D209" s="79" t="s">
        <v>518</v>
      </c>
      <c r="E209" s="95" t="s">
        <v>21</v>
      </c>
      <c r="F209" s="95" t="s">
        <v>22</v>
      </c>
      <c r="G209" s="95" t="s">
        <v>57</v>
      </c>
      <c r="H209" s="95" t="s">
        <v>520</v>
      </c>
      <c r="I209" s="96"/>
      <c r="J209" s="83" t="str">
        <f>IF(E209="Invalid_Segment","Invalid",IFERROR(INDEX(Severity_Matrix!$C$3:$M$10,MATCH('Error Log'!$F209,Severity_Matrix!$B$3:$B$10,0),MATCH('Error Log'!$G209,Severity_Matrix!$C$2:$M$2,0)),"No errors"))</f>
        <v>Major</v>
      </c>
    </row>
    <row r="210" spans="1:10">
      <c r="A210" s="79" t="s">
        <v>521</v>
      </c>
      <c r="B210" s="93">
        <v>3</v>
      </c>
      <c r="C210" s="79" t="s">
        <v>517</v>
      </c>
      <c r="D210" s="79" t="s">
        <v>518</v>
      </c>
      <c r="E210" s="95" t="s">
        <v>21</v>
      </c>
      <c r="F210" s="95" t="s">
        <v>7</v>
      </c>
      <c r="G210" s="95" t="s">
        <v>57</v>
      </c>
      <c r="H210" s="95" t="s">
        <v>522</v>
      </c>
      <c r="I210" s="96"/>
      <c r="J210" s="83" t="str">
        <f>IF(E210="Invalid_Segment","Invalid",IFERROR(INDEX(Severity_Matrix!$C$3:$M$10,MATCH('Error Log'!$F210,Severity_Matrix!$B$3:$B$10,0),MATCH('Error Log'!$G210,Severity_Matrix!$C$2:$M$2,0)),"No errors"))</f>
        <v>Critical</v>
      </c>
    </row>
    <row r="211" spans="1:10">
      <c r="A211" s="79" t="s">
        <v>523</v>
      </c>
      <c r="B211" s="93">
        <v>1</v>
      </c>
      <c r="C211" s="79" t="s">
        <v>524</v>
      </c>
      <c r="D211" s="79" t="s">
        <v>525</v>
      </c>
      <c r="E211" s="95" t="s">
        <v>21</v>
      </c>
      <c r="F211" s="95" t="s">
        <v>22</v>
      </c>
      <c r="G211" s="95" t="s">
        <v>57</v>
      </c>
      <c r="H211" s="95" t="s">
        <v>526</v>
      </c>
      <c r="I211" s="96"/>
      <c r="J211" s="83" t="str">
        <f>IF(E211="Invalid_Segment","Invalid",IFERROR(INDEX(Severity_Matrix!$C$3:$M$10,MATCH('Error Log'!$F211,Severity_Matrix!$B$3:$B$10,0),MATCH('Error Log'!$G211,Severity_Matrix!$C$2:$M$2,0)),"No errors"))</f>
        <v>Major</v>
      </c>
    </row>
    <row r="212" spans="1:10">
      <c r="A212" s="79" t="s">
        <v>523</v>
      </c>
      <c r="B212" s="93">
        <v>2</v>
      </c>
      <c r="C212" s="79" t="s">
        <v>524</v>
      </c>
      <c r="D212" s="79" t="s">
        <v>525</v>
      </c>
      <c r="E212" s="95" t="s">
        <v>21</v>
      </c>
      <c r="F212" s="95" t="s">
        <v>22</v>
      </c>
      <c r="G212" s="95" t="s">
        <v>57</v>
      </c>
      <c r="H212" s="95" t="s">
        <v>527</v>
      </c>
      <c r="I212" s="96"/>
      <c r="J212" s="83" t="str">
        <f>IF(E212="Invalid_Segment","Invalid",IFERROR(INDEX(Severity_Matrix!$C$3:$M$10,MATCH('Error Log'!$F212,Severity_Matrix!$B$3:$B$10,0),MATCH('Error Log'!$G212,Severity_Matrix!$C$2:$M$2,0)),"No errors"))</f>
        <v>Major</v>
      </c>
    </row>
    <row r="213" spans="1:10">
      <c r="A213" s="79" t="s">
        <v>528</v>
      </c>
      <c r="B213" s="93">
        <v>3</v>
      </c>
      <c r="C213" s="79" t="s">
        <v>524</v>
      </c>
      <c r="D213" s="79" t="s">
        <v>525</v>
      </c>
      <c r="E213" s="95" t="s">
        <v>21</v>
      </c>
      <c r="F213" s="95" t="s">
        <v>7</v>
      </c>
      <c r="G213" s="95" t="s">
        <v>57</v>
      </c>
      <c r="H213" s="95" t="s">
        <v>529</v>
      </c>
      <c r="I213" s="96"/>
      <c r="J213" s="83" t="str">
        <f>IF(E213="Invalid_Segment","Invalid",IFERROR(INDEX(Severity_Matrix!$C$3:$M$10,MATCH('Error Log'!$F213,Severity_Matrix!$B$3:$B$10,0),MATCH('Error Log'!$G213,Severity_Matrix!$C$2:$M$2,0)),"No errors"))</f>
        <v>Critical</v>
      </c>
    </row>
    <row r="214" spans="1:10">
      <c r="A214" s="79" t="s">
        <v>528</v>
      </c>
      <c r="B214" s="93">
        <v>4</v>
      </c>
      <c r="C214" s="79" t="s">
        <v>524</v>
      </c>
      <c r="D214" s="79" t="s">
        <v>525</v>
      </c>
      <c r="E214" s="95" t="s">
        <v>21</v>
      </c>
      <c r="F214" s="95" t="s">
        <v>7</v>
      </c>
      <c r="G214" s="95" t="s">
        <v>57</v>
      </c>
      <c r="H214" s="95" t="s">
        <v>530</v>
      </c>
      <c r="I214" s="96"/>
      <c r="J214" s="83" t="str">
        <f>IF(E214="Invalid_Segment","Invalid",IFERROR(INDEX(Severity_Matrix!$C$3:$M$10,MATCH('Error Log'!$F214,Severity_Matrix!$B$3:$B$10,0),MATCH('Error Log'!$G214,Severity_Matrix!$C$2:$M$2,0)),"No errors"))</f>
        <v>Critical</v>
      </c>
    </row>
    <row r="215" spans="1:10">
      <c r="A215" s="80" t="s">
        <v>531</v>
      </c>
      <c r="B215" s="93">
        <v>1</v>
      </c>
      <c r="C215" s="79" t="s">
        <v>532</v>
      </c>
      <c r="D215" s="98" t="s">
        <v>533</v>
      </c>
      <c r="E215" s="101" t="s">
        <v>21</v>
      </c>
      <c r="F215" s="101" t="s">
        <v>7</v>
      </c>
      <c r="G215" s="101" t="s">
        <v>57</v>
      </c>
      <c r="H215" s="101" t="s">
        <v>534</v>
      </c>
      <c r="I215" s="96"/>
      <c r="J215" s="83" t="str">
        <f>IF(E215="Invalid_Segment","Invalid",IFERROR(INDEX(Severity_Matrix!$C$3:$M$10,MATCH('Error Log'!$F215,Severity_Matrix!$B$3:$B$10,0),MATCH('Error Log'!$G215,Severity_Matrix!$C$2:$M$2,0)),"No errors"))</f>
        <v>Critical</v>
      </c>
    </row>
    <row r="216" spans="1:10">
      <c r="A216" s="80" t="s">
        <v>535</v>
      </c>
      <c r="B216" s="93">
        <v>1</v>
      </c>
      <c r="C216" s="98" t="s">
        <v>536</v>
      </c>
      <c r="D216" s="98" t="s">
        <v>537</v>
      </c>
      <c r="E216" s="95" t="s">
        <v>21</v>
      </c>
      <c r="F216" s="95" t="s">
        <v>22</v>
      </c>
      <c r="G216" s="95" t="s">
        <v>57</v>
      </c>
      <c r="H216" s="100" t="s">
        <v>538</v>
      </c>
      <c r="I216" s="96"/>
      <c r="J216" s="83" t="str">
        <f>IF(E216="Invalid_Segment","Invalid",IFERROR(INDEX(Severity_Matrix!$C$3:$M$10,MATCH('Error Log'!$F216,Severity_Matrix!$B$3:$B$10,0),MATCH('Error Log'!$G216,Severity_Matrix!$C$2:$M$2,0)),"No errors"))</f>
        <v>Major</v>
      </c>
    </row>
    <row r="217" spans="1:10">
      <c r="A217" s="80" t="s">
        <v>535</v>
      </c>
      <c r="B217" s="93">
        <v>2</v>
      </c>
      <c r="C217" s="98" t="s">
        <v>539</v>
      </c>
      <c r="D217" s="98" t="s">
        <v>540</v>
      </c>
      <c r="E217" s="95" t="s">
        <v>21</v>
      </c>
      <c r="F217" s="95" t="s">
        <v>7</v>
      </c>
      <c r="G217" s="95" t="s">
        <v>57</v>
      </c>
      <c r="H217" s="95" t="s">
        <v>541</v>
      </c>
      <c r="I217" s="96"/>
      <c r="J217" s="83" t="str">
        <f>IF(E217="Invalid_Segment","Invalid",IFERROR(INDEX(Severity_Matrix!$C$3:$M$10,MATCH('Error Log'!$F217,Severity_Matrix!$B$3:$B$10,0),MATCH('Error Log'!$G217,Severity_Matrix!$C$2:$M$2,0)),"No errors"))</f>
        <v>Critical</v>
      </c>
    </row>
    <row r="218" spans="1:10">
      <c r="A218" s="80" t="s">
        <v>542</v>
      </c>
      <c r="B218" s="93">
        <v>3</v>
      </c>
      <c r="C218" s="98" t="s">
        <v>543</v>
      </c>
      <c r="D218" s="98" t="s">
        <v>544</v>
      </c>
      <c r="E218" s="95" t="s">
        <v>21</v>
      </c>
      <c r="F218" s="95" t="s">
        <v>7</v>
      </c>
      <c r="G218" s="95" t="s">
        <v>57</v>
      </c>
      <c r="H218" s="95" t="s">
        <v>545</v>
      </c>
      <c r="I218" s="96"/>
      <c r="J218" s="83" t="str">
        <f>IF(E218="Invalid_Segment","Invalid",IFERROR(INDEX(Severity_Matrix!$C$3:$M$10,MATCH('Error Log'!$F218,Severity_Matrix!$B$3:$B$10,0),MATCH('Error Log'!$G218,Severity_Matrix!$C$2:$M$2,0)),"No errors"))</f>
        <v>Critical</v>
      </c>
    </row>
    <row r="219" spans="1:10">
      <c r="A219" s="80" t="s">
        <v>546</v>
      </c>
      <c r="B219" s="93">
        <v>1</v>
      </c>
      <c r="C219" s="98" t="s">
        <v>547</v>
      </c>
      <c r="D219" s="98" t="s">
        <v>548</v>
      </c>
      <c r="E219" s="95"/>
      <c r="F219" s="95"/>
      <c r="G219" s="95"/>
      <c r="H219" s="95"/>
      <c r="I219" s="96"/>
      <c r="J219" s="83" t="str">
        <f>IF(E219="Invalid_Segment","Invalid",IFERROR(INDEX(Severity_Matrix!$C$3:$M$10,MATCH('Error Log'!$F219,Severity_Matrix!$B$3:$B$10,0),MATCH('Error Log'!$G219,Severity_Matrix!$C$2:$M$2,0)),"No errors"))</f>
        <v>No errors</v>
      </c>
    </row>
    <row r="220" spans="1:10">
      <c r="A220" s="80" t="s">
        <v>549</v>
      </c>
      <c r="B220" s="93">
        <v>1</v>
      </c>
      <c r="C220" s="98" t="s">
        <v>550</v>
      </c>
      <c r="D220" s="98" t="s">
        <v>551</v>
      </c>
      <c r="E220" s="95"/>
      <c r="F220" s="95"/>
      <c r="G220" s="95"/>
      <c r="H220" s="95"/>
      <c r="I220" s="96"/>
      <c r="J220" s="83" t="str">
        <f>IF(E220="Invalid_Segment","Invalid",IFERROR(INDEX(Severity_Matrix!$C$3:$M$10,MATCH('Error Log'!$F220,Severity_Matrix!$B$3:$B$10,0),MATCH('Error Log'!$G220,Severity_Matrix!$C$2:$M$2,0)),"No errors"))</f>
        <v>No errors</v>
      </c>
    </row>
    <row r="221" spans="1:10">
      <c r="A221" s="80" t="s">
        <v>552</v>
      </c>
      <c r="B221" s="93">
        <v>1</v>
      </c>
      <c r="C221" s="98" t="s">
        <v>553</v>
      </c>
      <c r="D221" s="98" t="s">
        <v>554</v>
      </c>
      <c r="E221" s="95" t="s">
        <v>21</v>
      </c>
      <c r="F221" s="95" t="s">
        <v>22</v>
      </c>
      <c r="G221" s="95" t="s">
        <v>57</v>
      </c>
      <c r="H221" s="95" t="s">
        <v>555</v>
      </c>
      <c r="I221" s="96"/>
      <c r="J221" s="83" t="str">
        <f>IF(E221="Invalid_Segment","Invalid",IFERROR(INDEX(Severity_Matrix!$C$3:$M$10,MATCH('Error Log'!$F221,Severity_Matrix!$B$3:$B$10,0),MATCH('Error Log'!$G221,Severity_Matrix!$C$2:$M$2,0)),"No errors"))</f>
        <v>Major</v>
      </c>
    </row>
    <row r="222" spans="1:10">
      <c r="A222" s="80" t="s">
        <v>552</v>
      </c>
      <c r="B222" s="93">
        <v>2</v>
      </c>
      <c r="C222" s="98" t="s">
        <v>556</v>
      </c>
      <c r="D222" s="98" t="s">
        <v>557</v>
      </c>
      <c r="E222" s="95" t="s">
        <v>21</v>
      </c>
      <c r="F222" s="95" t="s">
        <v>22</v>
      </c>
      <c r="G222" s="95" t="s">
        <v>57</v>
      </c>
      <c r="H222" s="95" t="s">
        <v>558</v>
      </c>
      <c r="I222" s="96"/>
      <c r="J222" s="83" t="str">
        <f>IF(E222="Invalid_Segment","Invalid",IFERROR(INDEX(Severity_Matrix!$C$3:$M$10,MATCH('Error Log'!$F222,Severity_Matrix!$B$3:$B$10,0),MATCH('Error Log'!$G222,Severity_Matrix!$C$2:$M$2,0)),"No errors"))</f>
        <v>Major</v>
      </c>
    </row>
    <row r="223" spans="1:10">
      <c r="A223" s="80" t="s">
        <v>559</v>
      </c>
      <c r="B223" s="93">
        <v>3</v>
      </c>
      <c r="C223" s="98" t="s">
        <v>560</v>
      </c>
      <c r="D223" s="98" t="s">
        <v>561</v>
      </c>
      <c r="E223" s="95" t="s">
        <v>21</v>
      </c>
      <c r="F223" s="95" t="s">
        <v>7</v>
      </c>
      <c r="G223" s="95" t="s">
        <v>57</v>
      </c>
      <c r="H223" s="95" t="s">
        <v>562</v>
      </c>
      <c r="I223" s="96"/>
      <c r="J223" s="83" t="str">
        <f>IF(E223="Invalid_Segment","Invalid",IFERROR(INDEX(Severity_Matrix!$C$3:$M$10,MATCH('Error Log'!$F223,Severity_Matrix!$B$3:$B$10,0),MATCH('Error Log'!$G223,Severity_Matrix!$C$2:$M$2,0)),"No errors"))</f>
        <v>Critical</v>
      </c>
    </row>
    <row r="224" spans="1:10">
      <c r="A224" s="80" t="s">
        <v>559</v>
      </c>
      <c r="B224" s="93">
        <v>4</v>
      </c>
      <c r="C224" s="98" t="s">
        <v>563</v>
      </c>
      <c r="D224" s="98" t="s">
        <v>564</v>
      </c>
      <c r="E224" s="95" t="s">
        <v>21</v>
      </c>
      <c r="F224" s="95" t="s">
        <v>7</v>
      </c>
      <c r="G224" s="95" t="s">
        <v>57</v>
      </c>
      <c r="H224" s="95" t="s">
        <v>565</v>
      </c>
      <c r="I224" s="96"/>
      <c r="J224" s="83" t="str">
        <f>IF(E224="Invalid_Segment","Invalid",IFERROR(INDEX(Severity_Matrix!$C$3:$M$10,MATCH('Error Log'!$F224,Severity_Matrix!$B$3:$B$10,0),MATCH('Error Log'!$G224,Severity_Matrix!$C$2:$M$2,0)),"No errors"))</f>
        <v>Critical</v>
      </c>
    </row>
    <row r="225" spans="1:10">
      <c r="A225" s="80" t="s">
        <v>566</v>
      </c>
      <c r="B225" s="93">
        <v>1</v>
      </c>
      <c r="C225" s="98" t="s">
        <v>567</v>
      </c>
      <c r="D225" s="98" t="s">
        <v>568</v>
      </c>
      <c r="E225" s="95" t="s">
        <v>21</v>
      </c>
      <c r="F225" s="95" t="s">
        <v>22</v>
      </c>
      <c r="G225" s="95" t="s">
        <v>57</v>
      </c>
      <c r="H225" s="95" t="s">
        <v>569</v>
      </c>
      <c r="I225" s="96"/>
      <c r="J225" s="83" t="str">
        <f>IF(E225="Invalid_Segment","Invalid",IFERROR(INDEX(Severity_Matrix!$C$3:$M$10,MATCH('Error Log'!$F225,Severity_Matrix!$B$3:$B$10,0),MATCH('Error Log'!$G225,Severity_Matrix!$C$2:$M$2,0)),"No errors"))</f>
        <v>Major</v>
      </c>
    </row>
    <row r="226" spans="1:10">
      <c r="A226" s="80" t="s">
        <v>566</v>
      </c>
      <c r="B226" s="93">
        <v>2</v>
      </c>
      <c r="C226" s="98" t="s">
        <v>570</v>
      </c>
      <c r="D226" s="98" t="s">
        <v>571</v>
      </c>
      <c r="E226" s="95" t="s">
        <v>21</v>
      </c>
      <c r="F226" s="95" t="s">
        <v>22</v>
      </c>
      <c r="G226" s="95" t="s">
        <v>57</v>
      </c>
      <c r="H226" s="95" t="s">
        <v>572</v>
      </c>
      <c r="I226" s="96"/>
      <c r="J226" s="83" t="str">
        <f>IF(E226="Invalid_Segment","Invalid",IFERROR(INDEX(Severity_Matrix!$C$3:$M$10,MATCH('Error Log'!$F226,Severity_Matrix!$B$3:$B$10,0),MATCH('Error Log'!$G226,Severity_Matrix!$C$2:$M$2,0)),"No errors"))</f>
        <v>Major</v>
      </c>
    </row>
    <row r="227" spans="1:10">
      <c r="A227" s="80" t="s">
        <v>573</v>
      </c>
      <c r="B227" s="93">
        <v>3</v>
      </c>
      <c r="C227" s="98" t="s">
        <v>574</v>
      </c>
      <c r="D227" s="98" t="s">
        <v>575</v>
      </c>
      <c r="E227" s="95" t="s">
        <v>21</v>
      </c>
      <c r="F227" s="95" t="s">
        <v>7</v>
      </c>
      <c r="G227" s="95" t="s">
        <v>57</v>
      </c>
      <c r="H227" s="95" t="s">
        <v>576</v>
      </c>
      <c r="I227" s="96"/>
      <c r="J227" s="83" t="str">
        <f>IF(E227="Invalid_Segment","Invalid",IFERROR(INDEX(Severity_Matrix!$C$3:$M$10,MATCH('Error Log'!$F227,Severity_Matrix!$B$3:$B$10,0),MATCH('Error Log'!$G227,Severity_Matrix!$C$2:$M$2,0)),"No errors"))</f>
        <v>Critical</v>
      </c>
    </row>
    <row r="228" spans="1:10">
      <c r="A228" s="80" t="s">
        <v>573</v>
      </c>
      <c r="B228" s="93">
        <v>4</v>
      </c>
      <c r="C228" s="98" t="s">
        <v>577</v>
      </c>
      <c r="D228" s="98" t="s">
        <v>578</v>
      </c>
      <c r="E228" s="95" t="s">
        <v>21</v>
      </c>
      <c r="F228" s="95" t="s">
        <v>7</v>
      </c>
      <c r="G228" s="95" t="s">
        <v>57</v>
      </c>
      <c r="H228" s="95" t="s">
        <v>579</v>
      </c>
      <c r="I228" s="96"/>
      <c r="J228" s="83" t="str">
        <f>IF(E228="Invalid_Segment","Invalid",IFERROR(INDEX(Severity_Matrix!$C$3:$M$10,MATCH('Error Log'!$F228,Severity_Matrix!$B$3:$B$10,0),MATCH('Error Log'!$G228,Severity_Matrix!$C$2:$M$2,0)),"No errors"))</f>
        <v>Critical</v>
      </c>
    </row>
    <row r="229" spans="1:10">
      <c r="A229" s="80" t="s">
        <v>580</v>
      </c>
      <c r="B229" s="93">
        <v>1</v>
      </c>
      <c r="C229" s="98" t="s">
        <v>581</v>
      </c>
      <c r="D229" s="98" t="s">
        <v>582</v>
      </c>
      <c r="E229" s="95" t="s">
        <v>21</v>
      </c>
      <c r="F229" s="95" t="s">
        <v>22</v>
      </c>
      <c r="G229" s="95" t="s">
        <v>583</v>
      </c>
      <c r="H229" s="95" t="s">
        <v>584</v>
      </c>
      <c r="I229" s="96"/>
      <c r="J229" s="83" t="str">
        <f>IF(E229="Invalid_Segment","Invalid",IFERROR(INDEX(Severity_Matrix!$C$3:$M$10,MATCH('Error Log'!$F229,Severity_Matrix!$B$3:$B$10,0),MATCH('Error Log'!$G229,Severity_Matrix!$C$2:$M$2,0)),"No errors"))</f>
        <v>Major</v>
      </c>
    </row>
    <row r="230" spans="1:10">
      <c r="A230" s="80" t="s">
        <v>580</v>
      </c>
      <c r="B230" s="93">
        <v>2</v>
      </c>
      <c r="C230" s="98" t="s">
        <v>585</v>
      </c>
      <c r="D230" s="98" t="s">
        <v>586</v>
      </c>
      <c r="E230" s="95" t="s">
        <v>21</v>
      </c>
      <c r="F230" s="95" t="s">
        <v>22</v>
      </c>
      <c r="G230" s="95" t="s">
        <v>57</v>
      </c>
      <c r="H230" s="95" t="s">
        <v>587</v>
      </c>
      <c r="I230" s="96"/>
      <c r="J230" s="83" t="str">
        <f>IF(E230="Invalid_Segment","Invalid",IFERROR(INDEX(Severity_Matrix!$C$3:$M$10,MATCH('Error Log'!$F230,Severity_Matrix!$B$3:$B$10,0),MATCH('Error Log'!$G230,Severity_Matrix!$C$2:$M$2,0)),"No errors"))</f>
        <v>Major</v>
      </c>
    </row>
    <row r="231" spans="1:10" ht="14.4">
      <c r="A231" s="80" t="s">
        <v>588</v>
      </c>
      <c r="B231" s="93">
        <v>3</v>
      </c>
      <c r="C231" s="98" t="s">
        <v>589</v>
      </c>
      <c r="D231" s="98" t="s">
        <v>590</v>
      </c>
      <c r="E231" s="95" t="s">
        <v>21</v>
      </c>
      <c r="F231" s="95" t="s">
        <v>7</v>
      </c>
      <c r="G231" s="95" t="s">
        <v>57</v>
      </c>
      <c r="H231" s="95" t="s">
        <v>591</v>
      </c>
      <c r="I231" s="96"/>
      <c r="J231" s="83" t="str">
        <f>IF(E231="Invalid_Segment","Invalid",IFERROR(INDEX(Severity_Matrix!$C$3:$M$10,MATCH('Error Log'!$F231,Severity_Matrix!$B$3:$B$10,0),MATCH('Error Log'!$G231,Severity_Matrix!$C$2:$M$2,0)),"No errors"))</f>
        <v>Critical</v>
      </c>
    </row>
    <row r="232" spans="1:10">
      <c r="A232" s="80" t="s">
        <v>588</v>
      </c>
      <c r="B232" s="93">
        <v>4</v>
      </c>
      <c r="C232" s="98" t="s">
        <v>592</v>
      </c>
      <c r="D232" s="98" t="s">
        <v>593</v>
      </c>
      <c r="E232" s="95" t="s">
        <v>21</v>
      </c>
      <c r="F232" s="95" t="s">
        <v>7</v>
      </c>
      <c r="G232" s="95" t="s">
        <v>57</v>
      </c>
      <c r="H232" s="95" t="s">
        <v>594</v>
      </c>
      <c r="I232" s="96"/>
      <c r="J232" s="83" t="str">
        <f>IF(E232="Invalid_Segment","Invalid",IFERROR(INDEX(Severity_Matrix!$C$3:$M$10,MATCH('Error Log'!$F232,Severity_Matrix!$B$3:$B$10,0),MATCH('Error Log'!$G232,Severity_Matrix!$C$2:$M$2,0)),"No errors"))</f>
        <v>Critical</v>
      </c>
    </row>
    <row r="233" spans="1:10">
      <c r="A233" s="80" t="s">
        <v>595</v>
      </c>
      <c r="B233" s="93">
        <v>1</v>
      </c>
      <c r="C233" s="98" t="s">
        <v>596</v>
      </c>
      <c r="D233" s="98" t="s">
        <v>597</v>
      </c>
      <c r="E233" s="95" t="s">
        <v>21</v>
      </c>
      <c r="F233" s="95" t="s">
        <v>22</v>
      </c>
      <c r="G233" s="95" t="s">
        <v>57</v>
      </c>
      <c r="H233" s="95" t="s">
        <v>598</v>
      </c>
      <c r="I233" s="96"/>
      <c r="J233" s="83" t="str">
        <f>IF(E233="Invalid_Segment","Invalid",IFERROR(INDEX(Severity_Matrix!$C$3:$M$10,MATCH('Error Log'!$F233,Severity_Matrix!$B$3:$B$10,0),MATCH('Error Log'!$G233,Severity_Matrix!$C$2:$M$2,0)),"No errors"))</f>
        <v>Major</v>
      </c>
    </row>
    <row r="234" spans="1:10">
      <c r="A234" s="80" t="s">
        <v>595</v>
      </c>
      <c r="B234" s="93">
        <v>2</v>
      </c>
      <c r="C234" s="98" t="s">
        <v>599</v>
      </c>
      <c r="D234" s="98" t="s">
        <v>597</v>
      </c>
      <c r="E234" s="95" t="s">
        <v>21</v>
      </c>
      <c r="F234" s="95" t="s">
        <v>7</v>
      </c>
      <c r="G234" s="95" t="s">
        <v>57</v>
      </c>
      <c r="H234" s="95" t="s">
        <v>600</v>
      </c>
      <c r="I234" s="96"/>
      <c r="J234" s="83" t="str">
        <f>IF(E234="Invalid_Segment","Invalid",IFERROR(INDEX(Severity_Matrix!$C$3:$M$10,MATCH('Error Log'!$F234,Severity_Matrix!$B$3:$B$10,0),MATCH('Error Log'!$G234,Severity_Matrix!$C$2:$M$2,0)),"No errors"))</f>
        <v>Critical</v>
      </c>
    </row>
    <row r="235" spans="1:10">
      <c r="A235" s="80" t="s">
        <v>601</v>
      </c>
      <c r="B235" s="93">
        <v>1</v>
      </c>
      <c r="C235" s="98" t="s">
        <v>602</v>
      </c>
      <c r="D235" s="98" t="s">
        <v>603</v>
      </c>
      <c r="E235" s="95" t="s">
        <v>21</v>
      </c>
      <c r="F235" s="95" t="s">
        <v>22</v>
      </c>
      <c r="G235" s="95" t="s">
        <v>28</v>
      </c>
      <c r="H235" s="100" t="s">
        <v>482</v>
      </c>
      <c r="I235" s="96"/>
      <c r="J235" s="83" t="str">
        <f>IF(E235="Invalid_Segment","Invalid",IFERROR(INDEX(Severity_Matrix!$C$3:$M$10,MATCH('Error Log'!$F235,Severity_Matrix!$B$3:$B$10,0),MATCH('Error Log'!$G235,Severity_Matrix!$C$2:$M$2,0)),"No errors"))</f>
        <v>Major</v>
      </c>
    </row>
    <row r="236" spans="1:10">
      <c r="A236" s="80" t="s">
        <v>601</v>
      </c>
      <c r="B236" s="93">
        <v>2</v>
      </c>
      <c r="C236" s="98" t="s">
        <v>604</v>
      </c>
      <c r="D236" s="98" t="s">
        <v>605</v>
      </c>
      <c r="E236" s="95" t="s">
        <v>21</v>
      </c>
      <c r="F236" s="95" t="s">
        <v>22</v>
      </c>
      <c r="G236" s="95" t="s">
        <v>57</v>
      </c>
      <c r="H236" s="95" t="s">
        <v>606</v>
      </c>
      <c r="I236" s="96"/>
      <c r="J236" s="83" t="str">
        <f>IF(E236="Invalid_Segment","Invalid",IFERROR(INDEX(Severity_Matrix!$C$3:$M$10,MATCH('Error Log'!$F236,Severity_Matrix!$B$3:$B$10,0),MATCH('Error Log'!$G236,Severity_Matrix!$C$2:$M$2,0)),"No errors"))</f>
        <v>Major</v>
      </c>
    </row>
    <row r="237" spans="1:10">
      <c r="A237" s="80" t="s">
        <v>607</v>
      </c>
      <c r="B237" s="93">
        <v>3</v>
      </c>
      <c r="C237" s="98" t="s">
        <v>608</v>
      </c>
      <c r="D237" s="98" t="s">
        <v>609</v>
      </c>
      <c r="E237" s="95" t="s">
        <v>21</v>
      </c>
      <c r="F237" s="95" t="s">
        <v>7</v>
      </c>
      <c r="G237" s="95" t="s">
        <v>57</v>
      </c>
      <c r="H237" s="95" t="s">
        <v>610</v>
      </c>
      <c r="I237" s="96"/>
      <c r="J237" s="83" t="str">
        <f>IF(E237="Invalid_Segment","Invalid",IFERROR(INDEX(Severity_Matrix!$C$3:$M$10,MATCH('Error Log'!$F237,Severity_Matrix!$B$3:$B$10,0),MATCH('Error Log'!$G237,Severity_Matrix!$C$2:$M$2,0)),"No errors"))</f>
        <v>Critical</v>
      </c>
    </row>
    <row r="238" spans="1:10">
      <c r="A238" s="80" t="s">
        <v>607</v>
      </c>
      <c r="B238" s="93">
        <v>4</v>
      </c>
      <c r="C238" s="98" t="s">
        <v>611</v>
      </c>
      <c r="D238" s="98" t="s">
        <v>612</v>
      </c>
      <c r="E238" s="95" t="s">
        <v>21</v>
      </c>
      <c r="F238" s="95" t="s">
        <v>7</v>
      </c>
      <c r="G238" s="95" t="s">
        <v>57</v>
      </c>
      <c r="H238" s="95" t="s">
        <v>613</v>
      </c>
      <c r="I238" s="96"/>
      <c r="J238" s="83" t="str">
        <f>IF(E238="Invalid_Segment","Invalid",IFERROR(INDEX(Severity_Matrix!$C$3:$M$10,MATCH('Error Log'!$F238,Severity_Matrix!$B$3:$B$10,0),MATCH('Error Log'!$G238,Severity_Matrix!$C$2:$M$2,0)),"No errors"))</f>
        <v>Critical</v>
      </c>
    </row>
    <row r="239" spans="1:10">
      <c r="A239" s="80" t="s">
        <v>607</v>
      </c>
      <c r="B239" s="93">
        <v>5</v>
      </c>
      <c r="C239" s="98" t="s">
        <v>614</v>
      </c>
      <c r="D239" s="98" t="s">
        <v>615</v>
      </c>
      <c r="E239" s="95" t="s">
        <v>21</v>
      </c>
      <c r="F239" s="95" t="s">
        <v>7</v>
      </c>
      <c r="G239" s="95" t="s">
        <v>57</v>
      </c>
      <c r="H239" s="95" t="s">
        <v>616</v>
      </c>
      <c r="I239" s="96"/>
      <c r="J239" s="83" t="str">
        <f>IF(E239="Invalid_Segment","Invalid",IFERROR(INDEX(Severity_Matrix!$C$3:$M$10,MATCH('Error Log'!$F239,Severity_Matrix!$B$3:$B$10,0),MATCH('Error Log'!$G239,Severity_Matrix!$C$2:$M$2,0)),"No errors"))</f>
        <v>Critical</v>
      </c>
    </row>
    <row r="240" spans="1:10">
      <c r="A240" s="80" t="s">
        <v>617</v>
      </c>
      <c r="B240" s="93">
        <v>1</v>
      </c>
      <c r="C240" s="98" t="s">
        <v>618</v>
      </c>
      <c r="D240" s="98" t="s">
        <v>619</v>
      </c>
      <c r="E240" s="95" t="s">
        <v>21</v>
      </c>
      <c r="F240" s="95" t="s">
        <v>22</v>
      </c>
      <c r="G240" s="95" t="s">
        <v>57</v>
      </c>
      <c r="H240" s="95" t="s">
        <v>620</v>
      </c>
      <c r="I240" s="96"/>
      <c r="J240" s="83" t="str">
        <f>IF(E240="Invalid_Segment","Invalid",IFERROR(INDEX(Severity_Matrix!$C$3:$M$10,MATCH('Error Log'!$F240,Severity_Matrix!$B$3:$B$10,0),MATCH('Error Log'!$G240,Severity_Matrix!$C$2:$M$2,0)),"No errors"))</f>
        <v>Major</v>
      </c>
    </row>
    <row r="241" spans="1:10">
      <c r="A241" s="80" t="s">
        <v>617</v>
      </c>
      <c r="B241" s="93">
        <v>2</v>
      </c>
      <c r="C241" s="98" t="s">
        <v>618</v>
      </c>
      <c r="D241" s="98" t="s">
        <v>619</v>
      </c>
      <c r="E241" s="95" t="s">
        <v>21</v>
      </c>
      <c r="F241" s="95" t="s">
        <v>7</v>
      </c>
      <c r="G241" s="95" t="s">
        <v>57</v>
      </c>
      <c r="H241" s="95" t="s">
        <v>621</v>
      </c>
      <c r="I241" s="96"/>
      <c r="J241" s="83" t="str">
        <f>IF(E241="Invalid_Segment","Invalid",IFERROR(INDEX(Severity_Matrix!$C$3:$M$10,MATCH('Error Log'!$F241,Severity_Matrix!$B$3:$B$10,0),MATCH('Error Log'!$G241,Severity_Matrix!$C$2:$M$2,0)),"No errors"))</f>
        <v>Critical</v>
      </c>
    </row>
    <row r="242" spans="1:10">
      <c r="A242" s="80" t="s">
        <v>622</v>
      </c>
      <c r="B242" s="93">
        <v>3</v>
      </c>
      <c r="C242" s="98" t="s">
        <v>618</v>
      </c>
      <c r="D242" s="98" t="s">
        <v>619</v>
      </c>
      <c r="E242" s="95" t="s">
        <v>21</v>
      </c>
      <c r="F242" s="95" t="s">
        <v>7</v>
      </c>
      <c r="G242" s="95" t="s">
        <v>57</v>
      </c>
      <c r="H242" s="95" t="s">
        <v>623</v>
      </c>
      <c r="I242" s="96"/>
      <c r="J242" s="83" t="str">
        <f>IF(E242="Invalid_Segment","Invalid",IFERROR(INDEX(Severity_Matrix!$C$3:$M$10,MATCH('Error Log'!$F242,Severity_Matrix!$B$3:$B$10,0),MATCH('Error Log'!$G242,Severity_Matrix!$C$2:$M$2,0)),"No errors"))</f>
        <v>Critical</v>
      </c>
    </row>
    <row r="243" spans="1:10">
      <c r="A243" s="80" t="s">
        <v>624</v>
      </c>
      <c r="B243" s="93">
        <v>1</v>
      </c>
      <c r="C243" s="98" t="s">
        <v>625</v>
      </c>
      <c r="D243" s="98" t="s">
        <v>626</v>
      </c>
      <c r="E243" s="95" t="s">
        <v>21</v>
      </c>
      <c r="F243" s="95" t="s">
        <v>22</v>
      </c>
      <c r="G243" s="95" t="s">
        <v>57</v>
      </c>
      <c r="H243" s="95" t="s">
        <v>627</v>
      </c>
      <c r="I243" s="96"/>
      <c r="J243" s="83" t="str">
        <f>IF(E243="Invalid_Segment","Invalid",IFERROR(INDEX(Severity_Matrix!$C$3:$M$10,MATCH('Error Log'!$F243,Severity_Matrix!$B$3:$B$10,0),MATCH('Error Log'!$G243,Severity_Matrix!$C$2:$M$2,0)),"No errors"))</f>
        <v>Major</v>
      </c>
    </row>
    <row r="244" spans="1:10">
      <c r="A244" s="80" t="s">
        <v>624</v>
      </c>
      <c r="B244" s="93">
        <v>2</v>
      </c>
      <c r="C244" s="98" t="s">
        <v>625</v>
      </c>
      <c r="D244" s="98" t="s">
        <v>626</v>
      </c>
      <c r="E244" s="95" t="s">
        <v>21</v>
      </c>
      <c r="F244" s="95" t="s">
        <v>7</v>
      </c>
      <c r="G244" s="95" t="s">
        <v>57</v>
      </c>
      <c r="H244" s="95" t="s">
        <v>628</v>
      </c>
      <c r="I244" s="96"/>
      <c r="J244" s="83" t="str">
        <f>IF(E244="Invalid_Segment","Invalid",IFERROR(INDEX(Severity_Matrix!$C$3:$M$10,MATCH('Error Log'!$F244,Severity_Matrix!$B$3:$B$10,0),MATCH('Error Log'!$G244,Severity_Matrix!$C$2:$M$2,0)),"No errors"))</f>
        <v>Critical</v>
      </c>
    </row>
    <row r="245" spans="1:10">
      <c r="A245" s="80" t="s">
        <v>629</v>
      </c>
      <c r="B245" s="93">
        <v>1</v>
      </c>
      <c r="C245" s="98" t="s">
        <v>630</v>
      </c>
      <c r="D245" s="98" t="s">
        <v>631</v>
      </c>
      <c r="E245" s="95" t="s">
        <v>2</v>
      </c>
      <c r="F245" s="95" t="s">
        <v>26</v>
      </c>
      <c r="G245" s="95" t="s">
        <v>57</v>
      </c>
      <c r="H245" s="95" t="s">
        <v>632</v>
      </c>
      <c r="I245" s="96"/>
      <c r="J245" s="83" t="str">
        <f>IF(E245="Invalid_Segment","Invalid",IFERROR(INDEX(Severity_Matrix!$C$3:$M$10,MATCH('Error Log'!$F245,Severity_Matrix!$B$3:$B$10,0),MATCH('Error Log'!$G245,Severity_Matrix!$C$2:$M$2,0)),"No errors"))</f>
        <v>Major</v>
      </c>
    </row>
    <row r="246" spans="1:10">
      <c r="A246" s="80" t="s">
        <v>629</v>
      </c>
      <c r="B246" s="93">
        <v>2</v>
      </c>
      <c r="C246" s="98" t="s">
        <v>630</v>
      </c>
      <c r="D246" s="98" t="s">
        <v>631</v>
      </c>
      <c r="E246" s="95" t="s">
        <v>21</v>
      </c>
      <c r="F246" s="95" t="s">
        <v>7</v>
      </c>
      <c r="G246" s="95" t="s">
        <v>57</v>
      </c>
      <c r="H246" s="95" t="s">
        <v>633</v>
      </c>
      <c r="I246" s="96"/>
      <c r="J246" s="83" t="str">
        <f>IF(E246="Invalid_Segment","Invalid",IFERROR(INDEX(Severity_Matrix!$C$3:$M$10,MATCH('Error Log'!$F246,Severity_Matrix!$B$3:$B$10,0),MATCH('Error Log'!$G246,Severity_Matrix!$C$2:$M$2,0)),"No errors"))</f>
        <v>Critical</v>
      </c>
    </row>
    <row r="247" spans="1:10">
      <c r="A247" s="80" t="s">
        <v>634</v>
      </c>
      <c r="B247" s="93">
        <v>1</v>
      </c>
      <c r="C247" s="98" t="s">
        <v>635</v>
      </c>
      <c r="D247" s="98" t="s">
        <v>636</v>
      </c>
      <c r="E247" s="95" t="s">
        <v>21</v>
      </c>
      <c r="F247" s="95" t="s">
        <v>22</v>
      </c>
      <c r="G247" s="95" t="s">
        <v>57</v>
      </c>
      <c r="H247" s="95" t="s">
        <v>637</v>
      </c>
      <c r="I247" s="96"/>
      <c r="J247" s="83" t="str">
        <f>IF(E247="Invalid_Segment","Invalid",IFERROR(INDEX(Severity_Matrix!$C$3:$M$10,MATCH('Error Log'!$F247,Severity_Matrix!$B$3:$B$10,0),MATCH('Error Log'!$G247,Severity_Matrix!$C$2:$M$2,0)),"No errors"))</f>
        <v>Major</v>
      </c>
    </row>
    <row r="248" spans="1:10">
      <c r="A248" s="80" t="s">
        <v>634</v>
      </c>
      <c r="B248" s="93">
        <v>2</v>
      </c>
      <c r="C248" s="98" t="s">
        <v>635</v>
      </c>
      <c r="D248" s="98" t="s">
        <v>636</v>
      </c>
      <c r="E248" s="95" t="s">
        <v>21</v>
      </c>
      <c r="F248" s="95" t="s">
        <v>22</v>
      </c>
      <c r="G248" s="95" t="s">
        <v>57</v>
      </c>
      <c r="H248" s="95" t="s">
        <v>638</v>
      </c>
      <c r="I248" s="96"/>
      <c r="J248" s="83" t="str">
        <f>IF(E248="Invalid_Segment","Invalid",IFERROR(INDEX(Severity_Matrix!$C$3:$M$10,MATCH('Error Log'!$F248,Severity_Matrix!$B$3:$B$10,0),MATCH('Error Log'!$G248,Severity_Matrix!$C$2:$M$2,0)),"No errors"))</f>
        <v>Major</v>
      </c>
    </row>
    <row r="249" spans="1:10">
      <c r="A249" s="80" t="s">
        <v>639</v>
      </c>
      <c r="B249" s="93">
        <v>3</v>
      </c>
      <c r="C249" s="98" t="s">
        <v>635</v>
      </c>
      <c r="D249" s="98" t="s">
        <v>636</v>
      </c>
      <c r="E249" s="95" t="s">
        <v>21</v>
      </c>
      <c r="F249" s="95" t="s">
        <v>7</v>
      </c>
      <c r="G249" s="95" t="s">
        <v>57</v>
      </c>
      <c r="H249" s="95" t="s">
        <v>640</v>
      </c>
      <c r="I249" s="96"/>
      <c r="J249" s="83" t="str">
        <f>IF(E249="Invalid_Segment","Invalid",IFERROR(INDEX(Severity_Matrix!$C$3:$M$10,MATCH('Error Log'!$F249,Severity_Matrix!$B$3:$B$10,0),MATCH('Error Log'!$G249,Severity_Matrix!$C$2:$M$2,0)),"No errors"))</f>
        <v>Critical</v>
      </c>
    </row>
    <row r="250" spans="1:10">
      <c r="A250" s="80" t="s">
        <v>639</v>
      </c>
      <c r="B250" s="93">
        <v>4</v>
      </c>
      <c r="C250" s="98" t="s">
        <v>635</v>
      </c>
      <c r="D250" s="98" t="s">
        <v>636</v>
      </c>
      <c r="E250" s="95" t="s">
        <v>21</v>
      </c>
      <c r="F250" s="95" t="s">
        <v>7</v>
      </c>
      <c r="G250" s="95" t="s">
        <v>57</v>
      </c>
      <c r="H250" s="95" t="s">
        <v>641</v>
      </c>
      <c r="I250" s="96"/>
      <c r="J250" s="83" t="str">
        <f>IF(E250="Invalid_Segment","Invalid",IFERROR(INDEX(Severity_Matrix!$C$3:$M$10,MATCH('Error Log'!$F250,Severity_Matrix!$B$3:$B$10,0),MATCH('Error Log'!$G250,Severity_Matrix!$C$2:$M$2,0)),"No errors"))</f>
        <v>Critical</v>
      </c>
    </row>
    <row r="251" spans="1:10">
      <c r="A251" s="80" t="s">
        <v>642</v>
      </c>
      <c r="B251" s="93">
        <v>1</v>
      </c>
      <c r="C251" s="98" t="s">
        <v>643</v>
      </c>
      <c r="D251" s="98" t="s">
        <v>644</v>
      </c>
      <c r="E251" s="95" t="s">
        <v>21</v>
      </c>
      <c r="F251" s="95" t="s">
        <v>22</v>
      </c>
      <c r="G251" s="95" t="s">
        <v>57</v>
      </c>
      <c r="H251" s="95" t="s">
        <v>645</v>
      </c>
      <c r="I251" s="96"/>
      <c r="J251" s="83" t="str">
        <f>IF(E251="Invalid_Segment","Invalid",IFERROR(INDEX(Severity_Matrix!$C$3:$M$10,MATCH('Error Log'!$F251,Severity_Matrix!$B$3:$B$10,0),MATCH('Error Log'!$G251,Severity_Matrix!$C$2:$M$2,0)),"No errors"))</f>
        <v>Major</v>
      </c>
    </row>
    <row r="252" spans="1:10">
      <c r="A252" s="80" t="s">
        <v>642</v>
      </c>
      <c r="B252" s="93">
        <v>2</v>
      </c>
      <c r="C252" s="98" t="s">
        <v>646</v>
      </c>
      <c r="D252" s="98" t="s">
        <v>644</v>
      </c>
      <c r="E252" s="95" t="s">
        <v>21</v>
      </c>
      <c r="F252" s="95" t="s">
        <v>22</v>
      </c>
      <c r="G252" s="95" t="s">
        <v>57</v>
      </c>
      <c r="H252" s="100" t="s">
        <v>647</v>
      </c>
      <c r="I252" s="96"/>
      <c r="J252" s="83" t="str">
        <f>IF(E252="Invalid_Segment","Invalid",IFERROR(INDEX(Severity_Matrix!$C$3:$M$10,MATCH('Error Log'!$F252,Severity_Matrix!$B$3:$B$10,0),MATCH('Error Log'!$G252,Severity_Matrix!$C$2:$M$2,0)),"No errors"))</f>
        <v>Major</v>
      </c>
    </row>
    <row r="253" spans="1:10">
      <c r="A253" s="80" t="s">
        <v>648</v>
      </c>
      <c r="B253" s="93">
        <v>3</v>
      </c>
      <c r="C253" s="98" t="s">
        <v>649</v>
      </c>
      <c r="D253" s="98" t="s">
        <v>644</v>
      </c>
      <c r="E253" s="95" t="s">
        <v>21</v>
      </c>
      <c r="F253" s="95" t="s">
        <v>7</v>
      </c>
      <c r="G253" s="95" t="s">
        <v>57</v>
      </c>
      <c r="H253" s="95" t="s">
        <v>650</v>
      </c>
      <c r="I253" s="96"/>
      <c r="J253" s="83" t="str">
        <f>IF(E253="Invalid_Segment","Invalid",IFERROR(INDEX(Severity_Matrix!$C$3:$M$10,MATCH('Error Log'!$F253,Severity_Matrix!$B$3:$B$10,0),MATCH('Error Log'!$G253,Severity_Matrix!$C$2:$M$2,0)),"No errors"))</f>
        <v>Critical</v>
      </c>
    </row>
    <row r="254" spans="1:10">
      <c r="A254" s="80" t="s">
        <v>648</v>
      </c>
      <c r="B254" s="93">
        <v>4</v>
      </c>
      <c r="C254" s="98" t="s">
        <v>651</v>
      </c>
      <c r="D254" s="98" t="s">
        <v>644</v>
      </c>
      <c r="E254" s="95" t="s">
        <v>21</v>
      </c>
      <c r="F254" s="95" t="s">
        <v>7</v>
      </c>
      <c r="G254" s="95" t="s">
        <v>57</v>
      </c>
      <c r="H254" s="95" t="s">
        <v>652</v>
      </c>
      <c r="I254" s="96"/>
      <c r="J254" s="83" t="str">
        <f>IF(E254="Invalid_Segment","Invalid",IFERROR(INDEX(Severity_Matrix!$C$3:$M$10,MATCH('Error Log'!$F254,Severity_Matrix!$B$3:$B$10,0),MATCH('Error Log'!$G254,Severity_Matrix!$C$2:$M$2,0)),"No errors"))</f>
        <v>Critical</v>
      </c>
    </row>
    <row r="255" spans="1:10">
      <c r="A255" s="80" t="s">
        <v>648</v>
      </c>
      <c r="B255" s="93">
        <v>5</v>
      </c>
      <c r="C255" s="98" t="s">
        <v>653</v>
      </c>
      <c r="D255" s="98" t="s">
        <v>644</v>
      </c>
      <c r="E255" s="95" t="s">
        <v>21</v>
      </c>
      <c r="F255" s="95" t="s">
        <v>7</v>
      </c>
      <c r="G255" s="95" t="s">
        <v>57</v>
      </c>
      <c r="H255" s="95" t="s">
        <v>654</v>
      </c>
      <c r="I255" s="96"/>
      <c r="J255" s="83" t="str">
        <f>IF(E255="Invalid_Segment","Invalid",IFERROR(INDEX(Severity_Matrix!$C$3:$M$10,MATCH('Error Log'!$F255,Severity_Matrix!$B$3:$B$10,0),MATCH('Error Log'!$G255,Severity_Matrix!$C$2:$M$2,0)),"No errors"))</f>
        <v>Critical</v>
      </c>
    </row>
    <row r="256" spans="1:10">
      <c r="A256" s="80" t="s">
        <v>655</v>
      </c>
      <c r="B256" s="93">
        <v>1</v>
      </c>
      <c r="C256" s="98" t="s">
        <v>656</v>
      </c>
      <c r="D256" s="98" t="s">
        <v>657</v>
      </c>
      <c r="E256" s="95"/>
      <c r="F256" s="95"/>
      <c r="G256" s="95"/>
      <c r="H256" s="95"/>
      <c r="I256" s="96"/>
      <c r="J256" s="83" t="str">
        <f>IF(E256="Invalid_Segment","Invalid",IFERROR(INDEX(Severity_Matrix!$C$3:$M$10,MATCH('Error Log'!$F256,Severity_Matrix!$B$3:$B$10,0),MATCH('Error Log'!$G256,Severity_Matrix!$C$2:$M$2,0)),"No errors"))</f>
        <v>No errors</v>
      </c>
    </row>
    <row r="257" spans="1:11">
      <c r="A257" s="80" t="s">
        <v>658</v>
      </c>
      <c r="B257" s="93">
        <v>1</v>
      </c>
      <c r="C257" s="98" t="s">
        <v>659</v>
      </c>
      <c r="D257" s="98" t="s">
        <v>660</v>
      </c>
      <c r="E257" s="95"/>
      <c r="F257" s="95"/>
      <c r="G257" s="95"/>
      <c r="H257" s="95"/>
      <c r="I257" s="96"/>
      <c r="J257" s="83" t="str">
        <f>IF(E257="Invalid_Segment","Invalid",IFERROR(INDEX(Severity_Matrix!$C$3:$M$10,MATCH('Error Log'!$F257,Severity_Matrix!$B$3:$B$10,0),MATCH('Error Log'!$G257,Severity_Matrix!$C$2:$M$2,0)),"No errors"))</f>
        <v>No errors</v>
      </c>
    </row>
    <row r="258" spans="1:11">
      <c r="A258" s="80" t="s">
        <v>661</v>
      </c>
      <c r="B258" s="93">
        <v>1</v>
      </c>
      <c r="C258" s="98" t="s">
        <v>662</v>
      </c>
      <c r="D258" s="98" t="s">
        <v>663</v>
      </c>
      <c r="E258" s="95" t="s">
        <v>21</v>
      </c>
      <c r="F258" s="95" t="s">
        <v>22</v>
      </c>
      <c r="G258" s="95" t="s">
        <v>57</v>
      </c>
      <c r="H258" s="95" t="s">
        <v>664</v>
      </c>
      <c r="I258" s="96"/>
      <c r="J258" s="83" t="str">
        <f>IF(E258="Invalid_Segment","Invalid",IFERROR(INDEX(Severity_Matrix!$C$3:$M$10,MATCH('Error Log'!$F258,Severity_Matrix!$B$3:$B$10,0),MATCH('Error Log'!$G258,Severity_Matrix!$C$2:$M$2,0)),"No errors"))</f>
        <v>Major</v>
      </c>
    </row>
    <row r="259" spans="1:11">
      <c r="A259" s="80" t="s">
        <v>661</v>
      </c>
      <c r="B259" s="93">
        <v>2</v>
      </c>
      <c r="C259" s="98" t="s">
        <v>665</v>
      </c>
      <c r="D259" s="98" t="s">
        <v>666</v>
      </c>
      <c r="E259" s="95" t="s">
        <v>21</v>
      </c>
      <c r="F259" s="95" t="s">
        <v>22</v>
      </c>
      <c r="G259" s="95" t="s">
        <v>57</v>
      </c>
      <c r="H259" s="95" t="s">
        <v>667</v>
      </c>
      <c r="I259" s="96"/>
      <c r="J259" s="83" t="str">
        <f>IF(E259="Invalid_Segment","Invalid",IFERROR(INDEX(Severity_Matrix!$C$3:$M$10,MATCH('Error Log'!$F259,Severity_Matrix!$B$3:$B$10,0),MATCH('Error Log'!$G259,Severity_Matrix!$C$2:$M$2,0)),"No errors"))</f>
        <v>Major</v>
      </c>
    </row>
    <row r="260" spans="1:11">
      <c r="A260" s="80" t="s">
        <v>668</v>
      </c>
      <c r="B260" s="93">
        <v>3</v>
      </c>
      <c r="C260" s="98" t="s">
        <v>669</v>
      </c>
      <c r="D260" s="98" t="s">
        <v>670</v>
      </c>
      <c r="E260" s="95" t="s">
        <v>21</v>
      </c>
      <c r="F260" s="95" t="s">
        <v>22</v>
      </c>
      <c r="G260" s="95" t="s">
        <v>57</v>
      </c>
      <c r="H260" s="95" t="s">
        <v>671</v>
      </c>
      <c r="I260" s="96"/>
      <c r="J260" s="83" t="str">
        <f>IF(E260="Invalid_Segment","Invalid",IFERROR(INDEX(Severity_Matrix!$C$3:$M$10,MATCH('Error Log'!$F260,Severity_Matrix!$B$3:$B$10,0),MATCH('Error Log'!$G260,Severity_Matrix!$C$2:$M$2,0)),"No errors"))</f>
        <v>Major</v>
      </c>
    </row>
    <row r="261" spans="1:11">
      <c r="A261" s="80" t="s">
        <v>668</v>
      </c>
      <c r="B261" s="93">
        <v>4</v>
      </c>
      <c r="C261" s="98" t="s">
        <v>672</v>
      </c>
      <c r="D261" s="98" t="s">
        <v>673</v>
      </c>
      <c r="E261" s="95" t="s">
        <v>200</v>
      </c>
      <c r="F261" s="95" t="s">
        <v>7</v>
      </c>
      <c r="G261" s="95" t="s">
        <v>57</v>
      </c>
      <c r="H261" s="95" t="s">
        <v>674</v>
      </c>
      <c r="I261" s="96"/>
      <c r="J261" s="83" t="str">
        <f>IF(E261="Invalid_Segment","Invalid",IFERROR(INDEX(Severity_Matrix!$C$3:$M$10,MATCH('Error Log'!$F261,Severity_Matrix!$B$3:$B$10,0),MATCH('Error Log'!$G261,Severity_Matrix!$C$2:$M$2,0)),"No errors"))</f>
        <v>Critical</v>
      </c>
    </row>
    <row r="262" spans="1:11">
      <c r="A262" s="80" t="s">
        <v>668</v>
      </c>
      <c r="B262" s="93">
        <v>5</v>
      </c>
      <c r="C262" s="98" t="s">
        <v>675</v>
      </c>
      <c r="D262" s="98" t="s">
        <v>676</v>
      </c>
      <c r="E262" s="95" t="s">
        <v>200</v>
      </c>
      <c r="F262" s="95" t="s">
        <v>7</v>
      </c>
      <c r="G262" s="95" t="s">
        <v>57</v>
      </c>
      <c r="H262" s="95" t="s">
        <v>677</v>
      </c>
      <c r="I262" s="96"/>
      <c r="J262" s="83" t="str">
        <f>IF(E262="Invalid_Segment","Invalid",IFERROR(INDEX(Severity_Matrix!$C$3:$M$10,MATCH('Error Log'!$F262,Severity_Matrix!$B$3:$B$10,0),MATCH('Error Log'!$G262,Severity_Matrix!$C$2:$M$2,0)),"No errors"))</f>
        <v>Critical</v>
      </c>
    </row>
    <row r="263" spans="1:11">
      <c r="A263" s="80" t="s">
        <v>668</v>
      </c>
      <c r="B263" s="93">
        <v>6</v>
      </c>
      <c r="C263" s="98" t="s">
        <v>678</v>
      </c>
      <c r="D263" s="98" t="s">
        <v>679</v>
      </c>
      <c r="E263" s="95" t="s">
        <v>200</v>
      </c>
      <c r="F263" s="95" t="s">
        <v>7</v>
      </c>
      <c r="G263" s="95" t="s">
        <v>57</v>
      </c>
      <c r="H263" s="95" t="s">
        <v>680</v>
      </c>
      <c r="I263" s="96"/>
      <c r="J263" s="83" t="str">
        <f>IF(E263="Invalid_Segment","Invalid",IFERROR(INDEX(Severity_Matrix!$C$3:$M$10,MATCH('Error Log'!$F263,Severity_Matrix!$B$3:$B$10,0),MATCH('Error Log'!$G263,Severity_Matrix!$C$2:$M$2,0)),"No errors"))</f>
        <v>Critical</v>
      </c>
    </row>
    <row r="264" spans="1:11">
      <c r="A264" s="81" t="s">
        <v>883</v>
      </c>
      <c r="B264" s="93">
        <v>1</v>
      </c>
      <c r="C264" s="81" t="s">
        <v>681</v>
      </c>
      <c r="D264" s="81" t="s">
        <v>682</v>
      </c>
      <c r="E264" s="95" t="s">
        <v>21</v>
      </c>
      <c r="F264" s="95" t="s">
        <v>22</v>
      </c>
      <c r="G264" s="95" t="s">
        <v>28</v>
      </c>
      <c r="H264" s="95" t="s">
        <v>683</v>
      </c>
      <c r="I264" s="96"/>
      <c r="J264" s="83" t="str">
        <f>IF(E264="Invalid_Segment","Invalid",IFERROR(INDEX(Severity_Matrix!$C$3:$M$10,MATCH('Error Log'!$F264,Severity_Matrix!$B$3:$B$10,0),MATCH('Error Log'!$G264,Severity_Matrix!$C$2:$M$2,0)),"No errors"))</f>
        <v>Major</v>
      </c>
    </row>
    <row r="265" spans="1:11">
      <c r="A265" s="81" t="s">
        <v>884</v>
      </c>
      <c r="B265" s="93">
        <v>1</v>
      </c>
      <c r="C265" s="81" t="s">
        <v>684</v>
      </c>
      <c r="D265" s="81" t="s">
        <v>685</v>
      </c>
      <c r="E265" s="95" t="s">
        <v>21</v>
      </c>
      <c r="F265" s="95" t="s">
        <v>22</v>
      </c>
      <c r="G265" s="95" t="s">
        <v>57</v>
      </c>
      <c r="H265" s="95" t="s">
        <v>686</v>
      </c>
      <c r="I265" s="96"/>
      <c r="J265" s="83" t="str">
        <f>IF(E265="Invalid_Segment","Invalid",IFERROR(INDEX(Severity_Matrix!$C$3:$M$10,MATCH('Error Log'!$F265,Severity_Matrix!$B$3:$B$10,0),MATCH('Error Log'!$G265,Severity_Matrix!$C$2:$M$2,0)),"No errors"))</f>
        <v>Major</v>
      </c>
    </row>
    <row r="266" spans="1:11">
      <c r="A266" s="81" t="s">
        <v>884</v>
      </c>
      <c r="B266" s="93">
        <v>2</v>
      </c>
      <c r="C266" s="81" t="s">
        <v>684</v>
      </c>
      <c r="D266" s="81" t="s">
        <v>685</v>
      </c>
      <c r="E266" s="95" t="s">
        <v>21</v>
      </c>
      <c r="F266" s="95" t="s">
        <v>7</v>
      </c>
      <c r="G266" s="95" t="s">
        <v>57</v>
      </c>
      <c r="H266" s="95" t="s">
        <v>878</v>
      </c>
      <c r="I266" s="96"/>
      <c r="J266" s="83" t="str">
        <f>IF(E266="Invalid_Segment","Invalid",IFERROR(INDEX(Severity_Matrix!$C$3:$M$10,MATCH('Error Log'!$F266,Severity_Matrix!$B$3:$B$10,0),MATCH('Error Log'!$G266,Severity_Matrix!$C$2:$M$2,0)),"No errors"))</f>
        <v>Critical</v>
      </c>
    </row>
    <row r="267" spans="1:11">
      <c r="A267" s="81" t="s">
        <v>884</v>
      </c>
      <c r="B267" s="93">
        <v>3</v>
      </c>
      <c r="C267" s="81" t="s">
        <v>684</v>
      </c>
      <c r="D267" s="81" t="s">
        <v>685</v>
      </c>
      <c r="E267" s="95" t="s">
        <v>21</v>
      </c>
      <c r="F267" s="95" t="s">
        <v>7</v>
      </c>
      <c r="G267" s="95" t="s">
        <v>57</v>
      </c>
      <c r="H267" s="95" t="s">
        <v>687</v>
      </c>
      <c r="I267" s="96"/>
      <c r="J267" s="83" t="str">
        <f>IF(E267="Invalid_Segment","Invalid",IFERROR(INDEX(Severity_Matrix!$C$3:$M$10,MATCH('Error Log'!$F267,Severity_Matrix!$B$3:$B$10,0),MATCH('Error Log'!$G267,Severity_Matrix!$C$2:$M$2,0)),"No errors"))</f>
        <v>Critical</v>
      </c>
    </row>
    <row r="268" spans="1:11" s="114" customFormat="1">
      <c r="A268" s="81" t="s">
        <v>885</v>
      </c>
      <c r="B268" s="109">
        <v>1</v>
      </c>
      <c r="C268" s="81" t="s">
        <v>688</v>
      </c>
      <c r="D268" s="81" t="s">
        <v>689</v>
      </c>
      <c r="E268" s="110" t="s">
        <v>21</v>
      </c>
      <c r="F268" s="110" t="s">
        <v>22</v>
      </c>
      <c r="G268" s="110" t="s">
        <v>28</v>
      </c>
      <c r="H268" s="110" t="s">
        <v>690</v>
      </c>
      <c r="I268" s="111"/>
      <c r="J268" s="112" t="str">
        <f>IF(E268="Invalid_Segment","Invalid",IFERROR(INDEX(Severity_Matrix!$C$3:$M$10,MATCH('Error Log'!$F268,Severity_Matrix!$B$3:$B$10,0),MATCH('Error Log'!$G268,Severity_Matrix!$C$2:$M$2,0)),"No errors"))</f>
        <v>Major</v>
      </c>
      <c r="K268" s="113"/>
    </row>
    <row r="269" spans="1:11" s="114" customFormat="1">
      <c r="A269" s="81" t="s">
        <v>885</v>
      </c>
      <c r="B269" s="109">
        <v>2</v>
      </c>
      <c r="C269" s="81" t="s">
        <v>688</v>
      </c>
      <c r="D269" s="81" t="s">
        <v>689</v>
      </c>
      <c r="E269" s="110" t="s">
        <v>21</v>
      </c>
      <c r="F269" s="110" t="s">
        <v>22</v>
      </c>
      <c r="G269" s="110" t="s">
        <v>57</v>
      </c>
      <c r="H269" s="110" t="s">
        <v>691</v>
      </c>
      <c r="I269" s="111"/>
      <c r="J269" s="112" t="str">
        <f>IF(E269="Invalid_Segment","Invalid",IFERROR(INDEX(Severity_Matrix!$C$3:$M$10,MATCH('Error Log'!$F269,Severity_Matrix!$B$3:$B$10,0),MATCH('Error Log'!$G269,Severity_Matrix!$C$2:$M$2,0)),"No errors"))</f>
        <v>Major</v>
      </c>
      <c r="K269" s="113"/>
    </row>
    <row r="270" spans="1:11" s="114" customFormat="1">
      <c r="A270" s="81" t="s">
        <v>885</v>
      </c>
      <c r="B270" s="109">
        <v>3</v>
      </c>
      <c r="C270" s="81" t="s">
        <v>688</v>
      </c>
      <c r="D270" s="81" t="s">
        <v>689</v>
      </c>
      <c r="E270" s="110" t="s">
        <v>21</v>
      </c>
      <c r="F270" s="110" t="s">
        <v>7</v>
      </c>
      <c r="G270" s="110" t="s">
        <v>57</v>
      </c>
      <c r="H270" s="110" t="s">
        <v>692</v>
      </c>
      <c r="I270" s="111"/>
      <c r="J270" s="112" t="str">
        <f>IF(E270="Invalid_Segment","Invalid",IFERROR(INDEX(Severity_Matrix!$C$3:$M$10,MATCH('Error Log'!$F270,Severity_Matrix!$B$3:$B$10,0),MATCH('Error Log'!$G270,Severity_Matrix!$C$2:$M$2,0)),"No errors"))</f>
        <v>Critical</v>
      </c>
      <c r="K270" s="113"/>
    </row>
    <row r="271" spans="1:11">
      <c r="A271" s="81" t="s">
        <v>886</v>
      </c>
      <c r="B271" s="93">
        <v>1</v>
      </c>
      <c r="C271" s="81" t="s">
        <v>693</v>
      </c>
      <c r="D271" s="81" t="s">
        <v>694</v>
      </c>
      <c r="E271" s="95" t="s">
        <v>21</v>
      </c>
      <c r="F271" s="95" t="s">
        <v>22</v>
      </c>
      <c r="G271" s="95" t="s">
        <v>28</v>
      </c>
      <c r="H271" s="95" t="s">
        <v>695</v>
      </c>
      <c r="I271" s="96"/>
      <c r="J271" s="83" t="str">
        <f>IF(E271="Invalid_Segment","Invalid",IFERROR(INDEX(Severity_Matrix!$C$3:$M$10,MATCH('Error Log'!$F271,Severity_Matrix!$B$3:$B$10,0),MATCH('Error Log'!$G271,Severity_Matrix!$C$2:$M$2,0)),"No errors"))</f>
        <v>Major</v>
      </c>
    </row>
    <row r="272" spans="1:11">
      <c r="A272" s="81" t="s">
        <v>886</v>
      </c>
      <c r="B272" s="93">
        <v>2</v>
      </c>
      <c r="C272" s="81" t="s">
        <v>693</v>
      </c>
      <c r="D272" s="81" t="s">
        <v>694</v>
      </c>
      <c r="E272" s="95" t="s">
        <v>21</v>
      </c>
      <c r="F272" s="95" t="s">
        <v>22</v>
      </c>
      <c r="G272" s="95" t="s">
        <v>28</v>
      </c>
      <c r="H272" s="95" t="s">
        <v>696</v>
      </c>
      <c r="I272" s="96"/>
      <c r="J272" s="83" t="str">
        <f>IF(E272="Invalid_Segment","Invalid",IFERROR(INDEX(Severity_Matrix!$C$3:$M$10,MATCH('Error Log'!$F272,Severity_Matrix!$B$3:$B$10,0),MATCH('Error Log'!$G272,Severity_Matrix!$C$2:$M$2,0)),"No errors"))</f>
        <v>Major</v>
      </c>
    </row>
    <row r="273" spans="1:10">
      <c r="A273" s="81" t="s">
        <v>886</v>
      </c>
      <c r="B273" s="93">
        <v>3</v>
      </c>
      <c r="C273" s="81" t="s">
        <v>693</v>
      </c>
      <c r="D273" s="81" t="s">
        <v>694</v>
      </c>
      <c r="E273" s="95" t="s">
        <v>21</v>
      </c>
      <c r="F273" s="95" t="s">
        <v>22</v>
      </c>
      <c r="G273" s="95" t="s">
        <v>57</v>
      </c>
      <c r="H273" s="95" t="s">
        <v>697</v>
      </c>
      <c r="I273" s="96"/>
      <c r="J273" s="83" t="str">
        <f>IF(E273="Invalid_Segment","Invalid",IFERROR(INDEX(Severity_Matrix!$C$3:$M$10,MATCH('Error Log'!$F273,Severity_Matrix!$B$3:$B$10,0),MATCH('Error Log'!$G273,Severity_Matrix!$C$2:$M$2,0)),"No errors"))</f>
        <v>Major</v>
      </c>
    </row>
    <row r="274" spans="1:10">
      <c r="A274" s="81" t="s">
        <v>886</v>
      </c>
      <c r="B274" s="93">
        <v>4</v>
      </c>
      <c r="C274" s="81" t="s">
        <v>693</v>
      </c>
      <c r="D274" s="81" t="s">
        <v>694</v>
      </c>
      <c r="E274" s="95" t="s">
        <v>21</v>
      </c>
      <c r="F274" s="95" t="s">
        <v>7</v>
      </c>
      <c r="G274" s="95" t="s">
        <v>57</v>
      </c>
      <c r="H274" s="95" t="s">
        <v>698</v>
      </c>
      <c r="I274" s="96"/>
      <c r="J274" s="83" t="str">
        <f>IF(E274="Invalid_Segment","Invalid",IFERROR(INDEX(Severity_Matrix!$C$3:$M$10,MATCH('Error Log'!$F274,Severity_Matrix!$B$3:$B$10,0),MATCH('Error Log'!$G274,Severity_Matrix!$C$2:$M$2,0)),"No errors"))</f>
        <v>Critical</v>
      </c>
    </row>
    <row r="275" spans="1:10">
      <c r="A275" s="81" t="s">
        <v>887</v>
      </c>
      <c r="B275" s="93">
        <v>1</v>
      </c>
      <c r="C275" s="81" t="s">
        <v>699</v>
      </c>
      <c r="D275" s="81" t="s">
        <v>700</v>
      </c>
      <c r="E275" s="95" t="s">
        <v>21</v>
      </c>
      <c r="F275" s="95" t="s">
        <v>22</v>
      </c>
      <c r="G275" s="95" t="s">
        <v>28</v>
      </c>
      <c r="H275" s="95" t="s">
        <v>701</v>
      </c>
      <c r="I275" s="96"/>
      <c r="J275" s="83" t="str">
        <f>IF(E275="Invalid_Segment","Invalid",IFERROR(INDEX(Severity_Matrix!$C$3:$M$10,MATCH('Error Log'!$F275,Severity_Matrix!$B$3:$B$10,0),MATCH('Error Log'!$G275,Severity_Matrix!$C$2:$M$2,0)),"No errors"))</f>
        <v>Major</v>
      </c>
    </row>
    <row r="276" spans="1:10">
      <c r="A276" s="81" t="s">
        <v>887</v>
      </c>
      <c r="B276" s="93">
        <v>2</v>
      </c>
      <c r="C276" s="81" t="s">
        <v>699</v>
      </c>
      <c r="D276" s="81" t="s">
        <v>700</v>
      </c>
      <c r="E276" s="95" t="s">
        <v>21</v>
      </c>
      <c r="F276" s="95" t="s">
        <v>22</v>
      </c>
      <c r="G276" s="95" t="s">
        <v>57</v>
      </c>
      <c r="H276" s="95" t="s">
        <v>702</v>
      </c>
      <c r="I276" s="96"/>
      <c r="J276" s="83" t="str">
        <f>IF(E276="Invalid_Segment","Invalid",IFERROR(INDEX(Severity_Matrix!$C$3:$M$10,MATCH('Error Log'!$F276,Severity_Matrix!$B$3:$B$10,0),MATCH('Error Log'!$G276,Severity_Matrix!$C$2:$M$2,0)),"No errors"))</f>
        <v>Major</v>
      </c>
    </row>
    <row r="277" spans="1:10">
      <c r="A277" s="81" t="s">
        <v>888</v>
      </c>
      <c r="B277" s="93">
        <v>1</v>
      </c>
      <c r="C277" s="81" t="s">
        <v>703</v>
      </c>
      <c r="D277" s="81" t="s">
        <v>704</v>
      </c>
      <c r="E277" s="95" t="s">
        <v>2</v>
      </c>
      <c r="F277" s="95" t="s">
        <v>26</v>
      </c>
      <c r="G277" s="95" t="s">
        <v>57</v>
      </c>
      <c r="H277" s="95" t="s">
        <v>705</v>
      </c>
      <c r="I277" s="96"/>
      <c r="J277" s="83" t="str">
        <f>IF(E277="Invalid_Segment","Invalid",IFERROR(INDEX(Severity_Matrix!$C$3:$M$10,MATCH('Error Log'!$F277,Severity_Matrix!$B$3:$B$10,0),MATCH('Error Log'!$G277,Severity_Matrix!$C$2:$M$2,0)),"No errors"))</f>
        <v>Major</v>
      </c>
    </row>
    <row r="278" spans="1:10">
      <c r="A278" s="79" t="s">
        <v>889</v>
      </c>
      <c r="B278" s="93">
        <v>1</v>
      </c>
      <c r="C278" s="79" t="s">
        <v>706</v>
      </c>
      <c r="D278" s="79" t="s">
        <v>707</v>
      </c>
      <c r="E278" s="95"/>
      <c r="F278" s="95"/>
      <c r="G278" s="95"/>
      <c r="H278" s="95"/>
      <c r="I278" s="95"/>
      <c r="J278" s="83" t="str">
        <f>IF(E278="Invalid_Segment","Invalid",IFERROR(INDEX(Severity_Matrix!$C$3:$M$10,MATCH('Error Log'!$F278,Severity_Matrix!$B$3:$B$10,0),MATCH('Error Log'!$G278,Severity_Matrix!$C$2:$M$2,0)),"No errors"))</f>
        <v>No errors</v>
      </c>
    </row>
    <row r="279" spans="1:10">
      <c r="A279" s="81" t="s">
        <v>890</v>
      </c>
      <c r="B279" s="93">
        <v>1</v>
      </c>
      <c r="C279" s="81" t="s">
        <v>708</v>
      </c>
      <c r="D279" s="81" t="s">
        <v>709</v>
      </c>
      <c r="E279" s="95" t="s">
        <v>21</v>
      </c>
      <c r="F279" s="95" t="s">
        <v>22</v>
      </c>
      <c r="G279" s="95" t="s">
        <v>57</v>
      </c>
      <c r="H279" s="95" t="s">
        <v>710</v>
      </c>
      <c r="I279" s="96"/>
      <c r="J279" s="83" t="str">
        <f>IF(E279="Invalid_Segment","Invalid",IFERROR(INDEX(Severity_Matrix!$C$3:$M$10,MATCH('Error Log'!$F279,Severity_Matrix!$B$3:$B$10,0),MATCH('Error Log'!$G279,Severity_Matrix!$C$2:$M$2,0)),"No errors"))</f>
        <v>Major</v>
      </c>
    </row>
    <row r="280" spans="1:10">
      <c r="A280" s="81" t="s">
        <v>890</v>
      </c>
      <c r="B280" s="93">
        <v>2</v>
      </c>
      <c r="C280" s="81" t="s">
        <v>708</v>
      </c>
      <c r="D280" s="81" t="s">
        <v>709</v>
      </c>
      <c r="E280" s="95" t="s">
        <v>21</v>
      </c>
      <c r="F280" s="95" t="s">
        <v>7</v>
      </c>
      <c r="G280" s="95" t="s">
        <v>57</v>
      </c>
      <c r="H280" s="95" t="s">
        <v>711</v>
      </c>
      <c r="I280" s="96"/>
      <c r="J280" s="83" t="str">
        <f>IF(E280="Invalid_Segment","Invalid",IFERROR(INDEX(Severity_Matrix!$C$3:$M$10,MATCH('Error Log'!$F280,Severity_Matrix!$B$3:$B$10,0),MATCH('Error Log'!$G280,Severity_Matrix!$C$2:$M$2,0)),"No errors"))</f>
        <v>Critical</v>
      </c>
    </row>
    <row r="281" spans="1:10">
      <c r="A281" s="81" t="s">
        <v>891</v>
      </c>
      <c r="B281" s="93">
        <v>1</v>
      </c>
      <c r="C281" s="81" t="s">
        <v>712</v>
      </c>
      <c r="D281" s="81" t="s">
        <v>713</v>
      </c>
      <c r="E281" s="95" t="s">
        <v>21</v>
      </c>
      <c r="F281" s="95" t="s">
        <v>22</v>
      </c>
      <c r="G281" s="95" t="s">
        <v>28</v>
      </c>
      <c r="H281" s="95" t="s">
        <v>701</v>
      </c>
      <c r="I281" s="96"/>
      <c r="J281" s="83" t="str">
        <f>IF(E281="Invalid_Segment","Invalid",IFERROR(INDEX(Severity_Matrix!$C$3:$M$10,MATCH('Error Log'!$F281,Severity_Matrix!$B$3:$B$10,0),MATCH('Error Log'!$G281,Severity_Matrix!$C$2:$M$2,0)),"No errors"))</f>
        <v>Major</v>
      </c>
    </row>
    <row r="282" spans="1:10">
      <c r="A282" s="81" t="s">
        <v>891</v>
      </c>
      <c r="B282" s="93">
        <v>2</v>
      </c>
      <c r="C282" s="81" t="s">
        <v>712</v>
      </c>
      <c r="D282" s="81" t="s">
        <v>713</v>
      </c>
      <c r="E282" s="95" t="s">
        <v>21</v>
      </c>
      <c r="F282" s="95" t="s">
        <v>22</v>
      </c>
      <c r="G282" s="95" t="s">
        <v>57</v>
      </c>
      <c r="H282" s="95" t="s">
        <v>714</v>
      </c>
      <c r="I282" s="96"/>
      <c r="J282" s="83" t="str">
        <f>IF(E282="Invalid_Segment","Invalid",IFERROR(INDEX(Severity_Matrix!$C$3:$M$10,MATCH('Error Log'!$F282,Severity_Matrix!$B$3:$B$10,0),MATCH('Error Log'!$G282,Severity_Matrix!$C$2:$M$2,0)),"No errors"))</f>
        <v>Major</v>
      </c>
    </row>
    <row r="283" spans="1:10">
      <c r="A283" s="81" t="s">
        <v>891</v>
      </c>
      <c r="B283" s="93">
        <v>3</v>
      </c>
      <c r="C283" s="81" t="s">
        <v>712</v>
      </c>
      <c r="D283" s="81" t="s">
        <v>713</v>
      </c>
      <c r="E283" s="95" t="s">
        <v>21</v>
      </c>
      <c r="F283" s="95" t="s">
        <v>7</v>
      </c>
      <c r="G283" s="95" t="s">
        <v>57</v>
      </c>
      <c r="H283" s="95" t="s">
        <v>715</v>
      </c>
      <c r="I283" s="96"/>
      <c r="J283" s="83" t="str">
        <f>IF(E283="Invalid_Segment","Invalid",IFERROR(INDEX(Severity_Matrix!$C$3:$M$10,MATCH('Error Log'!$F283,Severity_Matrix!$B$3:$B$10,0),MATCH('Error Log'!$G283,Severity_Matrix!$C$2:$M$2,0)),"No errors"))</f>
        <v>Critical</v>
      </c>
    </row>
    <row r="284" spans="1:10">
      <c r="A284" s="81" t="s">
        <v>892</v>
      </c>
      <c r="B284" s="93">
        <v>1</v>
      </c>
      <c r="C284" s="81" t="s">
        <v>716</v>
      </c>
      <c r="D284" s="81" t="s">
        <v>717</v>
      </c>
      <c r="E284" s="95" t="s">
        <v>21</v>
      </c>
      <c r="F284" s="95" t="s">
        <v>22</v>
      </c>
      <c r="G284" s="95" t="s">
        <v>57</v>
      </c>
      <c r="H284" s="102" t="s">
        <v>718</v>
      </c>
      <c r="I284" s="96"/>
      <c r="J284" s="83" t="str">
        <f>IF(E284="Invalid_Segment","Invalid",IFERROR(INDEX(Severity_Matrix!$C$3:$M$10,MATCH('Error Log'!$F284,Severity_Matrix!$B$3:$B$10,0),MATCH('Error Log'!$G284,Severity_Matrix!$C$2:$M$2,0)),"No errors"))</f>
        <v>Major</v>
      </c>
    </row>
    <row r="285" spans="1:10">
      <c r="A285" s="81" t="s">
        <v>892</v>
      </c>
      <c r="B285" s="93">
        <v>2</v>
      </c>
      <c r="C285" s="81" t="s">
        <v>716</v>
      </c>
      <c r="D285" s="81" t="s">
        <v>717</v>
      </c>
      <c r="E285" s="95" t="s">
        <v>21</v>
      </c>
      <c r="F285" s="95" t="s">
        <v>7</v>
      </c>
      <c r="G285" s="95" t="s">
        <v>57</v>
      </c>
      <c r="H285" s="95" t="s">
        <v>719</v>
      </c>
      <c r="I285" s="96"/>
      <c r="J285" s="83" t="str">
        <f>IF(E285="Invalid_Segment","Invalid",IFERROR(INDEX(Severity_Matrix!$C$3:$M$10,MATCH('Error Log'!$F285,Severity_Matrix!$B$3:$B$10,0),MATCH('Error Log'!$G285,Severity_Matrix!$C$2:$M$2,0)),"No errors"))</f>
        <v>Critical</v>
      </c>
    </row>
    <row r="286" spans="1:10">
      <c r="A286" s="81" t="s">
        <v>893</v>
      </c>
      <c r="B286" s="93">
        <v>1</v>
      </c>
      <c r="C286" s="81" t="s">
        <v>720</v>
      </c>
      <c r="D286" s="81" t="s">
        <v>721</v>
      </c>
      <c r="E286" s="95" t="s">
        <v>21</v>
      </c>
      <c r="F286" s="95" t="s">
        <v>22</v>
      </c>
      <c r="G286" s="95" t="s">
        <v>57</v>
      </c>
      <c r="H286" s="95" t="s">
        <v>722</v>
      </c>
      <c r="I286" s="96"/>
      <c r="J286" s="83" t="str">
        <f>IF(E286="Invalid_Segment","Invalid",IFERROR(INDEX(Severity_Matrix!$C$3:$M$10,MATCH('Error Log'!$F286,Severity_Matrix!$B$3:$B$10,0),MATCH('Error Log'!$G286,Severity_Matrix!$C$2:$M$2,0)),"No errors"))</f>
        <v>Major</v>
      </c>
    </row>
    <row r="287" spans="1:10">
      <c r="A287" s="81" t="s">
        <v>893</v>
      </c>
      <c r="B287" s="93">
        <v>2</v>
      </c>
      <c r="C287" s="81" t="s">
        <v>720</v>
      </c>
      <c r="D287" s="81" t="s">
        <v>721</v>
      </c>
      <c r="E287" s="95" t="s">
        <v>21</v>
      </c>
      <c r="F287" s="95" t="s">
        <v>22</v>
      </c>
      <c r="G287" s="95" t="s">
        <v>57</v>
      </c>
      <c r="H287" s="95" t="s">
        <v>723</v>
      </c>
      <c r="I287" s="96"/>
      <c r="J287" s="83" t="str">
        <f>IF(E287="Invalid_Segment","Invalid",IFERROR(INDEX(Severity_Matrix!$C$3:$M$10,MATCH('Error Log'!$F287,Severity_Matrix!$B$3:$B$10,0),MATCH('Error Log'!$G287,Severity_Matrix!$C$2:$M$2,0)),"No errors"))</f>
        <v>Major</v>
      </c>
    </row>
    <row r="288" spans="1:10">
      <c r="A288" s="81" t="s">
        <v>893</v>
      </c>
      <c r="B288" s="93">
        <v>3</v>
      </c>
      <c r="C288" s="81" t="s">
        <v>720</v>
      </c>
      <c r="D288" s="81" t="s">
        <v>721</v>
      </c>
      <c r="E288" s="95" t="s">
        <v>21</v>
      </c>
      <c r="F288" s="95" t="s">
        <v>22</v>
      </c>
      <c r="G288" s="95" t="s">
        <v>28</v>
      </c>
      <c r="H288" s="95" t="s">
        <v>482</v>
      </c>
      <c r="I288" s="96"/>
      <c r="J288" s="83" t="str">
        <f>IF(E288="Invalid_Segment","Invalid",IFERROR(INDEX(Severity_Matrix!$C$3:$M$10,MATCH('Error Log'!$F288,Severity_Matrix!$B$3:$B$10,0),MATCH('Error Log'!$G288,Severity_Matrix!$C$2:$M$2,0)),"No errors"))</f>
        <v>Major</v>
      </c>
    </row>
    <row r="289" spans="1:10">
      <c r="A289" s="81" t="s">
        <v>893</v>
      </c>
      <c r="B289" s="93">
        <v>4</v>
      </c>
      <c r="C289" s="81" t="s">
        <v>720</v>
      </c>
      <c r="D289" s="81" t="s">
        <v>721</v>
      </c>
      <c r="E289" s="95" t="s">
        <v>21</v>
      </c>
      <c r="F289" s="95" t="s">
        <v>7</v>
      </c>
      <c r="G289" s="95" t="s">
        <v>57</v>
      </c>
      <c r="H289" s="95" t="s">
        <v>877</v>
      </c>
      <c r="I289" s="96"/>
      <c r="J289" s="83" t="str">
        <f>IF(E289="Invalid_Segment","Invalid",IFERROR(INDEX(Severity_Matrix!$C$3:$M$10,MATCH('Error Log'!$F289,Severity_Matrix!$B$3:$B$10,0),MATCH('Error Log'!$G289,Severity_Matrix!$C$2:$M$2,0)),"No errors"))</f>
        <v>Critical</v>
      </c>
    </row>
    <row r="290" spans="1:10">
      <c r="A290" s="81" t="s">
        <v>894</v>
      </c>
      <c r="B290" s="93">
        <v>1</v>
      </c>
      <c r="C290" s="81" t="s">
        <v>724</v>
      </c>
      <c r="D290" s="81" t="s">
        <v>725</v>
      </c>
      <c r="E290" s="95" t="s">
        <v>21</v>
      </c>
      <c r="F290" s="95" t="s">
        <v>22</v>
      </c>
      <c r="G290" s="95" t="s">
        <v>57</v>
      </c>
      <c r="H290" s="95" t="s">
        <v>726</v>
      </c>
      <c r="I290" s="96"/>
      <c r="J290" s="83" t="str">
        <f>IF(E290="Invalid_Segment","Invalid",IFERROR(INDEX(Severity_Matrix!$C$3:$M$10,MATCH('Error Log'!$F290,Severity_Matrix!$B$3:$B$10,0),MATCH('Error Log'!$G290,Severity_Matrix!$C$2:$M$2,0)),"No errors"))</f>
        <v>Major</v>
      </c>
    </row>
    <row r="291" spans="1:10">
      <c r="A291" s="81" t="s">
        <v>894</v>
      </c>
      <c r="B291" s="93">
        <v>2</v>
      </c>
      <c r="C291" s="81" t="s">
        <v>724</v>
      </c>
      <c r="D291" s="81" t="s">
        <v>725</v>
      </c>
      <c r="E291" s="95" t="s">
        <v>21</v>
      </c>
      <c r="F291" s="95" t="s">
        <v>7</v>
      </c>
      <c r="G291" s="95" t="s">
        <v>57</v>
      </c>
      <c r="H291" s="95" t="s">
        <v>727</v>
      </c>
      <c r="I291" s="96"/>
      <c r="J291" s="83" t="str">
        <f>IF(E291="Invalid_Segment","Invalid",IFERROR(INDEX(Severity_Matrix!$C$3:$M$10,MATCH('Error Log'!$F291,Severity_Matrix!$B$3:$B$10,0),MATCH('Error Log'!$G291,Severity_Matrix!$C$2:$M$2,0)),"No errors"))</f>
        <v>Critical</v>
      </c>
    </row>
    <row r="292" spans="1:10">
      <c r="A292" s="81" t="s">
        <v>895</v>
      </c>
      <c r="B292" s="93">
        <v>1</v>
      </c>
      <c r="C292" s="81" t="s">
        <v>728</v>
      </c>
      <c r="D292" s="81" t="s">
        <v>729</v>
      </c>
      <c r="E292" s="95" t="s">
        <v>2</v>
      </c>
      <c r="F292" s="95" t="s">
        <v>26</v>
      </c>
      <c r="G292" s="95" t="s">
        <v>57</v>
      </c>
      <c r="H292" s="95" t="s">
        <v>730</v>
      </c>
      <c r="I292" s="96"/>
      <c r="J292" s="83" t="str">
        <f>IF(E292="Invalid_Segment","Invalid",IFERROR(INDEX(Severity_Matrix!$C$3:$M$10,MATCH('Error Log'!$F292,Severity_Matrix!$B$3:$B$10,0),MATCH('Error Log'!$G292,Severity_Matrix!$C$2:$M$2,0)),"No errors"))</f>
        <v>Major</v>
      </c>
    </row>
    <row r="293" spans="1:10">
      <c r="A293" s="81" t="s">
        <v>895</v>
      </c>
      <c r="B293" s="93">
        <v>2</v>
      </c>
      <c r="C293" s="81" t="s">
        <v>728</v>
      </c>
      <c r="D293" s="81" t="s">
        <v>729</v>
      </c>
      <c r="E293" s="95" t="s">
        <v>21</v>
      </c>
      <c r="F293" s="95" t="s">
        <v>7</v>
      </c>
      <c r="G293" s="95" t="s">
        <v>57</v>
      </c>
      <c r="H293" s="95" t="s">
        <v>731</v>
      </c>
      <c r="I293" s="96"/>
      <c r="J293" s="83" t="str">
        <f>IF(E293="Invalid_Segment","Invalid",IFERROR(INDEX(Severity_Matrix!$C$3:$M$10,MATCH('Error Log'!$F293,Severity_Matrix!$B$3:$B$10,0),MATCH('Error Log'!$G293,Severity_Matrix!$C$2:$M$2,0)),"No errors"))</f>
        <v>Critical</v>
      </c>
    </row>
    <row r="294" spans="1:10">
      <c r="A294" s="81" t="s">
        <v>895</v>
      </c>
      <c r="B294" s="93">
        <v>3</v>
      </c>
      <c r="C294" s="81" t="s">
        <v>728</v>
      </c>
      <c r="D294" s="81" t="s">
        <v>729</v>
      </c>
      <c r="E294" s="95" t="s">
        <v>21</v>
      </c>
      <c r="F294" s="95" t="s">
        <v>22</v>
      </c>
      <c r="G294" s="95" t="s">
        <v>57</v>
      </c>
      <c r="H294" s="95" t="s">
        <v>732</v>
      </c>
      <c r="I294" s="96"/>
      <c r="J294" s="83" t="str">
        <f>IF(E294="Invalid_Segment","Invalid",IFERROR(INDEX(Severity_Matrix!$C$3:$M$10,MATCH('Error Log'!$F294,Severity_Matrix!$B$3:$B$10,0),MATCH('Error Log'!$G294,Severity_Matrix!$C$2:$M$2,0)),"No errors"))</f>
        <v>Major</v>
      </c>
    </row>
    <row r="295" spans="1:10">
      <c r="A295" s="80" t="s">
        <v>896</v>
      </c>
      <c r="B295" s="93">
        <v>1</v>
      </c>
      <c r="C295" s="81" t="s">
        <v>733</v>
      </c>
      <c r="D295" s="103" t="s">
        <v>734</v>
      </c>
      <c r="E295" s="95" t="s">
        <v>21</v>
      </c>
      <c r="F295" s="95" t="s">
        <v>22</v>
      </c>
      <c r="G295" s="95" t="s">
        <v>57</v>
      </c>
      <c r="H295" s="95" t="s">
        <v>735</v>
      </c>
      <c r="I295" s="96"/>
      <c r="J295" s="83" t="str">
        <f>IF(E295="Invalid_Segment","Invalid",IFERROR(INDEX(Severity_Matrix!$C$3:$M$10,MATCH('Error Log'!$F295,Severity_Matrix!$B$3:$B$10,0),MATCH('Error Log'!$G295,Severity_Matrix!$C$2:$M$2,0)),"No errors"))</f>
        <v>Major</v>
      </c>
    </row>
    <row r="296" spans="1:10">
      <c r="A296" s="80" t="s">
        <v>897</v>
      </c>
      <c r="B296" s="93">
        <v>1</v>
      </c>
      <c r="C296" s="103" t="s">
        <v>736</v>
      </c>
      <c r="D296" s="103" t="s">
        <v>737</v>
      </c>
      <c r="E296" s="95" t="s">
        <v>21</v>
      </c>
      <c r="F296" s="95" t="s">
        <v>7</v>
      </c>
      <c r="G296" s="95" t="s">
        <v>57</v>
      </c>
      <c r="H296" s="95" t="s">
        <v>738</v>
      </c>
      <c r="I296" s="96"/>
      <c r="J296" s="83" t="str">
        <f>IF(E296="Invalid_Segment","Invalid",IFERROR(INDEX(Severity_Matrix!$C$3:$M$10,MATCH('Error Log'!$F296,Severity_Matrix!$B$3:$B$10,0),MATCH('Error Log'!$G296,Severity_Matrix!$C$2:$M$2,0)),"No errors"))</f>
        <v>Critical</v>
      </c>
    </row>
    <row r="297" spans="1:10">
      <c r="A297" s="80" t="s">
        <v>898</v>
      </c>
      <c r="B297" s="93">
        <v>1</v>
      </c>
      <c r="C297" s="103" t="s">
        <v>739</v>
      </c>
      <c r="D297" s="103" t="s">
        <v>740</v>
      </c>
      <c r="E297" s="95" t="s">
        <v>21</v>
      </c>
      <c r="F297" s="95" t="s">
        <v>22</v>
      </c>
      <c r="G297" s="95" t="s">
        <v>57</v>
      </c>
      <c r="H297" s="95" t="s">
        <v>741</v>
      </c>
      <c r="I297" s="96"/>
      <c r="J297" s="83" t="str">
        <f>IF(E297="Invalid_Segment","Invalid",IFERROR(INDEX(Severity_Matrix!$C$3:$M$10,MATCH('Error Log'!$F297,Severity_Matrix!$B$3:$B$10,0),MATCH('Error Log'!$G297,Severity_Matrix!$C$2:$M$2,0)),"No errors"))</f>
        <v>Major</v>
      </c>
    </row>
    <row r="298" spans="1:10">
      <c r="A298" s="80" t="s">
        <v>898</v>
      </c>
      <c r="B298" s="93">
        <v>2</v>
      </c>
      <c r="C298" s="103" t="s">
        <v>739</v>
      </c>
      <c r="D298" s="103" t="s">
        <v>740</v>
      </c>
      <c r="E298" s="95" t="s">
        <v>21</v>
      </c>
      <c r="F298" s="95" t="s">
        <v>7</v>
      </c>
      <c r="G298" s="95" t="s">
        <v>57</v>
      </c>
      <c r="H298" s="95" t="s">
        <v>742</v>
      </c>
      <c r="I298" s="96"/>
      <c r="J298" s="83" t="str">
        <f>IF(E298="Invalid_Segment","Invalid",IFERROR(INDEX(Severity_Matrix!$C$3:$M$10,MATCH('Error Log'!$F298,Severity_Matrix!$B$3:$B$10,0),MATCH('Error Log'!$G298,Severity_Matrix!$C$2:$M$2,0)),"No errors"))</f>
        <v>Critical</v>
      </c>
    </row>
    <row r="299" spans="1:10">
      <c r="A299" s="80" t="s">
        <v>899</v>
      </c>
      <c r="B299" s="93">
        <v>1</v>
      </c>
      <c r="C299" s="103" t="s">
        <v>743</v>
      </c>
      <c r="D299" s="103" t="s">
        <v>744</v>
      </c>
      <c r="E299" s="95" t="s">
        <v>21</v>
      </c>
      <c r="F299" s="95" t="s">
        <v>22</v>
      </c>
      <c r="G299" s="95" t="s">
        <v>57</v>
      </c>
      <c r="H299" s="95" t="s">
        <v>745</v>
      </c>
      <c r="I299" s="96"/>
      <c r="J299" s="83" t="str">
        <f>IF(E299="Invalid_Segment","Invalid",IFERROR(INDEX(Severity_Matrix!$C$3:$M$10,MATCH('Error Log'!$F299,Severity_Matrix!$B$3:$B$10,0),MATCH('Error Log'!$G299,Severity_Matrix!$C$2:$M$2,0)),"No errors"))</f>
        <v>Major</v>
      </c>
    </row>
    <row r="300" spans="1:10">
      <c r="A300" s="80" t="s">
        <v>899</v>
      </c>
      <c r="B300" s="93">
        <v>2</v>
      </c>
      <c r="C300" s="103" t="s">
        <v>743</v>
      </c>
      <c r="D300" s="103" t="s">
        <v>744</v>
      </c>
      <c r="E300" s="95" t="s">
        <v>21</v>
      </c>
      <c r="F300" s="95" t="s">
        <v>7</v>
      </c>
      <c r="G300" s="95" t="s">
        <v>57</v>
      </c>
      <c r="H300" s="95" t="s">
        <v>746</v>
      </c>
      <c r="I300" s="96"/>
      <c r="J300" s="83" t="str">
        <f>IF(E300="Invalid_Segment","Invalid",IFERROR(INDEX(Severity_Matrix!$C$3:$M$10,MATCH('Error Log'!$F300,Severity_Matrix!$B$3:$B$10,0),MATCH('Error Log'!$G300,Severity_Matrix!$C$2:$M$2,0)),"No errors"))</f>
        <v>Critical</v>
      </c>
    </row>
    <row r="301" spans="1:10">
      <c r="A301" s="80" t="s">
        <v>900</v>
      </c>
      <c r="B301" s="93">
        <v>1</v>
      </c>
      <c r="C301" s="103" t="s">
        <v>747</v>
      </c>
      <c r="D301" s="103" t="s">
        <v>748</v>
      </c>
      <c r="E301" s="95" t="s">
        <v>21</v>
      </c>
      <c r="F301" s="95" t="s">
        <v>7</v>
      </c>
      <c r="G301" s="95" t="s">
        <v>57</v>
      </c>
      <c r="H301" s="95" t="s">
        <v>749</v>
      </c>
      <c r="I301" s="96"/>
      <c r="J301" s="83" t="str">
        <f>IF(E301="Invalid_Segment","Invalid",IFERROR(INDEX(Severity_Matrix!$C$3:$M$10,MATCH('Error Log'!$F301,Severity_Matrix!$B$3:$B$10,0),MATCH('Error Log'!$G301,Severity_Matrix!$C$2:$M$2,0)),"No errors"))</f>
        <v>Critical</v>
      </c>
    </row>
    <row r="302" spans="1:10">
      <c r="A302" s="80" t="s">
        <v>900</v>
      </c>
      <c r="B302" s="93">
        <v>2</v>
      </c>
      <c r="C302" s="103" t="s">
        <v>747</v>
      </c>
      <c r="D302" s="103" t="s">
        <v>748</v>
      </c>
      <c r="E302" s="95" t="s">
        <v>21</v>
      </c>
      <c r="F302" s="95" t="s">
        <v>7</v>
      </c>
      <c r="G302" s="95" t="s">
        <v>57</v>
      </c>
      <c r="H302" s="104" t="s">
        <v>750</v>
      </c>
      <c r="I302" s="96"/>
      <c r="J302" s="83" t="str">
        <f>IF(E302="Invalid_Segment","Invalid",IFERROR(INDEX(Severity_Matrix!$C$3:$M$10,MATCH('Error Log'!$F302,Severity_Matrix!$B$3:$B$10,0),MATCH('Error Log'!$G302,Severity_Matrix!$C$2:$M$2,0)),"No errors"))</f>
        <v>Critical</v>
      </c>
    </row>
    <row r="303" spans="1:10">
      <c r="A303" s="80" t="s">
        <v>901</v>
      </c>
      <c r="B303" s="93">
        <v>1</v>
      </c>
      <c r="C303" s="103" t="s">
        <v>751</v>
      </c>
      <c r="D303" s="103" t="s">
        <v>752</v>
      </c>
      <c r="E303" s="95" t="s">
        <v>21</v>
      </c>
      <c r="F303" s="95" t="s">
        <v>22</v>
      </c>
      <c r="G303" s="95" t="s">
        <v>57</v>
      </c>
      <c r="H303" s="95" t="s">
        <v>753</v>
      </c>
      <c r="I303" s="96"/>
      <c r="J303" s="83" t="str">
        <f>IF(E303="Invalid_Segment","Invalid",IFERROR(INDEX(Severity_Matrix!$C$3:$M$10,MATCH('Error Log'!$F303,Severity_Matrix!$B$3:$B$10,0),MATCH('Error Log'!$G303,Severity_Matrix!$C$2:$M$2,0)),"No errors"))</f>
        <v>Major</v>
      </c>
    </row>
    <row r="304" spans="1:10">
      <c r="A304" s="80" t="s">
        <v>902</v>
      </c>
      <c r="B304" s="93">
        <v>1</v>
      </c>
      <c r="C304" s="103" t="s">
        <v>754</v>
      </c>
      <c r="D304" s="103" t="s">
        <v>755</v>
      </c>
      <c r="E304" s="95" t="s">
        <v>21</v>
      </c>
      <c r="F304" s="95" t="s">
        <v>22</v>
      </c>
      <c r="G304" s="95" t="s">
        <v>28</v>
      </c>
      <c r="H304" s="104" t="s">
        <v>756</v>
      </c>
      <c r="I304" s="96"/>
      <c r="J304" s="83" t="str">
        <f>IF(E304="Invalid_Segment","Invalid",IFERROR(INDEX(Severity_Matrix!$C$3:$M$10,MATCH('Error Log'!$F304,Severity_Matrix!$B$3:$B$10,0),MATCH('Error Log'!$G304,Severity_Matrix!$C$2:$M$2,0)),"No errors"))</f>
        <v>Major</v>
      </c>
    </row>
    <row r="305" spans="1:10">
      <c r="A305" s="80" t="s">
        <v>902</v>
      </c>
      <c r="B305" s="93">
        <v>2</v>
      </c>
      <c r="C305" s="103" t="s">
        <v>754</v>
      </c>
      <c r="D305" s="103" t="s">
        <v>755</v>
      </c>
      <c r="E305" s="95" t="s">
        <v>21</v>
      </c>
      <c r="F305" s="95" t="s">
        <v>22</v>
      </c>
      <c r="G305" s="95" t="s">
        <v>57</v>
      </c>
      <c r="H305" s="95" t="s">
        <v>757</v>
      </c>
      <c r="I305" s="96"/>
      <c r="J305" s="83" t="str">
        <f>IF(E305="Invalid_Segment","Invalid",IFERROR(INDEX(Severity_Matrix!$C$3:$M$10,MATCH('Error Log'!$F305,Severity_Matrix!$B$3:$B$10,0),MATCH('Error Log'!$G305,Severity_Matrix!$C$2:$M$2,0)),"No errors"))</f>
        <v>Major</v>
      </c>
    </row>
    <row r="306" spans="1:10">
      <c r="A306" s="80" t="s">
        <v>903</v>
      </c>
      <c r="B306" s="93">
        <v>1</v>
      </c>
      <c r="C306" s="103" t="s">
        <v>758</v>
      </c>
      <c r="D306" s="103" t="s">
        <v>759</v>
      </c>
      <c r="E306" s="95" t="s">
        <v>21</v>
      </c>
      <c r="F306" s="95" t="s">
        <v>22</v>
      </c>
      <c r="G306" s="95" t="s">
        <v>28</v>
      </c>
      <c r="H306" s="95" t="s">
        <v>701</v>
      </c>
      <c r="I306" s="96"/>
      <c r="J306" s="83" t="str">
        <f>IF(E306="Invalid_Segment","Invalid",IFERROR(INDEX(Severity_Matrix!$C$3:$M$10,MATCH('Error Log'!$F306,Severity_Matrix!$B$3:$B$10,0),MATCH('Error Log'!$G306,Severity_Matrix!$C$2:$M$2,0)),"No errors"))</f>
        <v>Major</v>
      </c>
    </row>
    <row r="307" spans="1:10">
      <c r="A307" s="80" t="s">
        <v>904</v>
      </c>
      <c r="B307" s="93">
        <v>1</v>
      </c>
      <c r="C307" s="103" t="s">
        <v>760</v>
      </c>
      <c r="D307" s="103" t="s">
        <v>761</v>
      </c>
      <c r="E307" s="95"/>
      <c r="F307" s="95"/>
      <c r="G307" s="95"/>
      <c r="H307" s="95"/>
      <c r="I307" s="96"/>
      <c r="J307" s="83" t="str">
        <f>IF(E307="Invalid_Segment","Invalid",IFERROR(INDEX(Severity_Matrix!$C$3:$M$10,MATCH('Error Log'!$F307,Severity_Matrix!$B$3:$B$10,0),MATCH('Error Log'!$G307,Severity_Matrix!$C$2:$M$2,0)),"No errors"))</f>
        <v>No errors</v>
      </c>
    </row>
    <row r="308" spans="1:10">
      <c r="A308" s="80" t="s">
        <v>905</v>
      </c>
      <c r="B308" s="93">
        <v>1</v>
      </c>
      <c r="C308" s="103" t="s">
        <v>762</v>
      </c>
      <c r="D308" s="103" t="s">
        <v>763</v>
      </c>
      <c r="E308" s="95" t="s">
        <v>2</v>
      </c>
      <c r="F308" s="95" t="s">
        <v>26</v>
      </c>
      <c r="G308" s="95" t="s">
        <v>57</v>
      </c>
      <c r="H308" s="95" t="s">
        <v>764</v>
      </c>
      <c r="I308" s="96"/>
      <c r="J308" s="83" t="str">
        <f>IF(E308="Invalid_Segment","Invalid",IFERROR(INDEX(Severity_Matrix!$C$3:$M$10,MATCH('Error Log'!$F308,Severity_Matrix!$B$3:$B$10,0),MATCH('Error Log'!$G308,Severity_Matrix!$C$2:$M$2,0)),"No errors"))</f>
        <v>Major</v>
      </c>
    </row>
    <row r="309" spans="1:10">
      <c r="A309" s="80" t="s">
        <v>905</v>
      </c>
      <c r="B309" s="93">
        <v>2</v>
      </c>
      <c r="C309" s="103" t="s">
        <v>762</v>
      </c>
      <c r="D309" s="103" t="s">
        <v>763</v>
      </c>
      <c r="E309" s="95" t="s">
        <v>2</v>
      </c>
      <c r="F309" s="95" t="s">
        <v>26</v>
      </c>
      <c r="G309" s="95" t="s">
        <v>57</v>
      </c>
      <c r="H309" s="95" t="s">
        <v>765</v>
      </c>
      <c r="I309" s="96"/>
      <c r="J309" s="83" t="str">
        <f>IF(E309="Invalid_Segment","Invalid",IFERROR(INDEX(Severity_Matrix!$C$3:$M$10,MATCH('Error Log'!$F309,Severity_Matrix!$B$3:$B$10,0),MATCH('Error Log'!$G309,Severity_Matrix!$C$2:$M$2,0)),"No errors"))</f>
        <v>Major</v>
      </c>
    </row>
    <row r="310" spans="1:10">
      <c r="A310" s="80" t="s">
        <v>905</v>
      </c>
      <c r="B310" s="93">
        <v>3</v>
      </c>
      <c r="C310" s="103" t="s">
        <v>762</v>
      </c>
      <c r="D310" s="103" t="s">
        <v>763</v>
      </c>
      <c r="E310" s="95" t="s">
        <v>21</v>
      </c>
      <c r="F310" s="95" t="s">
        <v>7</v>
      </c>
      <c r="G310" s="95" t="s">
        <v>57</v>
      </c>
      <c r="H310" s="95" t="s">
        <v>766</v>
      </c>
      <c r="I310" s="96"/>
      <c r="J310" s="83" t="str">
        <f>IF(E310="Invalid_Segment","Invalid",IFERROR(INDEX(Severity_Matrix!$C$3:$M$10,MATCH('Error Log'!$F310,Severity_Matrix!$B$3:$B$10,0),MATCH('Error Log'!$G310,Severity_Matrix!$C$2:$M$2,0)),"No errors"))</f>
        <v>Critical</v>
      </c>
    </row>
    <row r="311" spans="1:10">
      <c r="A311" s="80" t="s">
        <v>905</v>
      </c>
      <c r="B311" s="93">
        <v>4</v>
      </c>
      <c r="C311" s="103" t="s">
        <v>762</v>
      </c>
      <c r="D311" s="103" t="s">
        <v>763</v>
      </c>
      <c r="E311" s="95" t="s">
        <v>21</v>
      </c>
      <c r="F311" s="95" t="s">
        <v>7</v>
      </c>
      <c r="G311" s="95" t="s">
        <v>57</v>
      </c>
      <c r="H311" s="95" t="s">
        <v>767</v>
      </c>
      <c r="I311" s="96"/>
      <c r="J311" s="83" t="str">
        <f>IF(E311="Invalid_Segment","Invalid",IFERROR(INDEX(Severity_Matrix!$C$3:$M$10,MATCH('Error Log'!$F311,Severity_Matrix!$B$3:$B$10,0),MATCH('Error Log'!$G311,Severity_Matrix!$C$2:$M$2,0)),"No errors"))</f>
        <v>Critical</v>
      </c>
    </row>
    <row r="312" spans="1:10">
      <c r="A312" s="80" t="s">
        <v>906</v>
      </c>
      <c r="B312" s="93">
        <v>1</v>
      </c>
      <c r="C312" s="103" t="s">
        <v>768</v>
      </c>
      <c r="D312" s="103" t="s">
        <v>769</v>
      </c>
      <c r="E312" s="95" t="s">
        <v>21</v>
      </c>
      <c r="F312" s="95" t="s">
        <v>22</v>
      </c>
      <c r="G312" s="95" t="s">
        <v>57</v>
      </c>
      <c r="H312" s="104" t="s">
        <v>770</v>
      </c>
      <c r="I312" s="96"/>
      <c r="J312" s="83" t="str">
        <f>IF(E312="Invalid_Segment","Invalid",IFERROR(INDEX(Severity_Matrix!$C$3:$M$10,MATCH('Error Log'!$F312,Severity_Matrix!$B$3:$B$10,0),MATCH('Error Log'!$G312,Severity_Matrix!$C$2:$M$2,0)),"No errors"))</f>
        <v>Major</v>
      </c>
    </row>
    <row r="313" spans="1:10">
      <c r="A313" s="80" t="s">
        <v>906</v>
      </c>
      <c r="B313" s="93">
        <v>2</v>
      </c>
      <c r="C313" s="103" t="s">
        <v>768</v>
      </c>
      <c r="D313" s="103" t="s">
        <v>769</v>
      </c>
      <c r="E313" s="95" t="s">
        <v>21</v>
      </c>
      <c r="F313" s="95" t="s">
        <v>22</v>
      </c>
      <c r="G313" s="95" t="s">
        <v>57</v>
      </c>
      <c r="H313" s="95" t="s">
        <v>771</v>
      </c>
      <c r="I313" s="96"/>
      <c r="J313" s="83" t="str">
        <f>IF(E313="Invalid_Segment","Invalid",IFERROR(INDEX(Severity_Matrix!$C$3:$M$10,MATCH('Error Log'!$F313,Severity_Matrix!$B$3:$B$10,0),MATCH('Error Log'!$G313,Severity_Matrix!$C$2:$M$2,0)),"No errors"))</f>
        <v>Major</v>
      </c>
    </row>
    <row r="314" spans="1:10">
      <c r="A314" s="80" t="s">
        <v>906</v>
      </c>
      <c r="B314" s="93">
        <v>3</v>
      </c>
      <c r="C314" s="103" t="s">
        <v>768</v>
      </c>
      <c r="D314" s="103" t="s">
        <v>769</v>
      </c>
      <c r="E314" s="95" t="s">
        <v>21</v>
      </c>
      <c r="F314" s="95" t="s">
        <v>22</v>
      </c>
      <c r="G314" s="95" t="s">
        <v>28</v>
      </c>
      <c r="H314" s="95" t="s">
        <v>772</v>
      </c>
      <c r="I314" s="96"/>
      <c r="J314" s="83" t="str">
        <f>IF(E314="Invalid_Segment","Invalid",IFERROR(INDEX(Severity_Matrix!$C$3:$M$10,MATCH('Error Log'!$F314,Severity_Matrix!$B$3:$B$10,0),MATCH('Error Log'!$G314,Severity_Matrix!$C$2:$M$2,0)),"No errors"))</f>
        <v>Major</v>
      </c>
    </row>
    <row r="315" spans="1:10">
      <c r="A315" s="80" t="s">
        <v>907</v>
      </c>
      <c r="B315" s="93">
        <v>1</v>
      </c>
      <c r="C315" s="103" t="s">
        <v>773</v>
      </c>
      <c r="D315" s="103" t="s">
        <v>774</v>
      </c>
      <c r="E315" s="95" t="s">
        <v>21</v>
      </c>
      <c r="F315" s="95" t="s">
        <v>22</v>
      </c>
      <c r="G315" s="95" t="s">
        <v>57</v>
      </c>
      <c r="H315" s="95" t="s">
        <v>775</v>
      </c>
      <c r="I315" s="96"/>
      <c r="J315" s="83" t="str">
        <f>IF(E315="Invalid_Segment","Invalid",IFERROR(INDEX(Severity_Matrix!$C$3:$M$10,MATCH('Error Log'!$F315,Severity_Matrix!$B$3:$B$10,0),MATCH('Error Log'!$G315,Severity_Matrix!$C$2:$M$2,0)),"No errors"))</f>
        <v>Major</v>
      </c>
    </row>
    <row r="316" spans="1:10">
      <c r="A316" s="80" t="s">
        <v>907</v>
      </c>
      <c r="B316" s="93">
        <v>2</v>
      </c>
      <c r="C316" s="103" t="s">
        <v>773</v>
      </c>
      <c r="D316" s="103" t="s">
        <v>774</v>
      </c>
      <c r="E316" s="95" t="s">
        <v>21</v>
      </c>
      <c r="F316" s="95" t="s">
        <v>22</v>
      </c>
      <c r="G316" s="95" t="s">
        <v>57</v>
      </c>
      <c r="H316" s="95" t="s">
        <v>776</v>
      </c>
      <c r="I316" s="96"/>
      <c r="J316" s="83" t="str">
        <f>IF(E316="Invalid_Segment","Invalid",IFERROR(INDEX(Severity_Matrix!$C$3:$M$10,MATCH('Error Log'!$F316,Severity_Matrix!$B$3:$B$10,0),MATCH('Error Log'!$G316,Severity_Matrix!$C$2:$M$2,0)),"No errors"))</f>
        <v>Major</v>
      </c>
    </row>
    <row r="317" spans="1:10">
      <c r="A317" s="80" t="s">
        <v>907</v>
      </c>
      <c r="B317" s="93">
        <v>3</v>
      </c>
      <c r="C317" s="103" t="s">
        <v>773</v>
      </c>
      <c r="D317" s="103" t="s">
        <v>774</v>
      </c>
      <c r="E317" s="95" t="s">
        <v>21</v>
      </c>
      <c r="F317" s="95" t="s">
        <v>7</v>
      </c>
      <c r="G317" s="95" t="s">
        <v>57</v>
      </c>
      <c r="H317" s="95" t="s">
        <v>777</v>
      </c>
      <c r="I317" s="96"/>
      <c r="J317" s="83" t="str">
        <f>IF(E317="Invalid_Segment","Invalid",IFERROR(INDEX(Severity_Matrix!$C$3:$M$10,MATCH('Error Log'!$F317,Severity_Matrix!$B$3:$B$10,0),MATCH('Error Log'!$G317,Severity_Matrix!$C$2:$M$2,0)),"No errors"))</f>
        <v>Critical</v>
      </c>
    </row>
    <row r="318" spans="1:10">
      <c r="A318" s="80" t="s">
        <v>908</v>
      </c>
      <c r="B318" s="93">
        <v>1</v>
      </c>
      <c r="C318" s="103" t="s">
        <v>778</v>
      </c>
      <c r="D318" s="103" t="s">
        <v>779</v>
      </c>
      <c r="E318" s="95" t="s">
        <v>21</v>
      </c>
      <c r="F318" s="95" t="s">
        <v>22</v>
      </c>
      <c r="G318" s="95" t="s">
        <v>57</v>
      </c>
      <c r="H318" s="95" t="s">
        <v>780</v>
      </c>
      <c r="I318" s="96"/>
      <c r="J318" s="83" t="str">
        <f>IF(E318="Invalid_Segment","Invalid",IFERROR(INDEX(Severity_Matrix!$C$3:$M$10,MATCH('Error Log'!$F318,Severity_Matrix!$B$3:$B$10,0),MATCH('Error Log'!$G318,Severity_Matrix!$C$2:$M$2,0)),"No errors"))</f>
        <v>Major</v>
      </c>
    </row>
    <row r="319" spans="1:10">
      <c r="A319" s="80" t="s">
        <v>908</v>
      </c>
      <c r="B319" s="93">
        <v>2</v>
      </c>
      <c r="C319" s="103" t="s">
        <v>778</v>
      </c>
      <c r="D319" s="103" t="s">
        <v>779</v>
      </c>
      <c r="E319" s="95" t="s">
        <v>21</v>
      </c>
      <c r="F319" s="95" t="s">
        <v>7</v>
      </c>
      <c r="G319" s="95" t="s">
        <v>57</v>
      </c>
      <c r="H319" s="95" t="s">
        <v>781</v>
      </c>
      <c r="I319" s="96"/>
      <c r="J319" s="83" t="str">
        <f>IF(E319="Invalid_Segment","Invalid",IFERROR(INDEX(Severity_Matrix!$C$3:$M$10,MATCH('Error Log'!$F319,Severity_Matrix!$B$3:$B$10,0),MATCH('Error Log'!$G319,Severity_Matrix!$C$2:$M$2,0)),"No errors"))</f>
        <v>Critical</v>
      </c>
    </row>
    <row r="320" spans="1:10">
      <c r="A320" s="80" t="s">
        <v>909</v>
      </c>
      <c r="B320" s="93">
        <v>1</v>
      </c>
      <c r="C320" s="103" t="s">
        <v>782</v>
      </c>
      <c r="D320" s="103" t="s">
        <v>783</v>
      </c>
      <c r="E320" s="95" t="s">
        <v>21</v>
      </c>
      <c r="F320" s="95" t="s">
        <v>22</v>
      </c>
      <c r="G320" s="95" t="s">
        <v>57</v>
      </c>
      <c r="H320" s="104" t="s">
        <v>784</v>
      </c>
      <c r="I320" s="96"/>
      <c r="J320" s="83" t="str">
        <f>IF(E320="Invalid_Segment","Invalid",IFERROR(INDEX(Severity_Matrix!$C$3:$M$10,MATCH('Error Log'!$F320,Severity_Matrix!$B$3:$B$10,0),MATCH('Error Log'!$G320,Severity_Matrix!$C$2:$M$2,0)),"No errors"))</f>
        <v>Major</v>
      </c>
    </row>
    <row r="321" spans="1:10">
      <c r="A321" s="80" t="s">
        <v>909</v>
      </c>
      <c r="B321" s="93">
        <v>2</v>
      </c>
      <c r="C321" s="103" t="s">
        <v>782</v>
      </c>
      <c r="D321" s="103" t="s">
        <v>783</v>
      </c>
      <c r="E321" s="95" t="s">
        <v>21</v>
      </c>
      <c r="F321" s="95" t="s">
        <v>22</v>
      </c>
      <c r="G321" s="95" t="s">
        <v>57</v>
      </c>
      <c r="H321" s="95" t="s">
        <v>785</v>
      </c>
      <c r="I321" s="96"/>
      <c r="J321" s="83" t="str">
        <f>IF(E321="Invalid_Segment","Invalid",IFERROR(INDEX(Severity_Matrix!$C$3:$M$10,MATCH('Error Log'!$F321,Severity_Matrix!$B$3:$B$10,0),MATCH('Error Log'!$G321,Severity_Matrix!$C$2:$M$2,0)),"No errors"))</f>
        <v>Major</v>
      </c>
    </row>
    <row r="322" spans="1:10">
      <c r="A322" s="80" t="s">
        <v>909</v>
      </c>
      <c r="B322" s="93">
        <v>3</v>
      </c>
      <c r="C322" s="103" t="s">
        <v>782</v>
      </c>
      <c r="D322" s="103" t="s">
        <v>783</v>
      </c>
      <c r="E322" s="95" t="s">
        <v>21</v>
      </c>
      <c r="F322" s="95" t="s">
        <v>7</v>
      </c>
      <c r="G322" s="95" t="s">
        <v>57</v>
      </c>
      <c r="H322" s="95" t="s">
        <v>786</v>
      </c>
      <c r="I322" s="96"/>
      <c r="J322" s="83" t="str">
        <f>IF(E322="Invalid_Segment","Invalid",IFERROR(INDEX(Severity_Matrix!$C$3:$M$10,MATCH('Error Log'!$F322,Severity_Matrix!$B$3:$B$10,0),MATCH('Error Log'!$G322,Severity_Matrix!$C$2:$M$2,0)),"No errors"))</f>
        <v>Critical</v>
      </c>
    </row>
    <row r="323" spans="1:10">
      <c r="A323" s="80" t="s">
        <v>909</v>
      </c>
      <c r="B323" s="93">
        <v>4</v>
      </c>
      <c r="C323" s="103" t="s">
        <v>782</v>
      </c>
      <c r="D323" s="103" t="s">
        <v>783</v>
      </c>
      <c r="E323" s="95" t="s">
        <v>21</v>
      </c>
      <c r="F323" s="95" t="s">
        <v>7</v>
      </c>
      <c r="G323" s="95" t="s">
        <v>57</v>
      </c>
      <c r="H323" s="95" t="s">
        <v>787</v>
      </c>
      <c r="I323" s="96"/>
      <c r="J323" s="83" t="str">
        <f>IF(E323="Invalid_Segment","Invalid",IFERROR(INDEX(Severity_Matrix!$C$3:$M$10,MATCH('Error Log'!$F323,Severity_Matrix!$B$3:$B$10,0),MATCH('Error Log'!$G323,Severity_Matrix!$C$2:$M$2,0)),"No errors"))</f>
        <v>Critical</v>
      </c>
    </row>
    <row r="324" spans="1:10">
      <c r="A324" s="80" t="s">
        <v>910</v>
      </c>
      <c r="B324" s="93">
        <v>1</v>
      </c>
      <c r="C324" s="103" t="s">
        <v>788</v>
      </c>
      <c r="D324" s="103" t="s">
        <v>789</v>
      </c>
      <c r="E324" s="95" t="s">
        <v>21</v>
      </c>
      <c r="F324" s="95" t="s">
        <v>22</v>
      </c>
      <c r="G324" s="95" t="s">
        <v>57</v>
      </c>
      <c r="H324" s="95" t="s">
        <v>790</v>
      </c>
      <c r="I324" s="96"/>
      <c r="J324" s="83" t="str">
        <f>IF(E324="Invalid_Segment","Invalid",IFERROR(INDEX(Severity_Matrix!$C$3:$M$10,MATCH('Error Log'!$F324,Severity_Matrix!$B$3:$B$10,0),MATCH('Error Log'!$G324,Severity_Matrix!$C$2:$M$2,0)),"No errors"))</f>
        <v>Major</v>
      </c>
    </row>
    <row r="325" spans="1:10">
      <c r="A325" s="80" t="s">
        <v>910</v>
      </c>
      <c r="B325" s="93">
        <v>2</v>
      </c>
      <c r="C325" s="103" t="s">
        <v>788</v>
      </c>
      <c r="D325" s="103" t="s">
        <v>789</v>
      </c>
      <c r="E325" s="95" t="s">
        <v>21</v>
      </c>
      <c r="F325" s="95" t="s">
        <v>7</v>
      </c>
      <c r="G325" s="95" t="s">
        <v>57</v>
      </c>
      <c r="H325" s="95" t="s">
        <v>791</v>
      </c>
      <c r="I325" s="96"/>
      <c r="J325" s="83" t="str">
        <f>IF(E325="Invalid_Segment","Invalid",IFERROR(INDEX(Severity_Matrix!$C$3:$M$10,MATCH('Error Log'!$F325,Severity_Matrix!$B$3:$B$10,0),MATCH('Error Log'!$G325,Severity_Matrix!$C$2:$M$2,0)),"No errors"))</f>
        <v>Critical</v>
      </c>
    </row>
    <row r="326" spans="1:10">
      <c r="A326" s="80" t="s">
        <v>911</v>
      </c>
      <c r="B326" s="93">
        <v>1</v>
      </c>
      <c r="C326" s="103" t="s">
        <v>792</v>
      </c>
      <c r="D326" s="103" t="s">
        <v>793</v>
      </c>
      <c r="E326" s="95" t="s">
        <v>21</v>
      </c>
      <c r="F326" s="95" t="s">
        <v>22</v>
      </c>
      <c r="G326" s="95" t="s">
        <v>57</v>
      </c>
      <c r="H326" s="95" t="s">
        <v>794</v>
      </c>
      <c r="I326" s="96"/>
      <c r="J326" s="83" t="str">
        <f>IF(E326="Invalid_Segment","Invalid",IFERROR(INDEX(Severity_Matrix!$C$3:$M$10,MATCH('Error Log'!$F326,Severity_Matrix!$B$3:$B$10,0),MATCH('Error Log'!$G326,Severity_Matrix!$C$2:$M$2,0)),"No errors"))</f>
        <v>Major</v>
      </c>
    </row>
    <row r="327" spans="1:10">
      <c r="A327" s="80" t="s">
        <v>911</v>
      </c>
      <c r="B327" s="93">
        <v>2</v>
      </c>
      <c r="C327" s="103" t="s">
        <v>792</v>
      </c>
      <c r="D327" s="103" t="s">
        <v>793</v>
      </c>
      <c r="E327" s="95" t="s">
        <v>21</v>
      </c>
      <c r="F327" s="95" t="s">
        <v>7</v>
      </c>
      <c r="G327" s="95" t="s">
        <v>57</v>
      </c>
      <c r="H327" s="95" t="s">
        <v>795</v>
      </c>
      <c r="I327" s="96"/>
      <c r="J327" s="83" t="str">
        <f>IF(E327="Invalid_Segment","Invalid",IFERROR(INDEX(Severity_Matrix!$C$3:$M$10,MATCH('Error Log'!$F327,Severity_Matrix!$B$3:$B$10,0),MATCH('Error Log'!$G327,Severity_Matrix!$C$2:$M$2,0)),"No errors"))</f>
        <v>Critical</v>
      </c>
    </row>
    <row r="328" spans="1:10">
      <c r="A328" s="80" t="s">
        <v>912</v>
      </c>
      <c r="B328" s="93">
        <v>1</v>
      </c>
      <c r="C328" s="103" t="s">
        <v>796</v>
      </c>
      <c r="D328" s="103" t="s">
        <v>797</v>
      </c>
      <c r="E328" s="95" t="s">
        <v>21</v>
      </c>
      <c r="F328" s="95" t="s">
        <v>22</v>
      </c>
      <c r="G328" s="95" t="s">
        <v>28</v>
      </c>
      <c r="H328" s="95" t="s">
        <v>499</v>
      </c>
      <c r="I328" s="96"/>
      <c r="J328" s="83" t="str">
        <f>IF(E328="Invalid_Segment","Invalid",IFERROR(INDEX(Severity_Matrix!$C$3:$M$10,MATCH('Error Log'!$F328,Severity_Matrix!$B$3:$B$10,0),MATCH('Error Log'!$G328,Severity_Matrix!$C$2:$M$2,0)),"No errors"))</f>
        <v>Major</v>
      </c>
    </row>
    <row r="329" spans="1:10">
      <c r="A329" s="80" t="s">
        <v>913</v>
      </c>
      <c r="B329" s="93">
        <v>1</v>
      </c>
      <c r="C329" s="103" t="s">
        <v>798</v>
      </c>
      <c r="D329" s="103" t="s">
        <v>799</v>
      </c>
      <c r="E329" s="95" t="s">
        <v>21</v>
      </c>
      <c r="F329" s="95" t="s">
        <v>22</v>
      </c>
      <c r="G329" s="95" t="s">
        <v>28</v>
      </c>
      <c r="H329" s="95" t="s">
        <v>701</v>
      </c>
      <c r="I329" s="96"/>
      <c r="J329" s="83" t="str">
        <f>IF(E329="Invalid_Segment","Invalid",IFERROR(INDEX(Severity_Matrix!$C$3:$M$10,MATCH('Error Log'!$F329,Severity_Matrix!$B$3:$B$10,0),MATCH('Error Log'!$G329,Severity_Matrix!$C$2:$M$2,0)),"No errors"))</f>
        <v>Major</v>
      </c>
    </row>
    <row r="330" spans="1:10">
      <c r="A330" s="80" t="s">
        <v>913</v>
      </c>
      <c r="B330" s="93">
        <v>2</v>
      </c>
      <c r="C330" s="103" t="s">
        <v>798</v>
      </c>
      <c r="D330" s="103" t="s">
        <v>799</v>
      </c>
      <c r="E330" s="95" t="s">
        <v>21</v>
      </c>
      <c r="F330" s="95" t="s">
        <v>22</v>
      </c>
      <c r="G330" s="95" t="s">
        <v>57</v>
      </c>
      <c r="H330" s="95" t="s">
        <v>800</v>
      </c>
      <c r="I330" s="96"/>
      <c r="J330" s="83" t="str">
        <f>IF(E330="Invalid_Segment","Invalid",IFERROR(INDEX(Severity_Matrix!$C$3:$M$10,MATCH('Error Log'!$F330,Severity_Matrix!$B$3:$B$10,0),MATCH('Error Log'!$G330,Severity_Matrix!$C$2:$M$2,0)),"No errors"))</f>
        <v>Major</v>
      </c>
    </row>
    <row r="331" spans="1:10">
      <c r="A331" s="80" t="s">
        <v>913</v>
      </c>
      <c r="B331" s="93">
        <v>3</v>
      </c>
      <c r="C331" s="103" t="s">
        <v>798</v>
      </c>
      <c r="D331" s="103" t="s">
        <v>799</v>
      </c>
      <c r="E331" s="95" t="s">
        <v>21</v>
      </c>
      <c r="F331" s="95" t="s">
        <v>22</v>
      </c>
      <c r="G331" s="95" t="s">
        <v>57</v>
      </c>
      <c r="H331" s="95" t="s">
        <v>801</v>
      </c>
      <c r="I331" s="96"/>
      <c r="J331" s="83" t="str">
        <f>IF(E331="Invalid_Segment","Invalid",IFERROR(INDEX(Severity_Matrix!$C$3:$M$10,MATCH('Error Log'!$F331,Severity_Matrix!$B$3:$B$10,0),MATCH('Error Log'!$G331,Severity_Matrix!$C$2:$M$2,0)),"No errors"))</f>
        <v>Major</v>
      </c>
    </row>
    <row r="332" spans="1:10" ht="13.2" customHeight="1">
      <c r="A332" s="80" t="s">
        <v>913</v>
      </c>
      <c r="B332" s="93">
        <v>4</v>
      </c>
      <c r="C332" s="103" t="s">
        <v>798</v>
      </c>
      <c r="D332" s="103" t="s">
        <v>799</v>
      </c>
      <c r="E332" s="95" t="s">
        <v>21</v>
      </c>
      <c r="F332" s="95" t="s">
        <v>7</v>
      </c>
      <c r="G332" s="95" t="s">
        <v>57</v>
      </c>
      <c r="H332" s="95" t="s">
        <v>802</v>
      </c>
      <c r="I332" s="96"/>
      <c r="J332" s="83" t="str">
        <f>IF(E332="Invalid_Segment","Invalid",IFERROR(INDEX(Severity_Matrix!$C$3:$M$10,MATCH('Error Log'!$F332,Severity_Matrix!$B$3:$B$10,0),MATCH('Error Log'!$G332,Severity_Matrix!$C$2:$M$2,0)),"No errors"))</f>
        <v>Critical</v>
      </c>
    </row>
    <row r="333" spans="1:10" ht="14.4">
      <c r="A333" s="80" t="s">
        <v>914</v>
      </c>
      <c r="B333" s="93">
        <v>1</v>
      </c>
      <c r="C333" s="103" t="s">
        <v>803</v>
      </c>
      <c r="D333" s="103" t="s">
        <v>804</v>
      </c>
      <c r="E333" s="95" t="s">
        <v>21</v>
      </c>
      <c r="F333" s="95" t="s">
        <v>22</v>
      </c>
      <c r="G333" s="95" t="s">
        <v>57</v>
      </c>
      <c r="H333" s="105" t="s">
        <v>805</v>
      </c>
      <c r="I333" s="96"/>
      <c r="J333" s="83" t="str">
        <f>IF(E333="Invalid_Segment","Invalid",IFERROR(INDEX(Severity_Matrix!$C$3:$M$10,MATCH('Error Log'!$F333,Severity_Matrix!$B$3:$B$10,0),MATCH('Error Log'!$G333,Severity_Matrix!$C$2:$M$2,0)),"No errors"))</f>
        <v>Major</v>
      </c>
    </row>
    <row r="334" spans="1:10">
      <c r="A334" s="80" t="s">
        <v>914</v>
      </c>
      <c r="B334" s="93">
        <v>2</v>
      </c>
      <c r="C334" s="103" t="s">
        <v>803</v>
      </c>
      <c r="D334" s="103" t="s">
        <v>804</v>
      </c>
      <c r="E334" s="95" t="s">
        <v>21</v>
      </c>
      <c r="F334" s="95" t="s">
        <v>22</v>
      </c>
      <c r="G334" s="95" t="s">
        <v>57</v>
      </c>
      <c r="H334" s="95" t="s">
        <v>806</v>
      </c>
      <c r="I334" s="96"/>
      <c r="J334" s="83" t="str">
        <f>IF(E334="Invalid_Segment","Invalid",IFERROR(INDEX(Severity_Matrix!$C$3:$M$10,MATCH('Error Log'!$F334,Severity_Matrix!$B$3:$B$10,0),MATCH('Error Log'!$G334,Severity_Matrix!$C$2:$M$2,0)),"No errors"))</f>
        <v>Major</v>
      </c>
    </row>
    <row r="335" spans="1:10">
      <c r="A335" s="80" t="s">
        <v>914</v>
      </c>
      <c r="B335" s="93">
        <v>3</v>
      </c>
      <c r="C335" s="103" t="s">
        <v>803</v>
      </c>
      <c r="D335" s="103" t="s">
        <v>804</v>
      </c>
      <c r="E335" s="95" t="s">
        <v>21</v>
      </c>
      <c r="F335" s="95" t="s">
        <v>7</v>
      </c>
      <c r="G335" s="95" t="s">
        <v>57</v>
      </c>
      <c r="H335" s="95" t="s">
        <v>807</v>
      </c>
      <c r="I335" s="96"/>
      <c r="J335" s="83" t="str">
        <f>IF(E335="Invalid_Segment","Invalid",IFERROR(INDEX(Severity_Matrix!$C$3:$M$10,MATCH('Error Log'!$F335,Severity_Matrix!$B$3:$B$10,0),MATCH('Error Log'!$G335,Severity_Matrix!$C$2:$M$2,0)),"No errors"))</f>
        <v>Critical</v>
      </c>
    </row>
    <row r="336" spans="1:10">
      <c r="A336" s="80" t="s">
        <v>914</v>
      </c>
      <c r="B336" s="93">
        <v>4</v>
      </c>
      <c r="C336" s="103" t="s">
        <v>803</v>
      </c>
      <c r="D336" s="103" t="s">
        <v>804</v>
      </c>
      <c r="E336" s="95" t="s">
        <v>21</v>
      </c>
      <c r="F336" s="95" t="s">
        <v>7</v>
      </c>
      <c r="G336" s="95" t="s">
        <v>57</v>
      </c>
      <c r="H336" s="95" t="s">
        <v>808</v>
      </c>
      <c r="I336" s="96"/>
      <c r="J336" s="83" t="str">
        <f>IF(E336="Invalid_Segment","Invalid",IFERROR(INDEX(Severity_Matrix!$C$3:$M$10,MATCH('Error Log'!$F336,Severity_Matrix!$B$3:$B$10,0),MATCH('Error Log'!$G336,Severity_Matrix!$C$2:$M$2,0)),"No errors"))</f>
        <v>Critical</v>
      </c>
    </row>
    <row r="337" spans="1:10">
      <c r="A337" s="80" t="s">
        <v>915</v>
      </c>
      <c r="B337" s="93">
        <v>1</v>
      </c>
      <c r="C337" s="103" t="s">
        <v>809</v>
      </c>
      <c r="D337" s="103" t="s">
        <v>810</v>
      </c>
      <c r="E337" s="95"/>
      <c r="F337" s="95"/>
      <c r="G337" s="95"/>
      <c r="H337" s="104"/>
      <c r="I337" s="96"/>
      <c r="J337" s="83" t="str">
        <f>IF(E337="Invalid_Segment","Invalid",IFERROR(INDEX(Severity_Matrix!$C$3:$M$10,MATCH('Error Log'!$F337,Severity_Matrix!$B$3:$B$10,0),MATCH('Error Log'!$G337,Severity_Matrix!$C$2:$M$2,0)),"No errors"))</f>
        <v>No errors</v>
      </c>
    </row>
    <row r="338" spans="1:10">
      <c r="A338" s="80" t="s">
        <v>916</v>
      </c>
      <c r="B338" s="93">
        <v>1</v>
      </c>
      <c r="C338" s="103" t="s">
        <v>811</v>
      </c>
      <c r="D338" s="103" t="s">
        <v>812</v>
      </c>
      <c r="E338" s="95" t="s">
        <v>21</v>
      </c>
      <c r="F338" s="95" t="s">
        <v>22</v>
      </c>
      <c r="G338" s="95" t="s">
        <v>57</v>
      </c>
      <c r="H338" s="95" t="s">
        <v>813</v>
      </c>
      <c r="I338" s="96"/>
      <c r="J338" s="83" t="str">
        <f>IF(E338="Invalid_Segment","Invalid",IFERROR(INDEX(Severity_Matrix!$C$3:$M$10,MATCH('Error Log'!$F338,Severity_Matrix!$B$3:$B$10,0),MATCH('Error Log'!$G338,Severity_Matrix!$C$2:$M$2,0)),"No errors"))</f>
        <v>Major</v>
      </c>
    </row>
    <row r="339" spans="1:10">
      <c r="A339" s="80" t="s">
        <v>916</v>
      </c>
      <c r="B339" s="93">
        <v>2</v>
      </c>
      <c r="C339" s="103" t="s">
        <v>811</v>
      </c>
      <c r="D339" s="103" t="s">
        <v>812</v>
      </c>
      <c r="E339" s="95" t="s">
        <v>21</v>
      </c>
      <c r="F339" s="95" t="s">
        <v>7</v>
      </c>
      <c r="G339" s="95" t="s">
        <v>57</v>
      </c>
      <c r="H339" s="95" t="s">
        <v>814</v>
      </c>
      <c r="I339" s="96"/>
      <c r="J339" s="83" t="str">
        <f>IF(E339="Invalid_Segment","Invalid",IFERROR(INDEX(Severity_Matrix!$C$3:$M$10,MATCH('Error Log'!$F339,Severity_Matrix!$B$3:$B$10,0),MATCH('Error Log'!$G339,Severity_Matrix!$C$2:$M$2,0)),"No errors"))</f>
        <v>Critical</v>
      </c>
    </row>
    <row r="340" spans="1:10">
      <c r="A340" s="106" t="s">
        <v>917</v>
      </c>
      <c r="B340" s="93">
        <v>1</v>
      </c>
      <c r="C340" s="81" t="s">
        <v>815</v>
      </c>
      <c r="D340" s="81" t="s">
        <v>816</v>
      </c>
      <c r="E340" s="95" t="s">
        <v>21</v>
      </c>
      <c r="F340" s="95" t="s">
        <v>22</v>
      </c>
      <c r="G340" s="95" t="s">
        <v>28</v>
      </c>
      <c r="H340" s="104" t="s">
        <v>701</v>
      </c>
      <c r="I340" s="96"/>
      <c r="J340" s="83" t="str">
        <f>IF(E340="Invalid_Segment","Invalid",IFERROR(INDEX(Severity_Matrix!$C$3:$M$10,MATCH('Error Log'!$F340,Severity_Matrix!$B$3:$B$10,0),MATCH('Error Log'!$G340,Severity_Matrix!$C$2:$M$2,0)),"No errors"))</f>
        <v>Major</v>
      </c>
    </row>
    <row r="341" spans="1:10">
      <c r="A341" s="106" t="s">
        <v>917</v>
      </c>
      <c r="B341" s="93">
        <v>2</v>
      </c>
      <c r="C341" s="81" t="s">
        <v>815</v>
      </c>
      <c r="D341" s="81" t="s">
        <v>816</v>
      </c>
      <c r="E341" s="95" t="s">
        <v>21</v>
      </c>
      <c r="F341" s="95" t="s">
        <v>22</v>
      </c>
      <c r="G341" s="95" t="s">
        <v>28</v>
      </c>
      <c r="H341" s="95" t="s">
        <v>817</v>
      </c>
      <c r="I341" s="96"/>
      <c r="J341" s="83" t="str">
        <f>IF(E341="Invalid_Segment","Invalid",IFERROR(INDEX(Severity_Matrix!$C$3:$M$10,MATCH('Error Log'!$F341,Severity_Matrix!$B$3:$B$10,0),MATCH('Error Log'!$G341,Severity_Matrix!$C$2:$M$2,0)),"No errors"))</f>
        <v>Major</v>
      </c>
    </row>
    <row r="342" spans="1:10">
      <c r="A342" s="106" t="s">
        <v>917</v>
      </c>
      <c r="B342" s="93">
        <v>3</v>
      </c>
      <c r="C342" s="81" t="s">
        <v>815</v>
      </c>
      <c r="D342" s="81" t="s">
        <v>816</v>
      </c>
      <c r="E342" s="95" t="s">
        <v>21</v>
      </c>
      <c r="F342" s="95" t="s">
        <v>22</v>
      </c>
      <c r="G342" s="95" t="s">
        <v>57</v>
      </c>
      <c r="H342" s="95" t="s">
        <v>818</v>
      </c>
      <c r="I342" s="96"/>
      <c r="J342" s="83" t="str">
        <f>IF(E342="Invalid_Segment","Invalid",IFERROR(INDEX(Severity_Matrix!$C$3:$M$10,MATCH('Error Log'!$F342,Severity_Matrix!$B$3:$B$10,0),MATCH('Error Log'!$G342,Severity_Matrix!$C$2:$M$2,0)),"No errors"))</f>
        <v>Major</v>
      </c>
    </row>
    <row r="343" spans="1:10">
      <c r="A343" s="106" t="s">
        <v>917</v>
      </c>
      <c r="B343" s="93">
        <v>4</v>
      </c>
      <c r="C343" s="81" t="s">
        <v>815</v>
      </c>
      <c r="D343" s="81" t="s">
        <v>816</v>
      </c>
      <c r="E343" s="95" t="s">
        <v>21</v>
      </c>
      <c r="F343" s="95" t="s">
        <v>7</v>
      </c>
      <c r="G343" s="95" t="s">
        <v>28</v>
      </c>
      <c r="H343" s="95" t="s">
        <v>819</v>
      </c>
      <c r="I343" s="96"/>
      <c r="J343" s="83" t="str">
        <f>IF(E343="Invalid_Segment","Invalid",IFERROR(INDEX(Severity_Matrix!$C$3:$M$10,MATCH('Error Log'!$F343,Severity_Matrix!$B$3:$B$10,0),MATCH('Error Log'!$G343,Severity_Matrix!$C$2:$M$2,0)),"No errors"))</f>
        <v>Major</v>
      </c>
    </row>
    <row r="344" spans="1:10">
      <c r="A344" s="106" t="s">
        <v>918</v>
      </c>
      <c r="B344" s="93">
        <v>1</v>
      </c>
      <c r="C344" s="81" t="s">
        <v>820</v>
      </c>
      <c r="D344" s="81" t="s">
        <v>821</v>
      </c>
      <c r="E344" s="95"/>
      <c r="F344" s="95"/>
      <c r="G344" s="95"/>
      <c r="H344" s="95"/>
      <c r="I344" s="96"/>
      <c r="J344" s="83" t="str">
        <f>IF(E344="Invalid_Segment","Invalid",IFERROR(INDEX(Severity_Matrix!$C$3:$M$10,MATCH('Error Log'!$F344,Severity_Matrix!$B$3:$B$10,0),MATCH('Error Log'!$G344,Severity_Matrix!$C$2:$M$2,0)),"No errors"))</f>
        <v>No errors</v>
      </c>
    </row>
    <row r="345" spans="1:10">
      <c r="A345" s="106" t="s">
        <v>919</v>
      </c>
      <c r="B345" s="93">
        <v>1</v>
      </c>
      <c r="C345" s="81" t="s">
        <v>822</v>
      </c>
      <c r="D345" s="81" t="s">
        <v>823</v>
      </c>
      <c r="E345" s="95" t="s">
        <v>21</v>
      </c>
      <c r="F345" s="95" t="s">
        <v>22</v>
      </c>
      <c r="G345" s="95" t="s">
        <v>57</v>
      </c>
      <c r="H345" s="95" t="s">
        <v>824</v>
      </c>
      <c r="I345" s="96"/>
      <c r="J345" s="83" t="str">
        <f>IF(E345="Invalid_Segment","Invalid",IFERROR(INDEX(Severity_Matrix!$C$3:$M$10,MATCH('Error Log'!$F345,Severity_Matrix!$B$3:$B$10,0),MATCH('Error Log'!$G345,Severity_Matrix!$C$2:$M$2,0)),"No errors"))</f>
        <v>Major</v>
      </c>
    </row>
    <row r="346" spans="1:10">
      <c r="A346" s="106" t="s">
        <v>919</v>
      </c>
      <c r="B346" s="93">
        <v>2</v>
      </c>
      <c r="C346" s="81" t="s">
        <v>822</v>
      </c>
      <c r="D346" s="81" t="s">
        <v>823</v>
      </c>
      <c r="E346" s="95" t="s">
        <v>21</v>
      </c>
      <c r="F346" s="95" t="s">
        <v>7</v>
      </c>
      <c r="G346" s="95" t="s">
        <v>57</v>
      </c>
      <c r="H346" s="95" t="s">
        <v>825</v>
      </c>
      <c r="I346" s="96"/>
      <c r="J346" s="83" t="str">
        <f>IF(E346="Invalid_Segment","Invalid",IFERROR(INDEX(Severity_Matrix!$C$3:$M$10,MATCH('Error Log'!$F346,Severity_Matrix!$B$3:$B$10,0),MATCH('Error Log'!$G346,Severity_Matrix!$C$2:$M$2,0)),"No errors"))</f>
        <v>Critical</v>
      </c>
    </row>
    <row r="347" spans="1:10">
      <c r="A347" s="106" t="s">
        <v>920</v>
      </c>
      <c r="B347" s="93">
        <v>1</v>
      </c>
      <c r="C347" s="81" t="s">
        <v>826</v>
      </c>
      <c r="D347" s="81" t="s">
        <v>827</v>
      </c>
      <c r="E347" s="95" t="s">
        <v>21</v>
      </c>
      <c r="F347" s="95" t="s">
        <v>7</v>
      </c>
      <c r="G347" s="95" t="s">
        <v>57</v>
      </c>
      <c r="H347" s="106" t="s">
        <v>828</v>
      </c>
      <c r="I347" s="96"/>
      <c r="J347" s="83" t="str">
        <f>IF(E347="Invalid_Segment","Invalid",IFERROR(INDEX(Severity_Matrix!$C$3:$M$10,MATCH('Error Log'!$F347,Severity_Matrix!$B$3:$B$10,0),MATCH('Error Log'!$G347,Severity_Matrix!$C$2:$M$2,0)),"No errors"))</f>
        <v>Critical</v>
      </c>
    </row>
    <row r="348" spans="1:10">
      <c r="A348" s="106" t="s">
        <v>921</v>
      </c>
      <c r="B348" s="93">
        <v>1</v>
      </c>
      <c r="C348" s="81" t="s">
        <v>829</v>
      </c>
      <c r="D348" s="81" t="s">
        <v>830</v>
      </c>
      <c r="E348" s="95" t="s">
        <v>21</v>
      </c>
      <c r="F348" s="95" t="s">
        <v>22</v>
      </c>
      <c r="G348" s="95" t="s">
        <v>57</v>
      </c>
      <c r="H348" s="95" t="s">
        <v>831</v>
      </c>
      <c r="I348" s="96"/>
      <c r="J348" s="83" t="str">
        <f>IF(E348="Invalid_Segment","Invalid",IFERROR(INDEX(Severity_Matrix!$C$3:$M$10,MATCH('Error Log'!$F348,Severity_Matrix!$B$3:$B$10,0),MATCH('Error Log'!$G348,Severity_Matrix!$C$2:$M$2,0)),"No errors"))</f>
        <v>Major</v>
      </c>
    </row>
    <row r="349" spans="1:10">
      <c r="A349" s="106" t="s">
        <v>922</v>
      </c>
      <c r="B349" s="93">
        <v>1</v>
      </c>
      <c r="C349" s="81" t="s">
        <v>832</v>
      </c>
      <c r="D349" s="81" t="s">
        <v>833</v>
      </c>
      <c r="E349" s="95" t="s">
        <v>21</v>
      </c>
      <c r="F349" s="95" t="s">
        <v>22</v>
      </c>
      <c r="G349" s="95" t="s">
        <v>57</v>
      </c>
      <c r="H349" s="95" t="s">
        <v>834</v>
      </c>
      <c r="I349" s="96"/>
      <c r="J349" s="83" t="str">
        <f>IF(E349="Invalid_Segment","Invalid",IFERROR(INDEX(Severity_Matrix!$C$3:$M$10,MATCH('Error Log'!$F349,Severity_Matrix!$B$3:$B$10,0),MATCH('Error Log'!$G349,Severity_Matrix!$C$2:$M$2,0)),"No errors"))</f>
        <v>Major</v>
      </c>
    </row>
    <row r="350" spans="1:10">
      <c r="A350" s="106" t="s">
        <v>922</v>
      </c>
      <c r="B350" s="93">
        <v>2</v>
      </c>
      <c r="C350" s="81" t="s">
        <v>832</v>
      </c>
      <c r="D350" s="81" t="s">
        <v>833</v>
      </c>
      <c r="E350" s="95" t="s">
        <v>21</v>
      </c>
      <c r="F350" s="95" t="s">
        <v>7</v>
      </c>
      <c r="G350" s="95" t="s">
        <v>57</v>
      </c>
      <c r="H350" s="95" t="s">
        <v>835</v>
      </c>
      <c r="I350" s="96"/>
      <c r="J350" s="83" t="str">
        <f>IF(E350="Invalid_Segment","Invalid",IFERROR(INDEX(Severity_Matrix!$C$3:$M$10,MATCH('Error Log'!$F350,Severity_Matrix!$B$3:$B$10,0),MATCH('Error Log'!$G350,Severity_Matrix!$C$2:$M$2,0)),"No errors"))</f>
        <v>Critical</v>
      </c>
    </row>
    <row r="351" spans="1:10">
      <c r="A351" s="106" t="s">
        <v>923</v>
      </c>
      <c r="B351" s="93">
        <v>1</v>
      </c>
      <c r="C351" s="81" t="s">
        <v>836</v>
      </c>
      <c r="D351" s="81" t="s">
        <v>837</v>
      </c>
      <c r="E351" s="95" t="s">
        <v>21</v>
      </c>
      <c r="F351" s="95" t="s">
        <v>22</v>
      </c>
      <c r="G351" s="95" t="s">
        <v>28</v>
      </c>
      <c r="H351" s="95" t="s">
        <v>838</v>
      </c>
      <c r="I351" s="96"/>
      <c r="J351" s="83" t="str">
        <f>IF(E351="Invalid_Segment","Invalid",IFERROR(INDEX(Severity_Matrix!$C$3:$M$10,MATCH('Error Log'!$F351,Severity_Matrix!$B$3:$B$10,0),MATCH('Error Log'!$G351,Severity_Matrix!$C$2:$M$2,0)),"No errors"))</f>
        <v>Major</v>
      </c>
    </row>
    <row r="352" spans="1:10">
      <c r="A352" s="106" t="s">
        <v>923</v>
      </c>
      <c r="B352" s="93">
        <v>2</v>
      </c>
      <c r="C352" s="81" t="s">
        <v>836</v>
      </c>
      <c r="D352" s="81" t="s">
        <v>837</v>
      </c>
      <c r="E352" s="95" t="s">
        <v>21</v>
      </c>
      <c r="F352" s="95" t="s">
        <v>22</v>
      </c>
      <c r="G352" s="95" t="s">
        <v>28</v>
      </c>
      <c r="H352" s="95" t="s">
        <v>303</v>
      </c>
      <c r="I352" s="96"/>
      <c r="J352" s="83" t="str">
        <f>IF(E352="Invalid_Segment","Invalid",IFERROR(INDEX(Severity_Matrix!$C$3:$M$10,MATCH('Error Log'!$F352,Severity_Matrix!$B$3:$B$10,0),MATCH('Error Log'!$G352,Severity_Matrix!$C$2:$M$2,0)),"No errors"))</f>
        <v>Major</v>
      </c>
    </row>
    <row r="353" spans="1:10">
      <c r="A353" s="106" t="s">
        <v>924</v>
      </c>
      <c r="B353" s="93">
        <v>1</v>
      </c>
      <c r="C353" s="81" t="s">
        <v>839</v>
      </c>
      <c r="D353" s="81" t="s">
        <v>840</v>
      </c>
      <c r="E353" s="95" t="s">
        <v>21</v>
      </c>
      <c r="F353" s="95" t="s">
        <v>22</v>
      </c>
      <c r="G353" s="95" t="s">
        <v>57</v>
      </c>
      <c r="H353" s="95" t="s">
        <v>841</v>
      </c>
      <c r="I353" s="96"/>
      <c r="J353" s="83" t="str">
        <f>IF(E353="Invalid_Segment","Invalid",IFERROR(INDEX(Severity_Matrix!$C$3:$M$10,MATCH('Error Log'!$F353,Severity_Matrix!$B$3:$B$10,0),MATCH('Error Log'!$G353,Severity_Matrix!$C$2:$M$2,0)),"No errors"))</f>
        <v>Major</v>
      </c>
    </row>
    <row r="354" spans="1:10">
      <c r="A354" s="106" t="s">
        <v>924</v>
      </c>
      <c r="B354" s="93">
        <v>2</v>
      </c>
      <c r="C354" s="81" t="s">
        <v>839</v>
      </c>
      <c r="D354" s="81" t="s">
        <v>840</v>
      </c>
      <c r="E354" s="95" t="s">
        <v>21</v>
      </c>
      <c r="F354" s="95" t="s">
        <v>7</v>
      </c>
      <c r="G354" s="95" t="s">
        <v>57</v>
      </c>
      <c r="H354" s="95" t="s">
        <v>842</v>
      </c>
      <c r="I354" s="96"/>
      <c r="J354" s="83" t="str">
        <f>IF(E354="Invalid_Segment","Invalid",IFERROR(INDEX(Severity_Matrix!$C$3:$M$10,MATCH('Error Log'!$F354,Severity_Matrix!$B$3:$B$10,0),MATCH('Error Log'!$G354,Severity_Matrix!$C$2:$M$2,0)),"No errors"))</f>
        <v>Critical</v>
      </c>
    </row>
    <row r="355" spans="1:10">
      <c r="A355" s="106" t="s">
        <v>924</v>
      </c>
      <c r="B355" s="93">
        <v>3</v>
      </c>
      <c r="C355" s="81" t="s">
        <v>839</v>
      </c>
      <c r="D355" s="81" t="s">
        <v>840</v>
      </c>
      <c r="E355" s="95" t="s">
        <v>21</v>
      </c>
      <c r="F355" s="95" t="s">
        <v>7</v>
      </c>
      <c r="G355" s="95" t="s">
        <v>57</v>
      </c>
      <c r="H355" s="95" t="s">
        <v>843</v>
      </c>
      <c r="I355" s="96"/>
      <c r="J355" s="83" t="str">
        <f>IF(E355="Invalid_Segment","Invalid",IFERROR(INDEX(Severity_Matrix!$C$3:$M$10,MATCH('Error Log'!$F355,Severity_Matrix!$B$3:$B$10,0),MATCH('Error Log'!$G355,Severity_Matrix!$C$2:$M$2,0)),"No errors"))</f>
        <v>Critical</v>
      </c>
    </row>
    <row r="356" spans="1:10">
      <c r="A356" s="106" t="s">
        <v>925</v>
      </c>
      <c r="B356" s="93">
        <v>1</v>
      </c>
      <c r="C356" s="81" t="s">
        <v>844</v>
      </c>
      <c r="D356" s="81" t="s">
        <v>845</v>
      </c>
      <c r="E356" s="95" t="s">
        <v>21</v>
      </c>
      <c r="F356" s="95" t="s">
        <v>22</v>
      </c>
      <c r="G356" s="95" t="s">
        <v>28</v>
      </c>
      <c r="H356" s="95" t="s">
        <v>131</v>
      </c>
      <c r="I356" s="96"/>
      <c r="J356" s="83" t="str">
        <f>IF(E356="Invalid_Segment","Invalid",IFERROR(INDEX(Severity_Matrix!$C$3:$M$10,MATCH('Error Log'!$F356,Severity_Matrix!$B$3:$B$10,0),MATCH('Error Log'!$G356,Severity_Matrix!$C$2:$M$2,0)),"No errors"))</f>
        <v>Major</v>
      </c>
    </row>
    <row r="357" spans="1:10">
      <c r="A357" s="106" t="s">
        <v>926</v>
      </c>
      <c r="B357" s="93">
        <v>1</v>
      </c>
      <c r="C357" s="81" t="s">
        <v>846</v>
      </c>
      <c r="D357" s="81" t="s">
        <v>847</v>
      </c>
      <c r="E357" s="95" t="s">
        <v>21</v>
      </c>
      <c r="F357" s="95" t="s">
        <v>22</v>
      </c>
      <c r="G357" s="95" t="s">
        <v>57</v>
      </c>
      <c r="H357" s="95" t="s">
        <v>848</v>
      </c>
      <c r="I357" s="96"/>
      <c r="J357" s="83" t="str">
        <f>IF(E357="Invalid_Segment","Invalid",IFERROR(INDEX(Severity_Matrix!$C$3:$M$10,MATCH('Error Log'!$F357,Severity_Matrix!$B$3:$B$10,0),MATCH('Error Log'!$G357,Severity_Matrix!$C$2:$M$2,0)),"No errors"))</f>
        <v>Major</v>
      </c>
    </row>
    <row r="358" spans="1:10">
      <c r="A358" s="106" t="s">
        <v>926</v>
      </c>
      <c r="B358" s="93">
        <v>2</v>
      </c>
      <c r="C358" s="81" t="s">
        <v>846</v>
      </c>
      <c r="D358" s="81" t="s">
        <v>847</v>
      </c>
      <c r="E358" s="95" t="s">
        <v>21</v>
      </c>
      <c r="F358" s="95" t="s">
        <v>22</v>
      </c>
      <c r="G358" s="95" t="s">
        <v>57</v>
      </c>
      <c r="H358" s="95" t="s">
        <v>849</v>
      </c>
      <c r="I358" s="96"/>
      <c r="J358" s="83" t="str">
        <f>IF(E358="Invalid_Segment","Invalid",IFERROR(INDEX(Severity_Matrix!$C$3:$M$10,MATCH('Error Log'!$F358,Severity_Matrix!$B$3:$B$10,0),MATCH('Error Log'!$G358,Severity_Matrix!$C$2:$M$2,0)),"No errors"))</f>
        <v>Major</v>
      </c>
    </row>
    <row r="359" spans="1:10">
      <c r="A359" s="106" t="s">
        <v>926</v>
      </c>
      <c r="B359" s="93">
        <v>3</v>
      </c>
      <c r="C359" s="81" t="s">
        <v>846</v>
      </c>
      <c r="D359" s="81" t="s">
        <v>847</v>
      </c>
      <c r="E359" s="95" t="s">
        <v>21</v>
      </c>
      <c r="F359" s="95" t="s">
        <v>7</v>
      </c>
      <c r="G359" s="95" t="s">
        <v>57</v>
      </c>
      <c r="H359" s="95" t="s">
        <v>850</v>
      </c>
      <c r="I359" s="96"/>
      <c r="J359" s="83" t="str">
        <f>IF(E359="Invalid_Segment","Invalid",IFERROR(INDEX(Severity_Matrix!$C$3:$M$10,MATCH('Error Log'!$F359,Severity_Matrix!$B$3:$B$10,0),MATCH('Error Log'!$G359,Severity_Matrix!$C$2:$M$2,0)),"No errors"))</f>
        <v>Critical</v>
      </c>
    </row>
    <row r="360" spans="1:10">
      <c r="A360" s="106" t="s">
        <v>926</v>
      </c>
      <c r="B360" s="93">
        <v>4</v>
      </c>
      <c r="C360" s="81" t="s">
        <v>846</v>
      </c>
      <c r="D360" s="81" t="s">
        <v>847</v>
      </c>
      <c r="E360" s="95" t="s">
        <v>21</v>
      </c>
      <c r="F360" s="95" t="s">
        <v>7</v>
      </c>
      <c r="G360" s="95" t="s">
        <v>57</v>
      </c>
      <c r="H360" s="95" t="s">
        <v>851</v>
      </c>
      <c r="I360" s="96"/>
      <c r="J360" s="83" t="str">
        <f>IF(E360="Invalid_Segment","Invalid",IFERROR(INDEX(Severity_Matrix!$C$3:$M$10,MATCH('Error Log'!$F360,Severity_Matrix!$B$3:$B$10,0),MATCH('Error Log'!$G360,Severity_Matrix!$C$2:$M$2,0)),"No errors"))</f>
        <v>Critical</v>
      </c>
    </row>
    <row r="361" spans="1:10">
      <c r="A361" s="106" t="s">
        <v>927</v>
      </c>
      <c r="B361" s="93">
        <v>1</v>
      </c>
      <c r="C361" s="81" t="s">
        <v>852</v>
      </c>
      <c r="D361" s="81" t="s">
        <v>853</v>
      </c>
      <c r="E361" s="95" t="s">
        <v>21</v>
      </c>
      <c r="F361" s="95" t="s">
        <v>22</v>
      </c>
      <c r="G361" s="95" t="s">
        <v>57</v>
      </c>
      <c r="H361" s="95" t="s">
        <v>854</v>
      </c>
      <c r="I361" s="96"/>
      <c r="J361" s="83" t="str">
        <f>IF(E361="Invalid_Segment","Invalid",IFERROR(INDEX(Severity_Matrix!$C$3:$M$10,MATCH('Error Log'!$F361,Severity_Matrix!$B$3:$B$10,0),MATCH('Error Log'!$G361,Severity_Matrix!$C$2:$M$2,0)),"No errors"))</f>
        <v>Major</v>
      </c>
    </row>
    <row r="362" spans="1:10">
      <c r="A362" s="106" t="s">
        <v>927</v>
      </c>
      <c r="B362" s="93">
        <v>2</v>
      </c>
      <c r="C362" s="81" t="s">
        <v>852</v>
      </c>
      <c r="D362" s="81" t="s">
        <v>853</v>
      </c>
      <c r="E362" s="95" t="s">
        <v>21</v>
      </c>
      <c r="F362" s="95" t="s">
        <v>7</v>
      </c>
      <c r="G362" s="95" t="s">
        <v>57</v>
      </c>
      <c r="H362" s="95" t="s">
        <v>855</v>
      </c>
      <c r="I362" s="96"/>
      <c r="J362" s="83" t="str">
        <f>IF(E362="Invalid_Segment","Invalid",IFERROR(INDEX(Severity_Matrix!$C$3:$M$10,MATCH('Error Log'!$F362,Severity_Matrix!$B$3:$B$10,0),MATCH('Error Log'!$G362,Severity_Matrix!$C$2:$M$2,0)),"No errors"))</f>
        <v>Critical</v>
      </c>
    </row>
    <row r="363" spans="1:10">
      <c r="A363" s="106" t="s">
        <v>928</v>
      </c>
      <c r="B363" s="93">
        <v>1</v>
      </c>
      <c r="C363" s="81" t="s">
        <v>856</v>
      </c>
      <c r="D363" s="81" t="s">
        <v>857</v>
      </c>
      <c r="E363" s="95" t="s">
        <v>21</v>
      </c>
      <c r="F363" s="95" t="s">
        <v>22</v>
      </c>
      <c r="G363" s="95" t="s">
        <v>57</v>
      </c>
      <c r="H363" s="95" t="s">
        <v>858</v>
      </c>
      <c r="I363" s="96"/>
      <c r="J363" s="83" t="str">
        <f>IF(E363="Invalid_Segment","Invalid",IFERROR(INDEX(Severity_Matrix!$C$3:$M$10,MATCH('Error Log'!$F363,Severity_Matrix!$B$3:$B$10,0),MATCH('Error Log'!$G363,Severity_Matrix!$C$2:$M$2,0)),"No errors"))</f>
        <v>Major</v>
      </c>
    </row>
    <row r="364" spans="1:10">
      <c r="A364" s="106" t="s">
        <v>928</v>
      </c>
      <c r="B364" s="93">
        <v>2</v>
      </c>
      <c r="C364" s="81" t="s">
        <v>856</v>
      </c>
      <c r="D364" s="81" t="s">
        <v>857</v>
      </c>
      <c r="E364" s="95" t="s">
        <v>21</v>
      </c>
      <c r="F364" s="95" t="s">
        <v>7</v>
      </c>
      <c r="G364" s="95" t="s">
        <v>57</v>
      </c>
      <c r="H364" s="95" t="s">
        <v>859</v>
      </c>
      <c r="I364" s="96"/>
      <c r="J364" s="83" t="str">
        <f>IF(E364="Invalid_Segment","Invalid",IFERROR(INDEX(Severity_Matrix!$C$3:$M$10,MATCH('Error Log'!$F364,Severity_Matrix!$B$3:$B$10,0),MATCH('Error Log'!$G364,Severity_Matrix!$C$2:$M$2,0)),"No errors"))</f>
        <v>Critical</v>
      </c>
    </row>
    <row r="365" spans="1:10">
      <c r="A365" s="106" t="s">
        <v>929</v>
      </c>
      <c r="B365" s="93">
        <v>1</v>
      </c>
      <c r="C365" s="81" t="s">
        <v>860</v>
      </c>
      <c r="D365" s="81" t="s">
        <v>861</v>
      </c>
      <c r="E365" s="95" t="s">
        <v>21</v>
      </c>
      <c r="F365" s="95" t="s">
        <v>22</v>
      </c>
      <c r="G365" s="95" t="s">
        <v>57</v>
      </c>
      <c r="H365" s="95" t="s">
        <v>862</v>
      </c>
      <c r="I365" s="96"/>
      <c r="J365" s="83" t="str">
        <f>IF(E365="Invalid_Segment","Invalid",IFERROR(INDEX(Severity_Matrix!$C$3:$M$10,MATCH('Error Log'!$F365,Severity_Matrix!$B$3:$B$10,0),MATCH('Error Log'!$G365,Severity_Matrix!$C$2:$M$2,0)),"No errors"))</f>
        <v>Major</v>
      </c>
    </row>
    <row r="366" spans="1:10">
      <c r="A366" s="106" t="s">
        <v>929</v>
      </c>
      <c r="B366" s="93">
        <v>2</v>
      </c>
      <c r="C366" s="81" t="s">
        <v>860</v>
      </c>
      <c r="D366" s="81" t="s">
        <v>861</v>
      </c>
      <c r="E366" s="95" t="s">
        <v>21</v>
      </c>
      <c r="F366" s="95" t="s">
        <v>7</v>
      </c>
      <c r="G366" s="95" t="s">
        <v>57</v>
      </c>
      <c r="H366" s="95" t="s">
        <v>863</v>
      </c>
      <c r="I366" s="96"/>
      <c r="J366" s="83" t="str">
        <f>IF(E366="Invalid_Segment","Invalid",IFERROR(INDEX(Severity_Matrix!$C$3:$M$10,MATCH('Error Log'!$F366,Severity_Matrix!$B$3:$B$10,0),MATCH('Error Log'!$G366,Severity_Matrix!$C$2:$M$2,0)),"No errors"))</f>
        <v>Critical</v>
      </c>
    </row>
    <row r="367" spans="1:10">
      <c r="A367" s="106" t="s">
        <v>929</v>
      </c>
      <c r="B367" s="93">
        <v>3</v>
      </c>
      <c r="C367" s="81" t="s">
        <v>860</v>
      </c>
      <c r="D367" s="81" t="s">
        <v>861</v>
      </c>
      <c r="E367" s="95" t="s">
        <v>21</v>
      </c>
      <c r="F367" s="95" t="s">
        <v>7</v>
      </c>
      <c r="G367" s="95" t="s">
        <v>57</v>
      </c>
      <c r="H367" s="95" t="s">
        <v>864</v>
      </c>
      <c r="I367" s="96"/>
      <c r="J367" s="83" t="str">
        <f>IF(E367="Invalid_Segment","Invalid",IFERROR(INDEX(Severity_Matrix!$C$3:$M$10,MATCH('Error Log'!$F367,Severity_Matrix!$B$3:$B$10,0),MATCH('Error Log'!$G367,Severity_Matrix!$C$2:$M$2,0)),"No errors"))</f>
        <v>Critical</v>
      </c>
    </row>
    <row r="368" spans="1:10">
      <c r="A368" s="106" t="s">
        <v>930</v>
      </c>
      <c r="B368" s="93">
        <v>1</v>
      </c>
      <c r="C368" s="81" t="s">
        <v>865</v>
      </c>
      <c r="D368" s="81" t="s">
        <v>866</v>
      </c>
      <c r="E368" s="95" t="s">
        <v>21</v>
      </c>
      <c r="F368" s="95" t="s">
        <v>22</v>
      </c>
      <c r="G368" s="95" t="s">
        <v>57</v>
      </c>
      <c r="H368" s="101" t="s">
        <v>867</v>
      </c>
      <c r="I368" s="96"/>
      <c r="J368" s="83" t="str">
        <f>IF(E368="Invalid_Segment","Invalid",IFERROR(INDEX(Severity_Matrix!$C$3:$M$10,MATCH('Error Log'!$F368,Severity_Matrix!$B$3:$B$10,0),MATCH('Error Log'!$G368,Severity_Matrix!$C$2:$M$2,0)),"No errors"))</f>
        <v>Major</v>
      </c>
    </row>
    <row r="369" spans="1:10">
      <c r="A369" s="106" t="s">
        <v>930</v>
      </c>
      <c r="B369" s="93">
        <v>2</v>
      </c>
      <c r="C369" s="81" t="s">
        <v>865</v>
      </c>
      <c r="D369" s="81" t="s">
        <v>866</v>
      </c>
      <c r="E369" s="95" t="s">
        <v>21</v>
      </c>
      <c r="F369" s="95" t="s">
        <v>7</v>
      </c>
      <c r="G369" s="95" t="s">
        <v>57</v>
      </c>
      <c r="H369" s="101" t="s">
        <v>868</v>
      </c>
      <c r="I369" s="96"/>
      <c r="J369" s="83" t="str">
        <f>IF(E369="Invalid_Segment","Invalid",IFERROR(INDEX(Severity_Matrix!$C$3:$M$10,MATCH('Error Log'!$F369,Severity_Matrix!$B$3:$B$10,0),MATCH('Error Log'!$G369,Severity_Matrix!$C$2:$M$2,0)),"No errors"))</f>
        <v>Critical</v>
      </c>
    </row>
    <row r="370" spans="1:10">
      <c r="A370" s="106" t="s">
        <v>932</v>
      </c>
      <c r="B370" s="93">
        <v>1</v>
      </c>
      <c r="C370" s="81" t="s">
        <v>869</v>
      </c>
      <c r="D370" s="103" t="s">
        <v>870</v>
      </c>
      <c r="E370" s="95"/>
      <c r="F370" s="95"/>
      <c r="G370" s="95"/>
      <c r="H370" s="95"/>
      <c r="I370" s="96"/>
      <c r="J370" s="83" t="str">
        <f>IF(E370="Invalid_Segment","Invalid",IFERROR(INDEX(Severity_Matrix!$C$3:$M$10,MATCH('Error Log'!$F370,Severity_Matrix!$B$3:$B$10,0),MATCH('Error Log'!$G370,Severity_Matrix!$C$2:$M$2,0)),"No errors"))</f>
        <v>No errors</v>
      </c>
    </row>
    <row r="371" spans="1:10">
      <c r="A371" s="106" t="s">
        <v>931</v>
      </c>
      <c r="B371" s="93">
        <v>1</v>
      </c>
      <c r="C371" s="103" t="s">
        <v>871</v>
      </c>
      <c r="D371" s="103" t="s">
        <v>872</v>
      </c>
      <c r="E371" s="95" t="s">
        <v>2</v>
      </c>
      <c r="F371" s="95" t="s">
        <v>26</v>
      </c>
      <c r="G371" s="95" t="s">
        <v>57</v>
      </c>
      <c r="H371" s="95" t="s">
        <v>873</v>
      </c>
      <c r="I371" s="96"/>
      <c r="J371" s="83" t="str">
        <f>IF(E371="Invalid_Segment","Invalid",IFERROR(INDEX(Severity_Matrix!$C$3:$M$10,MATCH('Error Log'!$F371,Severity_Matrix!$B$3:$B$10,0),MATCH('Error Log'!$G371,Severity_Matrix!$C$2:$M$2,0)),"No errors"))</f>
        <v>Major</v>
      </c>
    </row>
    <row r="372" spans="1:10">
      <c r="A372" s="106" t="s">
        <v>931</v>
      </c>
      <c r="B372" s="93">
        <v>2</v>
      </c>
      <c r="C372" s="103" t="s">
        <v>871</v>
      </c>
      <c r="D372" s="103" t="s">
        <v>872</v>
      </c>
      <c r="E372" s="95" t="s">
        <v>21</v>
      </c>
      <c r="F372" s="95" t="s">
        <v>7</v>
      </c>
      <c r="G372" s="95" t="s">
        <v>57</v>
      </c>
      <c r="H372" s="95" t="s">
        <v>874</v>
      </c>
      <c r="I372" s="96"/>
      <c r="J372" s="83" t="str">
        <f>IF(E372="Invalid_Segment","Invalid",IFERROR(INDEX(Severity_Matrix!$C$3:$M$10,MATCH('Error Log'!$F372,Severity_Matrix!$B$3:$B$10,0),MATCH('Error Log'!$G372,Severity_Matrix!$C$2:$M$2,0)),"No errors"))</f>
        <v>Critical</v>
      </c>
    </row>
    <row r="373" spans="1:10">
      <c r="A373" s="106" t="s">
        <v>931</v>
      </c>
      <c r="B373" s="93">
        <v>3</v>
      </c>
      <c r="C373" s="103" t="s">
        <v>871</v>
      </c>
      <c r="D373" s="103" t="s">
        <v>872</v>
      </c>
      <c r="E373" s="95" t="s">
        <v>21</v>
      </c>
      <c r="F373" s="95" t="s">
        <v>7</v>
      </c>
      <c r="G373" s="95" t="s">
        <v>57</v>
      </c>
      <c r="H373" s="95" t="s">
        <v>875</v>
      </c>
      <c r="I373" s="96"/>
      <c r="J373" s="83" t="str">
        <f>IF(E373="Invalid_Segment","Invalid",IFERROR(INDEX(Severity_Matrix!$C$3:$M$10,MATCH('Error Log'!$F373,Severity_Matrix!$B$3:$B$10,0),MATCH('Error Log'!$G373,Severity_Matrix!$C$2:$M$2,0)),"No errors"))</f>
        <v>Critical</v>
      </c>
    </row>
    <row r="374" spans="1:10">
      <c r="A374" s="106" t="s">
        <v>931</v>
      </c>
      <c r="B374" s="93">
        <v>4</v>
      </c>
      <c r="C374" s="103" t="s">
        <v>871</v>
      </c>
      <c r="D374" s="103" t="s">
        <v>872</v>
      </c>
      <c r="E374" s="95" t="s">
        <v>21</v>
      </c>
      <c r="F374" s="95" t="s">
        <v>7</v>
      </c>
      <c r="G374" s="95" t="s">
        <v>57</v>
      </c>
      <c r="H374" s="95" t="s">
        <v>876</v>
      </c>
      <c r="I374" s="96"/>
      <c r="J374" s="83" t="str">
        <f>IF(E374="Invalid_Segment","Invalid",IFERROR(INDEX(Severity_Matrix!$C$3:$M$10,MATCH('Error Log'!$F374,Severity_Matrix!$B$3:$B$10,0),MATCH('Error Log'!$G374,Severity_Matrix!$C$2:$M$2,0)),"No errors"))</f>
        <v>Critical</v>
      </c>
    </row>
    <row r="375" spans="1:10">
      <c r="A375" s="80" t="s">
        <v>933</v>
      </c>
      <c r="B375" s="93">
        <v>1</v>
      </c>
      <c r="C375" s="81" t="s">
        <v>934</v>
      </c>
      <c r="D375" s="81" t="s">
        <v>935</v>
      </c>
      <c r="E375" s="95" t="s">
        <v>21</v>
      </c>
      <c r="F375" s="95" t="s">
        <v>22</v>
      </c>
      <c r="G375" s="95" t="s">
        <v>57</v>
      </c>
      <c r="H375" s="107" t="s">
        <v>936</v>
      </c>
      <c r="I375" s="95"/>
      <c r="J375" s="83" t="s">
        <v>23</v>
      </c>
    </row>
    <row r="376" spans="1:10">
      <c r="A376" s="80" t="s">
        <v>933</v>
      </c>
      <c r="B376" s="93">
        <v>2</v>
      </c>
      <c r="C376" s="81" t="s">
        <v>934</v>
      </c>
      <c r="D376" s="81" t="s">
        <v>935</v>
      </c>
      <c r="E376" s="95" t="s">
        <v>21</v>
      </c>
      <c r="F376" s="95" t="s">
        <v>22</v>
      </c>
      <c r="G376" s="95" t="s">
        <v>28</v>
      </c>
      <c r="H376" s="107" t="s">
        <v>485</v>
      </c>
      <c r="I376" s="95"/>
      <c r="J376" s="83" t="s">
        <v>23</v>
      </c>
    </row>
    <row r="377" spans="1:10">
      <c r="A377" s="80" t="s">
        <v>933</v>
      </c>
      <c r="B377" s="93">
        <v>3</v>
      </c>
      <c r="C377" s="81" t="s">
        <v>934</v>
      </c>
      <c r="D377" s="81" t="s">
        <v>935</v>
      </c>
      <c r="E377" s="95" t="s">
        <v>21</v>
      </c>
      <c r="F377" s="95" t="s">
        <v>22</v>
      </c>
      <c r="G377" s="95" t="s">
        <v>28</v>
      </c>
      <c r="H377" s="107" t="s">
        <v>482</v>
      </c>
      <c r="I377" s="95"/>
      <c r="J377" s="83" t="s">
        <v>23</v>
      </c>
    </row>
    <row r="378" spans="1:10">
      <c r="A378" s="80" t="s">
        <v>933</v>
      </c>
      <c r="B378" s="93">
        <v>4</v>
      </c>
      <c r="C378" s="81" t="s">
        <v>934</v>
      </c>
      <c r="D378" s="81" t="s">
        <v>935</v>
      </c>
      <c r="E378" s="95" t="s">
        <v>21</v>
      </c>
      <c r="F378" s="95" t="s">
        <v>22</v>
      </c>
      <c r="G378" s="95" t="s">
        <v>57</v>
      </c>
      <c r="H378" s="107" t="s">
        <v>937</v>
      </c>
      <c r="I378" s="95"/>
      <c r="J378" s="83" t="s">
        <v>23</v>
      </c>
    </row>
    <row r="379" spans="1:10">
      <c r="A379" s="80" t="s">
        <v>933</v>
      </c>
      <c r="B379" s="93">
        <v>5</v>
      </c>
      <c r="C379" s="81" t="s">
        <v>934</v>
      </c>
      <c r="D379" s="81" t="s">
        <v>935</v>
      </c>
      <c r="E379" s="95" t="s">
        <v>21</v>
      </c>
      <c r="F379" s="95" t="s">
        <v>22</v>
      </c>
      <c r="G379" s="95" t="s">
        <v>57</v>
      </c>
      <c r="H379" s="107" t="s">
        <v>938</v>
      </c>
      <c r="I379" s="95"/>
      <c r="J379" s="83" t="s">
        <v>23</v>
      </c>
    </row>
    <row r="380" spans="1:10">
      <c r="A380" s="80" t="s">
        <v>933</v>
      </c>
      <c r="B380" s="93">
        <v>6</v>
      </c>
      <c r="C380" s="81" t="s">
        <v>934</v>
      </c>
      <c r="D380" s="81" t="s">
        <v>935</v>
      </c>
      <c r="E380" s="95" t="s">
        <v>21</v>
      </c>
      <c r="F380" s="95" t="s">
        <v>7</v>
      </c>
      <c r="G380" s="95" t="s">
        <v>57</v>
      </c>
      <c r="H380" s="107" t="s">
        <v>939</v>
      </c>
      <c r="I380" s="95"/>
      <c r="J380" s="83" t="s">
        <v>25</v>
      </c>
    </row>
    <row r="381" spans="1:10">
      <c r="A381" s="80" t="s">
        <v>933</v>
      </c>
      <c r="B381" s="93">
        <v>7</v>
      </c>
      <c r="C381" s="81" t="s">
        <v>934</v>
      </c>
      <c r="D381" s="81" t="s">
        <v>935</v>
      </c>
      <c r="E381" s="95" t="s">
        <v>21</v>
      </c>
      <c r="F381" s="95" t="s">
        <v>7</v>
      </c>
      <c r="G381" s="95" t="s">
        <v>57</v>
      </c>
      <c r="H381" s="107" t="s">
        <v>940</v>
      </c>
      <c r="I381" s="95"/>
      <c r="J381" s="83" t="s">
        <v>25</v>
      </c>
    </row>
    <row r="382" spans="1:10" ht="15.6">
      <c r="A382" s="108" t="s">
        <v>941</v>
      </c>
      <c r="B382" s="93">
        <v>1</v>
      </c>
      <c r="C382" s="81" t="s">
        <v>942</v>
      </c>
      <c r="D382" s="81" t="s">
        <v>943</v>
      </c>
      <c r="E382" s="95" t="s">
        <v>21</v>
      </c>
      <c r="F382" s="95" t="s">
        <v>22</v>
      </c>
      <c r="G382" s="95" t="s">
        <v>57</v>
      </c>
      <c r="H382" s="95" t="s">
        <v>944</v>
      </c>
      <c r="I382" s="95"/>
      <c r="J382" s="83" t="s">
        <v>23</v>
      </c>
    </row>
    <row r="383" spans="1:10">
      <c r="A383" s="106" t="s">
        <v>945</v>
      </c>
      <c r="B383" s="93"/>
      <c r="C383" s="81" t="s">
        <v>946</v>
      </c>
      <c r="D383" s="81" t="s">
        <v>947</v>
      </c>
      <c r="E383" s="95"/>
      <c r="F383" s="95"/>
      <c r="G383" s="95"/>
      <c r="H383" s="95"/>
      <c r="I383" s="95"/>
      <c r="J383" s="83" t="s">
        <v>948</v>
      </c>
    </row>
    <row r="384" spans="1:10">
      <c r="A384" s="85" t="s">
        <v>949</v>
      </c>
      <c r="B384" s="93">
        <v>1</v>
      </c>
      <c r="C384" s="103" t="s">
        <v>950</v>
      </c>
      <c r="D384" s="81" t="s">
        <v>951</v>
      </c>
      <c r="E384" s="95" t="s">
        <v>21</v>
      </c>
      <c r="F384" s="95" t="s">
        <v>22</v>
      </c>
      <c r="G384" s="95" t="s">
        <v>57</v>
      </c>
      <c r="H384" s="104" t="s">
        <v>952</v>
      </c>
      <c r="I384" s="95"/>
      <c r="J384" s="83" t="s">
        <v>23</v>
      </c>
    </row>
    <row r="385" spans="1:10">
      <c r="A385" s="85" t="s">
        <v>953</v>
      </c>
      <c r="B385" s="93">
        <v>1</v>
      </c>
      <c r="C385" s="103" t="s">
        <v>954</v>
      </c>
      <c r="D385" s="81" t="s">
        <v>955</v>
      </c>
      <c r="E385" s="95" t="s">
        <v>21</v>
      </c>
      <c r="F385" s="95" t="s">
        <v>22</v>
      </c>
      <c r="G385" s="95" t="s">
        <v>57</v>
      </c>
      <c r="H385" s="95" t="s">
        <v>956</v>
      </c>
      <c r="I385" s="95"/>
      <c r="J385" s="83" t="s">
        <v>23</v>
      </c>
    </row>
    <row r="386" spans="1:10">
      <c r="A386" s="86" t="s">
        <v>957</v>
      </c>
      <c r="B386" s="93">
        <v>1</v>
      </c>
      <c r="C386" s="81" t="s">
        <v>958</v>
      </c>
      <c r="D386" s="81" t="s">
        <v>959</v>
      </c>
      <c r="E386" s="95" t="s">
        <v>21</v>
      </c>
      <c r="F386" s="95" t="s">
        <v>22</v>
      </c>
      <c r="G386" s="95" t="s">
        <v>57</v>
      </c>
      <c r="H386" s="95" t="s">
        <v>960</v>
      </c>
      <c r="I386" s="95"/>
      <c r="J386" s="83" t="s">
        <v>23</v>
      </c>
    </row>
    <row r="387" spans="1:10">
      <c r="A387" s="86" t="s">
        <v>961</v>
      </c>
      <c r="B387" s="93">
        <v>1</v>
      </c>
      <c r="C387" s="81" t="s">
        <v>962</v>
      </c>
      <c r="D387" s="81" t="s">
        <v>963</v>
      </c>
      <c r="E387" s="95" t="s">
        <v>21</v>
      </c>
      <c r="F387" s="95" t="s">
        <v>22</v>
      </c>
      <c r="G387" s="95" t="s">
        <v>28</v>
      </c>
      <c r="H387" s="95" t="s">
        <v>964</v>
      </c>
      <c r="I387" s="95"/>
      <c r="J387" s="83" t="s">
        <v>23</v>
      </c>
    </row>
    <row r="388" spans="1:10">
      <c r="A388" s="86" t="s">
        <v>961</v>
      </c>
      <c r="B388" s="93">
        <v>2</v>
      </c>
      <c r="C388" s="81" t="s">
        <v>962</v>
      </c>
      <c r="D388" s="81" t="s">
        <v>963</v>
      </c>
      <c r="E388" s="95" t="s">
        <v>21</v>
      </c>
      <c r="F388" s="95" t="s">
        <v>22</v>
      </c>
      <c r="G388" s="95" t="s">
        <v>28</v>
      </c>
      <c r="H388" s="95" t="s">
        <v>701</v>
      </c>
      <c r="I388" s="95"/>
      <c r="J388" s="83" t="s">
        <v>23</v>
      </c>
    </row>
    <row r="389" spans="1:10">
      <c r="A389" s="86" t="s">
        <v>961</v>
      </c>
      <c r="B389" s="93">
        <v>3</v>
      </c>
      <c r="C389" s="81" t="s">
        <v>962</v>
      </c>
      <c r="D389" s="81" t="s">
        <v>963</v>
      </c>
      <c r="E389" s="95" t="s">
        <v>21</v>
      </c>
      <c r="F389" s="95" t="s">
        <v>22</v>
      </c>
      <c r="G389" s="95" t="s">
        <v>57</v>
      </c>
      <c r="H389" s="95" t="s">
        <v>965</v>
      </c>
      <c r="I389" s="95"/>
      <c r="J389" s="83" t="s">
        <v>23</v>
      </c>
    </row>
    <row r="390" spans="1:10">
      <c r="A390" s="86" t="s">
        <v>961</v>
      </c>
      <c r="B390" s="93">
        <v>4</v>
      </c>
      <c r="C390" s="81" t="s">
        <v>962</v>
      </c>
      <c r="D390" s="81" t="s">
        <v>963</v>
      </c>
      <c r="E390" s="95" t="s">
        <v>21</v>
      </c>
      <c r="F390" s="95" t="s">
        <v>22</v>
      </c>
      <c r="G390" s="95" t="s">
        <v>57</v>
      </c>
      <c r="H390" s="95" t="s">
        <v>966</v>
      </c>
      <c r="I390" s="95"/>
      <c r="J390" s="83" t="s">
        <v>23</v>
      </c>
    </row>
    <row r="391" spans="1:10">
      <c r="A391" s="86" t="s">
        <v>961</v>
      </c>
      <c r="B391" s="93">
        <v>5</v>
      </c>
      <c r="C391" s="81" t="s">
        <v>962</v>
      </c>
      <c r="D391" s="81" t="s">
        <v>963</v>
      </c>
      <c r="E391" s="95" t="s">
        <v>21</v>
      </c>
      <c r="F391" s="95" t="s">
        <v>7</v>
      </c>
      <c r="G391" s="95" t="s">
        <v>57</v>
      </c>
      <c r="H391" s="95" t="s">
        <v>967</v>
      </c>
      <c r="I391" s="95"/>
      <c r="J391" s="83" t="s">
        <v>25</v>
      </c>
    </row>
    <row r="392" spans="1:10">
      <c r="A392" s="86" t="s">
        <v>968</v>
      </c>
      <c r="B392" s="93"/>
      <c r="C392" s="81" t="s">
        <v>969</v>
      </c>
      <c r="D392" s="81" t="s">
        <v>970</v>
      </c>
      <c r="E392" s="95"/>
      <c r="F392" s="95"/>
      <c r="G392" s="95"/>
      <c r="H392" s="95"/>
      <c r="I392" s="95"/>
      <c r="J392" s="83" t="s">
        <v>948</v>
      </c>
    </row>
    <row r="393" spans="1:10">
      <c r="A393" s="86" t="s">
        <v>971</v>
      </c>
      <c r="B393" s="93">
        <v>1</v>
      </c>
      <c r="C393" s="81" t="s">
        <v>972</v>
      </c>
      <c r="D393" s="81" t="s">
        <v>973</v>
      </c>
      <c r="E393" s="95" t="s">
        <v>21</v>
      </c>
      <c r="F393" s="95" t="s">
        <v>22</v>
      </c>
      <c r="G393" s="95" t="s">
        <v>57</v>
      </c>
      <c r="H393" s="95" t="s">
        <v>974</v>
      </c>
      <c r="I393" s="95"/>
      <c r="J393" s="83" t="s">
        <v>23</v>
      </c>
    </row>
    <row r="394" spans="1:10">
      <c r="A394" s="86" t="s">
        <v>971</v>
      </c>
      <c r="B394" s="93">
        <v>2</v>
      </c>
      <c r="C394" s="81" t="s">
        <v>972</v>
      </c>
      <c r="D394" s="81" t="s">
        <v>973</v>
      </c>
      <c r="E394" s="95" t="s">
        <v>21</v>
      </c>
      <c r="F394" s="95" t="s">
        <v>7</v>
      </c>
      <c r="G394" s="95" t="s">
        <v>57</v>
      </c>
      <c r="H394" s="106" t="s">
        <v>975</v>
      </c>
      <c r="I394" s="95"/>
      <c r="J394" s="83" t="s">
        <v>25</v>
      </c>
    </row>
    <row r="395" spans="1:10">
      <c r="A395" s="86" t="s">
        <v>971</v>
      </c>
      <c r="B395" s="93">
        <v>3</v>
      </c>
      <c r="C395" s="81" t="s">
        <v>972</v>
      </c>
      <c r="D395" s="81" t="s">
        <v>973</v>
      </c>
      <c r="E395" s="95" t="s">
        <v>21</v>
      </c>
      <c r="F395" s="95" t="s">
        <v>7</v>
      </c>
      <c r="G395" s="95" t="s">
        <v>57</v>
      </c>
      <c r="H395" s="106" t="s">
        <v>976</v>
      </c>
      <c r="I395" s="95"/>
      <c r="J395" s="83" t="s">
        <v>25</v>
      </c>
    </row>
    <row r="396" spans="1:10">
      <c r="A396" s="85" t="s">
        <v>977</v>
      </c>
      <c r="B396" s="93">
        <v>1</v>
      </c>
      <c r="C396" s="103" t="s">
        <v>978</v>
      </c>
      <c r="D396" s="81" t="s">
        <v>979</v>
      </c>
      <c r="E396" s="95" t="s">
        <v>21</v>
      </c>
      <c r="F396" s="95" t="s">
        <v>22</v>
      </c>
      <c r="G396" s="95" t="s">
        <v>57</v>
      </c>
      <c r="H396" s="95" t="s">
        <v>980</v>
      </c>
      <c r="I396" s="95"/>
      <c r="J396" s="83" t="s">
        <v>23</v>
      </c>
    </row>
    <row r="397" spans="1:10">
      <c r="A397" s="85" t="s">
        <v>977</v>
      </c>
      <c r="B397" s="93">
        <v>2</v>
      </c>
      <c r="C397" s="103" t="s">
        <v>978</v>
      </c>
      <c r="D397" s="81" t="s">
        <v>979</v>
      </c>
      <c r="E397" s="95" t="s">
        <v>21</v>
      </c>
      <c r="F397" s="95" t="s">
        <v>7</v>
      </c>
      <c r="G397" s="95" t="s">
        <v>57</v>
      </c>
      <c r="H397" s="95" t="s">
        <v>981</v>
      </c>
      <c r="I397" s="95"/>
      <c r="J397" s="83" t="s">
        <v>25</v>
      </c>
    </row>
    <row r="398" spans="1:10">
      <c r="A398" s="85" t="s">
        <v>982</v>
      </c>
      <c r="B398" s="93">
        <v>1</v>
      </c>
      <c r="C398" s="103" t="s">
        <v>983</v>
      </c>
      <c r="D398" s="81" t="s">
        <v>984</v>
      </c>
      <c r="E398" s="95" t="s">
        <v>21</v>
      </c>
      <c r="F398" s="95" t="s">
        <v>22</v>
      </c>
      <c r="G398" s="95" t="s">
        <v>57</v>
      </c>
      <c r="H398" s="95" t="s">
        <v>985</v>
      </c>
      <c r="I398" s="95"/>
      <c r="J398" s="83" t="s">
        <v>23</v>
      </c>
    </row>
    <row r="399" spans="1:10">
      <c r="A399" s="85" t="s">
        <v>982</v>
      </c>
      <c r="B399" s="93">
        <v>2</v>
      </c>
      <c r="C399" s="103" t="s">
        <v>983</v>
      </c>
      <c r="D399" s="81" t="s">
        <v>984</v>
      </c>
      <c r="E399" s="95" t="s">
        <v>21</v>
      </c>
      <c r="F399" s="95" t="s">
        <v>7</v>
      </c>
      <c r="G399" s="95" t="s">
        <v>57</v>
      </c>
      <c r="H399" s="95" t="s">
        <v>986</v>
      </c>
      <c r="I399" s="95"/>
      <c r="J399" s="83" t="s">
        <v>25</v>
      </c>
    </row>
    <row r="400" spans="1:10">
      <c r="A400" s="85" t="s">
        <v>987</v>
      </c>
      <c r="B400" s="93">
        <v>1</v>
      </c>
      <c r="C400" s="103" t="s">
        <v>988</v>
      </c>
      <c r="D400" s="81" t="s">
        <v>989</v>
      </c>
      <c r="E400" s="95" t="s">
        <v>21</v>
      </c>
      <c r="F400" s="95" t="s">
        <v>7</v>
      </c>
      <c r="G400" s="95" t="s">
        <v>57</v>
      </c>
      <c r="H400" s="95" t="s">
        <v>990</v>
      </c>
      <c r="I400" s="95"/>
      <c r="J400" s="83" t="s">
        <v>25</v>
      </c>
    </row>
    <row r="401" spans="1:10">
      <c r="A401" s="85" t="s">
        <v>987</v>
      </c>
      <c r="B401" s="93">
        <v>2</v>
      </c>
      <c r="C401" s="103" t="s">
        <v>988</v>
      </c>
      <c r="D401" s="81" t="s">
        <v>989</v>
      </c>
      <c r="E401" s="95" t="s">
        <v>21</v>
      </c>
      <c r="F401" s="95" t="s">
        <v>7</v>
      </c>
      <c r="G401" s="95" t="s">
        <v>57</v>
      </c>
      <c r="H401" s="95" t="s">
        <v>991</v>
      </c>
      <c r="I401" s="95"/>
      <c r="J401" s="83" t="s">
        <v>25</v>
      </c>
    </row>
    <row r="402" spans="1:10">
      <c r="A402" s="17"/>
      <c r="B402" s="16"/>
      <c r="C402" s="18"/>
      <c r="D402" s="18"/>
      <c r="E402" s="13"/>
      <c r="F402" s="13"/>
      <c r="G402" s="13"/>
      <c r="H402" s="13"/>
      <c r="I402" s="13"/>
      <c r="J402" s="14"/>
    </row>
    <row r="403" spans="1:10">
      <c r="A403" s="17"/>
      <c r="B403" s="16"/>
      <c r="C403" s="18"/>
      <c r="D403" s="18"/>
      <c r="E403" s="13"/>
      <c r="F403" s="13"/>
      <c r="G403" s="13"/>
      <c r="H403" s="13"/>
      <c r="I403" s="13"/>
      <c r="J403" s="14"/>
    </row>
    <row r="404" spans="1:10">
      <c r="A404" s="17"/>
      <c r="B404" s="16"/>
      <c r="C404" s="18"/>
      <c r="D404" s="18"/>
      <c r="E404" s="13"/>
      <c r="F404" s="13"/>
      <c r="G404" s="13"/>
      <c r="H404" s="13"/>
      <c r="I404" s="13"/>
      <c r="J404" s="14"/>
    </row>
    <row r="405" spans="1:10">
      <c r="A405" s="17"/>
      <c r="B405" s="16"/>
      <c r="C405" s="18"/>
      <c r="D405" s="18"/>
      <c r="E405" s="13"/>
      <c r="F405" s="13"/>
      <c r="G405" s="13"/>
      <c r="H405" s="13"/>
      <c r="I405" s="13"/>
      <c r="J405" s="14"/>
    </row>
    <row r="406" spans="1:10">
      <c r="A406" s="17"/>
      <c r="B406" s="16"/>
      <c r="C406" s="18"/>
      <c r="D406" s="18"/>
      <c r="E406" s="13"/>
      <c r="F406" s="13"/>
      <c r="G406" s="13"/>
      <c r="H406" s="13"/>
      <c r="I406" s="13"/>
      <c r="J406" s="14"/>
    </row>
    <row r="407" spans="1:10">
      <c r="A407" s="17"/>
      <c r="B407" s="16"/>
      <c r="C407" s="18"/>
      <c r="D407" s="18"/>
      <c r="E407" s="13"/>
      <c r="F407" s="13"/>
      <c r="G407" s="13"/>
      <c r="H407" s="13"/>
      <c r="I407" s="13"/>
      <c r="J407" s="14"/>
    </row>
    <row r="408" spans="1:10">
      <c r="A408" s="17"/>
      <c r="B408" s="16"/>
      <c r="C408" s="18"/>
      <c r="D408" s="18"/>
      <c r="E408" s="13"/>
      <c r="F408" s="13"/>
      <c r="G408" s="13"/>
      <c r="H408" s="13"/>
      <c r="I408" s="13"/>
      <c r="J408" s="14"/>
    </row>
    <row r="409" spans="1:10">
      <c r="A409" s="17"/>
      <c r="B409" s="16"/>
      <c r="C409" s="18"/>
      <c r="D409" s="18"/>
      <c r="E409" s="13"/>
      <c r="F409" s="13"/>
      <c r="G409" s="13"/>
      <c r="H409" s="13"/>
      <c r="I409" s="13"/>
      <c r="J409" s="14"/>
    </row>
    <row r="410" spans="1:10">
      <c r="A410" s="17"/>
      <c r="B410" s="16"/>
      <c r="C410" s="18"/>
      <c r="D410" s="18"/>
      <c r="E410" s="13"/>
      <c r="F410" s="13"/>
      <c r="G410" s="13"/>
      <c r="H410" s="13"/>
      <c r="I410" s="13"/>
      <c r="J410" s="14"/>
    </row>
    <row r="411" spans="1:10">
      <c r="A411" s="17"/>
      <c r="B411" s="16"/>
      <c r="C411" s="18"/>
      <c r="D411" s="18"/>
      <c r="E411" s="13"/>
      <c r="F411" s="13"/>
      <c r="G411" s="13"/>
      <c r="H411" s="13"/>
      <c r="I411" s="13"/>
      <c r="J411" s="14"/>
    </row>
    <row r="412" spans="1:10">
      <c r="A412" s="17"/>
      <c r="B412" s="16"/>
      <c r="C412" s="18"/>
      <c r="D412" s="18"/>
      <c r="E412" s="13"/>
      <c r="F412" s="13"/>
      <c r="G412" s="13"/>
      <c r="H412" s="13"/>
      <c r="I412" s="13"/>
      <c r="J412" s="14"/>
    </row>
    <row r="413" spans="1:10">
      <c r="A413" s="17"/>
      <c r="B413" s="16"/>
      <c r="C413" s="18"/>
      <c r="D413" s="18"/>
      <c r="E413" s="13"/>
      <c r="F413" s="13"/>
      <c r="G413" s="13"/>
      <c r="H413" s="13"/>
      <c r="I413" s="13"/>
      <c r="J413" s="14"/>
    </row>
    <row r="414" spans="1:10">
      <c r="A414" s="17"/>
      <c r="B414" s="16"/>
      <c r="C414" s="18"/>
      <c r="D414" s="18"/>
      <c r="E414" s="13"/>
      <c r="F414" s="13"/>
      <c r="G414" s="13"/>
      <c r="H414" s="13"/>
      <c r="I414" s="13"/>
      <c r="J414" s="14"/>
    </row>
    <row r="415" spans="1:10">
      <c r="A415" s="17"/>
      <c r="B415" s="16"/>
      <c r="C415" s="18"/>
      <c r="D415" s="18"/>
      <c r="E415" s="13"/>
      <c r="F415" s="13"/>
      <c r="G415" s="13"/>
      <c r="H415" s="13"/>
      <c r="I415" s="13"/>
      <c r="J415" s="14"/>
    </row>
    <row r="416" spans="1:10">
      <c r="A416" s="17"/>
      <c r="B416" s="16"/>
      <c r="C416" s="18"/>
      <c r="D416" s="18"/>
      <c r="E416" s="13"/>
      <c r="F416" s="13"/>
      <c r="G416" s="13"/>
      <c r="H416" s="13"/>
      <c r="I416" s="13"/>
      <c r="J416" s="14"/>
    </row>
    <row r="417" spans="1:10">
      <c r="A417" s="17"/>
      <c r="B417" s="16"/>
      <c r="C417" s="18"/>
      <c r="D417" s="18"/>
      <c r="E417" s="13"/>
      <c r="F417" s="13"/>
      <c r="G417" s="13"/>
      <c r="H417" s="13"/>
      <c r="I417" s="13"/>
      <c r="J417" s="14"/>
    </row>
    <row r="418" spans="1:10">
      <c r="A418" s="17"/>
      <c r="B418" s="16"/>
      <c r="C418" s="18"/>
      <c r="D418" s="18"/>
      <c r="E418" s="13"/>
      <c r="F418" s="13"/>
      <c r="G418" s="13"/>
      <c r="H418" s="13"/>
      <c r="I418" s="13"/>
      <c r="J418" s="14"/>
    </row>
    <row r="419" spans="1:10">
      <c r="A419" s="17"/>
      <c r="B419" s="16"/>
      <c r="C419" s="18"/>
      <c r="D419" s="18"/>
      <c r="E419" s="13"/>
      <c r="F419" s="13"/>
      <c r="G419" s="13"/>
      <c r="H419" s="13"/>
      <c r="I419" s="13"/>
      <c r="J419" s="14"/>
    </row>
    <row r="420" spans="1:10">
      <c r="A420" s="17"/>
      <c r="B420" s="16"/>
      <c r="C420" s="18"/>
      <c r="D420" s="18"/>
      <c r="E420" s="13"/>
      <c r="F420" s="13"/>
      <c r="G420" s="13"/>
      <c r="H420" s="13"/>
      <c r="I420" s="13"/>
      <c r="J420" s="14"/>
    </row>
    <row r="421" spans="1:10">
      <c r="A421" s="17"/>
      <c r="B421" s="16"/>
      <c r="C421" s="18"/>
      <c r="D421" s="18"/>
      <c r="E421" s="13"/>
      <c r="F421" s="13"/>
      <c r="G421" s="13"/>
      <c r="H421" s="13"/>
      <c r="I421" s="13"/>
      <c r="J421" s="14"/>
    </row>
    <row r="422" spans="1:10">
      <c r="A422" s="17"/>
      <c r="B422" s="16"/>
      <c r="C422" s="18"/>
      <c r="D422" s="18"/>
      <c r="E422" s="13"/>
      <c r="F422" s="13"/>
      <c r="G422" s="13"/>
      <c r="H422" s="13"/>
      <c r="I422" s="13"/>
      <c r="J422" s="14"/>
    </row>
    <row r="423" spans="1:10">
      <c r="A423" s="17"/>
      <c r="B423" s="16"/>
      <c r="C423" s="18"/>
      <c r="D423" s="18"/>
      <c r="E423" s="13"/>
      <c r="F423" s="13"/>
      <c r="G423" s="13"/>
      <c r="H423" s="13"/>
      <c r="I423" s="13"/>
      <c r="J423" s="14"/>
    </row>
    <row r="424" spans="1:10">
      <c r="A424" s="17"/>
      <c r="B424" s="16"/>
      <c r="C424" s="18"/>
      <c r="D424" s="18"/>
      <c r="E424" s="13"/>
      <c r="F424" s="13"/>
      <c r="G424" s="13"/>
      <c r="H424" s="13"/>
      <c r="I424" s="13"/>
      <c r="J424" s="14"/>
    </row>
    <row r="425" spans="1:10">
      <c r="A425" s="17"/>
      <c r="B425" s="16"/>
      <c r="C425" s="18"/>
      <c r="D425" s="18"/>
      <c r="E425" s="13"/>
      <c r="F425" s="13"/>
      <c r="G425" s="13"/>
      <c r="H425" s="13"/>
      <c r="I425" s="13"/>
      <c r="J425" s="14"/>
    </row>
    <row r="426" spans="1:10">
      <c r="A426" s="17"/>
      <c r="B426" s="16"/>
      <c r="C426" s="18"/>
      <c r="D426" s="18"/>
      <c r="E426" s="13"/>
      <c r="F426" s="13"/>
      <c r="G426" s="13"/>
      <c r="H426" s="13"/>
      <c r="I426" s="13"/>
      <c r="J426" s="14"/>
    </row>
    <row r="427" spans="1:10">
      <c r="A427" s="17"/>
      <c r="B427" s="16"/>
      <c r="C427" s="18"/>
      <c r="D427" s="18"/>
      <c r="E427" s="13"/>
      <c r="F427" s="13"/>
      <c r="G427" s="13"/>
      <c r="H427" s="13"/>
      <c r="I427" s="13"/>
      <c r="J427" s="14"/>
    </row>
    <row r="428" spans="1:10">
      <c r="A428" s="17"/>
      <c r="B428" s="16"/>
      <c r="C428" s="18"/>
      <c r="D428" s="18"/>
      <c r="E428" s="13"/>
      <c r="F428" s="13"/>
      <c r="G428" s="13"/>
      <c r="H428" s="13"/>
      <c r="I428" s="13"/>
      <c r="J428" s="14"/>
    </row>
    <row r="429" spans="1:10">
      <c r="A429" s="17"/>
      <c r="B429" s="16"/>
      <c r="C429" s="18"/>
      <c r="D429" s="18"/>
      <c r="E429" s="13"/>
      <c r="F429" s="13"/>
      <c r="G429" s="13"/>
      <c r="H429" s="13"/>
      <c r="I429" s="13"/>
      <c r="J429" s="14"/>
    </row>
    <row r="430" spans="1:10">
      <c r="A430" s="17"/>
      <c r="B430" s="16"/>
      <c r="C430" s="18"/>
      <c r="D430" s="18"/>
      <c r="E430" s="13"/>
      <c r="F430" s="13"/>
      <c r="G430" s="13"/>
      <c r="H430" s="13"/>
      <c r="I430" s="13"/>
      <c r="J430" s="14"/>
    </row>
    <row r="431" spans="1:10">
      <c r="A431" s="17"/>
      <c r="B431" s="16"/>
      <c r="C431" s="18"/>
      <c r="D431" s="18"/>
      <c r="E431" s="13"/>
      <c r="F431" s="13"/>
      <c r="G431" s="13"/>
      <c r="H431" s="13"/>
      <c r="I431" s="13"/>
      <c r="J431" s="14"/>
    </row>
    <row r="432" spans="1:10">
      <c r="A432" s="17"/>
      <c r="B432" s="16"/>
      <c r="C432" s="18"/>
      <c r="D432" s="18"/>
      <c r="E432" s="13"/>
      <c r="F432" s="13"/>
      <c r="G432" s="13"/>
      <c r="H432" s="13"/>
      <c r="I432" s="13"/>
      <c r="J432" s="14"/>
    </row>
    <row r="433" spans="1:10">
      <c r="A433" s="17"/>
      <c r="B433" s="16"/>
      <c r="C433" s="18"/>
      <c r="D433" s="18"/>
      <c r="E433" s="13"/>
      <c r="F433" s="13"/>
      <c r="G433" s="13"/>
      <c r="H433" s="13"/>
      <c r="I433" s="13"/>
      <c r="J433" s="14"/>
    </row>
    <row r="434" spans="1:10">
      <c r="A434" s="17"/>
      <c r="B434" s="16"/>
      <c r="C434" s="18"/>
      <c r="D434" s="18"/>
      <c r="E434" s="13"/>
      <c r="F434" s="13"/>
      <c r="G434" s="13"/>
      <c r="H434" s="13"/>
      <c r="I434" s="13"/>
      <c r="J434" s="14"/>
    </row>
    <row r="435" spans="1:10">
      <c r="A435" s="17"/>
      <c r="B435" s="16"/>
      <c r="C435" s="18"/>
      <c r="D435" s="18"/>
      <c r="E435" s="13"/>
      <c r="F435" s="13"/>
      <c r="G435" s="13"/>
      <c r="H435" s="13"/>
      <c r="I435" s="13"/>
      <c r="J435" s="14"/>
    </row>
    <row r="436" spans="1:10">
      <c r="A436" s="17"/>
      <c r="B436" s="16"/>
      <c r="C436" s="18"/>
      <c r="D436" s="18"/>
      <c r="E436" s="13"/>
      <c r="F436" s="13"/>
      <c r="G436" s="13"/>
      <c r="H436" s="13"/>
      <c r="I436" s="13"/>
      <c r="J436" s="14"/>
    </row>
    <row r="437" spans="1:10">
      <c r="A437" s="17"/>
      <c r="B437" s="16"/>
      <c r="C437" s="18"/>
      <c r="D437" s="18"/>
      <c r="E437" s="13"/>
      <c r="F437" s="13"/>
      <c r="G437" s="13"/>
      <c r="H437" s="13"/>
      <c r="I437" s="13"/>
      <c r="J437" s="14"/>
    </row>
    <row r="438" spans="1:10">
      <c r="A438" s="17"/>
      <c r="B438" s="16"/>
      <c r="C438" s="18"/>
      <c r="D438" s="18"/>
      <c r="E438" s="13"/>
      <c r="F438" s="13"/>
      <c r="G438" s="13"/>
      <c r="H438" s="13"/>
      <c r="I438" s="13"/>
      <c r="J438" s="14"/>
    </row>
    <row r="439" spans="1:10">
      <c r="A439" s="17"/>
      <c r="B439" s="16"/>
      <c r="C439" s="18"/>
      <c r="D439" s="18"/>
      <c r="E439" s="13"/>
      <c r="F439" s="13"/>
      <c r="G439" s="13"/>
      <c r="H439" s="13"/>
      <c r="I439" s="13"/>
      <c r="J439" s="14"/>
    </row>
    <row r="440" spans="1:10">
      <c r="A440" s="17"/>
      <c r="B440" s="16"/>
      <c r="C440" s="18"/>
      <c r="D440" s="18"/>
      <c r="E440" s="13"/>
      <c r="F440" s="13"/>
      <c r="G440" s="13"/>
      <c r="H440" s="13"/>
      <c r="I440" s="13"/>
      <c r="J440" s="14"/>
    </row>
    <row r="441" spans="1:10">
      <c r="A441" s="17"/>
      <c r="B441" s="16"/>
      <c r="C441" s="18"/>
      <c r="D441" s="18"/>
      <c r="E441" s="13"/>
      <c r="F441" s="13"/>
      <c r="G441" s="13"/>
      <c r="H441" s="13"/>
      <c r="I441" s="13"/>
      <c r="J441" s="14"/>
    </row>
    <row r="442" spans="1:10">
      <c r="A442" s="17"/>
      <c r="B442" s="16"/>
      <c r="C442" s="18"/>
      <c r="D442" s="18"/>
      <c r="E442" s="13"/>
      <c r="F442" s="13"/>
      <c r="G442" s="13"/>
      <c r="H442" s="13"/>
      <c r="I442" s="13"/>
      <c r="J442" s="14"/>
    </row>
    <row r="443" spans="1:10">
      <c r="A443" s="17"/>
      <c r="B443" s="16"/>
      <c r="C443" s="18"/>
      <c r="D443" s="18"/>
      <c r="E443" s="13"/>
      <c r="F443" s="13"/>
      <c r="G443" s="13"/>
      <c r="H443" s="13"/>
      <c r="I443" s="13"/>
      <c r="J443" s="14"/>
    </row>
    <row r="444" spans="1:10">
      <c r="A444" s="17"/>
      <c r="B444" s="16"/>
      <c r="C444" s="18"/>
      <c r="D444" s="18"/>
      <c r="E444" s="13"/>
      <c r="F444" s="13"/>
      <c r="G444" s="13"/>
      <c r="H444" s="13"/>
      <c r="I444" s="13"/>
      <c r="J444" s="14"/>
    </row>
    <row r="445" spans="1:10">
      <c r="A445" s="17"/>
      <c r="B445" s="16"/>
      <c r="C445" s="18"/>
      <c r="D445" s="18"/>
      <c r="E445" s="13"/>
      <c r="F445" s="13"/>
      <c r="G445" s="13"/>
      <c r="H445" s="13"/>
      <c r="I445" s="13"/>
      <c r="J445" s="14"/>
    </row>
    <row r="446" spans="1:10">
      <c r="A446" s="17"/>
      <c r="B446" s="16"/>
      <c r="C446" s="18"/>
      <c r="D446" s="18"/>
      <c r="E446" s="13"/>
      <c r="F446" s="13"/>
      <c r="G446" s="13"/>
      <c r="H446" s="13"/>
      <c r="I446" s="13"/>
      <c r="J446" s="14"/>
    </row>
    <row r="447" spans="1:10">
      <c r="A447" s="17"/>
      <c r="B447" s="16"/>
      <c r="C447" s="18"/>
      <c r="D447" s="18"/>
      <c r="E447" s="13"/>
      <c r="F447" s="13"/>
      <c r="G447" s="13"/>
      <c r="H447" s="13"/>
      <c r="I447" s="13"/>
      <c r="J447" s="14"/>
    </row>
    <row r="448" spans="1:10">
      <c r="A448" s="17"/>
      <c r="B448" s="16"/>
      <c r="C448" s="18"/>
      <c r="D448" s="18"/>
      <c r="E448" s="13"/>
      <c r="F448" s="13"/>
      <c r="G448" s="13"/>
      <c r="H448" s="13"/>
      <c r="I448" s="13"/>
      <c r="J448" s="14"/>
    </row>
    <row r="449" spans="1:10">
      <c r="A449" s="17"/>
      <c r="B449" s="16"/>
      <c r="C449" s="18"/>
      <c r="D449" s="18"/>
      <c r="E449" s="13"/>
      <c r="F449" s="13"/>
      <c r="G449" s="13"/>
      <c r="H449" s="13"/>
      <c r="I449" s="13"/>
      <c r="J449" s="14"/>
    </row>
    <row r="450" spans="1:10">
      <c r="A450" s="17"/>
      <c r="B450" s="16"/>
      <c r="C450" s="18"/>
      <c r="D450" s="18"/>
      <c r="E450" s="13"/>
      <c r="F450" s="13"/>
      <c r="G450" s="13"/>
      <c r="H450" s="13"/>
      <c r="I450" s="13"/>
      <c r="J450" s="14"/>
    </row>
    <row r="451" spans="1:10">
      <c r="A451" s="17"/>
      <c r="B451" s="16"/>
      <c r="C451" s="18"/>
      <c r="D451" s="18"/>
      <c r="E451" s="13"/>
      <c r="F451" s="13"/>
      <c r="G451" s="13"/>
      <c r="H451" s="13"/>
      <c r="I451" s="13"/>
      <c r="J451" s="14"/>
    </row>
    <row r="452" spans="1:10">
      <c r="A452" s="17"/>
      <c r="B452" s="16"/>
      <c r="C452" s="18"/>
      <c r="D452" s="18"/>
      <c r="E452" s="13"/>
      <c r="F452" s="13"/>
      <c r="G452" s="13"/>
      <c r="H452" s="13"/>
      <c r="I452" s="13"/>
      <c r="J452" s="14"/>
    </row>
    <row r="453" spans="1:10">
      <c r="A453" s="17"/>
      <c r="B453" s="16"/>
      <c r="C453" s="18"/>
      <c r="D453" s="18"/>
      <c r="E453" s="13"/>
      <c r="F453" s="13"/>
      <c r="G453" s="13"/>
      <c r="H453" s="13"/>
      <c r="I453" s="13"/>
      <c r="J453" s="14"/>
    </row>
    <row r="454" spans="1:10">
      <c r="A454" s="17"/>
      <c r="B454" s="16"/>
      <c r="C454" s="18"/>
      <c r="D454" s="18"/>
      <c r="E454" s="13"/>
      <c r="F454" s="13"/>
      <c r="G454" s="13"/>
      <c r="H454" s="13"/>
      <c r="I454" s="13"/>
      <c r="J454" s="14"/>
    </row>
    <row r="455" spans="1:10">
      <c r="A455" s="17"/>
      <c r="B455" s="16"/>
      <c r="C455" s="18"/>
      <c r="D455" s="18"/>
      <c r="E455" s="13"/>
      <c r="F455" s="13"/>
      <c r="G455" s="13"/>
      <c r="H455" s="13"/>
      <c r="I455" s="13"/>
      <c r="J455" s="14"/>
    </row>
    <row r="456" spans="1:10">
      <c r="A456" s="17"/>
      <c r="B456" s="16"/>
      <c r="C456" s="18"/>
      <c r="D456" s="18"/>
      <c r="E456" s="13"/>
      <c r="F456" s="13"/>
      <c r="G456" s="13"/>
      <c r="H456" s="13"/>
      <c r="I456" s="13"/>
      <c r="J456" s="14"/>
    </row>
    <row r="457" spans="1:10">
      <c r="A457" s="17"/>
      <c r="B457" s="16"/>
      <c r="C457" s="18"/>
      <c r="D457" s="18"/>
      <c r="E457" s="13"/>
      <c r="F457" s="13"/>
      <c r="G457" s="13"/>
      <c r="H457" s="13"/>
      <c r="I457" s="13"/>
      <c r="J457" s="14"/>
    </row>
    <row r="458" spans="1:10">
      <c r="A458" s="17"/>
      <c r="B458" s="16"/>
      <c r="C458" s="18"/>
      <c r="D458" s="18"/>
      <c r="E458" s="13"/>
      <c r="F458" s="13"/>
      <c r="G458" s="13"/>
      <c r="H458" s="13"/>
      <c r="I458" s="13"/>
      <c r="J458" s="14"/>
    </row>
    <row r="459" spans="1:10">
      <c r="A459" s="17"/>
      <c r="B459" s="16"/>
      <c r="C459" s="18"/>
      <c r="D459" s="18"/>
      <c r="E459" s="13"/>
      <c r="F459" s="13"/>
      <c r="G459" s="13"/>
      <c r="H459" s="13"/>
      <c r="I459" s="13"/>
      <c r="J459" s="14"/>
    </row>
    <row r="460" spans="1:10">
      <c r="A460" s="17"/>
      <c r="B460" s="16"/>
      <c r="C460" s="18"/>
      <c r="D460" s="18"/>
      <c r="E460" s="13"/>
      <c r="F460" s="13"/>
      <c r="G460" s="13"/>
      <c r="H460" s="13"/>
      <c r="I460" s="13"/>
      <c r="J460" s="14"/>
    </row>
    <row r="461" spans="1:10">
      <c r="A461" s="17"/>
      <c r="B461" s="16"/>
      <c r="C461" s="18"/>
      <c r="D461" s="18"/>
      <c r="E461" s="13"/>
      <c r="F461" s="13"/>
      <c r="G461" s="13"/>
      <c r="H461" s="13"/>
      <c r="I461" s="13"/>
      <c r="J461" s="14"/>
    </row>
    <row r="462" spans="1:10">
      <c r="A462" s="17"/>
      <c r="B462" s="16"/>
      <c r="C462" s="18"/>
      <c r="D462" s="18"/>
      <c r="E462" s="13"/>
      <c r="F462" s="13"/>
      <c r="G462" s="13"/>
      <c r="H462" s="13"/>
      <c r="I462" s="13"/>
      <c r="J462" s="14"/>
    </row>
    <row r="463" spans="1:10">
      <c r="A463" s="17"/>
      <c r="B463" s="16"/>
      <c r="C463" s="18"/>
      <c r="D463" s="18"/>
      <c r="E463" s="13"/>
      <c r="F463" s="13"/>
      <c r="G463" s="13"/>
      <c r="H463" s="13"/>
      <c r="I463" s="13"/>
      <c r="J463" s="14"/>
    </row>
    <row r="464" spans="1:10">
      <c r="A464" s="17"/>
      <c r="B464" s="16"/>
      <c r="C464" s="18"/>
      <c r="D464" s="18"/>
      <c r="E464" s="13"/>
      <c r="F464" s="13"/>
      <c r="G464" s="13"/>
      <c r="H464" s="13"/>
      <c r="I464" s="13"/>
      <c r="J464" s="14"/>
    </row>
    <row r="465" spans="1:10">
      <c r="A465" s="17"/>
      <c r="B465" s="16"/>
      <c r="C465" s="18"/>
      <c r="D465" s="18"/>
      <c r="E465" s="13"/>
      <c r="F465" s="13"/>
      <c r="G465" s="13"/>
      <c r="H465" s="13"/>
      <c r="I465" s="13"/>
      <c r="J465" s="14"/>
    </row>
    <row r="466" spans="1:10">
      <c r="A466" s="17"/>
      <c r="B466" s="16"/>
      <c r="C466" s="18"/>
      <c r="D466" s="18"/>
      <c r="E466" s="13"/>
      <c r="F466" s="13"/>
      <c r="G466" s="13"/>
      <c r="H466" s="13"/>
      <c r="I466" s="13"/>
      <c r="J466" s="14"/>
    </row>
    <row r="467" spans="1:10">
      <c r="A467" s="17"/>
      <c r="B467" s="16"/>
      <c r="C467" s="18"/>
      <c r="D467" s="18"/>
      <c r="E467" s="13"/>
      <c r="F467" s="13"/>
      <c r="G467" s="13"/>
      <c r="H467" s="13"/>
      <c r="I467" s="13"/>
      <c r="J467" s="14"/>
    </row>
    <row r="468" spans="1:10">
      <c r="A468" s="17"/>
      <c r="B468" s="16"/>
      <c r="C468" s="18"/>
      <c r="D468" s="18"/>
      <c r="E468" s="13"/>
      <c r="F468" s="13"/>
      <c r="G468" s="13"/>
      <c r="H468" s="13"/>
      <c r="I468" s="13"/>
      <c r="J468" s="14"/>
    </row>
    <row r="469" spans="1:10">
      <c r="A469" s="17"/>
      <c r="B469" s="16"/>
      <c r="C469" s="18"/>
      <c r="D469" s="18"/>
      <c r="E469" s="13"/>
      <c r="F469" s="13"/>
      <c r="G469" s="13"/>
      <c r="H469" s="13"/>
      <c r="I469" s="13"/>
      <c r="J469" s="14"/>
    </row>
    <row r="470" spans="1:10">
      <c r="A470" s="17"/>
      <c r="B470" s="16"/>
      <c r="C470" s="18"/>
      <c r="D470" s="18"/>
      <c r="E470" s="13"/>
      <c r="F470" s="13"/>
      <c r="G470" s="13"/>
      <c r="H470" s="13"/>
      <c r="I470" s="13"/>
      <c r="J470" s="14"/>
    </row>
    <row r="471" spans="1:10">
      <c r="A471" s="17"/>
      <c r="B471" s="16"/>
      <c r="C471" s="18"/>
      <c r="D471" s="18"/>
      <c r="E471" s="13"/>
      <c r="F471" s="13"/>
      <c r="G471" s="13"/>
      <c r="H471" s="13"/>
      <c r="I471" s="13"/>
      <c r="J471" s="14"/>
    </row>
    <row r="472" spans="1:10">
      <c r="A472" s="17"/>
      <c r="B472" s="16"/>
      <c r="C472" s="18"/>
      <c r="D472" s="18"/>
      <c r="E472" s="13"/>
      <c r="F472" s="13"/>
      <c r="G472" s="13"/>
      <c r="H472" s="13"/>
      <c r="I472" s="13"/>
      <c r="J472" s="14"/>
    </row>
    <row r="473" spans="1:10">
      <c r="A473" s="17"/>
      <c r="B473" s="16"/>
      <c r="C473" s="18"/>
      <c r="D473" s="18"/>
      <c r="E473" s="13"/>
      <c r="F473" s="13"/>
      <c r="G473" s="13"/>
      <c r="H473" s="13"/>
      <c r="I473" s="13"/>
      <c r="J473" s="14"/>
    </row>
    <row r="474" spans="1:10">
      <c r="A474" s="17"/>
      <c r="B474" s="16"/>
      <c r="C474" s="18"/>
      <c r="D474" s="18"/>
      <c r="E474" s="13"/>
      <c r="F474" s="13"/>
      <c r="G474" s="13"/>
      <c r="H474" s="13"/>
      <c r="I474" s="13"/>
      <c r="J474" s="14"/>
    </row>
    <row r="475" spans="1:10">
      <c r="A475" s="17"/>
      <c r="B475" s="16"/>
      <c r="C475" s="18"/>
      <c r="D475" s="18"/>
      <c r="E475" s="13"/>
      <c r="F475" s="13"/>
      <c r="G475" s="13"/>
      <c r="H475" s="13"/>
      <c r="I475" s="13"/>
      <c r="J475" s="14"/>
    </row>
    <row r="476" spans="1:10">
      <c r="A476" s="17"/>
      <c r="B476" s="16"/>
      <c r="C476" s="18"/>
      <c r="D476" s="18"/>
      <c r="E476" s="13"/>
      <c r="F476" s="13"/>
      <c r="G476" s="13"/>
      <c r="H476" s="13"/>
      <c r="I476" s="13"/>
      <c r="J476" s="14"/>
    </row>
    <row r="477" spans="1:10">
      <c r="A477" s="17"/>
      <c r="B477" s="16"/>
      <c r="C477" s="18"/>
      <c r="D477" s="18"/>
      <c r="E477" s="13"/>
      <c r="F477" s="13"/>
      <c r="G477" s="13"/>
      <c r="H477" s="13"/>
      <c r="I477" s="13"/>
      <c r="J477" s="14"/>
    </row>
    <row r="478" spans="1:10">
      <c r="A478" s="17"/>
      <c r="B478" s="16"/>
      <c r="C478" s="18"/>
      <c r="D478" s="18"/>
      <c r="E478" s="13"/>
      <c r="F478" s="13"/>
      <c r="G478" s="13"/>
      <c r="H478" s="13"/>
      <c r="I478" s="13"/>
      <c r="J478" s="14"/>
    </row>
    <row r="479" spans="1:10">
      <c r="A479" s="17"/>
      <c r="B479" s="16"/>
      <c r="C479" s="18"/>
      <c r="D479" s="18"/>
      <c r="E479" s="13"/>
      <c r="F479" s="13"/>
      <c r="G479" s="13"/>
      <c r="H479" s="13"/>
      <c r="I479" s="13"/>
      <c r="J479" s="14"/>
    </row>
    <row r="480" spans="1:10">
      <c r="A480" s="17"/>
      <c r="B480" s="16"/>
      <c r="C480" s="18"/>
      <c r="D480" s="18"/>
      <c r="E480" s="13"/>
      <c r="F480" s="13"/>
      <c r="G480" s="13"/>
      <c r="H480" s="13"/>
      <c r="I480" s="13"/>
      <c r="J480" s="14"/>
    </row>
    <row r="481" spans="1:10">
      <c r="A481" s="17"/>
      <c r="B481" s="16"/>
      <c r="C481" s="18"/>
      <c r="D481" s="18"/>
      <c r="E481" s="13"/>
      <c r="F481" s="13"/>
      <c r="G481" s="13"/>
      <c r="H481" s="13"/>
      <c r="I481" s="13"/>
      <c r="J481" s="14"/>
    </row>
    <row r="482" spans="1:10">
      <c r="A482" s="17"/>
      <c r="B482" s="16"/>
      <c r="C482" s="18"/>
      <c r="D482" s="18"/>
      <c r="E482" s="13"/>
      <c r="F482" s="13"/>
      <c r="G482" s="13"/>
      <c r="H482" s="13"/>
      <c r="I482" s="13"/>
      <c r="J482" s="14"/>
    </row>
    <row r="483" spans="1:10">
      <c r="A483" s="17"/>
      <c r="B483" s="16"/>
      <c r="C483" s="18"/>
      <c r="D483" s="18"/>
      <c r="E483" s="13"/>
      <c r="F483" s="13"/>
      <c r="G483" s="13"/>
      <c r="H483" s="13"/>
      <c r="I483" s="13"/>
      <c r="J483" s="14"/>
    </row>
    <row r="484" spans="1:10">
      <c r="A484" s="17"/>
      <c r="B484" s="16"/>
      <c r="C484" s="18"/>
      <c r="D484" s="18"/>
      <c r="E484" s="13"/>
      <c r="F484" s="13"/>
      <c r="G484" s="13"/>
      <c r="H484" s="13"/>
      <c r="I484" s="13"/>
      <c r="J484" s="14"/>
    </row>
    <row r="485" spans="1:10">
      <c r="A485" s="17"/>
      <c r="B485" s="16"/>
      <c r="C485" s="18"/>
      <c r="D485" s="18"/>
      <c r="E485" s="13"/>
      <c r="F485" s="13"/>
      <c r="G485" s="13"/>
      <c r="H485" s="13"/>
      <c r="I485" s="13"/>
      <c r="J485" s="14"/>
    </row>
    <row r="486" spans="1:10">
      <c r="A486" s="17"/>
      <c r="B486" s="16"/>
      <c r="C486" s="18"/>
      <c r="D486" s="18"/>
      <c r="E486" s="13"/>
      <c r="F486" s="13"/>
      <c r="G486" s="13"/>
      <c r="H486" s="13"/>
      <c r="I486" s="13"/>
      <c r="J486" s="14"/>
    </row>
    <row r="487" spans="1:10">
      <c r="A487" s="17"/>
      <c r="B487" s="16"/>
      <c r="C487" s="18"/>
      <c r="D487" s="18"/>
      <c r="E487" s="13"/>
      <c r="F487" s="13"/>
      <c r="G487" s="13"/>
      <c r="H487" s="13"/>
      <c r="I487" s="13"/>
      <c r="J487" s="14"/>
    </row>
    <row r="488" spans="1:10">
      <c r="A488" s="17"/>
      <c r="B488" s="16"/>
      <c r="C488" s="18"/>
      <c r="D488" s="18"/>
      <c r="E488" s="13"/>
      <c r="F488" s="13"/>
      <c r="G488" s="13"/>
      <c r="H488" s="13"/>
      <c r="I488" s="13"/>
      <c r="J488" s="14"/>
    </row>
    <row r="489" spans="1:10">
      <c r="A489" s="17"/>
      <c r="B489" s="16"/>
      <c r="C489" s="18"/>
      <c r="D489" s="18"/>
      <c r="E489" s="13"/>
      <c r="F489" s="13"/>
      <c r="G489" s="13"/>
      <c r="H489" s="13"/>
      <c r="I489" s="13"/>
      <c r="J489" s="14"/>
    </row>
    <row r="490" spans="1:10">
      <c r="A490" s="17"/>
      <c r="B490" s="16"/>
      <c r="C490" s="18"/>
      <c r="D490" s="18"/>
      <c r="E490" s="13"/>
      <c r="F490" s="13"/>
      <c r="G490" s="13"/>
      <c r="H490" s="13"/>
      <c r="I490" s="13"/>
      <c r="J490" s="14"/>
    </row>
    <row r="491" spans="1:10">
      <c r="A491" s="17"/>
      <c r="B491" s="16"/>
      <c r="C491" s="18"/>
      <c r="D491" s="18"/>
      <c r="E491" s="13"/>
      <c r="F491" s="13"/>
      <c r="G491" s="13"/>
      <c r="H491" s="13"/>
      <c r="I491" s="13"/>
      <c r="J491" s="14"/>
    </row>
    <row r="492" spans="1:10">
      <c r="A492" s="17"/>
      <c r="B492" s="16"/>
      <c r="C492" s="18"/>
      <c r="D492" s="18"/>
      <c r="E492" s="13"/>
      <c r="F492" s="13"/>
      <c r="G492" s="13"/>
      <c r="H492" s="13"/>
      <c r="I492" s="13"/>
      <c r="J492" s="14"/>
    </row>
    <row r="493" spans="1:10">
      <c r="A493" s="17"/>
      <c r="B493" s="16"/>
      <c r="C493" s="18"/>
      <c r="D493" s="18"/>
      <c r="E493" s="13"/>
      <c r="F493" s="13"/>
      <c r="G493" s="13"/>
      <c r="H493" s="13"/>
      <c r="I493" s="13"/>
      <c r="J493" s="14"/>
    </row>
    <row r="494" spans="1:10">
      <c r="A494" s="17"/>
      <c r="B494" s="16"/>
      <c r="C494" s="18"/>
      <c r="D494" s="18"/>
      <c r="E494" s="13"/>
      <c r="F494" s="13"/>
      <c r="G494" s="13"/>
      <c r="H494" s="13"/>
      <c r="I494" s="13"/>
      <c r="J494" s="14"/>
    </row>
    <row r="495" spans="1:10">
      <c r="A495" s="17"/>
      <c r="B495" s="16"/>
      <c r="C495" s="18"/>
      <c r="D495" s="18"/>
      <c r="E495" s="13"/>
      <c r="F495" s="13"/>
      <c r="G495" s="13"/>
      <c r="H495" s="13"/>
      <c r="I495" s="13"/>
      <c r="J495" s="14"/>
    </row>
    <row r="496" spans="1:10">
      <c r="A496" s="17"/>
      <c r="B496" s="16"/>
      <c r="C496" s="18"/>
      <c r="D496" s="18"/>
      <c r="E496" s="13"/>
      <c r="F496" s="13"/>
      <c r="G496" s="13"/>
      <c r="H496" s="13"/>
      <c r="I496" s="13"/>
      <c r="J496" s="14"/>
    </row>
    <row r="497" spans="1:10">
      <c r="A497" s="17"/>
      <c r="B497" s="16"/>
      <c r="C497" s="18"/>
      <c r="D497" s="18"/>
      <c r="E497" s="13"/>
      <c r="F497" s="13"/>
      <c r="G497" s="13"/>
      <c r="H497" s="13"/>
      <c r="I497" s="13"/>
      <c r="J497" s="14"/>
    </row>
    <row r="498" spans="1:10">
      <c r="A498" s="17"/>
      <c r="B498" s="16"/>
      <c r="C498" s="18"/>
      <c r="D498" s="18"/>
      <c r="E498" s="13"/>
      <c r="F498" s="13"/>
      <c r="G498" s="13"/>
      <c r="H498" s="13"/>
      <c r="I498" s="13"/>
      <c r="J498" s="14"/>
    </row>
    <row r="499" spans="1:10">
      <c r="A499" s="17"/>
      <c r="B499" s="16"/>
      <c r="C499" s="18"/>
      <c r="D499" s="18"/>
      <c r="E499" s="13"/>
      <c r="F499" s="13"/>
      <c r="G499" s="13"/>
      <c r="H499" s="13"/>
      <c r="I499" s="13"/>
      <c r="J499" s="14"/>
    </row>
    <row r="500" spans="1:10">
      <c r="A500" s="17"/>
      <c r="B500" s="16"/>
      <c r="C500" s="18"/>
      <c r="D500" s="18"/>
      <c r="E500" s="13"/>
      <c r="F500" s="13"/>
      <c r="G500" s="13"/>
      <c r="H500" s="13"/>
      <c r="I500" s="13"/>
      <c r="J500" s="14"/>
    </row>
    <row r="501" spans="1:10">
      <c r="A501" s="17"/>
      <c r="B501" s="16"/>
      <c r="C501" s="18"/>
      <c r="D501" s="18"/>
      <c r="E501" s="13"/>
      <c r="F501" s="13"/>
      <c r="G501" s="13"/>
      <c r="H501" s="13"/>
      <c r="I501" s="13"/>
      <c r="J501" s="14"/>
    </row>
    <row r="502" spans="1:10">
      <c r="A502" s="17"/>
      <c r="B502" s="16"/>
      <c r="C502" s="18"/>
      <c r="D502" s="18"/>
      <c r="E502" s="13"/>
      <c r="F502" s="13"/>
      <c r="G502" s="13"/>
      <c r="H502" s="13"/>
      <c r="I502" s="13"/>
      <c r="J502" s="14"/>
    </row>
    <row r="503" spans="1:10">
      <c r="A503" s="17"/>
      <c r="B503" s="16"/>
      <c r="C503" s="18"/>
      <c r="D503" s="18"/>
      <c r="E503" s="13"/>
      <c r="F503" s="13"/>
      <c r="G503" s="13"/>
      <c r="H503" s="13"/>
      <c r="I503" s="13"/>
      <c r="J503" s="14"/>
    </row>
    <row r="504" spans="1:10">
      <c r="A504" s="17"/>
      <c r="B504" s="16"/>
      <c r="C504" s="18"/>
      <c r="D504" s="18"/>
      <c r="E504" s="13"/>
      <c r="F504" s="13"/>
      <c r="G504" s="13"/>
      <c r="H504" s="13"/>
      <c r="I504" s="13"/>
      <c r="J504" s="14"/>
    </row>
    <row r="505" spans="1:10">
      <c r="A505" s="17"/>
      <c r="B505" s="16"/>
      <c r="C505" s="18"/>
      <c r="D505" s="18"/>
      <c r="E505" s="13"/>
      <c r="F505" s="13"/>
      <c r="G505" s="13"/>
      <c r="H505" s="13"/>
      <c r="I505" s="13"/>
      <c r="J505" s="14"/>
    </row>
    <row r="506" spans="1:10">
      <c r="A506" s="17"/>
      <c r="B506" s="16"/>
      <c r="C506" s="18"/>
      <c r="D506" s="18"/>
      <c r="E506" s="13"/>
      <c r="F506" s="13"/>
      <c r="G506" s="13"/>
      <c r="H506" s="13"/>
      <c r="I506" s="13"/>
      <c r="J506" s="14"/>
    </row>
    <row r="507" spans="1:10">
      <c r="A507" s="17"/>
      <c r="B507" s="16"/>
      <c r="C507" s="18"/>
      <c r="D507" s="18"/>
      <c r="E507" s="13"/>
      <c r="F507" s="13"/>
      <c r="G507" s="13"/>
      <c r="H507" s="13"/>
      <c r="I507" s="13"/>
      <c r="J507" s="14"/>
    </row>
    <row r="508" spans="1:10">
      <c r="A508" s="17"/>
      <c r="B508" s="16"/>
      <c r="C508" s="18"/>
      <c r="D508" s="18"/>
      <c r="E508" s="13"/>
      <c r="F508" s="13"/>
      <c r="G508" s="13"/>
      <c r="H508" s="13"/>
      <c r="I508" s="13"/>
      <c r="J508" s="14"/>
    </row>
    <row r="509" spans="1:10">
      <c r="A509" s="17"/>
      <c r="B509" s="16"/>
      <c r="C509" s="18"/>
      <c r="D509" s="18"/>
      <c r="E509" s="13"/>
      <c r="F509" s="13"/>
      <c r="G509" s="13"/>
      <c r="H509" s="13"/>
      <c r="I509" s="13"/>
      <c r="J509" s="14"/>
    </row>
    <row r="510" spans="1:10">
      <c r="A510" s="17"/>
      <c r="B510" s="16"/>
      <c r="C510" s="18"/>
      <c r="D510" s="18"/>
      <c r="E510" s="13"/>
      <c r="F510" s="13"/>
      <c r="G510" s="13"/>
      <c r="H510" s="13"/>
      <c r="I510" s="13"/>
      <c r="J510" s="14"/>
    </row>
    <row r="511" spans="1:10">
      <c r="A511" s="17"/>
      <c r="B511" s="16"/>
      <c r="C511" s="18"/>
      <c r="D511" s="18"/>
      <c r="E511" s="13"/>
      <c r="F511" s="13"/>
      <c r="G511" s="13"/>
      <c r="H511" s="13"/>
      <c r="I511" s="13"/>
      <c r="J511" s="14"/>
    </row>
    <row r="512" spans="1:10">
      <c r="A512" s="17"/>
      <c r="B512" s="16"/>
      <c r="C512" s="18"/>
      <c r="D512" s="18"/>
      <c r="E512" s="13"/>
      <c r="F512" s="13"/>
      <c r="G512" s="13"/>
      <c r="H512" s="13"/>
      <c r="I512" s="13"/>
      <c r="J512" s="14"/>
    </row>
    <row r="513" spans="1:10">
      <c r="A513" s="17"/>
      <c r="B513" s="16"/>
      <c r="C513" s="18"/>
      <c r="D513" s="18"/>
      <c r="E513" s="13"/>
      <c r="F513" s="13"/>
      <c r="G513" s="13"/>
      <c r="H513" s="13"/>
      <c r="I513" s="13"/>
      <c r="J513" s="14"/>
    </row>
    <row r="514" spans="1:10">
      <c r="A514" s="17"/>
      <c r="B514" s="16"/>
      <c r="C514" s="18"/>
      <c r="D514" s="18"/>
      <c r="E514" s="13"/>
      <c r="F514" s="13"/>
      <c r="G514" s="13"/>
      <c r="H514" s="13"/>
      <c r="I514" s="13"/>
      <c r="J514" s="14"/>
    </row>
    <row r="515" spans="1:10">
      <c r="A515" s="17"/>
      <c r="B515" s="16"/>
      <c r="C515" s="18"/>
      <c r="D515" s="18"/>
      <c r="E515" s="13"/>
      <c r="F515" s="13"/>
      <c r="G515" s="13"/>
      <c r="H515" s="13"/>
      <c r="I515" s="13"/>
      <c r="J515" s="14"/>
    </row>
    <row r="516" spans="1:10">
      <c r="A516" s="17"/>
      <c r="B516" s="16"/>
      <c r="C516" s="18"/>
      <c r="D516" s="18"/>
      <c r="E516" s="13"/>
      <c r="F516" s="13"/>
      <c r="G516" s="13"/>
      <c r="H516" s="13"/>
      <c r="I516" s="13"/>
      <c r="J516" s="14"/>
    </row>
    <row r="517" spans="1:10">
      <c r="A517" s="17"/>
      <c r="B517" s="16"/>
      <c r="C517" s="18"/>
      <c r="D517" s="18"/>
      <c r="E517" s="13"/>
      <c r="F517" s="13"/>
      <c r="G517" s="13"/>
      <c r="H517" s="13"/>
      <c r="I517" s="13"/>
      <c r="J517" s="14"/>
    </row>
    <row r="518" spans="1:10">
      <c r="A518" s="17"/>
      <c r="B518" s="16"/>
      <c r="C518" s="18"/>
      <c r="D518" s="18"/>
      <c r="E518" s="13"/>
      <c r="F518" s="13"/>
      <c r="G518" s="13"/>
      <c r="H518" s="13"/>
      <c r="I518" s="13"/>
      <c r="J518" s="14"/>
    </row>
    <row r="519" spans="1:10">
      <c r="A519" s="17"/>
      <c r="B519" s="16"/>
      <c r="C519" s="18"/>
      <c r="D519" s="18"/>
      <c r="E519" s="13"/>
      <c r="F519" s="13"/>
      <c r="G519" s="13"/>
      <c r="H519" s="13"/>
      <c r="I519" s="13"/>
      <c r="J519" s="14"/>
    </row>
    <row r="520" spans="1:10">
      <c r="A520" s="17"/>
      <c r="B520" s="16"/>
      <c r="C520" s="18"/>
      <c r="D520" s="18"/>
      <c r="E520" s="13"/>
      <c r="F520" s="13"/>
      <c r="G520" s="13"/>
      <c r="H520" s="13"/>
      <c r="I520" s="13"/>
      <c r="J520" s="14"/>
    </row>
    <row r="521" spans="1:10">
      <c r="A521" s="17"/>
      <c r="B521" s="16"/>
      <c r="C521" s="18"/>
      <c r="D521" s="18"/>
      <c r="E521" s="13"/>
      <c r="F521" s="13"/>
      <c r="G521" s="13"/>
      <c r="H521" s="13"/>
      <c r="I521" s="13"/>
      <c r="J521" s="14"/>
    </row>
    <row r="522" spans="1:10">
      <c r="A522" s="17"/>
      <c r="B522" s="16"/>
      <c r="C522" s="18"/>
      <c r="D522" s="18"/>
      <c r="E522" s="13"/>
      <c r="F522" s="13"/>
      <c r="G522" s="13"/>
      <c r="H522" s="13"/>
      <c r="I522" s="13"/>
      <c r="J522" s="14"/>
    </row>
    <row r="523" spans="1:10">
      <c r="A523" s="17"/>
      <c r="B523" s="16"/>
      <c r="C523" s="18"/>
      <c r="D523" s="18"/>
      <c r="E523" s="13"/>
      <c r="F523" s="13"/>
      <c r="G523" s="13"/>
      <c r="H523" s="13"/>
      <c r="I523" s="13"/>
      <c r="J523" s="14"/>
    </row>
    <row r="524" spans="1:10">
      <c r="A524" s="17"/>
      <c r="B524" s="16"/>
      <c r="C524" s="18"/>
      <c r="D524" s="18"/>
      <c r="E524" s="13"/>
      <c r="F524" s="13"/>
      <c r="G524" s="13"/>
      <c r="H524" s="13"/>
      <c r="I524" s="13"/>
      <c r="J524" s="14"/>
    </row>
    <row r="525" spans="1:10">
      <c r="A525" s="17"/>
      <c r="B525" s="16"/>
      <c r="C525" s="18"/>
      <c r="D525" s="18"/>
      <c r="E525" s="13"/>
      <c r="F525" s="13"/>
      <c r="G525" s="13"/>
      <c r="H525" s="13"/>
      <c r="I525" s="13"/>
      <c r="J525" s="14"/>
    </row>
    <row r="526" spans="1:10">
      <c r="A526" s="17"/>
      <c r="B526" s="16"/>
      <c r="C526" s="18"/>
      <c r="D526" s="18"/>
      <c r="E526" s="13"/>
      <c r="F526" s="13"/>
      <c r="G526" s="13"/>
      <c r="H526" s="13"/>
      <c r="I526" s="13"/>
      <c r="J526" s="14"/>
    </row>
    <row r="527" spans="1:10">
      <c r="A527" s="17"/>
      <c r="B527" s="16"/>
      <c r="C527" s="18"/>
      <c r="D527" s="18"/>
      <c r="E527" s="13"/>
      <c r="F527" s="13"/>
      <c r="G527" s="13"/>
      <c r="H527" s="13"/>
      <c r="I527" s="13"/>
      <c r="J527" s="14"/>
    </row>
    <row r="528" spans="1:10">
      <c r="A528" s="17"/>
      <c r="B528" s="16"/>
      <c r="C528" s="18"/>
      <c r="D528" s="18"/>
      <c r="E528" s="13"/>
      <c r="F528" s="13"/>
      <c r="G528" s="13"/>
      <c r="H528" s="13"/>
      <c r="I528" s="13"/>
      <c r="J528" s="14"/>
    </row>
    <row r="529" spans="1:10">
      <c r="A529" s="17"/>
      <c r="B529" s="16"/>
      <c r="C529" s="18"/>
      <c r="D529" s="18"/>
      <c r="E529" s="13"/>
      <c r="F529" s="13"/>
      <c r="G529" s="13"/>
      <c r="H529" s="13"/>
      <c r="I529" s="13"/>
      <c r="J529" s="14"/>
    </row>
    <row r="530" spans="1:10">
      <c r="A530" s="17"/>
      <c r="B530" s="16"/>
      <c r="C530" s="18"/>
      <c r="D530" s="18"/>
      <c r="E530" s="13"/>
      <c r="F530" s="13"/>
      <c r="G530" s="13"/>
      <c r="H530" s="13"/>
      <c r="I530" s="13"/>
      <c r="J530" s="14"/>
    </row>
    <row r="531" spans="1:10">
      <c r="A531" s="17"/>
      <c r="B531" s="16"/>
      <c r="C531" s="18"/>
      <c r="D531" s="18"/>
      <c r="E531" s="13"/>
      <c r="F531" s="13"/>
      <c r="G531" s="13"/>
      <c r="H531" s="13"/>
      <c r="I531" s="13"/>
      <c r="J531" s="14"/>
    </row>
    <row r="532" spans="1:10">
      <c r="A532" s="17"/>
      <c r="B532" s="16"/>
      <c r="C532" s="18"/>
      <c r="D532" s="18"/>
      <c r="E532" s="13"/>
      <c r="F532" s="13"/>
      <c r="G532" s="13"/>
      <c r="H532" s="13"/>
      <c r="I532" s="13"/>
      <c r="J532" s="14"/>
    </row>
    <row r="533" spans="1:10">
      <c r="A533" s="17"/>
      <c r="B533" s="16"/>
      <c r="C533" s="18"/>
      <c r="D533" s="18"/>
      <c r="E533" s="13"/>
      <c r="F533" s="13"/>
      <c r="G533" s="13"/>
      <c r="H533" s="13"/>
      <c r="I533" s="13"/>
      <c r="J533" s="14"/>
    </row>
    <row r="534" spans="1:10">
      <c r="A534" s="17"/>
      <c r="B534" s="16"/>
      <c r="C534" s="18"/>
      <c r="D534" s="18"/>
      <c r="E534" s="13"/>
      <c r="F534" s="13"/>
      <c r="G534" s="13"/>
      <c r="H534" s="13"/>
      <c r="I534" s="13"/>
      <c r="J534" s="14"/>
    </row>
    <row r="535" spans="1:10">
      <c r="A535" s="17"/>
      <c r="B535" s="16"/>
      <c r="C535" s="18"/>
      <c r="D535" s="18"/>
      <c r="E535" s="13"/>
      <c r="F535" s="13"/>
      <c r="G535" s="13"/>
      <c r="H535" s="13"/>
      <c r="I535" s="13"/>
      <c r="J535" s="14"/>
    </row>
    <row r="536" spans="1:10">
      <c r="A536" s="17"/>
      <c r="B536" s="16"/>
      <c r="C536" s="18"/>
      <c r="D536" s="18"/>
      <c r="E536" s="13"/>
      <c r="F536" s="13"/>
      <c r="G536" s="13"/>
      <c r="H536" s="13"/>
      <c r="I536" s="13"/>
      <c r="J536" s="14"/>
    </row>
    <row r="537" spans="1:10">
      <c r="A537" s="17"/>
      <c r="B537" s="16"/>
      <c r="C537" s="18"/>
      <c r="D537" s="18"/>
      <c r="E537" s="13"/>
      <c r="F537" s="13"/>
      <c r="G537" s="13"/>
      <c r="H537" s="13"/>
      <c r="I537" s="13"/>
      <c r="J537" s="14"/>
    </row>
    <row r="538" spans="1:10">
      <c r="A538" s="17"/>
      <c r="B538" s="16"/>
      <c r="C538" s="18"/>
      <c r="D538" s="18"/>
      <c r="E538" s="13"/>
      <c r="F538" s="13"/>
      <c r="G538" s="13"/>
      <c r="H538" s="13"/>
      <c r="I538" s="13"/>
      <c r="J538" s="14"/>
    </row>
    <row r="539" spans="1:10">
      <c r="A539" s="17"/>
      <c r="B539" s="16"/>
      <c r="C539" s="18"/>
      <c r="D539" s="18"/>
      <c r="E539" s="13"/>
      <c r="F539" s="13"/>
      <c r="G539" s="13"/>
      <c r="H539" s="13"/>
      <c r="I539" s="13"/>
      <c r="J539" s="14"/>
    </row>
    <row r="540" spans="1:10">
      <c r="A540" s="17"/>
      <c r="B540" s="16"/>
      <c r="C540" s="18"/>
      <c r="D540" s="18"/>
      <c r="E540" s="13"/>
      <c r="F540" s="13"/>
      <c r="G540" s="13"/>
      <c r="H540" s="13"/>
      <c r="I540" s="13"/>
      <c r="J540" s="14"/>
    </row>
    <row r="541" spans="1:10">
      <c r="A541" s="17"/>
      <c r="B541" s="16"/>
      <c r="C541" s="18"/>
      <c r="D541" s="18"/>
      <c r="E541" s="13"/>
      <c r="F541" s="13"/>
      <c r="G541" s="13"/>
      <c r="H541" s="13"/>
      <c r="I541" s="13"/>
      <c r="J541" s="14"/>
    </row>
    <row r="542" spans="1:10">
      <c r="A542" s="17"/>
      <c r="B542" s="16"/>
      <c r="C542" s="18"/>
      <c r="D542" s="18"/>
      <c r="E542" s="13"/>
      <c r="F542" s="13"/>
      <c r="G542" s="13"/>
      <c r="H542" s="13"/>
      <c r="I542" s="13"/>
      <c r="J542" s="14"/>
    </row>
    <row r="543" spans="1:10">
      <c r="A543" s="17"/>
      <c r="B543" s="16"/>
      <c r="C543" s="18"/>
      <c r="D543" s="18"/>
      <c r="E543" s="13"/>
      <c r="F543" s="13"/>
      <c r="G543" s="13"/>
      <c r="H543" s="13"/>
      <c r="I543" s="13"/>
      <c r="J543" s="14"/>
    </row>
    <row r="544" spans="1:10">
      <c r="A544" s="17"/>
      <c r="B544" s="16"/>
      <c r="C544" s="18"/>
      <c r="D544" s="18"/>
      <c r="E544" s="13"/>
      <c r="F544" s="13"/>
      <c r="G544" s="13"/>
      <c r="H544" s="13"/>
      <c r="I544" s="13"/>
      <c r="J544" s="14"/>
    </row>
    <row r="545" spans="1:10">
      <c r="A545" s="17"/>
      <c r="B545" s="16"/>
      <c r="C545" s="18"/>
      <c r="D545" s="18"/>
      <c r="E545" s="13"/>
      <c r="F545" s="13"/>
      <c r="G545" s="13"/>
      <c r="H545" s="13"/>
      <c r="I545" s="13"/>
      <c r="J545" s="14"/>
    </row>
    <row r="546" spans="1:10">
      <c r="A546" s="17"/>
      <c r="B546" s="16"/>
      <c r="C546" s="18"/>
      <c r="D546" s="18"/>
      <c r="E546" s="13"/>
      <c r="F546" s="13"/>
      <c r="G546" s="13"/>
      <c r="H546" s="13"/>
      <c r="I546" s="13"/>
      <c r="J546" s="14"/>
    </row>
    <row r="547" spans="1:10">
      <c r="A547" s="17"/>
      <c r="B547" s="16"/>
      <c r="C547" s="18"/>
      <c r="D547" s="18"/>
      <c r="E547" s="13"/>
      <c r="F547" s="13"/>
      <c r="G547" s="13"/>
      <c r="H547" s="13"/>
      <c r="I547" s="13"/>
      <c r="J547" s="14"/>
    </row>
    <row r="548" spans="1:10">
      <c r="A548" s="17"/>
      <c r="B548" s="16"/>
      <c r="C548" s="18"/>
      <c r="D548" s="18"/>
      <c r="E548" s="13"/>
      <c r="F548" s="13"/>
      <c r="G548" s="13"/>
      <c r="H548" s="13"/>
      <c r="I548" s="13"/>
      <c r="J548" s="14"/>
    </row>
    <row r="549" spans="1:10">
      <c r="A549" s="17"/>
      <c r="B549" s="16"/>
      <c r="C549" s="18"/>
      <c r="D549" s="18"/>
      <c r="E549" s="13"/>
      <c r="F549" s="13"/>
      <c r="G549" s="13"/>
      <c r="H549" s="13"/>
      <c r="I549" s="13"/>
      <c r="J549" s="14"/>
    </row>
    <row r="550" spans="1:10">
      <c r="A550" s="17"/>
      <c r="B550" s="16"/>
      <c r="C550" s="18"/>
      <c r="D550" s="18"/>
      <c r="E550" s="13"/>
      <c r="F550" s="13"/>
      <c r="G550" s="13"/>
      <c r="H550" s="13"/>
      <c r="I550" s="13"/>
      <c r="J550" s="14"/>
    </row>
    <row r="551" spans="1:10">
      <c r="A551" s="17"/>
      <c r="B551" s="16"/>
      <c r="C551" s="18"/>
      <c r="D551" s="18"/>
      <c r="E551" s="13"/>
      <c r="F551" s="13"/>
      <c r="G551" s="13"/>
      <c r="H551" s="13"/>
      <c r="I551" s="13"/>
      <c r="J551" s="14"/>
    </row>
    <row r="552" spans="1:10">
      <c r="A552" s="17"/>
      <c r="B552" s="16"/>
      <c r="C552" s="18"/>
      <c r="D552" s="18"/>
      <c r="E552" s="13"/>
      <c r="F552" s="13"/>
      <c r="G552" s="13"/>
      <c r="H552" s="13"/>
      <c r="I552" s="13"/>
      <c r="J552" s="14"/>
    </row>
    <row r="553" spans="1:10">
      <c r="A553" s="17"/>
      <c r="B553" s="16"/>
      <c r="C553" s="18"/>
      <c r="D553" s="18"/>
      <c r="E553" s="13"/>
      <c r="F553" s="13"/>
      <c r="G553" s="13"/>
      <c r="H553" s="13"/>
      <c r="I553" s="13"/>
      <c r="J553" s="14"/>
    </row>
    <row r="554" spans="1:10">
      <c r="A554" s="17"/>
      <c r="B554" s="16"/>
      <c r="C554" s="18"/>
      <c r="D554" s="18"/>
      <c r="E554" s="13"/>
      <c r="F554" s="13"/>
      <c r="G554" s="13"/>
      <c r="H554" s="13"/>
      <c r="I554" s="13"/>
      <c r="J554" s="14"/>
    </row>
    <row r="555" spans="1:10">
      <c r="A555" s="17"/>
      <c r="B555" s="16"/>
      <c r="C555" s="18"/>
      <c r="D555" s="18"/>
      <c r="E555" s="13"/>
      <c r="F555" s="13"/>
      <c r="G555" s="13"/>
      <c r="H555" s="13"/>
      <c r="I555" s="13"/>
      <c r="J555" s="14"/>
    </row>
    <row r="556" spans="1:10">
      <c r="A556" s="17"/>
      <c r="B556" s="16"/>
      <c r="C556" s="18"/>
      <c r="D556" s="18"/>
      <c r="E556" s="13"/>
      <c r="F556" s="13"/>
      <c r="G556" s="13"/>
      <c r="H556" s="13"/>
      <c r="I556" s="13"/>
      <c r="J556" s="14"/>
    </row>
    <row r="557" spans="1:10">
      <c r="A557" s="17"/>
      <c r="B557" s="16"/>
      <c r="C557" s="18"/>
      <c r="D557" s="18"/>
      <c r="E557" s="13"/>
      <c r="F557" s="13"/>
      <c r="G557" s="13"/>
      <c r="H557" s="13"/>
      <c r="I557" s="13"/>
      <c r="J557" s="14"/>
    </row>
    <row r="558" spans="1:10">
      <c r="A558" s="17"/>
      <c r="B558" s="16"/>
      <c r="C558" s="18"/>
      <c r="D558" s="18"/>
      <c r="E558" s="13"/>
      <c r="F558" s="13"/>
      <c r="G558" s="13"/>
      <c r="H558" s="13"/>
      <c r="I558" s="13"/>
      <c r="J558" s="14"/>
    </row>
    <row r="559" spans="1:10">
      <c r="A559" s="17"/>
      <c r="B559" s="16"/>
      <c r="C559" s="18"/>
      <c r="D559" s="18"/>
      <c r="E559" s="13"/>
      <c r="F559" s="13"/>
      <c r="G559" s="13"/>
      <c r="H559" s="13"/>
      <c r="I559" s="13"/>
      <c r="J559" s="14"/>
    </row>
    <row r="560" spans="1:10">
      <c r="A560" s="17"/>
      <c r="B560" s="16"/>
      <c r="C560" s="18"/>
      <c r="D560" s="18"/>
      <c r="E560" s="13"/>
      <c r="F560" s="13"/>
      <c r="G560" s="13"/>
      <c r="H560" s="13"/>
      <c r="I560" s="13"/>
      <c r="J560" s="14"/>
    </row>
    <row r="561" spans="1:10">
      <c r="A561" s="17"/>
      <c r="B561" s="16"/>
      <c r="C561" s="18"/>
      <c r="D561" s="18"/>
      <c r="E561" s="13"/>
      <c r="F561" s="13"/>
      <c r="G561" s="13"/>
      <c r="H561" s="13"/>
      <c r="I561" s="13"/>
      <c r="J561" s="14"/>
    </row>
    <row r="562" spans="1:10">
      <c r="A562" s="17"/>
      <c r="B562" s="16"/>
      <c r="C562" s="18"/>
      <c r="D562" s="18"/>
      <c r="E562" s="13"/>
      <c r="F562" s="13"/>
      <c r="G562" s="13"/>
      <c r="H562" s="13"/>
      <c r="I562" s="13"/>
      <c r="J562" s="14"/>
    </row>
    <row r="563" spans="1:10">
      <c r="A563" s="17"/>
      <c r="B563" s="16"/>
      <c r="C563" s="18"/>
      <c r="D563" s="18"/>
      <c r="E563" s="13"/>
      <c r="F563" s="13"/>
      <c r="G563" s="13"/>
      <c r="H563" s="13"/>
      <c r="I563" s="13"/>
      <c r="J563" s="14"/>
    </row>
    <row r="564" spans="1:10">
      <c r="A564" s="17"/>
      <c r="B564" s="16"/>
      <c r="C564" s="18"/>
      <c r="D564" s="18"/>
      <c r="E564" s="13"/>
      <c r="F564" s="13"/>
      <c r="G564" s="13"/>
      <c r="H564" s="13"/>
      <c r="I564" s="13"/>
      <c r="J564" s="14"/>
    </row>
    <row r="565" spans="1:10">
      <c r="A565" s="17"/>
      <c r="B565" s="16"/>
      <c r="C565" s="18"/>
      <c r="D565" s="18"/>
      <c r="E565" s="13"/>
      <c r="F565" s="13"/>
      <c r="G565" s="13"/>
      <c r="H565" s="13"/>
      <c r="I565" s="13"/>
      <c r="J565" s="14"/>
    </row>
    <row r="566" spans="1:10">
      <c r="A566" s="17"/>
      <c r="B566" s="16"/>
      <c r="C566" s="18"/>
      <c r="D566" s="18"/>
      <c r="E566" s="13"/>
      <c r="F566" s="13"/>
      <c r="G566" s="13"/>
      <c r="H566" s="13"/>
      <c r="I566" s="13"/>
      <c r="J566" s="14"/>
    </row>
    <row r="567" spans="1:10">
      <c r="A567" s="17"/>
      <c r="B567" s="16"/>
      <c r="C567" s="18"/>
      <c r="D567" s="18"/>
      <c r="E567" s="13"/>
      <c r="F567" s="13"/>
      <c r="G567" s="13"/>
      <c r="H567" s="13"/>
      <c r="I567" s="13"/>
      <c r="J567" s="14"/>
    </row>
    <row r="568" spans="1:10">
      <c r="A568" s="17"/>
      <c r="B568" s="16"/>
      <c r="C568" s="18"/>
      <c r="D568" s="18"/>
      <c r="E568" s="13"/>
      <c r="F568" s="13"/>
      <c r="G568" s="13"/>
      <c r="H568" s="13"/>
      <c r="I568" s="13"/>
      <c r="J568" s="14"/>
    </row>
    <row r="569" spans="1:10">
      <c r="A569" s="17"/>
      <c r="B569" s="16"/>
      <c r="C569" s="18"/>
      <c r="D569" s="18"/>
      <c r="E569" s="13"/>
      <c r="F569" s="13"/>
      <c r="G569" s="13"/>
      <c r="H569" s="13"/>
      <c r="I569" s="13"/>
      <c r="J569" s="14"/>
    </row>
    <row r="570" spans="1:10">
      <c r="A570" s="17"/>
      <c r="B570" s="16"/>
      <c r="C570" s="18"/>
      <c r="D570" s="18"/>
      <c r="E570" s="13"/>
      <c r="F570" s="13"/>
      <c r="G570" s="13"/>
      <c r="H570" s="13"/>
      <c r="I570" s="13"/>
      <c r="J570" s="14"/>
    </row>
    <row r="571" spans="1:10">
      <c r="A571" s="17"/>
      <c r="B571" s="16"/>
      <c r="C571" s="18"/>
      <c r="D571" s="18"/>
      <c r="E571" s="13"/>
      <c r="F571" s="13"/>
      <c r="G571" s="13"/>
      <c r="H571" s="13"/>
      <c r="I571" s="13"/>
      <c r="J571" s="14"/>
    </row>
    <row r="572" spans="1:10">
      <c r="A572" s="17"/>
      <c r="B572" s="16"/>
      <c r="C572" s="18"/>
      <c r="D572" s="18"/>
      <c r="E572" s="13"/>
      <c r="F572" s="13"/>
      <c r="G572" s="13"/>
      <c r="H572" s="13"/>
      <c r="I572" s="13"/>
      <c r="J572" s="14"/>
    </row>
    <row r="573" spans="1:10">
      <c r="A573" s="17"/>
      <c r="B573" s="16"/>
      <c r="C573" s="18"/>
      <c r="D573" s="18"/>
      <c r="E573" s="13"/>
      <c r="F573" s="13"/>
      <c r="G573" s="13"/>
      <c r="H573" s="13"/>
      <c r="I573" s="13"/>
      <c r="J573" s="14"/>
    </row>
    <row r="574" spans="1:10">
      <c r="A574" s="17"/>
      <c r="B574" s="16"/>
      <c r="C574" s="18"/>
      <c r="D574" s="18"/>
      <c r="E574" s="13"/>
      <c r="F574" s="13"/>
      <c r="G574" s="13"/>
      <c r="H574" s="13"/>
      <c r="I574" s="13"/>
      <c r="J574" s="14"/>
    </row>
    <row r="575" spans="1:10">
      <c r="A575" s="17"/>
      <c r="B575" s="16"/>
      <c r="C575" s="18"/>
      <c r="D575" s="18"/>
      <c r="E575" s="13"/>
      <c r="F575" s="13"/>
      <c r="G575" s="13"/>
      <c r="H575" s="13"/>
      <c r="I575" s="13"/>
      <c r="J575" s="14"/>
    </row>
    <row r="576" spans="1:10">
      <c r="A576" s="17"/>
      <c r="B576" s="16"/>
      <c r="C576" s="18"/>
      <c r="D576" s="18"/>
      <c r="E576" s="13"/>
      <c r="F576" s="13"/>
      <c r="G576" s="13"/>
      <c r="H576" s="13"/>
      <c r="I576" s="13"/>
      <c r="J576" s="14"/>
    </row>
    <row r="577" spans="1:10">
      <c r="A577" s="17"/>
      <c r="B577" s="16"/>
      <c r="C577" s="18"/>
      <c r="D577" s="18"/>
      <c r="E577" s="13"/>
      <c r="F577" s="13"/>
      <c r="G577" s="13"/>
      <c r="H577" s="13"/>
      <c r="I577" s="13"/>
      <c r="J577" s="14"/>
    </row>
    <row r="578" spans="1:10">
      <c r="A578" s="17"/>
      <c r="B578" s="16"/>
      <c r="C578" s="18"/>
      <c r="D578" s="18"/>
      <c r="E578" s="13"/>
      <c r="F578" s="13"/>
      <c r="G578" s="13"/>
      <c r="H578" s="13"/>
      <c r="I578" s="13"/>
      <c r="J578" s="14"/>
    </row>
    <row r="579" spans="1:10">
      <c r="A579" s="17"/>
      <c r="B579" s="16"/>
      <c r="C579" s="18"/>
      <c r="D579" s="18"/>
      <c r="E579" s="13"/>
      <c r="F579" s="13"/>
      <c r="G579" s="13"/>
      <c r="H579" s="13"/>
      <c r="I579" s="13"/>
      <c r="J579" s="14"/>
    </row>
    <row r="580" spans="1:10">
      <c r="A580" s="17"/>
      <c r="B580" s="16"/>
      <c r="C580" s="18"/>
      <c r="D580" s="18"/>
      <c r="E580" s="13"/>
      <c r="F580" s="13"/>
      <c r="G580" s="13"/>
      <c r="H580" s="13"/>
      <c r="I580" s="13"/>
      <c r="J580" s="14"/>
    </row>
    <row r="581" spans="1:10">
      <c r="A581" s="17"/>
      <c r="B581" s="16"/>
      <c r="C581" s="18"/>
      <c r="D581" s="18"/>
      <c r="E581" s="13"/>
      <c r="F581" s="13"/>
      <c r="G581" s="13"/>
      <c r="H581" s="13"/>
      <c r="I581" s="13"/>
      <c r="J581" s="14"/>
    </row>
    <row r="582" spans="1:10">
      <c r="A582" s="17"/>
      <c r="B582" s="16"/>
      <c r="C582" s="18"/>
      <c r="D582" s="18"/>
      <c r="E582" s="13"/>
      <c r="F582" s="13"/>
      <c r="G582" s="13"/>
      <c r="H582" s="13"/>
      <c r="I582" s="13"/>
      <c r="J582" s="14"/>
    </row>
    <row r="583" spans="1:10">
      <c r="A583" s="17"/>
      <c r="B583" s="16"/>
      <c r="C583" s="18"/>
      <c r="D583" s="18"/>
      <c r="E583" s="13"/>
      <c r="F583" s="13"/>
      <c r="G583" s="13"/>
      <c r="H583" s="13"/>
      <c r="I583" s="13"/>
      <c r="J583" s="14"/>
    </row>
    <row r="584" spans="1:10">
      <c r="A584" s="17"/>
      <c r="B584" s="16"/>
      <c r="C584" s="18"/>
      <c r="D584" s="18"/>
      <c r="E584" s="13"/>
      <c r="F584" s="13"/>
      <c r="G584" s="13"/>
      <c r="H584" s="13"/>
      <c r="I584" s="13"/>
      <c r="J584" s="14"/>
    </row>
    <row r="585" spans="1:10">
      <c r="A585" s="17"/>
      <c r="B585" s="16"/>
      <c r="C585" s="18"/>
      <c r="D585" s="18"/>
      <c r="E585" s="13"/>
      <c r="F585" s="13"/>
      <c r="G585" s="13"/>
      <c r="H585" s="13"/>
      <c r="I585" s="13"/>
      <c r="J585" s="14"/>
    </row>
    <row r="586" spans="1:10">
      <c r="A586" s="17"/>
      <c r="B586" s="16"/>
      <c r="C586" s="18"/>
      <c r="D586" s="18"/>
      <c r="E586" s="13"/>
      <c r="F586" s="13"/>
      <c r="G586" s="13"/>
      <c r="H586" s="13"/>
      <c r="I586" s="13"/>
      <c r="J586" s="14"/>
    </row>
    <row r="587" spans="1:10">
      <c r="A587" s="17"/>
      <c r="B587" s="16"/>
      <c r="C587" s="18"/>
      <c r="D587" s="18"/>
      <c r="E587" s="13"/>
      <c r="F587" s="13"/>
      <c r="G587" s="13"/>
      <c r="H587" s="13"/>
      <c r="I587" s="13"/>
      <c r="J587" s="14"/>
    </row>
    <row r="588" spans="1:10">
      <c r="A588" s="17"/>
      <c r="B588" s="16"/>
      <c r="C588" s="18"/>
      <c r="D588" s="18"/>
      <c r="E588" s="13"/>
      <c r="F588" s="13"/>
      <c r="G588" s="13"/>
      <c r="H588" s="13"/>
      <c r="I588" s="13"/>
      <c r="J588" s="14"/>
    </row>
    <row r="589" spans="1:10">
      <c r="A589" s="17"/>
      <c r="B589" s="16"/>
      <c r="C589" s="18"/>
      <c r="D589" s="18"/>
      <c r="E589" s="13"/>
      <c r="F589" s="13"/>
      <c r="G589" s="13"/>
      <c r="H589" s="13"/>
      <c r="I589" s="13"/>
      <c r="J589" s="14"/>
    </row>
    <row r="590" spans="1:10">
      <c r="A590" s="17"/>
      <c r="B590" s="16"/>
      <c r="C590" s="18"/>
      <c r="D590" s="18"/>
      <c r="E590" s="13"/>
      <c r="F590" s="13"/>
      <c r="G590" s="13"/>
      <c r="H590" s="13"/>
      <c r="I590" s="13"/>
      <c r="J590" s="14"/>
    </row>
    <row r="591" spans="1:10">
      <c r="A591" s="17"/>
      <c r="B591" s="16"/>
      <c r="C591" s="18"/>
      <c r="D591" s="18"/>
      <c r="E591" s="13"/>
      <c r="F591" s="13"/>
      <c r="G591" s="13"/>
      <c r="H591" s="13"/>
      <c r="I591" s="13"/>
      <c r="J591" s="14"/>
    </row>
    <row r="592" spans="1:10">
      <c r="A592" s="17"/>
      <c r="B592" s="16"/>
      <c r="C592" s="18"/>
      <c r="D592" s="18"/>
      <c r="E592" s="13"/>
      <c r="F592" s="13"/>
      <c r="G592" s="13"/>
      <c r="H592" s="13"/>
      <c r="I592" s="13"/>
      <c r="J592" s="14"/>
    </row>
    <row r="593" spans="1:10">
      <c r="A593" s="17"/>
      <c r="B593" s="16"/>
      <c r="C593" s="18"/>
      <c r="D593" s="18"/>
      <c r="E593" s="13"/>
      <c r="F593" s="13"/>
      <c r="G593" s="13"/>
      <c r="H593" s="13"/>
      <c r="I593" s="13"/>
      <c r="J593" s="14"/>
    </row>
    <row r="594" spans="1:10">
      <c r="A594" s="17"/>
      <c r="B594" s="16"/>
      <c r="C594" s="18"/>
      <c r="D594" s="18"/>
      <c r="E594" s="13"/>
      <c r="F594" s="13"/>
      <c r="G594" s="13"/>
      <c r="H594" s="13"/>
      <c r="I594" s="13"/>
      <c r="J594" s="14"/>
    </row>
    <row r="595" spans="1:10">
      <c r="A595" s="17"/>
      <c r="B595" s="16"/>
      <c r="C595" s="18"/>
      <c r="D595" s="18"/>
      <c r="E595" s="13"/>
      <c r="F595" s="13"/>
      <c r="G595" s="13"/>
      <c r="H595" s="13"/>
      <c r="I595" s="13"/>
      <c r="J595" s="14"/>
    </row>
    <row r="596" spans="1:10">
      <c r="A596" s="17"/>
      <c r="B596" s="16"/>
      <c r="C596" s="18"/>
      <c r="D596" s="18"/>
      <c r="E596" s="13"/>
      <c r="F596" s="13"/>
      <c r="G596" s="13"/>
      <c r="H596" s="13"/>
      <c r="I596" s="13"/>
      <c r="J596" s="14"/>
    </row>
    <row r="597" spans="1:10">
      <c r="A597" s="17"/>
      <c r="B597" s="16"/>
      <c r="C597" s="18"/>
      <c r="D597" s="18"/>
      <c r="E597" s="13"/>
      <c r="F597" s="13"/>
      <c r="G597" s="13"/>
      <c r="H597" s="13"/>
      <c r="I597" s="13"/>
      <c r="J597" s="14"/>
    </row>
    <row r="598" spans="1:10">
      <c r="A598" s="17"/>
      <c r="B598" s="16"/>
      <c r="C598" s="18"/>
      <c r="D598" s="18"/>
      <c r="E598" s="13"/>
      <c r="F598" s="13"/>
      <c r="G598" s="13"/>
      <c r="H598" s="13"/>
      <c r="I598" s="13"/>
      <c r="J598" s="14"/>
    </row>
    <row r="599" spans="1:10">
      <c r="A599" s="17"/>
      <c r="B599" s="16"/>
      <c r="C599" s="18"/>
      <c r="D599" s="18"/>
      <c r="E599" s="13"/>
      <c r="F599" s="13"/>
      <c r="G599" s="13"/>
      <c r="H599" s="13"/>
      <c r="I599" s="13"/>
      <c r="J599" s="14"/>
    </row>
    <row r="600" spans="1:10">
      <c r="A600" s="17"/>
      <c r="B600" s="16"/>
      <c r="C600" s="18"/>
      <c r="D600" s="18"/>
      <c r="E600" s="13"/>
      <c r="F600" s="13"/>
      <c r="G600" s="13"/>
      <c r="H600" s="13"/>
      <c r="I600" s="13"/>
      <c r="J600" s="14"/>
    </row>
    <row r="601" spans="1:10">
      <c r="A601" s="17"/>
      <c r="B601" s="16"/>
      <c r="C601" s="18"/>
      <c r="D601" s="18"/>
      <c r="E601" s="13"/>
      <c r="F601" s="13"/>
      <c r="G601" s="13"/>
      <c r="H601" s="13"/>
      <c r="I601" s="13"/>
      <c r="J601" s="14"/>
    </row>
    <row r="602" spans="1:10">
      <c r="A602" s="17"/>
      <c r="B602" s="16"/>
      <c r="C602" s="18"/>
      <c r="D602" s="18"/>
      <c r="E602" s="13"/>
      <c r="F602" s="13"/>
      <c r="G602" s="13"/>
      <c r="H602" s="13"/>
      <c r="I602" s="13"/>
      <c r="J602" s="14"/>
    </row>
    <row r="603" spans="1:10">
      <c r="A603" s="17"/>
      <c r="B603" s="16"/>
      <c r="C603" s="18"/>
      <c r="D603" s="18"/>
      <c r="E603" s="13"/>
      <c r="F603" s="13"/>
      <c r="G603" s="13"/>
      <c r="H603" s="13"/>
      <c r="I603" s="13"/>
      <c r="J603" s="14"/>
    </row>
    <row r="604" spans="1:10">
      <c r="A604" s="17"/>
      <c r="B604" s="16"/>
      <c r="C604" s="18"/>
      <c r="D604" s="18"/>
      <c r="E604" s="13"/>
      <c r="F604" s="13"/>
      <c r="G604" s="13"/>
      <c r="H604" s="13"/>
      <c r="I604" s="13"/>
      <c r="J604" s="14"/>
    </row>
    <row r="605" spans="1:10">
      <c r="A605" s="17"/>
      <c r="B605" s="16"/>
      <c r="C605" s="18"/>
      <c r="D605" s="18"/>
      <c r="E605" s="13"/>
      <c r="F605" s="13"/>
      <c r="G605" s="13"/>
      <c r="H605" s="13"/>
      <c r="I605" s="13"/>
      <c r="J605" s="14"/>
    </row>
    <row r="606" spans="1:10">
      <c r="A606" s="17"/>
      <c r="B606" s="16"/>
      <c r="C606" s="18"/>
      <c r="D606" s="18"/>
      <c r="E606" s="13"/>
      <c r="F606" s="13"/>
      <c r="G606" s="13"/>
      <c r="H606" s="13"/>
      <c r="I606" s="13"/>
      <c r="J606" s="14"/>
    </row>
    <row r="607" spans="1:10">
      <c r="A607" s="17"/>
      <c r="B607" s="16"/>
      <c r="C607" s="18"/>
      <c r="D607" s="18"/>
      <c r="E607" s="13"/>
      <c r="F607" s="13"/>
      <c r="G607" s="13"/>
      <c r="H607" s="13"/>
      <c r="I607" s="13"/>
      <c r="J607" s="14"/>
    </row>
    <row r="608" spans="1:10">
      <c r="A608" s="17"/>
      <c r="B608" s="16"/>
      <c r="C608" s="18"/>
      <c r="D608" s="18"/>
      <c r="E608" s="13"/>
      <c r="F608" s="13"/>
      <c r="G608" s="13"/>
      <c r="H608" s="13"/>
      <c r="I608" s="13"/>
      <c r="J608" s="14"/>
    </row>
    <row r="609" spans="1:10">
      <c r="A609" s="17"/>
      <c r="B609" s="16"/>
      <c r="C609" s="18"/>
      <c r="D609" s="18"/>
      <c r="E609" s="13"/>
      <c r="F609" s="13"/>
      <c r="G609" s="13"/>
      <c r="H609" s="13"/>
      <c r="I609" s="13"/>
      <c r="J609" s="14"/>
    </row>
    <row r="610" spans="1:10">
      <c r="A610" s="17"/>
      <c r="B610" s="16"/>
      <c r="C610" s="18"/>
      <c r="D610" s="18"/>
      <c r="E610" s="13"/>
      <c r="F610" s="13"/>
      <c r="G610" s="13"/>
      <c r="H610" s="13"/>
      <c r="I610" s="13"/>
      <c r="J610" s="14"/>
    </row>
    <row r="611" spans="1:10">
      <c r="A611" s="17"/>
      <c r="B611" s="16"/>
      <c r="C611" s="18"/>
      <c r="D611" s="18"/>
      <c r="E611" s="13"/>
      <c r="F611" s="13"/>
      <c r="G611" s="13"/>
      <c r="H611" s="13"/>
      <c r="I611" s="13"/>
      <c r="J611" s="14"/>
    </row>
    <row r="612" spans="1:10">
      <c r="A612" s="17"/>
      <c r="B612" s="16"/>
      <c r="C612" s="18"/>
      <c r="D612" s="18"/>
      <c r="E612" s="13"/>
      <c r="F612" s="13"/>
      <c r="G612" s="13"/>
      <c r="H612" s="13"/>
      <c r="I612" s="13"/>
      <c r="J612" s="14"/>
    </row>
    <row r="613" spans="1:10">
      <c r="A613" s="17"/>
      <c r="B613" s="16"/>
      <c r="C613" s="18"/>
      <c r="D613" s="18"/>
      <c r="E613" s="13"/>
      <c r="F613" s="13"/>
      <c r="G613" s="13"/>
      <c r="H613" s="13"/>
      <c r="I613" s="13"/>
      <c r="J613" s="14"/>
    </row>
    <row r="614" spans="1:10">
      <c r="A614" s="17"/>
      <c r="B614" s="16"/>
      <c r="C614" s="18"/>
      <c r="D614" s="18"/>
      <c r="E614" s="13"/>
      <c r="F614" s="13"/>
      <c r="G614" s="13"/>
      <c r="H614" s="13"/>
      <c r="I614" s="13"/>
      <c r="J614" s="14"/>
    </row>
    <row r="615" spans="1:10">
      <c r="A615" s="17"/>
      <c r="B615" s="16"/>
      <c r="C615" s="18"/>
      <c r="D615" s="18"/>
      <c r="E615" s="13"/>
      <c r="F615" s="13"/>
      <c r="G615" s="13"/>
      <c r="H615" s="13"/>
      <c r="I615" s="13"/>
      <c r="J615" s="14"/>
    </row>
    <row r="616" spans="1:10">
      <c r="A616" s="17"/>
      <c r="B616" s="16"/>
      <c r="C616" s="18"/>
      <c r="D616" s="18"/>
      <c r="E616" s="13"/>
      <c r="F616" s="13"/>
      <c r="G616" s="13"/>
      <c r="H616" s="13"/>
      <c r="I616" s="13"/>
      <c r="J616" s="14"/>
    </row>
    <row r="617" spans="1:10">
      <c r="A617" s="17"/>
      <c r="B617" s="16"/>
      <c r="C617" s="18"/>
      <c r="D617" s="18"/>
      <c r="E617" s="13"/>
      <c r="F617" s="13"/>
      <c r="G617" s="13"/>
      <c r="H617" s="13"/>
      <c r="I617" s="13"/>
      <c r="J617" s="14"/>
    </row>
    <row r="618" spans="1:10">
      <c r="A618" s="17"/>
      <c r="B618" s="16"/>
      <c r="C618" s="18"/>
      <c r="D618" s="18"/>
      <c r="E618" s="13"/>
      <c r="F618" s="13"/>
      <c r="G618" s="13"/>
      <c r="H618" s="13"/>
      <c r="I618" s="13"/>
      <c r="J618" s="14"/>
    </row>
    <row r="619" spans="1:10">
      <c r="A619" s="17"/>
      <c r="B619" s="16"/>
      <c r="C619" s="18"/>
      <c r="D619" s="18"/>
      <c r="E619" s="13"/>
      <c r="F619" s="13"/>
      <c r="G619" s="13"/>
      <c r="H619" s="13"/>
      <c r="I619" s="13"/>
      <c r="J619" s="14"/>
    </row>
    <row r="620" spans="1:10">
      <c r="A620" s="17"/>
      <c r="B620" s="16"/>
      <c r="C620" s="18"/>
      <c r="D620" s="18"/>
      <c r="E620" s="13"/>
      <c r="F620" s="13"/>
      <c r="G620" s="13"/>
      <c r="H620" s="13"/>
      <c r="I620" s="13"/>
      <c r="J620" s="14"/>
    </row>
    <row r="621" spans="1:10">
      <c r="A621" s="17"/>
      <c r="B621" s="16"/>
      <c r="C621" s="18"/>
      <c r="D621" s="18"/>
      <c r="E621" s="13"/>
      <c r="F621" s="13"/>
      <c r="G621" s="13"/>
      <c r="H621" s="13"/>
      <c r="I621" s="13"/>
      <c r="J621" s="14"/>
    </row>
    <row r="622" spans="1:10">
      <c r="A622" s="17"/>
      <c r="B622" s="16"/>
      <c r="C622" s="18"/>
      <c r="D622" s="18"/>
      <c r="E622" s="13"/>
      <c r="F622" s="13"/>
      <c r="G622" s="13"/>
      <c r="H622" s="13"/>
      <c r="I622" s="13"/>
      <c r="J622" s="14"/>
    </row>
    <row r="623" spans="1:10">
      <c r="A623" s="17"/>
      <c r="B623" s="16"/>
      <c r="C623" s="18"/>
      <c r="D623" s="18"/>
      <c r="E623" s="13"/>
      <c r="F623" s="13"/>
      <c r="G623" s="13"/>
      <c r="H623" s="13"/>
      <c r="I623" s="13"/>
      <c r="J623" s="14"/>
    </row>
    <row r="624" spans="1:10">
      <c r="A624" s="17"/>
      <c r="B624" s="16"/>
      <c r="C624" s="18"/>
      <c r="D624" s="18"/>
      <c r="E624" s="13"/>
      <c r="F624" s="13"/>
      <c r="G624" s="13"/>
      <c r="H624" s="13"/>
      <c r="I624" s="13"/>
      <c r="J624" s="14"/>
    </row>
    <row r="625" spans="1:10">
      <c r="A625" s="17"/>
      <c r="B625" s="16"/>
      <c r="C625" s="18"/>
      <c r="D625" s="18"/>
      <c r="E625" s="13"/>
      <c r="F625" s="13"/>
      <c r="G625" s="13"/>
      <c r="H625" s="13"/>
      <c r="I625" s="13"/>
      <c r="J625" s="14"/>
    </row>
    <row r="626" spans="1:10">
      <c r="A626" s="17"/>
      <c r="B626" s="16"/>
      <c r="C626" s="18"/>
      <c r="D626" s="18"/>
      <c r="E626" s="13"/>
      <c r="F626" s="13"/>
      <c r="G626" s="13"/>
      <c r="H626" s="13"/>
      <c r="I626" s="13"/>
      <c r="J626" s="14"/>
    </row>
    <row r="627" spans="1:10">
      <c r="A627" s="17"/>
      <c r="B627" s="16"/>
      <c r="C627" s="18"/>
      <c r="D627" s="18"/>
      <c r="E627" s="13"/>
      <c r="F627" s="13"/>
      <c r="G627" s="13"/>
      <c r="H627" s="13"/>
      <c r="I627" s="13"/>
      <c r="J627" s="14"/>
    </row>
    <row r="628" spans="1:10">
      <c r="A628" s="17"/>
      <c r="B628" s="16"/>
      <c r="C628" s="18"/>
      <c r="D628" s="18"/>
      <c r="E628" s="13"/>
      <c r="F628" s="13"/>
      <c r="G628" s="13"/>
      <c r="H628" s="13"/>
      <c r="I628" s="13"/>
      <c r="J628" s="14"/>
    </row>
    <row r="629" spans="1:10">
      <c r="A629" s="17"/>
      <c r="B629" s="16"/>
      <c r="C629" s="18"/>
      <c r="D629" s="18"/>
      <c r="E629" s="13"/>
      <c r="F629" s="13"/>
      <c r="G629" s="13"/>
      <c r="H629" s="13"/>
      <c r="I629" s="13"/>
      <c r="J629" s="14"/>
    </row>
    <row r="630" spans="1:10">
      <c r="A630" s="17"/>
      <c r="B630" s="16"/>
      <c r="C630" s="18"/>
      <c r="D630" s="18"/>
      <c r="E630" s="13"/>
      <c r="F630" s="13"/>
      <c r="G630" s="13"/>
      <c r="H630" s="13"/>
      <c r="I630" s="13"/>
      <c r="J630" s="14"/>
    </row>
    <row r="631" spans="1:10">
      <c r="A631" s="17"/>
      <c r="B631" s="16"/>
      <c r="C631" s="18"/>
      <c r="D631" s="18"/>
      <c r="E631" s="13"/>
      <c r="F631" s="13"/>
      <c r="G631" s="13"/>
      <c r="H631" s="13"/>
      <c r="I631" s="13"/>
      <c r="J631" s="14"/>
    </row>
    <row r="632" spans="1:10">
      <c r="A632" s="17"/>
      <c r="B632" s="16"/>
      <c r="C632" s="18"/>
      <c r="D632" s="18"/>
      <c r="E632" s="13"/>
      <c r="F632" s="13"/>
      <c r="G632" s="13"/>
      <c r="H632" s="13"/>
      <c r="I632" s="13"/>
      <c r="J632" s="14"/>
    </row>
    <row r="633" spans="1:10">
      <c r="A633" s="17"/>
      <c r="B633" s="16"/>
      <c r="C633" s="18"/>
      <c r="D633" s="18"/>
      <c r="E633" s="13"/>
      <c r="F633" s="13"/>
      <c r="G633" s="13"/>
      <c r="H633" s="13"/>
      <c r="I633" s="13"/>
      <c r="J633" s="14"/>
    </row>
    <row r="634" spans="1:10">
      <c r="A634" s="17"/>
      <c r="B634" s="16"/>
      <c r="C634" s="18"/>
      <c r="D634" s="18"/>
      <c r="E634" s="13"/>
      <c r="F634" s="13"/>
      <c r="G634" s="13"/>
      <c r="H634" s="13"/>
      <c r="I634" s="13"/>
      <c r="J634" s="14"/>
    </row>
    <row r="635" spans="1:10">
      <c r="A635" s="17"/>
      <c r="B635" s="16"/>
      <c r="C635" s="18"/>
      <c r="D635" s="18"/>
      <c r="E635" s="13"/>
      <c r="F635" s="13"/>
      <c r="G635" s="13"/>
      <c r="H635" s="13"/>
      <c r="I635" s="13"/>
      <c r="J635" s="14"/>
    </row>
    <row r="636" spans="1:10">
      <c r="A636" s="17"/>
      <c r="B636" s="16"/>
      <c r="C636" s="18"/>
      <c r="D636" s="18"/>
      <c r="E636" s="13"/>
      <c r="F636" s="13"/>
      <c r="G636" s="13"/>
      <c r="H636" s="13"/>
      <c r="I636" s="13"/>
      <c r="J636" s="14"/>
    </row>
    <row r="637" spans="1:10">
      <c r="A637" s="17"/>
      <c r="B637" s="16"/>
      <c r="C637" s="18"/>
      <c r="D637" s="18"/>
      <c r="E637" s="13"/>
      <c r="F637" s="13"/>
      <c r="G637" s="13"/>
      <c r="H637" s="13"/>
      <c r="I637" s="13"/>
      <c r="J637" s="14"/>
    </row>
    <row r="638" spans="1:10">
      <c r="A638" s="17"/>
      <c r="B638" s="16"/>
      <c r="C638" s="18"/>
      <c r="D638" s="18"/>
      <c r="E638" s="13"/>
      <c r="F638" s="13"/>
      <c r="G638" s="13"/>
      <c r="H638" s="13"/>
      <c r="I638" s="13"/>
      <c r="J638" s="14"/>
    </row>
    <row r="639" spans="1:10">
      <c r="A639" s="17"/>
      <c r="B639" s="16"/>
      <c r="C639" s="18"/>
      <c r="D639" s="18"/>
      <c r="E639" s="13"/>
      <c r="F639" s="13"/>
      <c r="G639" s="13"/>
      <c r="H639" s="13"/>
      <c r="I639" s="13"/>
      <c r="J639" s="14"/>
    </row>
    <row r="640" spans="1:10">
      <c r="A640" s="17"/>
      <c r="B640" s="16"/>
      <c r="C640" s="18"/>
      <c r="D640" s="18"/>
      <c r="E640" s="13"/>
      <c r="F640" s="13"/>
      <c r="G640" s="13"/>
      <c r="H640" s="13"/>
      <c r="I640" s="13"/>
      <c r="J640" s="14"/>
    </row>
    <row r="641" spans="1:10">
      <c r="A641" s="17"/>
      <c r="B641" s="16"/>
      <c r="C641" s="18"/>
      <c r="D641" s="18"/>
      <c r="E641" s="13"/>
      <c r="F641" s="13"/>
      <c r="G641" s="13"/>
      <c r="H641" s="13"/>
      <c r="I641" s="13"/>
      <c r="J641" s="14"/>
    </row>
    <row r="642" spans="1:10">
      <c r="A642" s="17"/>
      <c r="B642" s="16"/>
      <c r="C642" s="18"/>
      <c r="D642" s="18"/>
      <c r="E642" s="13"/>
      <c r="F642" s="13"/>
      <c r="G642" s="13"/>
      <c r="H642" s="13"/>
      <c r="I642" s="13"/>
      <c r="J642" s="14"/>
    </row>
    <row r="643" spans="1:10">
      <c r="A643" s="17"/>
      <c r="B643" s="16"/>
      <c r="C643" s="18"/>
      <c r="D643" s="18"/>
      <c r="E643" s="13"/>
      <c r="F643" s="13"/>
      <c r="G643" s="13"/>
      <c r="H643" s="13"/>
      <c r="I643" s="13"/>
      <c r="J643" s="14"/>
    </row>
    <row r="644" spans="1:10">
      <c r="A644" s="17"/>
      <c r="B644" s="16"/>
      <c r="C644" s="18"/>
      <c r="D644" s="18"/>
      <c r="E644" s="13"/>
      <c r="F644" s="13"/>
      <c r="G644" s="13"/>
      <c r="H644" s="13"/>
      <c r="I644" s="13"/>
      <c r="J644" s="14"/>
    </row>
    <row r="645" spans="1:10">
      <c r="A645" s="17"/>
      <c r="B645" s="16"/>
      <c r="C645" s="18"/>
      <c r="D645" s="18"/>
      <c r="E645" s="13"/>
      <c r="F645" s="13"/>
      <c r="G645" s="13"/>
      <c r="H645" s="13"/>
      <c r="I645" s="13"/>
      <c r="J645" s="14"/>
    </row>
    <row r="646" spans="1:10">
      <c r="A646" s="17"/>
      <c r="B646" s="16"/>
      <c r="C646" s="18"/>
      <c r="D646" s="18"/>
      <c r="E646" s="13"/>
      <c r="F646" s="13"/>
      <c r="G646" s="13"/>
      <c r="H646" s="13"/>
      <c r="I646" s="13"/>
      <c r="J646" s="14"/>
    </row>
    <row r="647" spans="1:10">
      <c r="A647" s="17"/>
      <c r="B647" s="16"/>
      <c r="C647" s="18"/>
      <c r="D647" s="18"/>
      <c r="E647" s="13"/>
      <c r="F647" s="13"/>
      <c r="G647" s="13"/>
      <c r="H647" s="13"/>
      <c r="I647" s="13"/>
      <c r="J647" s="14"/>
    </row>
    <row r="648" spans="1:10">
      <c r="A648" s="17"/>
      <c r="B648" s="16"/>
      <c r="C648" s="18"/>
      <c r="D648" s="18"/>
      <c r="E648" s="13"/>
      <c r="F648" s="13"/>
      <c r="G648" s="13"/>
      <c r="H648" s="13"/>
      <c r="I648" s="13"/>
      <c r="J648" s="14"/>
    </row>
    <row r="649" spans="1:10">
      <c r="A649" s="17"/>
      <c r="B649" s="16"/>
      <c r="C649" s="18"/>
      <c r="D649" s="18"/>
      <c r="E649" s="13"/>
      <c r="F649" s="13"/>
      <c r="G649" s="13"/>
      <c r="H649" s="13"/>
      <c r="I649" s="13"/>
      <c r="J649" s="14"/>
    </row>
    <row r="650" spans="1:10">
      <c r="A650" s="17"/>
      <c r="B650" s="16"/>
      <c r="C650" s="18"/>
      <c r="D650" s="18"/>
      <c r="E650" s="13"/>
      <c r="F650" s="13"/>
      <c r="G650" s="13"/>
      <c r="H650" s="13"/>
      <c r="I650" s="13"/>
      <c r="J650" s="14"/>
    </row>
    <row r="651" spans="1:10">
      <c r="A651" s="17"/>
      <c r="B651" s="16"/>
      <c r="C651" s="18"/>
      <c r="D651" s="18"/>
      <c r="E651" s="13"/>
      <c r="F651" s="13"/>
      <c r="G651" s="13"/>
      <c r="H651" s="13"/>
      <c r="I651" s="13"/>
      <c r="J651" s="14"/>
    </row>
    <row r="652" spans="1:10">
      <c r="A652" s="17"/>
      <c r="B652" s="16"/>
      <c r="C652" s="18"/>
      <c r="D652" s="18"/>
      <c r="E652" s="13"/>
      <c r="F652" s="13"/>
      <c r="G652" s="13"/>
      <c r="H652" s="13"/>
      <c r="I652" s="13"/>
      <c r="J652" s="14"/>
    </row>
    <row r="653" spans="1:10">
      <c r="A653" s="17"/>
      <c r="B653" s="16"/>
      <c r="C653" s="18"/>
      <c r="D653" s="18"/>
      <c r="E653" s="13"/>
      <c r="F653" s="13"/>
      <c r="G653" s="13"/>
      <c r="H653" s="13"/>
      <c r="I653" s="13"/>
      <c r="J653" s="14"/>
    </row>
    <row r="654" spans="1:10">
      <c r="A654" s="17"/>
      <c r="B654" s="16"/>
      <c r="C654" s="18"/>
      <c r="D654" s="18"/>
      <c r="E654" s="13"/>
      <c r="F654" s="13"/>
      <c r="G654" s="13"/>
      <c r="H654" s="13"/>
      <c r="I654" s="13"/>
      <c r="J654" s="14"/>
    </row>
    <row r="655" spans="1:10">
      <c r="A655" s="17"/>
      <c r="B655" s="16"/>
      <c r="C655" s="18"/>
      <c r="D655" s="18"/>
      <c r="E655" s="13"/>
      <c r="F655" s="13"/>
      <c r="G655" s="13"/>
      <c r="H655" s="13"/>
      <c r="I655" s="13"/>
      <c r="J655" s="14"/>
    </row>
    <row r="656" spans="1:10">
      <c r="A656" s="17"/>
      <c r="B656" s="16"/>
      <c r="C656" s="18"/>
      <c r="D656" s="18"/>
      <c r="E656" s="13"/>
      <c r="F656" s="13"/>
      <c r="G656" s="13"/>
      <c r="H656" s="13"/>
      <c r="I656" s="13"/>
      <c r="J656" s="14"/>
    </row>
    <row r="657" spans="1:10">
      <c r="A657" s="17"/>
      <c r="B657" s="16"/>
      <c r="C657" s="18"/>
      <c r="D657" s="18"/>
      <c r="E657" s="13"/>
      <c r="F657" s="13"/>
      <c r="G657" s="13"/>
      <c r="H657" s="13"/>
      <c r="I657" s="13"/>
      <c r="J657" s="14"/>
    </row>
    <row r="658" spans="1:10">
      <c r="A658" s="17"/>
      <c r="B658" s="16"/>
      <c r="C658" s="18"/>
      <c r="D658" s="18"/>
      <c r="E658" s="13"/>
      <c r="F658" s="13"/>
      <c r="G658" s="13"/>
      <c r="H658" s="13"/>
      <c r="I658" s="13"/>
      <c r="J658" s="14"/>
    </row>
    <row r="659" spans="1:10">
      <c r="A659" s="17"/>
      <c r="B659" s="16"/>
      <c r="C659" s="18"/>
      <c r="D659" s="18"/>
      <c r="E659" s="13"/>
      <c r="F659" s="13"/>
      <c r="G659" s="13"/>
      <c r="H659" s="13"/>
      <c r="I659" s="13"/>
      <c r="J659" s="14"/>
    </row>
    <row r="660" spans="1:10">
      <c r="A660" s="17"/>
      <c r="B660" s="16"/>
      <c r="C660" s="18"/>
      <c r="D660" s="18"/>
      <c r="E660" s="13"/>
      <c r="F660" s="13"/>
      <c r="G660" s="13"/>
      <c r="H660" s="13"/>
      <c r="I660" s="13"/>
      <c r="J660" s="14"/>
    </row>
    <row r="661" spans="1:10">
      <c r="A661" s="17"/>
      <c r="B661" s="16"/>
      <c r="C661" s="18"/>
      <c r="D661" s="18"/>
      <c r="E661" s="13"/>
      <c r="F661" s="13"/>
      <c r="G661" s="13"/>
      <c r="H661" s="13"/>
      <c r="I661" s="13"/>
      <c r="J661" s="14"/>
    </row>
    <row r="662" spans="1:10">
      <c r="A662" s="17"/>
      <c r="B662" s="16"/>
      <c r="C662" s="18"/>
      <c r="D662" s="18"/>
      <c r="E662" s="13"/>
      <c r="F662" s="13"/>
      <c r="G662" s="13"/>
      <c r="H662" s="13"/>
      <c r="I662" s="13"/>
      <c r="J662" s="14"/>
    </row>
    <row r="663" spans="1:10">
      <c r="A663" s="17"/>
      <c r="B663" s="16"/>
      <c r="C663" s="18"/>
      <c r="D663" s="18"/>
      <c r="E663" s="13"/>
      <c r="F663" s="13"/>
      <c r="G663" s="13"/>
      <c r="H663" s="13"/>
      <c r="I663" s="13"/>
      <c r="J663" s="14"/>
    </row>
    <row r="664" spans="1:10">
      <c r="A664" s="17"/>
      <c r="B664" s="16"/>
      <c r="C664" s="18"/>
      <c r="D664" s="18"/>
      <c r="E664" s="13"/>
      <c r="F664" s="13"/>
      <c r="G664" s="13"/>
      <c r="H664" s="13"/>
      <c r="I664" s="13"/>
      <c r="J664" s="14"/>
    </row>
    <row r="665" spans="1:10">
      <c r="A665" s="17"/>
      <c r="B665" s="16"/>
      <c r="C665" s="18"/>
      <c r="D665" s="18"/>
      <c r="E665" s="13"/>
      <c r="F665" s="13"/>
      <c r="G665" s="13"/>
      <c r="H665" s="13"/>
      <c r="I665" s="13"/>
      <c r="J665" s="14"/>
    </row>
    <row r="666" spans="1:10">
      <c r="A666" s="17"/>
      <c r="B666" s="16"/>
      <c r="C666" s="18"/>
      <c r="D666" s="18"/>
      <c r="E666" s="13"/>
      <c r="F666" s="13"/>
      <c r="G666" s="13"/>
      <c r="H666" s="13"/>
      <c r="I666" s="13"/>
      <c r="J666" s="14"/>
    </row>
    <row r="667" spans="1:10">
      <c r="A667" s="17"/>
      <c r="B667" s="16"/>
      <c r="C667" s="18"/>
      <c r="D667" s="18"/>
      <c r="E667" s="13"/>
      <c r="F667" s="13"/>
      <c r="G667" s="13"/>
      <c r="H667" s="13"/>
      <c r="I667" s="13"/>
      <c r="J667" s="14"/>
    </row>
    <row r="668" spans="1:10">
      <c r="A668" s="17"/>
      <c r="B668" s="16"/>
      <c r="C668" s="18"/>
      <c r="D668" s="18"/>
      <c r="E668" s="13"/>
      <c r="F668" s="13"/>
      <c r="G668" s="13"/>
      <c r="H668" s="13"/>
      <c r="I668" s="13"/>
      <c r="J668" s="14"/>
    </row>
    <row r="669" spans="1:10">
      <c r="A669" s="17"/>
      <c r="B669" s="16"/>
      <c r="C669" s="18"/>
      <c r="D669" s="18"/>
      <c r="E669" s="13"/>
      <c r="F669" s="13"/>
      <c r="G669" s="13"/>
      <c r="H669" s="13"/>
      <c r="I669" s="13"/>
      <c r="J669" s="14"/>
    </row>
    <row r="670" spans="1:10">
      <c r="A670" s="17"/>
      <c r="B670" s="16"/>
      <c r="C670" s="18"/>
      <c r="D670" s="18"/>
      <c r="E670" s="13"/>
      <c r="F670" s="13"/>
      <c r="G670" s="13"/>
      <c r="H670" s="13"/>
      <c r="I670" s="13"/>
      <c r="J670" s="14"/>
    </row>
    <row r="671" spans="1:10">
      <c r="A671" s="17"/>
      <c r="B671" s="16"/>
      <c r="C671" s="18"/>
      <c r="D671" s="18"/>
      <c r="E671" s="13"/>
      <c r="F671" s="13"/>
      <c r="G671" s="13"/>
      <c r="H671" s="13"/>
      <c r="I671" s="13"/>
      <c r="J671" s="14"/>
    </row>
    <row r="672" spans="1:10">
      <c r="A672" s="17"/>
      <c r="B672" s="16"/>
      <c r="C672" s="18"/>
      <c r="D672" s="18"/>
      <c r="E672" s="13"/>
      <c r="F672" s="13"/>
      <c r="G672" s="13"/>
      <c r="H672" s="13"/>
      <c r="I672" s="13"/>
      <c r="J672" s="14"/>
    </row>
    <row r="673" spans="1:10">
      <c r="A673" s="17"/>
      <c r="B673" s="16"/>
      <c r="C673" s="18"/>
      <c r="D673" s="18"/>
      <c r="E673" s="13"/>
      <c r="F673" s="13"/>
      <c r="G673" s="13"/>
      <c r="H673" s="13"/>
      <c r="I673" s="13"/>
      <c r="J673" s="14"/>
    </row>
    <row r="674" spans="1:10">
      <c r="A674" s="17"/>
      <c r="B674" s="16"/>
      <c r="C674" s="18"/>
      <c r="D674" s="18"/>
      <c r="E674" s="13"/>
      <c r="F674" s="13"/>
      <c r="G674" s="13"/>
      <c r="H674" s="13"/>
      <c r="I674" s="13"/>
      <c r="J674" s="14"/>
    </row>
    <row r="675" spans="1:10">
      <c r="A675" s="17"/>
      <c r="B675" s="16"/>
      <c r="C675" s="18"/>
      <c r="D675" s="18"/>
      <c r="E675" s="13"/>
      <c r="F675" s="13"/>
      <c r="G675" s="13"/>
      <c r="H675" s="13"/>
      <c r="I675" s="13"/>
      <c r="J675" s="14"/>
    </row>
    <row r="676" spans="1:10">
      <c r="A676" s="17"/>
      <c r="B676" s="16"/>
      <c r="C676" s="18"/>
      <c r="D676" s="18"/>
      <c r="E676" s="13"/>
      <c r="F676" s="13"/>
      <c r="G676" s="13"/>
      <c r="H676" s="13"/>
      <c r="I676" s="13"/>
      <c r="J676" s="14"/>
    </row>
    <row r="677" spans="1:10">
      <c r="A677" s="17"/>
      <c r="B677" s="16"/>
      <c r="C677" s="18"/>
      <c r="D677" s="18"/>
      <c r="E677" s="13"/>
      <c r="F677" s="13"/>
      <c r="G677" s="13"/>
      <c r="H677" s="13"/>
      <c r="I677" s="13"/>
      <c r="J677" s="14"/>
    </row>
    <row r="678" spans="1:10">
      <c r="A678" s="17"/>
      <c r="B678" s="16"/>
      <c r="C678" s="18"/>
      <c r="D678" s="18"/>
      <c r="E678" s="13"/>
      <c r="F678" s="13"/>
      <c r="G678" s="13"/>
      <c r="H678" s="13"/>
      <c r="I678" s="13"/>
      <c r="J678" s="14"/>
    </row>
    <row r="679" spans="1:10">
      <c r="A679" s="17"/>
      <c r="B679" s="16"/>
      <c r="C679" s="18"/>
      <c r="D679" s="18"/>
      <c r="E679" s="13"/>
      <c r="F679" s="13"/>
      <c r="G679" s="13"/>
      <c r="H679" s="13"/>
      <c r="I679" s="13"/>
      <c r="J679" s="14"/>
    </row>
    <row r="680" spans="1:10">
      <c r="A680" s="17"/>
      <c r="B680" s="16"/>
      <c r="C680" s="18"/>
      <c r="D680" s="18"/>
      <c r="E680" s="13"/>
      <c r="F680" s="13"/>
      <c r="G680" s="13"/>
      <c r="H680" s="13"/>
      <c r="I680" s="13"/>
      <c r="J680" s="14"/>
    </row>
    <row r="681" spans="1:10">
      <c r="A681" s="17"/>
      <c r="B681" s="16"/>
      <c r="C681" s="18"/>
      <c r="D681" s="18"/>
      <c r="E681" s="13"/>
      <c r="F681" s="13"/>
      <c r="G681" s="13"/>
      <c r="H681" s="13"/>
      <c r="I681" s="13"/>
      <c r="J681" s="14"/>
    </row>
    <row r="682" spans="1:10">
      <c r="A682" s="17"/>
      <c r="B682" s="16"/>
      <c r="C682" s="18"/>
      <c r="D682" s="18"/>
      <c r="E682" s="13"/>
      <c r="F682" s="13"/>
      <c r="G682" s="13"/>
      <c r="H682" s="13"/>
      <c r="I682" s="13"/>
      <c r="J682" s="14"/>
    </row>
    <row r="683" spans="1:10">
      <c r="A683" s="17"/>
      <c r="B683" s="16"/>
      <c r="C683" s="18"/>
      <c r="D683" s="18"/>
      <c r="E683" s="13"/>
      <c r="F683" s="13"/>
      <c r="G683" s="13"/>
      <c r="H683" s="13"/>
      <c r="I683" s="13"/>
      <c r="J683" s="14"/>
    </row>
    <row r="684" spans="1:10">
      <c r="A684" s="17"/>
      <c r="B684" s="16"/>
      <c r="C684" s="18"/>
      <c r="D684" s="18"/>
      <c r="E684" s="13"/>
      <c r="F684" s="13"/>
      <c r="G684" s="13"/>
      <c r="H684" s="13"/>
      <c r="I684" s="13"/>
      <c r="J684" s="14"/>
    </row>
    <row r="685" spans="1:10">
      <c r="A685" s="17"/>
      <c r="B685" s="16"/>
      <c r="C685" s="18"/>
      <c r="D685" s="18"/>
      <c r="E685" s="13"/>
      <c r="F685" s="13"/>
      <c r="G685" s="13"/>
      <c r="H685" s="13"/>
      <c r="I685" s="13"/>
      <c r="J685" s="14"/>
    </row>
    <row r="686" spans="1:10">
      <c r="A686" s="17"/>
      <c r="B686" s="16"/>
      <c r="C686" s="18"/>
      <c r="D686" s="18"/>
      <c r="E686" s="13"/>
      <c r="F686" s="13"/>
      <c r="G686" s="13"/>
      <c r="H686" s="13"/>
      <c r="I686" s="13"/>
      <c r="J686" s="14"/>
    </row>
    <row r="687" spans="1:10">
      <c r="A687" s="17"/>
      <c r="B687" s="16"/>
      <c r="C687" s="18"/>
      <c r="D687" s="18"/>
      <c r="E687" s="13"/>
      <c r="F687" s="13"/>
      <c r="G687" s="13"/>
      <c r="H687" s="13"/>
      <c r="I687" s="13"/>
      <c r="J687" s="14"/>
    </row>
    <row r="688" spans="1:10">
      <c r="A688" s="17"/>
      <c r="B688" s="16"/>
      <c r="C688" s="18"/>
      <c r="D688" s="18"/>
      <c r="E688" s="13"/>
      <c r="F688" s="13"/>
      <c r="G688" s="13"/>
      <c r="H688" s="13"/>
      <c r="I688" s="13"/>
      <c r="J688" s="14"/>
    </row>
    <row r="689" spans="1:10">
      <c r="A689" s="17"/>
      <c r="B689" s="16"/>
      <c r="C689" s="18"/>
      <c r="D689" s="18"/>
      <c r="E689" s="13"/>
      <c r="F689" s="13"/>
      <c r="G689" s="13"/>
      <c r="H689" s="13"/>
      <c r="I689" s="13"/>
      <c r="J689" s="14"/>
    </row>
    <row r="690" spans="1:10">
      <c r="A690" s="17"/>
      <c r="B690" s="16"/>
      <c r="C690" s="18"/>
      <c r="D690" s="18"/>
      <c r="E690" s="13"/>
      <c r="F690" s="13"/>
      <c r="G690" s="13"/>
      <c r="H690" s="13"/>
      <c r="I690" s="13"/>
      <c r="J690" s="14"/>
    </row>
    <row r="691" spans="1:10">
      <c r="A691" s="17"/>
      <c r="B691" s="16"/>
      <c r="C691" s="18"/>
      <c r="D691" s="18"/>
      <c r="E691" s="13"/>
      <c r="F691" s="13"/>
      <c r="G691" s="13"/>
      <c r="H691" s="13"/>
      <c r="I691" s="13"/>
      <c r="J691" s="14"/>
    </row>
    <row r="692" spans="1:10">
      <c r="A692" s="17"/>
      <c r="B692" s="16"/>
      <c r="C692" s="18"/>
      <c r="D692" s="18"/>
      <c r="E692" s="13"/>
      <c r="F692" s="13"/>
      <c r="G692" s="13"/>
      <c r="H692" s="13"/>
      <c r="I692" s="13"/>
      <c r="J692" s="14"/>
    </row>
    <row r="693" spans="1:10">
      <c r="A693" s="17"/>
      <c r="B693" s="16"/>
      <c r="C693" s="18"/>
      <c r="D693" s="18"/>
      <c r="E693" s="13"/>
      <c r="F693" s="13"/>
      <c r="G693" s="13"/>
      <c r="H693" s="13"/>
      <c r="I693" s="13"/>
      <c r="J693" s="14"/>
    </row>
    <row r="694" spans="1:10">
      <c r="A694" s="17"/>
      <c r="B694" s="16"/>
      <c r="C694" s="18"/>
      <c r="D694" s="18"/>
      <c r="E694" s="13"/>
      <c r="F694" s="13"/>
      <c r="G694" s="13"/>
      <c r="H694" s="13"/>
      <c r="I694" s="13"/>
      <c r="J694" s="14"/>
    </row>
    <row r="695" spans="1:10">
      <c r="A695" s="17"/>
      <c r="B695" s="16"/>
      <c r="C695" s="18"/>
      <c r="D695" s="18"/>
      <c r="E695" s="13"/>
      <c r="F695" s="13"/>
      <c r="G695" s="13"/>
      <c r="H695" s="13"/>
      <c r="I695" s="13"/>
      <c r="J695" s="14"/>
    </row>
    <row r="696" spans="1:10">
      <c r="A696" s="17"/>
      <c r="B696" s="16"/>
      <c r="C696" s="18"/>
      <c r="D696" s="18"/>
      <c r="E696" s="13"/>
      <c r="F696" s="13"/>
      <c r="G696" s="13"/>
      <c r="H696" s="13"/>
      <c r="I696" s="13"/>
      <c r="J696" s="14"/>
    </row>
    <row r="697" spans="1:10">
      <c r="A697" s="17"/>
      <c r="B697" s="16"/>
      <c r="C697" s="18"/>
      <c r="D697" s="18"/>
      <c r="E697" s="13"/>
      <c r="F697" s="13"/>
      <c r="G697" s="13"/>
      <c r="H697" s="13"/>
      <c r="I697" s="13"/>
      <c r="J697" s="14"/>
    </row>
    <row r="698" spans="1:10">
      <c r="A698" s="17"/>
      <c r="B698" s="16"/>
      <c r="C698" s="18"/>
      <c r="D698" s="18"/>
      <c r="E698" s="13"/>
      <c r="F698" s="13"/>
      <c r="G698" s="13"/>
      <c r="H698" s="13"/>
      <c r="I698" s="13"/>
      <c r="J698" s="14"/>
    </row>
    <row r="699" spans="1:10">
      <c r="A699" s="17"/>
      <c r="B699" s="16"/>
      <c r="C699" s="18"/>
      <c r="D699" s="18"/>
      <c r="E699" s="13"/>
      <c r="F699" s="13"/>
      <c r="G699" s="13"/>
      <c r="H699" s="13"/>
      <c r="I699" s="13"/>
      <c r="J699" s="14"/>
    </row>
    <row r="700" spans="1:10">
      <c r="A700" s="17"/>
      <c r="B700" s="16"/>
      <c r="C700" s="18"/>
      <c r="D700" s="18"/>
      <c r="E700" s="13"/>
      <c r="F700" s="13"/>
      <c r="G700" s="13"/>
      <c r="H700" s="13"/>
      <c r="I700" s="13"/>
      <c r="J700" s="14"/>
    </row>
    <row r="701" spans="1:10">
      <c r="A701" s="17"/>
      <c r="B701" s="16"/>
      <c r="C701" s="18"/>
      <c r="D701" s="18"/>
      <c r="E701" s="13"/>
      <c r="F701" s="13"/>
      <c r="G701" s="13"/>
      <c r="H701" s="13"/>
      <c r="I701" s="13"/>
      <c r="J701" s="14"/>
    </row>
    <row r="702" spans="1:10">
      <c r="A702" s="17"/>
      <c r="B702" s="16"/>
      <c r="C702" s="18"/>
      <c r="D702" s="18"/>
      <c r="E702" s="13"/>
      <c r="F702" s="13"/>
      <c r="G702" s="13"/>
      <c r="H702" s="13"/>
      <c r="I702" s="13"/>
      <c r="J702" s="14"/>
    </row>
    <row r="703" spans="1:10">
      <c r="A703" s="17"/>
      <c r="B703" s="16"/>
      <c r="C703" s="18"/>
      <c r="D703" s="18"/>
      <c r="E703" s="13"/>
      <c r="F703" s="13"/>
      <c r="G703" s="13"/>
      <c r="H703" s="13"/>
      <c r="I703" s="13"/>
      <c r="J703" s="14"/>
    </row>
    <row r="704" spans="1:10">
      <c r="A704" s="17"/>
      <c r="B704" s="16"/>
      <c r="C704" s="18"/>
      <c r="D704" s="18"/>
      <c r="E704" s="13"/>
      <c r="F704" s="13"/>
      <c r="G704" s="13"/>
      <c r="H704" s="13"/>
      <c r="I704" s="13"/>
      <c r="J704" s="14"/>
    </row>
    <row r="705" spans="1:10">
      <c r="A705" s="17"/>
      <c r="B705" s="16"/>
      <c r="C705" s="18"/>
      <c r="D705" s="18"/>
      <c r="E705" s="13"/>
      <c r="F705" s="13"/>
      <c r="G705" s="13"/>
      <c r="H705" s="13"/>
      <c r="I705" s="13"/>
      <c r="J705" s="14"/>
    </row>
    <row r="706" spans="1:10">
      <c r="A706" s="17"/>
      <c r="B706" s="16"/>
      <c r="C706" s="18"/>
      <c r="D706" s="18"/>
      <c r="E706" s="13"/>
      <c r="F706" s="13"/>
      <c r="G706" s="13"/>
      <c r="H706" s="13"/>
      <c r="I706" s="13"/>
      <c r="J706" s="14"/>
    </row>
    <row r="707" spans="1:10">
      <c r="A707" s="17"/>
      <c r="B707" s="16"/>
      <c r="C707" s="18"/>
      <c r="D707" s="18"/>
      <c r="E707" s="13"/>
      <c r="F707" s="13"/>
      <c r="G707" s="13"/>
      <c r="H707" s="13"/>
      <c r="I707" s="13"/>
      <c r="J707" s="14"/>
    </row>
    <row r="708" spans="1:10">
      <c r="A708" s="17"/>
      <c r="B708" s="16"/>
      <c r="C708" s="18"/>
      <c r="D708" s="18"/>
      <c r="E708" s="13"/>
      <c r="F708" s="13"/>
      <c r="G708" s="13"/>
      <c r="H708" s="13"/>
      <c r="I708" s="13"/>
      <c r="J708" s="14"/>
    </row>
    <row r="709" spans="1:10">
      <c r="A709" s="17"/>
      <c r="B709" s="16"/>
      <c r="C709" s="18"/>
      <c r="D709" s="18"/>
      <c r="E709" s="13"/>
      <c r="F709" s="13"/>
      <c r="G709" s="13"/>
      <c r="H709" s="13"/>
      <c r="I709" s="13"/>
      <c r="J709" s="14"/>
    </row>
    <row r="710" spans="1:10">
      <c r="A710" s="17"/>
      <c r="B710" s="16"/>
      <c r="C710" s="18"/>
      <c r="D710" s="18"/>
      <c r="E710" s="13"/>
      <c r="F710" s="13"/>
      <c r="G710" s="13"/>
      <c r="H710" s="13"/>
      <c r="I710" s="13"/>
      <c r="J710" s="14"/>
    </row>
    <row r="711" spans="1:10">
      <c r="A711" s="17"/>
      <c r="B711" s="16"/>
      <c r="C711" s="18"/>
      <c r="D711" s="18"/>
      <c r="E711" s="13"/>
      <c r="F711" s="13"/>
      <c r="G711" s="13"/>
      <c r="H711" s="13"/>
      <c r="I711" s="13"/>
      <c r="J711" s="14"/>
    </row>
    <row r="712" spans="1:10">
      <c r="A712" s="17"/>
      <c r="B712" s="16"/>
      <c r="C712" s="18"/>
      <c r="D712" s="18"/>
      <c r="E712" s="13"/>
      <c r="F712" s="13"/>
      <c r="G712" s="13"/>
      <c r="H712" s="13"/>
      <c r="I712" s="13"/>
      <c r="J712" s="14"/>
    </row>
    <row r="713" spans="1:10">
      <c r="A713" s="17"/>
      <c r="B713" s="16"/>
      <c r="C713" s="18"/>
      <c r="D713" s="18"/>
      <c r="E713" s="13"/>
      <c r="F713" s="13"/>
      <c r="G713" s="13"/>
      <c r="H713" s="13"/>
      <c r="I713" s="13"/>
      <c r="J713" s="14"/>
    </row>
    <row r="714" spans="1:10">
      <c r="A714" s="17"/>
      <c r="B714" s="16"/>
      <c r="C714" s="18"/>
      <c r="D714" s="18"/>
      <c r="E714" s="13"/>
      <c r="F714" s="13"/>
      <c r="G714" s="13"/>
      <c r="H714" s="13"/>
      <c r="I714" s="13"/>
      <c r="J714" s="14"/>
    </row>
    <row r="715" spans="1:10">
      <c r="A715" s="17"/>
      <c r="B715" s="16"/>
      <c r="C715" s="18"/>
      <c r="D715" s="18"/>
      <c r="E715" s="13"/>
      <c r="F715" s="13"/>
      <c r="G715" s="13"/>
      <c r="H715" s="13"/>
      <c r="I715" s="13"/>
      <c r="J715" s="14"/>
    </row>
    <row r="716" spans="1:10">
      <c r="A716" s="17"/>
      <c r="B716" s="16"/>
      <c r="C716" s="18"/>
      <c r="D716" s="18"/>
      <c r="E716" s="13"/>
      <c r="F716" s="13"/>
      <c r="G716" s="13"/>
      <c r="H716" s="13"/>
      <c r="I716" s="13"/>
      <c r="J716" s="14"/>
    </row>
    <row r="717" spans="1:10">
      <c r="A717" s="17"/>
      <c r="B717" s="16"/>
      <c r="C717" s="18"/>
      <c r="D717" s="18"/>
      <c r="E717" s="13"/>
      <c r="F717" s="13"/>
      <c r="G717" s="13"/>
      <c r="H717" s="13"/>
      <c r="I717" s="13"/>
      <c r="J717" s="14"/>
    </row>
    <row r="718" spans="1:10">
      <c r="A718" s="17"/>
      <c r="B718" s="16"/>
      <c r="C718" s="18"/>
      <c r="D718" s="18"/>
      <c r="E718" s="13"/>
      <c r="F718" s="13"/>
      <c r="G718" s="13"/>
      <c r="H718" s="13"/>
      <c r="I718" s="13"/>
      <c r="J718" s="14"/>
    </row>
    <row r="719" spans="1:10">
      <c r="A719" s="17"/>
      <c r="B719" s="16"/>
      <c r="C719" s="18"/>
      <c r="D719" s="18"/>
      <c r="E719" s="13"/>
      <c r="F719" s="13"/>
      <c r="G719" s="13"/>
      <c r="H719" s="13"/>
      <c r="I719" s="13"/>
      <c r="J719" s="14"/>
    </row>
    <row r="720" spans="1:10">
      <c r="A720" s="17"/>
      <c r="B720" s="16"/>
      <c r="C720" s="18"/>
      <c r="D720" s="18"/>
      <c r="E720" s="13"/>
      <c r="F720" s="13"/>
      <c r="G720" s="13"/>
      <c r="H720" s="13"/>
      <c r="I720" s="13"/>
      <c r="J720" s="14"/>
    </row>
    <row r="721" spans="1:10">
      <c r="A721" s="17"/>
      <c r="B721" s="16"/>
      <c r="C721" s="18"/>
      <c r="D721" s="18"/>
      <c r="E721" s="13"/>
      <c r="F721" s="13"/>
      <c r="G721" s="13"/>
      <c r="H721" s="13"/>
      <c r="I721" s="13"/>
      <c r="J721" s="14"/>
    </row>
    <row r="722" spans="1:10">
      <c r="A722" s="17"/>
      <c r="B722" s="16"/>
      <c r="C722" s="18"/>
      <c r="D722" s="18"/>
      <c r="E722" s="13"/>
      <c r="F722" s="13"/>
      <c r="G722" s="13"/>
      <c r="H722" s="13"/>
      <c r="I722" s="13"/>
      <c r="J722" s="14"/>
    </row>
    <row r="723" spans="1:10">
      <c r="A723" s="17"/>
      <c r="B723" s="16"/>
      <c r="C723" s="18"/>
      <c r="D723" s="18"/>
      <c r="E723" s="13"/>
      <c r="F723" s="13"/>
      <c r="G723" s="13"/>
      <c r="H723" s="13"/>
      <c r="I723" s="13"/>
      <c r="J723" s="14"/>
    </row>
    <row r="724" spans="1:10">
      <c r="A724" s="17"/>
      <c r="B724" s="16"/>
      <c r="C724" s="18"/>
      <c r="D724" s="18"/>
      <c r="E724" s="13"/>
      <c r="F724" s="13"/>
      <c r="G724" s="13"/>
      <c r="H724" s="13"/>
      <c r="I724" s="13"/>
      <c r="J724" s="14"/>
    </row>
    <row r="725" spans="1:10">
      <c r="A725" s="17"/>
      <c r="B725" s="16"/>
      <c r="C725" s="18"/>
      <c r="D725" s="18"/>
      <c r="E725" s="13"/>
      <c r="F725" s="13"/>
      <c r="G725" s="13"/>
      <c r="H725" s="13"/>
      <c r="I725" s="13"/>
      <c r="J725" s="14"/>
    </row>
    <row r="726" spans="1:10">
      <c r="A726" s="17"/>
      <c r="B726" s="16"/>
      <c r="C726" s="18"/>
      <c r="D726" s="18"/>
      <c r="E726" s="13"/>
      <c r="F726" s="13"/>
      <c r="G726" s="13"/>
      <c r="H726" s="13"/>
      <c r="I726" s="13"/>
      <c r="J726" s="14"/>
    </row>
    <row r="727" spans="1:10">
      <c r="A727" s="17"/>
      <c r="B727" s="16"/>
      <c r="C727" s="18"/>
      <c r="D727" s="18"/>
      <c r="E727" s="13"/>
      <c r="F727" s="13"/>
      <c r="G727" s="13"/>
      <c r="H727" s="13"/>
      <c r="I727" s="13"/>
      <c r="J727" s="14"/>
    </row>
    <row r="728" spans="1:10">
      <c r="A728" s="17"/>
      <c r="B728" s="16"/>
      <c r="C728" s="18"/>
      <c r="D728" s="18"/>
      <c r="E728" s="13"/>
      <c r="F728" s="13"/>
      <c r="G728" s="13"/>
      <c r="H728" s="13"/>
      <c r="I728" s="13"/>
      <c r="J728" s="14"/>
    </row>
    <row r="729" spans="1:10">
      <c r="A729" s="17"/>
      <c r="B729" s="16"/>
      <c r="C729" s="18"/>
      <c r="D729" s="18"/>
      <c r="E729" s="13"/>
      <c r="F729" s="13"/>
      <c r="G729" s="13"/>
      <c r="H729" s="13"/>
      <c r="I729" s="13"/>
      <c r="J729" s="14"/>
    </row>
    <row r="730" spans="1:10">
      <c r="A730" s="17"/>
      <c r="B730" s="16"/>
      <c r="C730" s="18"/>
      <c r="D730" s="18"/>
      <c r="E730" s="13"/>
      <c r="F730" s="13"/>
      <c r="G730" s="13"/>
      <c r="H730" s="13"/>
      <c r="I730" s="13"/>
      <c r="J730" s="14"/>
    </row>
    <row r="731" spans="1:10">
      <c r="A731" s="17"/>
      <c r="B731" s="16"/>
      <c r="C731" s="18"/>
      <c r="D731" s="18"/>
      <c r="E731" s="13"/>
      <c r="F731" s="13"/>
      <c r="G731" s="13"/>
      <c r="H731" s="13"/>
      <c r="I731" s="13"/>
      <c r="J731" s="14"/>
    </row>
    <row r="732" spans="1:10">
      <c r="A732" s="17"/>
      <c r="B732" s="16"/>
      <c r="C732" s="18"/>
      <c r="D732" s="18"/>
      <c r="E732" s="13"/>
      <c r="F732" s="13"/>
      <c r="G732" s="13"/>
      <c r="H732" s="13"/>
      <c r="I732" s="13"/>
      <c r="J732" s="14"/>
    </row>
    <row r="733" spans="1:10">
      <c r="A733" s="17"/>
      <c r="B733" s="16"/>
      <c r="C733" s="18"/>
      <c r="D733" s="18"/>
      <c r="E733" s="13"/>
      <c r="F733" s="13"/>
      <c r="G733" s="13"/>
      <c r="H733" s="13"/>
      <c r="I733" s="13"/>
      <c r="J733" s="14"/>
    </row>
    <row r="734" spans="1:10">
      <c r="A734" s="17"/>
      <c r="B734" s="16"/>
      <c r="C734" s="18"/>
      <c r="D734" s="18"/>
      <c r="E734" s="13"/>
      <c r="F734" s="13"/>
      <c r="G734" s="13"/>
      <c r="H734" s="13"/>
      <c r="I734" s="13"/>
      <c r="J734" s="14"/>
    </row>
    <row r="735" spans="1:10">
      <c r="A735" s="17"/>
      <c r="B735" s="16"/>
      <c r="C735" s="18"/>
      <c r="D735" s="18"/>
      <c r="E735" s="13"/>
      <c r="F735" s="13"/>
      <c r="G735" s="13"/>
      <c r="H735" s="13"/>
      <c r="I735" s="13"/>
      <c r="J735" s="14"/>
    </row>
    <row r="736" spans="1:10">
      <c r="A736" s="17"/>
      <c r="B736" s="16"/>
      <c r="C736" s="18"/>
      <c r="D736" s="18"/>
      <c r="E736" s="13"/>
      <c r="F736" s="13"/>
      <c r="G736" s="13"/>
      <c r="H736" s="13"/>
      <c r="I736" s="13"/>
      <c r="J736" s="14"/>
    </row>
    <row r="737" spans="1:10">
      <c r="A737" s="17"/>
      <c r="B737" s="16"/>
      <c r="C737" s="18"/>
      <c r="D737" s="18"/>
      <c r="E737" s="13"/>
      <c r="F737" s="13"/>
      <c r="G737" s="13"/>
      <c r="H737" s="13"/>
      <c r="I737" s="13"/>
      <c r="J737" s="14"/>
    </row>
    <row r="738" spans="1:10">
      <c r="A738" s="17"/>
      <c r="B738" s="16"/>
      <c r="C738" s="18"/>
      <c r="D738" s="18"/>
      <c r="E738" s="13"/>
      <c r="F738" s="13"/>
      <c r="G738" s="13"/>
      <c r="H738" s="13"/>
      <c r="I738" s="13"/>
      <c r="J738" s="14"/>
    </row>
    <row r="739" spans="1:10">
      <c r="A739" s="17"/>
      <c r="B739" s="16"/>
      <c r="C739" s="18"/>
      <c r="D739" s="18"/>
      <c r="E739" s="13"/>
      <c r="F739" s="13"/>
      <c r="G739" s="13"/>
      <c r="H739" s="13"/>
      <c r="I739" s="13"/>
      <c r="J739" s="14"/>
    </row>
    <row r="740" spans="1:10">
      <c r="A740" s="17"/>
      <c r="B740" s="16"/>
      <c r="C740" s="18"/>
      <c r="D740" s="18"/>
      <c r="E740" s="13"/>
      <c r="F740" s="13"/>
      <c r="G740" s="13"/>
      <c r="H740" s="13"/>
      <c r="I740" s="13"/>
      <c r="J740" s="14"/>
    </row>
    <row r="741" spans="1:10">
      <c r="A741" s="17"/>
      <c r="B741" s="16"/>
      <c r="C741" s="18"/>
      <c r="D741" s="18"/>
      <c r="E741" s="13"/>
      <c r="F741" s="13"/>
      <c r="G741" s="13"/>
      <c r="H741" s="13"/>
      <c r="I741" s="13"/>
      <c r="J741" s="14"/>
    </row>
    <row r="742" spans="1:10">
      <c r="A742" s="17"/>
      <c r="B742" s="16"/>
      <c r="C742" s="18"/>
      <c r="D742" s="18"/>
      <c r="E742" s="13"/>
      <c r="F742" s="13"/>
      <c r="G742" s="13"/>
      <c r="H742" s="13"/>
      <c r="I742" s="13"/>
      <c r="J742" s="14"/>
    </row>
    <row r="743" spans="1:10">
      <c r="A743" s="17"/>
      <c r="B743" s="16"/>
      <c r="C743" s="18"/>
      <c r="D743" s="18"/>
      <c r="E743" s="13"/>
      <c r="F743" s="13"/>
      <c r="G743" s="13"/>
      <c r="H743" s="13"/>
      <c r="I743" s="13"/>
      <c r="J743" s="14"/>
    </row>
    <row r="744" spans="1:10">
      <c r="A744" s="17"/>
      <c r="B744" s="16"/>
      <c r="C744" s="18"/>
      <c r="D744" s="18"/>
      <c r="E744" s="13"/>
      <c r="F744" s="13"/>
      <c r="G744" s="13"/>
      <c r="H744" s="13"/>
      <c r="I744" s="13"/>
      <c r="J744" s="14"/>
    </row>
    <row r="745" spans="1:10">
      <c r="A745" s="17"/>
      <c r="B745" s="16"/>
      <c r="C745" s="18"/>
      <c r="D745" s="18"/>
      <c r="E745" s="13"/>
      <c r="F745" s="13"/>
      <c r="G745" s="13"/>
      <c r="H745" s="13"/>
      <c r="I745" s="13"/>
      <c r="J745" s="14"/>
    </row>
    <row r="746" spans="1:10">
      <c r="A746" s="17"/>
      <c r="B746" s="16"/>
      <c r="C746" s="18"/>
      <c r="D746" s="18"/>
      <c r="E746" s="13"/>
      <c r="F746" s="13"/>
      <c r="G746" s="13"/>
      <c r="H746" s="13"/>
      <c r="I746" s="13"/>
      <c r="J746" s="14"/>
    </row>
    <row r="747" spans="1:10">
      <c r="A747" s="17"/>
      <c r="B747" s="16"/>
      <c r="C747" s="18"/>
      <c r="D747" s="18"/>
      <c r="E747" s="13"/>
      <c r="F747" s="13"/>
      <c r="G747" s="13"/>
      <c r="H747" s="13"/>
      <c r="I747" s="13"/>
      <c r="J747" s="14"/>
    </row>
    <row r="748" spans="1:10">
      <c r="A748" s="17"/>
      <c r="B748" s="16"/>
      <c r="C748" s="18"/>
      <c r="D748" s="18"/>
      <c r="E748" s="13"/>
      <c r="F748" s="13"/>
      <c r="G748" s="13"/>
      <c r="H748" s="13"/>
      <c r="I748" s="13"/>
      <c r="J748" s="14"/>
    </row>
    <row r="749" spans="1:10">
      <c r="A749" s="17"/>
      <c r="B749" s="16"/>
      <c r="C749" s="18"/>
      <c r="D749" s="18"/>
      <c r="E749" s="13"/>
      <c r="F749" s="13"/>
      <c r="G749" s="13"/>
      <c r="H749" s="13"/>
      <c r="I749" s="13"/>
      <c r="J749" s="14"/>
    </row>
    <row r="750" spans="1:10">
      <c r="A750" s="17"/>
      <c r="B750" s="16"/>
      <c r="C750" s="18"/>
      <c r="D750" s="18"/>
      <c r="E750" s="13"/>
      <c r="F750" s="13"/>
      <c r="G750" s="13"/>
      <c r="H750" s="13"/>
      <c r="I750" s="13"/>
      <c r="J750" s="14"/>
    </row>
    <row r="751" spans="1:10">
      <c r="A751" s="17"/>
      <c r="B751" s="16"/>
      <c r="C751" s="18"/>
      <c r="D751" s="18"/>
      <c r="E751" s="13"/>
      <c r="F751" s="13"/>
      <c r="G751" s="13"/>
      <c r="H751" s="13"/>
      <c r="I751" s="13"/>
      <c r="J751" s="14"/>
    </row>
    <row r="752" spans="1:10">
      <c r="A752" s="17"/>
      <c r="B752" s="16"/>
      <c r="C752" s="18"/>
      <c r="D752" s="18"/>
      <c r="E752" s="13"/>
      <c r="F752" s="13"/>
      <c r="G752" s="13"/>
      <c r="H752" s="13"/>
      <c r="I752" s="13"/>
      <c r="J752" s="14"/>
    </row>
    <row r="753" spans="1:10">
      <c r="A753" s="17"/>
      <c r="B753" s="16"/>
      <c r="C753" s="18"/>
      <c r="D753" s="18"/>
      <c r="E753" s="13"/>
      <c r="F753" s="13"/>
      <c r="G753" s="13"/>
      <c r="H753" s="13"/>
      <c r="I753" s="13"/>
      <c r="J753" s="14"/>
    </row>
    <row r="754" spans="1:10">
      <c r="A754" s="17"/>
      <c r="B754" s="16"/>
      <c r="C754" s="18"/>
      <c r="D754" s="18"/>
      <c r="E754" s="13"/>
      <c r="F754" s="13"/>
      <c r="G754" s="13"/>
      <c r="H754" s="13"/>
      <c r="I754" s="13"/>
      <c r="J754" s="14"/>
    </row>
    <row r="755" spans="1:10">
      <c r="A755" s="17"/>
      <c r="B755" s="16"/>
      <c r="C755" s="18"/>
      <c r="D755" s="18"/>
      <c r="E755" s="13"/>
      <c r="F755" s="13"/>
      <c r="G755" s="13"/>
      <c r="H755" s="13"/>
      <c r="I755" s="13"/>
      <c r="J755" s="14"/>
    </row>
    <row r="756" spans="1:10">
      <c r="A756" s="17"/>
      <c r="B756" s="16"/>
      <c r="C756" s="18"/>
      <c r="D756" s="18"/>
      <c r="E756" s="13"/>
      <c r="F756" s="13"/>
      <c r="G756" s="13"/>
      <c r="H756" s="13"/>
      <c r="I756" s="13"/>
      <c r="J756" s="14"/>
    </row>
    <row r="757" spans="1:10">
      <c r="A757" s="17"/>
      <c r="B757" s="16"/>
      <c r="C757" s="18"/>
      <c r="D757" s="18"/>
      <c r="E757" s="13"/>
      <c r="F757" s="13"/>
      <c r="G757" s="13"/>
      <c r="H757" s="13"/>
      <c r="I757" s="13"/>
      <c r="J757" s="14"/>
    </row>
    <row r="758" spans="1:10">
      <c r="A758" s="17"/>
      <c r="B758" s="16"/>
      <c r="C758" s="18"/>
      <c r="D758" s="18"/>
      <c r="E758" s="13"/>
      <c r="F758" s="13"/>
      <c r="G758" s="13"/>
      <c r="H758" s="13"/>
      <c r="I758" s="13"/>
      <c r="J758" s="14"/>
    </row>
    <row r="759" spans="1:10">
      <c r="A759" s="17"/>
      <c r="B759" s="16"/>
      <c r="C759" s="18"/>
      <c r="D759" s="18"/>
      <c r="E759" s="13"/>
      <c r="F759" s="13"/>
      <c r="G759" s="13"/>
      <c r="H759" s="13"/>
      <c r="I759" s="13"/>
      <c r="J759" s="14"/>
    </row>
    <row r="760" spans="1:10">
      <c r="A760" s="17"/>
      <c r="B760" s="16"/>
      <c r="C760" s="18"/>
      <c r="D760" s="18"/>
      <c r="E760" s="13"/>
      <c r="F760" s="13"/>
      <c r="G760" s="13"/>
      <c r="H760" s="13"/>
      <c r="I760" s="13"/>
      <c r="J760" s="14"/>
    </row>
    <row r="761" spans="1:10">
      <c r="A761" s="17"/>
      <c r="B761" s="16"/>
      <c r="C761" s="18"/>
      <c r="D761" s="18"/>
      <c r="E761" s="13"/>
      <c r="F761" s="13"/>
      <c r="G761" s="13"/>
      <c r="H761" s="13"/>
      <c r="I761" s="13"/>
      <c r="J761" s="14"/>
    </row>
    <row r="762" spans="1:10">
      <c r="A762" s="17"/>
      <c r="B762" s="16"/>
      <c r="C762" s="18"/>
      <c r="D762" s="18"/>
      <c r="E762" s="13"/>
      <c r="F762" s="13"/>
      <c r="G762" s="13"/>
      <c r="H762" s="13"/>
      <c r="I762" s="13"/>
      <c r="J762" s="14"/>
    </row>
    <row r="763" spans="1:10">
      <c r="A763" s="17"/>
      <c r="B763" s="16"/>
      <c r="C763" s="18"/>
      <c r="D763" s="18"/>
      <c r="E763" s="13"/>
      <c r="F763" s="13"/>
      <c r="G763" s="13"/>
      <c r="H763" s="13"/>
      <c r="I763" s="13"/>
      <c r="J763" s="14"/>
    </row>
    <row r="764" spans="1:10">
      <c r="A764" s="17"/>
      <c r="B764" s="16"/>
      <c r="C764" s="18"/>
      <c r="D764" s="18"/>
      <c r="E764" s="13"/>
      <c r="F764" s="13"/>
      <c r="G764" s="13"/>
      <c r="H764" s="13"/>
      <c r="I764" s="13"/>
      <c r="J764" s="14"/>
    </row>
    <row r="765" spans="1:10">
      <c r="A765" s="17"/>
      <c r="B765" s="16"/>
      <c r="C765" s="18"/>
      <c r="D765" s="18"/>
      <c r="E765" s="13"/>
      <c r="F765" s="13"/>
      <c r="G765" s="13"/>
      <c r="H765" s="13"/>
      <c r="I765" s="13"/>
      <c r="J765" s="14"/>
    </row>
    <row r="766" spans="1:10">
      <c r="A766" s="17"/>
      <c r="B766" s="16"/>
      <c r="C766" s="18"/>
      <c r="D766" s="18"/>
      <c r="E766" s="13"/>
      <c r="F766" s="13"/>
      <c r="G766" s="13"/>
      <c r="H766" s="13"/>
      <c r="I766" s="13"/>
      <c r="J766" s="14"/>
    </row>
    <row r="767" spans="1:10">
      <c r="A767" s="17"/>
      <c r="B767" s="16"/>
      <c r="C767" s="18"/>
      <c r="D767" s="18"/>
      <c r="E767" s="13"/>
      <c r="F767" s="13"/>
      <c r="G767" s="13"/>
      <c r="H767" s="13"/>
      <c r="I767" s="13"/>
      <c r="J767" s="14"/>
    </row>
    <row r="768" spans="1:10">
      <c r="A768" s="17"/>
      <c r="B768" s="16"/>
      <c r="C768" s="18"/>
      <c r="D768" s="18"/>
      <c r="E768" s="13"/>
      <c r="F768" s="13"/>
      <c r="G768" s="13"/>
      <c r="H768" s="13"/>
      <c r="I768" s="13"/>
      <c r="J768" s="14"/>
    </row>
    <row r="769" spans="1:10">
      <c r="A769" s="17"/>
      <c r="B769" s="16"/>
      <c r="C769" s="18"/>
      <c r="D769" s="18"/>
      <c r="E769" s="13"/>
      <c r="F769" s="13"/>
      <c r="G769" s="13"/>
      <c r="H769" s="13"/>
      <c r="I769" s="13"/>
      <c r="J769" s="14"/>
    </row>
    <row r="770" spans="1:10">
      <c r="A770" s="17"/>
      <c r="B770" s="16"/>
      <c r="C770" s="18"/>
      <c r="D770" s="18"/>
      <c r="E770" s="13"/>
      <c r="F770" s="13"/>
      <c r="G770" s="13"/>
      <c r="H770" s="13"/>
      <c r="I770" s="13"/>
      <c r="J770" s="14"/>
    </row>
    <row r="771" spans="1:10">
      <c r="A771" s="17"/>
      <c r="B771" s="16"/>
      <c r="C771" s="18"/>
      <c r="D771" s="18"/>
      <c r="E771" s="13"/>
      <c r="F771" s="13"/>
      <c r="G771" s="13"/>
      <c r="H771" s="13"/>
      <c r="I771" s="13"/>
      <c r="J771" s="14"/>
    </row>
    <row r="772" spans="1:10">
      <c r="A772" s="17"/>
      <c r="B772" s="16"/>
      <c r="C772" s="18"/>
      <c r="D772" s="18"/>
      <c r="E772" s="13"/>
      <c r="F772" s="13"/>
      <c r="G772" s="13"/>
      <c r="H772" s="13"/>
      <c r="I772" s="13"/>
      <c r="J772" s="14"/>
    </row>
    <row r="773" spans="1:10">
      <c r="A773" s="17"/>
      <c r="B773" s="16"/>
      <c r="C773" s="18"/>
      <c r="D773" s="18"/>
      <c r="E773" s="13"/>
      <c r="F773" s="13"/>
      <c r="G773" s="13"/>
      <c r="H773" s="13"/>
      <c r="I773" s="13"/>
      <c r="J773" s="14"/>
    </row>
    <row r="774" spans="1:10">
      <c r="A774" s="17"/>
      <c r="B774" s="16"/>
      <c r="C774" s="18"/>
      <c r="D774" s="18"/>
      <c r="E774" s="13"/>
      <c r="F774" s="13"/>
      <c r="G774" s="13"/>
      <c r="H774" s="13"/>
      <c r="I774" s="13"/>
      <c r="J774" s="14"/>
    </row>
    <row r="775" spans="1:10">
      <c r="A775" s="17"/>
      <c r="B775" s="16"/>
      <c r="C775" s="18"/>
      <c r="D775" s="18"/>
      <c r="E775" s="13"/>
      <c r="F775" s="13"/>
      <c r="G775" s="13"/>
      <c r="H775" s="13"/>
      <c r="I775" s="13"/>
      <c r="J775" s="14"/>
    </row>
    <row r="776" spans="1:10">
      <c r="A776" s="17"/>
      <c r="B776" s="16"/>
      <c r="C776" s="18"/>
      <c r="D776" s="18"/>
      <c r="E776" s="13"/>
      <c r="F776" s="13"/>
      <c r="G776" s="13"/>
      <c r="H776" s="13"/>
      <c r="I776" s="13"/>
      <c r="J776" s="14"/>
    </row>
    <row r="777" spans="1:10">
      <c r="A777" s="17"/>
      <c r="B777" s="16"/>
      <c r="C777" s="18"/>
      <c r="D777" s="18"/>
      <c r="E777" s="13"/>
      <c r="F777" s="13"/>
      <c r="G777" s="13"/>
      <c r="H777" s="13"/>
      <c r="I777" s="13"/>
      <c r="J777" s="14"/>
    </row>
    <row r="778" spans="1:10">
      <c r="A778" s="17"/>
      <c r="B778" s="16"/>
      <c r="C778" s="18"/>
      <c r="D778" s="18"/>
      <c r="E778" s="13"/>
      <c r="F778" s="13"/>
      <c r="G778" s="13"/>
      <c r="H778" s="13"/>
      <c r="I778" s="13"/>
      <c r="J778" s="14"/>
    </row>
    <row r="779" spans="1:10">
      <c r="A779" s="17"/>
      <c r="B779" s="16"/>
      <c r="C779" s="18"/>
      <c r="D779" s="18"/>
      <c r="E779" s="13"/>
      <c r="F779" s="13"/>
      <c r="G779" s="13"/>
      <c r="H779" s="13"/>
      <c r="I779" s="13"/>
      <c r="J779" s="14"/>
    </row>
    <row r="780" spans="1:10">
      <c r="A780" s="17"/>
      <c r="B780" s="16"/>
      <c r="C780" s="18"/>
      <c r="D780" s="18"/>
      <c r="E780" s="13"/>
      <c r="F780" s="13"/>
      <c r="G780" s="13"/>
      <c r="H780" s="13"/>
      <c r="I780" s="13"/>
      <c r="J780" s="14"/>
    </row>
    <row r="781" spans="1:10">
      <c r="A781" s="17"/>
      <c r="B781" s="16"/>
      <c r="C781" s="18"/>
      <c r="D781" s="18"/>
      <c r="E781" s="13"/>
      <c r="F781" s="13"/>
      <c r="G781" s="13"/>
      <c r="H781" s="13"/>
      <c r="I781" s="13"/>
      <c r="J781" s="14"/>
    </row>
    <row r="782" spans="1:10">
      <c r="A782" s="17"/>
      <c r="B782" s="16"/>
      <c r="C782" s="18"/>
      <c r="D782" s="18"/>
      <c r="E782" s="13"/>
      <c r="F782" s="13"/>
      <c r="G782" s="13"/>
      <c r="H782" s="13"/>
      <c r="I782" s="13"/>
      <c r="J782" s="14"/>
    </row>
    <row r="783" spans="1:10">
      <c r="A783" s="17"/>
      <c r="B783" s="16"/>
      <c r="C783" s="18"/>
      <c r="D783" s="18"/>
      <c r="E783" s="13"/>
      <c r="F783" s="13"/>
      <c r="G783" s="13"/>
      <c r="H783" s="13"/>
      <c r="I783" s="13"/>
      <c r="J783" s="14"/>
    </row>
    <row r="784" spans="1:10">
      <c r="A784" s="17"/>
      <c r="B784" s="16"/>
      <c r="C784" s="18"/>
      <c r="D784" s="18"/>
      <c r="E784" s="13"/>
      <c r="F784" s="13"/>
      <c r="G784" s="13"/>
      <c r="H784" s="13"/>
      <c r="I784" s="13"/>
      <c r="J784" s="14"/>
    </row>
    <row r="785" spans="1:10">
      <c r="A785" s="17"/>
      <c r="B785" s="16"/>
      <c r="C785" s="18"/>
      <c r="D785" s="18"/>
      <c r="E785" s="13"/>
      <c r="F785" s="13"/>
      <c r="G785" s="13"/>
      <c r="H785" s="13"/>
      <c r="I785" s="13"/>
      <c r="J785" s="14"/>
    </row>
    <row r="786" spans="1:10">
      <c r="A786" s="17"/>
      <c r="B786" s="16"/>
      <c r="C786" s="18"/>
      <c r="D786" s="18"/>
      <c r="E786" s="13"/>
      <c r="F786" s="13"/>
      <c r="G786" s="13"/>
      <c r="H786" s="13"/>
      <c r="I786" s="13"/>
      <c r="J786" s="14"/>
    </row>
    <row r="787" spans="1:10">
      <c r="A787" s="17"/>
      <c r="B787" s="16"/>
      <c r="C787" s="18"/>
      <c r="D787" s="18"/>
      <c r="E787" s="13"/>
      <c r="F787" s="13"/>
      <c r="G787" s="13"/>
      <c r="H787" s="13"/>
      <c r="I787" s="13"/>
      <c r="J787" s="14"/>
    </row>
    <row r="788" spans="1:10">
      <c r="A788" s="17"/>
      <c r="B788" s="16"/>
      <c r="C788" s="18"/>
      <c r="D788" s="18"/>
      <c r="E788" s="13"/>
      <c r="F788" s="13"/>
      <c r="G788" s="13"/>
      <c r="H788" s="13"/>
      <c r="I788" s="13"/>
      <c r="J788" s="14"/>
    </row>
    <row r="789" spans="1:10">
      <c r="A789" s="17"/>
      <c r="B789" s="16"/>
      <c r="C789" s="18"/>
      <c r="D789" s="18"/>
      <c r="E789" s="13"/>
      <c r="F789" s="13"/>
      <c r="G789" s="13"/>
      <c r="H789" s="13"/>
      <c r="I789" s="13"/>
      <c r="J789" s="14"/>
    </row>
    <row r="790" spans="1:10">
      <c r="A790" s="17"/>
      <c r="B790" s="16"/>
      <c r="C790" s="18"/>
      <c r="D790" s="18"/>
      <c r="E790" s="13"/>
      <c r="F790" s="13"/>
      <c r="G790" s="13"/>
      <c r="H790" s="13"/>
      <c r="I790" s="13"/>
      <c r="J790" s="14"/>
    </row>
    <row r="791" spans="1:10">
      <c r="A791" s="17"/>
      <c r="B791" s="16"/>
      <c r="C791" s="18"/>
      <c r="D791" s="18"/>
      <c r="E791" s="13"/>
      <c r="F791" s="13"/>
      <c r="G791" s="13"/>
      <c r="H791" s="13"/>
      <c r="I791" s="13"/>
      <c r="J791" s="14"/>
    </row>
    <row r="792" spans="1:10">
      <c r="A792" s="17"/>
      <c r="B792" s="16"/>
      <c r="C792" s="18"/>
      <c r="D792" s="18"/>
      <c r="E792" s="13"/>
      <c r="F792" s="13"/>
      <c r="G792" s="13"/>
      <c r="H792" s="13"/>
      <c r="I792" s="13"/>
      <c r="J792" s="14"/>
    </row>
    <row r="793" spans="1:10">
      <c r="A793" s="17"/>
      <c r="B793" s="16"/>
      <c r="C793" s="18"/>
      <c r="D793" s="18"/>
      <c r="E793" s="13"/>
      <c r="F793" s="13"/>
      <c r="G793" s="13"/>
      <c r="H793" s="13"/>
      <c r="I793" s="13"/>
      <c r="J793" s="14"/>
    </row>
    <row r="794" spans="1:10">
      <c r="A794" s="17"/>
      <c r="B794" s="16"/>
      <c r="C794" s="18"/>
      <c r="D794" s="18"/>
      <c r="E794" s="13"/>
      <c r="F794" s="13"/>
      <c r="G794" s="13"/>
      <c r="H794" s="13"/>
      <c r="I794" s="13"/>
      <c r="J794" s="14"/>
    </row>
    <row r="795" spans="1:10">
      <c r="A795" s="17"/>
      <c r="B795" s="16"/>
      <c r="C795" s="18"/>
      <c r="D795" s="18"/>
      <c r="E795" s="13"/>
      <c r="F795" s="13"/>
      <c r="G795" s="13"/>
      <c r="H795" s="13"/>
      <c r="I795" s="13"/>
      <c r="J795" s="14"/>
    </row>
    <row r="796" spans="1:10">
      <c r="A796" s="17"/>
      <c r="B796" s="16"/>
      <c r="C796" s="18"/>
      <c r="D796" s="18"/>
      <c r="E796" s="13"/>
      <c r="F796" s="13"/>
      <c r="G796" s="13"/>
      <c r="H796" s="13"/>
      <c r="I796" s="13"/>
      <c r="J796" s="14"/>
    </row>
    <row r="797" spans="1:10">
      <c r="A797" s="17"/>
      <c r="B797" s="16"/>
      <c r="C797" s="18"/>
      <c r="D797" s="18"/>
      <c r="E797" s="13"/>
      <c r="F797" s="13"/>
      <c r="G797" s="13"/>
      <c r="H797" s="13"/>
      <c r="I797" s="13"/>
      <c r="J797" s="14"/>
    </row>
    <row r="798" spans="1:10">
      <c r="A798" s="17"/>
      <c r="B798" s="16"/>
      <c r="C798" s="18"/>
      <c r="D798" s="18"/>
      <c r="E798" s="13"/>
      <c r="F798" s="13"/>
      <c r="G798" s="13"/>
      <c r="H798" s="13"/>
      <c r="I798" s="13"/>
      <c r="J798" s="14"/>
    </row>
    <row r="799" spans="1:10">
      <c r="A799" s="17"/>
      <c r="B799" s="16"/>
      <c r="C799" s="18"/>
      <c r="D799" s="18"/>
      <c r="E799" s="13"/>
      <c r="F799" s="13"/>
      <c r="G799" s="13"/>
      <c r="H799" s="13"/>
      <c r="I799" s="13"/>
      <c r="J799" s="14"/>
    </row>
    <row r="800" spans="1:10">
      <c r="A800" s="17"/>
      <c r="B800" s="16"/>
      <c r="C800" s="18"/>
      <c r="D800" s="18"/>
      <c r="E800" s="13"/>
      <c r="F800" s="13"/>
      <c r="G800" s="13"/>
      <c r="H800" s="13"/>
      <c r="I800" s="13"/>
      <c r="J800" s="14"/>
    </row>
    <row r="801" spans="1:10">
      <c r="A801" s="17"/>
      <c r="B801" s="16"/>
      <c r="C801" s="18"/>
      <c r="D801" s="18"/>
      <c r="E801" s="13"/>
      <c r="F801" s="13"/>
      <c r="G801" s="13"/>
      <c r="H801" s="13"/>
      <c r="I801" s="13"/>
      <c r="J801" s="14"/>
    </row>
    <row r="802" spans="1:10">
      <c r="A802" s="17"/>
      <c r="B802" s="16"/>
      <c r="C802" s="18"/>
      <c r="D802" s="18"/>
      <c r="E802" s="13"/>
      <c r="F802" s="13"/>
      <c r="G802" s="13"/>
      <c r="H802" s="13"/>
      <c r="I802" s="13"/>
      <c r="J802" s="14"/>
    </row>
    <row r="803" spans="1:10">
      <c r="A803" s="17"/>
      <c r="B803" s="16"/>
      <c r="C803" s="18"/>
      <c r="D803" s="18"/>
      <c r="E803" s="13"/>
      <c r="F803" s="13"/>
      <c r="G803" s="13"/>
      <c r="H803" s="13"/>
      <c r="I803" s="13"/>
      <c r="J803" s="14"/>
    </row>
    <row r="804" spans="1:10">
      <c r="A804" s="17"/>
      <c r="B804" s="16"/>
      <c r="C804" s="18"/>
      <c r="D804" s="18"/>
      <c r="E804" s="13"/>
      <c r="F804" s="13"/>
      <c r="G804" s="13"/>
      <c r="H804" s="13"/>
      <c r="I804" s="13"/>
      <c r="J804" s="14"/>
    </row>
    <row r="805" spans="1:10">
      <c r="A805" s="17"/>
      <c r="B805" s="16"/>
      <c r="C805" s="18"/>
      <c r="D805" s="18"/>
      <c r="E805" s="13"/>
      <c r="F805" s="13"/>
      <c r="G805" s="13"/>
      <c r="H805" s="13"/>
      <c r="I805" s="13"/>
      <c r="J805" s="14"/>
    </row>
    <row r="806" spans="1:10">
      <c r="A806" s="17"/>
      <c r="B806" s="16"/>
      <c r="C806" s="18"/>
      <c r="D806" s="18"/>
      <c r="E806" s="13"/>
      <c r="F806" s="13"/>
      <c r="G806" s="13"/>
      <c r="H806" s="13"/>
      <c r="I806" s="13"/>
      <c r="J806" s="14"/>
    </row>
    <row r="807" spans="1:10">
      <c r="A807" s="17"/>
      <c r="B807" s="16"/>
      <c r="C807" s="18"/>
      <c r="D807" s="18"/>
      <c r="E807" s="13"/>
      <c r="F807" s="13"/>
      <c r="G807" s="13"/>
      <c r="H807" s="13"/>
      <c r="I807" s="13"/>
      <c r="J807" s="14"/>
    </row>
    <row r="808" spans="1:10">
      <c r="A808" s="17"/>
      <c r="B808" s="16"/>
      <c r="C808" s="18"/>
      <c r="D808" s="18"/>
      <c r="E808" s="13"/>
      <c r="F808" s="13"/>
      <c r="G808" s="13"/>
      <c r="H808" s="13"/>
      <c r="I808" s="13"/>
      <c r="J808" s="14"/>
    </row>
    <row r="809" spans="1:10">
      <c r="A809" s="17"/>
      <c r="B809" s="16"/>
      <c r="C809" s="18"/>
      <c r="D809" s="18"/>
      <c r="E809" s="13"/>
      <c r="F809" s="13"/>
      <c r="G809" s="13"/>
      <c r="H809" s="13"/>
      <c r="I809" s="13"/>
      <c r="J809" s="14"/>
    </row>
    <row r="810" spans="1:10">
      <c r="A810" s="17"/>
      <c r="B810" s="16"/>
      <c r="C810" s="18"/>
      <c r="D810" s="18"/>
      <c r="E810" s="13"/>
      <c r="F810" s="13"/>
      <c r="G810" s="13"/>
      <c r="H810" s="13"/>
      <c r="I810" s="13"/>
      <c r="J810" s="14"/>
    </row>
    <row r="811" spans="1:10">
      <c r="A811" s="17"/>
      <c r="B811" s="16"/>
      <c r="C811" s="18"/>
      <c r="D811" s="18"/>
      <c r="E811" s="13"/>
      <c r="F811" s="13"/>
      <c r="G811" s="13"/>
      <c r="H811" s="13"/>
      <c r="I811" s="13"/>
      <c r="J811" s="14"/>
    </row>
    <row r="812" spans="1:10">
      <c r="A812" s="17"/>
      <c r="B812" s="16"/>
      <c r="C812" s="18"/>
      <c r="D812" s="18"/>
      <c r="E812" s="13"/>
      <c r="F812" s="13"/>
      <c r="G812" s="13"/>
      <c r="H812" s="13"/>
      <c r="I812" s="13"/>
      <c r="J812" s="14"/>
    </row>
    <row r="813" spans="1:10">
      <c r="A813" s="17"/>
      <c r="B813" s="16"/>
      <c r="C813" s="18"/>
      <c r="D813" s="18"/>
      <c r="E813" s="13"/>
      <c r="F813" s="13"/>
      <c r="G813" s="13"/>
      <c r="H813" s="13"/>
      <c r="I813" s="13"/>
      <c r="J813" s="14"/>
    </row>
    <row r="814" spans="1:10">
      <c r="A814" s="17"/>
      <c r="B814" s="16"/>
      <c r="C814" s="18"/>
      <c r="D814" s="18"/>
      <c r="E814" s="13"/>
      <c r="F814" s="13"/>
      <c r="G814" s="13"/>
      <c r="H814" s="13"/>
      <c r="I814" s="13"/>
      <c r="J814" s="14"/>
    </row>
    <row r="815" spans="1:10">
      <c r="A815" s="17"/>
      <c r="B815" s="16"/>
      <c r="C815" s="18"/>
      <c r="D815" s="18"/>
      <c r="E815" s="13"/>
      <c r="F815" s="13"/>
      <c r="G815" s="13"/>
      <c r="H815" s="13"/>
      <c r="I815" s="13"/>
      <c r="J815" s="14"/>
    </row>
    <row r="816" spans="1:10">
      <c r="A816" s="17"/>
      <c r="B816" s="16"/>
      <c r="C816" s="18"/>
      <c r="D816" s="18"/>
      <c r="E816" s="13"/>
      <c r="F816" s="13"/>
      <c r="G816" s="13"/>
      <c r="H816" s="13"/>
      <c r="I816" s="13"/>
      <c r="J816" s="14"/>
    </row>
    <row r="817" spans="1:10">
      <c r="A817" s="17"/>
      <c r="B817" s="16"/>
      <c r="C817" s="18"/>
      <c r="D817" s="18"/>
      <c r="E817" s="13"/>
      <c r="F817" s="13"/>
      <c r="G817" s="13"/>
      <c r="H817" s="13"/>
      <c r="I817" s="13"/>
      <c r="J817" s="14"/>
    </row>
    <row r="818" spans="1:10">
      <c r="A818" s="17"/>
      <c r="B818" s="16"/>
      <c r="C818" s="18"/>
      <c r="D818" s="18"/>
      <c r="E818" s="13"/>
      <c r="F818" s="13"/>
      <c r="G818" s="13"/>
      <c r="H818" s="13"/>
      <c r="I818" s="13"/>
      <c r="J818" s="14"/>
    </row>
    <row r="819" spans="1:10">
      <c r="A819" s="17"/>
      <c r="B819" s="16"/>
      <c r="C819" s="18"/>
      <c r="D819" s="18"/>
      <c r="E819" s="13"/>
      <c r="F819" s="13"/>
      <c r="G819" s="13"/>
      <c r="H819" s="13"/>
      <c r="I819" s="13"/>
      <c r="J819" s="14"/>
    </row>
    <row r="820" spans="1:10">
      <c r="A820" s="17"/>
      <c r="B820" s="16"/>
      <c r="C820" s="18"/>
      <c r="D820" s="18"/>
      <c r="E820" s="13"/>
      <c r="F820" s="13"/>
      <c r="G820" s="13"/>
      <c r="H820" s="13"/>
      <c r="I820" s="13"/>
      <c r="J820" s="14"/>
    </row>
    <row r="821" spans="1:10">
      <c r="A821" s="17"/>
      <c r="B821" s="16"/>
      <c r="C821" s="18"/>
      <c r="D821" s="18"/>
      <c r="E821" s="13"/>
      <c r="F821" s="13"/>
      <c r="G821" s="13"/>
      <c r="H821" s="13"/>
      <c r="I821" s="13"/>
      <c r="J821" s="14"/>
    </row>
    <row r="822" spans="1:10">
      <c r="A822" s="17"/>
      <c r="B822" s="16"/>
      <c r="C822" s="18"/>
      <c r="D822" s="18"/>
      <c r="E822" s="13"/>
      <c r="F822" s="13"/>
      <c r="G822" s="13"/>
      <c r="H822" s="13"/>
      <c r="I822" s="13"/>
      <c r="J822" s="14"/>
    </row>
    <row r="823" spans="1:10">
      <c r="A823" s="17"/>
      <c r="B823" s="16"/>
      <c r="C823" s="18"/>
      <c r="D823" s="18"/>
      <c r="E823" s="13"/>
      <c r="F823" s="13"/>
      <c r="G823" s="13"/>
      <c r="H823" s="13"/>
      <c r="I823" s="13"/>
      <c r="J823" s="14"/>
    </row>
    <row r="824" spans="1:10">
      <c r="A824" s="17"/>
      <c r="B824" s="16"/>
      <c r="C824" s="18"/>
      <c r="D824" s="18"/>
      <c r="E824" s="13"/>
      <c r="F824" s="13"/>
      <c r="G824" s="13"/>
      <c r="H824" s="13"/>
      <c r="I824" s="13"/>
      <c r="J824" s="14"/>
    </row>
    <row r="825" spans="1:10">
      <c r="A825" s="17"/>
      <c r="B825" s="16"/>
      <c r="C825" s="18"/>
      <c r="D825" s="18"/>
      <c r="E825" s="13"/>
      <c r="F825" s="13"/>
      <c r="G825" s="13"/>
      <c r="H825" s="13"/>
      <c r="I825" s="13"/>
      <c r="J825" s="14"/>
    </row>
    <row r="826" spans="1:10">
      <c r="A826" s="17"/>
      <c r="B826" s="16"/>
      <c r="C826" s="18"/>
      <c r="D826" s="18"/>
      <c r="E826" s="13"/>
      <c r="F826" s="13"/>
      <c r="G826" s="13"/>
      <c r="H826" s="13"/>
      <c r="I826" s="13"/>
      <c r="J826" s="14"/>
    </row>
    <row r="827" spans="1:10">
      <c r="A827" s="17"/>
      <c r="B827" s="16"/>
      <c r="C827" s="18"/>
      <c r="D827" s="18"/>
      <c r="E827" s="13"/>
      <c r="F827" s="13"/>
      <c r="G827" s="13"/>
      <c r="H827" s="13"/>
      <c r="I827" s="13"/>
      <c r="J827" s="14"/>
    </row>
  </sheetData>
  <sheetProtection formatCells="0" formatColumns="0" formatRows="0" insertRows="0" deleteRows="0" autoFilter="0"/>
  <phoneticPr fontId="4" type="noConversion"/>
  <conditionalFormatting sqref="E402:G827 E1 E269:G269 E402:E1048576">
    <cfRule type="expression" dxfId="655" priority="2931">
      <formula>IF(OR(AND(E1="",F1="",OR(G1="Critical",G1="Major",G1="Minor"))),1,0)</formula>
    </cfRule>
  </conditionalFormatting>
  <conditionalFormatting sqref="F1 F269 F402:F1048576">
    <cfRule type="expression" dxfId="654" priority="2930">
      <formula>IF(AND(F1="",OR(E1="Accuracy",E1="Fluency",E1="Segment",E1="Other")),1,0)</formula>
    </cfRule>
  </conditionalFormatting>
  <conditionalFormatting sqref="G1 G402:G1048576">
    <cfRule type="expression" dxfId="653" priority="2929">
      <formula>IF(AND(OR(G1="",E1="Segment"),OR(E1="Accuracy",E1="Fluency",E1="Other")),1,0)</formula>
    </cfRule>
  </conditionalFormatting>
  <conditionalFormatting sqref="E127:G127 G121 E124:G124 G116 E118:G118 E109:G109 E105:G105 E83:G83 E80:G80 E76:G76 E64:G64 E61:G61 E57:G58 G50:G51 E47:G47 G35 G13 E11 E9:F10 E5:G5 F2:G4 E44:E45 G81 G108 G128 E17:G24 E28:G30 E36:G41 E45:G45 E52:G54 E55:F55 E62:F63 E67:G69 E81:F82 E85:G88 E90:G91 E95:F96 E98:G99 E102:F102 E106:F108 E110:F112 E116:F117 E121:F123 E128:F129 E132:F132 E135:F136 E139:F139 E141:F141 E144:F144 E146:F146 E154:F154 E161:F161 E168:F170 E173:F173 E176:F176 E179:F179 E183:F183 E185:F186 E189:F189 E197:F197 E201:F201 E205:F206 E208:F209 E211:F212 E216:F216 E221:F222 E225:F226 E229:F230 E233:F233 E236:F236 E240:F240 E243:F243 E247:F248 E251:F252 E258:F260 E265:F265 E273:F273 E276:F276 E279:F279 E282:F282 E284:F284 E286:F287 E290:F290 E294:F295 E297:F297 E299:F299 E303:F303 E305:F305 E312:F313 E315:F316 E318:F318 E320:F321 E324:F324 E326:F326 E330:F331 E333:F334 E338:F338 E342:F342 E345:F345 E348:F349 E353:F353 E357:F358 E361:F361 E363:F363 E365:F365 E368:F368 E13">
    <cfRule type="expression" dxfId="652" priority="732">
      <formula>IF(OR(AND(E2="",F2="",OR(G2="Critical",G2="Major",G2="Minor"))),1,0)</formula>
    </cfRule>
  </conditionalFormatting>
  <conditionalFormatting sqref="F76 F57:F58 F47 F9:F11 F2:F5 F17:F24 F28:F30 F36:F41 F44:F45 F52:F55 F61:F64 F67:F69 F80:F83 F85:F88 F90:F91 F95:F96 F98:F99 F102 F105:F112 F116:F118 F121:F124 F127:F129 F132 F135:F136 F139 F141 F144 F146 F154 F161 F168:F170 F173 F176 F179 F183 F185:F186 F189 F197 F201 F205:F206 F208:F209 F211:F212 F216 F221:F222 F225:F226 F229:F230 F233 F236 F240 F243 F247:F248 F251:F252 F258:F260 F265 F273 F276 F279 F282 F284 F286:F287 F290 F294:F295 F297 F299 F303 F305 F312:F313 F315:F316 F318 F320:F321 F324 F326 F330:F331 F333:F334 F338 F342 F345 F348:F349 F353 F357:F358 F361 F363 F365 F368 F13">
    <cfRule type="expression" dxfId="651" priority="731">
      <formula>IF(AND(F2="",OR(E2="Accuracy",E2="Fluency",E2="Segment",E2="Other")),1,0)</formula>
    </cfRule>
  </conditionalFormatting>
  <conditionalFormatting sqref="G2:G5">
    <cfRule type="expression" dxfId="650" priority="730">
      <formula>IF(AND(OR(G2="",E2="Segment"),OR(E2="Accuracy",E2="Fluency",E2="Other")),1,0)</formula>
    </cfRule>
  </conditionalFormatting>
  <conditionalFormatting sqref="E2:E4">
    <cfRule type="expression" dxfId="649" priority="729">
      <formula>IF(OR(AND(E2="",F2="",OR(G2="Critical",G2="Major",G2="Minor"))),1,0)</formula>
    </cfRule>
  </conditionalFormatting>
  <conditionalFormatting sqref="E6:G8">
    <cfRule type="expression" dxfId="648" priority="728">
      <formula>IF(OR(AND(E6="",F6="",OR(G6="Critical",G6="Major",G6="Minor"))),1,0)</formula>
    </cfRule>
  </conditionalFormatting>
  <conditionalFormatting sqref="F6:F8">
    <cfRule type="expression" dxfId="647" priority="727">
      <formula>IF(AND(F6="",OR(E6="Accuracy",E6="Fluency",E6="Segment",E6="Other")),1,0)</formula>
    </cfRule>
  </conditionalFormatting>
  <conditionalFormatting sqref="G6:G8">
    <cfRule type="expression" dxfId="646" priority="726">
      <formula>IF(AND(OR(G6="",E6="Segment"),OR(E6="Accuracy",E6="Fluency",E6="Other")),1,0)</formula>
    </cfRule>
  </conditionalFormatting>
  <conditionalFormatting sqref="G9:G10">
    <cfRule type="expression" dxfId="645" priority="725">
      <formula>IF(OR(AND(G9="",H9="",OR(I9="Critical",I9="Major",I9="Minor"))),1,0)</formula>
    </cfRule>
  </conditionalFormatting>
  <conditionalFormatting sqref="G9:G10">
    <cfRule type="expression" dxfId="644" priority="724">
      <formula>IF(AND(OR(G9="",E9="Segment"),OR(E9="Accuracy",E9="Fluency",E9="Other")),1,0)</formula>
    </cfRule>
  </conditionalFormatting>
  <conditionalFormatting sqref="G11:G12">
    <cfRule type="expression" dxfId="643" priority="721">
      <formula>IF(OR(AND(G11="",#REF!="",OR(I11="Critical",I11="Major",I11="Minor"))),1,0)</formula>
    </cfRule>
  </conditionalFormatting>
  <conditionalFormatting sqref="G127:G128 G121 G124 G116 G118 G108:G109 G105 G98:G99 G90:G91 G85:G88 G83 G80:G81 G76 G67:G69 G64 G61 G57:G58 G50:G54 G47 G44:G45 G35:G41 G28:G30 G17:G24 G11:G13">
    <cfRule type="expression" dxfId="642" priority="722">
      <formula>IF(AND(OR(G11="",#REF!="Segment"),OR(#REF!="Accuracy",#REF!="Fluency",#REF!="Other")),1,0)</formula>
    </cfRule>
  </conditionalFormatting>
  <conditionalFormatting sqref="F11">
    <cfRule type="expression" dxfId="641" priority="723">
      <formula>IF(OR(AND(F11="",G11="",OR(H35="Critical",H35="Major",H35="Minor"))),1,0)</formula>
    </cfRule>
  </conditionalFormatting>
  <conditionalFormatting sqref="H13">
    <cfRule type="expression" dxfId="640" priority="719">
      <formula>IF(OR(AND(H13="",J13="",OR(#REF!="Critical",#REF!="Major",#REF!="Minor"))),1,0)</formula>
    </cfRule>
  </conditionalFormatting>
  <conditionalFormatting sqref="F13">
    <cfRule type="expression" dxfId="639" priority="720">
      <formula>IF(OR(AND(F13="",G13="",OR(H34="Critical",H34="Major",H34="Minor"))),1,0)</formula>
    </cfRule>
  </conditionalFormatting>
  <conditionalFormatting sqref="E14:G16">
    <cfRule type="expression" dxfId="638" priority="716">
      <formula>IF(OR(AND(E14="",F14="",OR(G14="Critical",G14="Major",G14="Minor"))),1,0)</formula>
    </cfRule>
  </conditionalFormatting>
  <conditionalFormatting sqref="F14:F16">
    <cfRule type="expression" dxfId="637" priority="715">
      <formula>IF(AND(F14="",OR(E14="Accuracy",E14="Fluency",E14="Segment",E14="Other")),1,0)</formula>
    </cfRule>
  </conditionalFormatting>
  <conditionalFormatting sqref="H14:H16">
    <cfRule type="expression" dxfId="636" priority="717">
      <formula>IF(OR(AND(H14="",J14="",OR(#REF!="Critical",#REF!="Major",#REF!="Minor"))),1,0)</formula>
    </cfRule>
  </conditionalFormatting>
  <conditionalFormatting sqref="G14:G16">
    <cfRule type="expression" dxfId="635" priority="718">
      <formula>IF(AND(OR(G14="",#REF!="Segment"),OR(#REF!="Accuracy",#REF!="Fluency",#REF!="Other")),1,0)</formula>
    </cfRule>
  </conditionalFormatting>
  <conditionalFormatting sqref="E25:G26">
    <cfRule type="expression" dxfId="634" priority="713">
      <formula>IF(OR(AND(E25="",F25="",OR(G25="Critical",G25="Major",G25="Minor"))),1,0)</formula>
    </cfRule>
  </conditionalFormatting>
  <conditionalFormatting sqref="F25:F26">
    <cfRule type="expression" dxfId="633" priority="712">
      <formula>IF(AND(F25="",OR(E25="Accuracy",E25="Fluency",E25="Segment",E25="Other")),1,0)</formula>
    </cfRule>
  </conditionalFormatting>
  <conditionalFormatting sqref="G25:G26">
    <cfRule type="expression" dxfId="632" priority="714">
      <formula>IF(AND(OR(G25="",#REF!="Segment"),OR(#REF!="Accuracy",#REF!="Fluency",#REF!="Other")),1,0)</formula>
    </cfRule>
  </conditionalFormatting>
  <conditionalFormatting sqref="E27:G27">
    <cfRule type="expression" dxfId="631" priority="710">
      <formula>IF(OR(AND(E27="",F27="",OR(G27="Critical",G27="Major",G27="Minor"))),1,0)</formula>
    </cfRule>
  </conditionalFormatting>
  <conditionalFormatting sqref="F27">
    <cfRule type="expression" dxfId="630" priority="709">
      <formula>IF(AND(F27="",OR(E27="Accuracy",E27="Fluency",E27="Segment",E27="Other")),1,0)</formula>
    </cfRule>
  </conditionalFormatting>
  <conditionalFormatting sqref="G27">
    <cfRule type="expression" dxfId="629" priority="711">
      <formula>IF(AND(OR(G27="",#REF!="Segment"),OR(#REF!="Accuracy",#REF!="Fluency",#REF!="Other")),1,0)</formula>
    </cfRule>
  </conditionalFormatting>
  <conditionalFormatting sqref="E31:G31">
    <cfRule type="expression" dxfId="628" priority="707">
      <formula>IF(OR(AND(E31="",F31="",OR(G31="Critical",G31="Major",G31="Minor"))),1,0)</formula>
    </cfRule>
  </conditionalFormatting>
  <conditionalFormatting sqref="F31">
    <cfRule type="expression" dxfId="627" priority="706">
      <formula>IF(AND(F31="",OR(E31="Accuracy",E31="Fluency",E31="Segment",E31="Other")),1,0)</formula>
    </cfRule>
  </conditionalFormatting>
  <conditionalFormatting sqref="G31">
    <cfRule type="expression" dxfId="626" priority="708">
      <formula>IF(AND(OR(G31="",#REF!="Segment"),OR(#REF!="Accuracy",#REF!="Fluency",#REF!="Other")),1,0)</formula>
    </cfRule>
  </conditionalFormatting>
  <conditionalFormatting sqref="E32:G34">
    <cfRule type="expression" dxfId="625" priority="704">
      <formula>IF(OR(AND(E32="",F32="",OR(G32="Critical",G32="Major",G32="Minor"))),1,0)</formula>
    </cfRule>
  </conditionalFormatting>
  <conditionalFormatting sqref="F32:F34">
    <cfRule type="expression" dxfId="624" priority="703">
      <formula>IF(AND(F32="",OR(E32="Accuracy",E32="Fluency",E32="Segment",E32="Other")),1,0)</formula>
    </cfRule>
  </conditionalFormatting>
  <conditionalFormatting sqref="G32:G34">
    <cfRule type="expression" dxfId="623" priority="705">
      <formula>IF(AND(OR(G32="",#REF!="Segment"),OR(#REF!="Accuracy",#REF!="Fluency",#REF!="Other")),1,0)</formula>
    </cfRule>
  </conditionalFormatting>
  <conditionalFormatting sqref="E35:F35">
    <cfRule type="expression" dxfId="622" priority="702">
      <formula>IF(OR(AND(E35="",F35="",OR(G35="Critical",G35="Major",G35="Minor"))),1,0)</formula>
    </cfRule>
  </conditionalFormatting>
  <conditionalFormatting sqref="F35">
    <cfRule type="expression" dxfId="621" priority="701">
      <formula>IF(AND(F35="",OR(E35="Accuracy",E35="Fluency",E35="Segment",E35="Other")),1,0)</formula>
    </cfRule>
  </conditionalFormatting>
  <conditionalFormatting sqref="E42:G42">
    <cfRule type="expression" dxfId="620" priority="699">
      <formula>IF(OR(AND(E42="",F42="",OR(G42="Critical",G42="Major",G42="Minor"))),1,0)</formula>
    </cfRule>
  </conditionalFormatting>
  <conditionalFormatting sqref="F42">
    <cfRule type="expression" dxfId="619" priority="698">
      <formula>IF(AND(F42="",OR(E42="Accuracy",E42="Fluency",E42="Segment",E42="Other")),1,0)</formula>
    </cfRule>
  </conditionalFormatting>
  <conditionalFormatting sqref="G42">
    <cfRule type="expression" dxfId="618" priority="700">
      <formula>IF(AND(OR(G42="",#REF!="Segment"),OR(#REF!="Accuracy",#REF!="Fluency",#REF!="Other")),1,0)</formula>
    </cfRule>
  </conditionalFormatting>
  <conditionalFormatting sqref="E43:G43">
    <cfRule type="expression" dxfId="617" priority="696">
      <formula>IF(OR(AND(E43="",F43="",OR(G43="Critical",G43="Major",G43="Minor"))),1,0)</formula>
    </cfRule>
  </conditionalFormatting>
  <conditionalFormatting sqref="F43">
    <cfRule type="expression" dxfId="616" priority="695">
      <formula>IF(AND(F43="",OR(E43="Accuracy",E43="Fluency",E43="Segment",E43="Other")),1,0)</formula>
    </cfRule>
  </conditionalFormatting>
  <conditionalFormatting sqref="G43">
    <cfRule type="expression" dxfId="615" priority="697">
      <formula>IF(AND(OR(G43="",#REF!="Segment"),OR(#REF!="Accuracy",#REF!="Fluency",#REF!="Other")),1,0)</formula>
    </cfRule>
  </conditionalFormatting>
  <conditionalFormatting sqref="G44">
    <cfRule type="expression" dxfId="614" priority="693">
      <formula>IF(OR(AND(G44="",H43="",OR(I44="Critical",I44="Major",I44="Minor"))),1,0)</formula>
    </cfRule>
  </conditionalFormatting>
  <conditionalFormatting sqref="F44">
    <cfRule type="expression" dxfId="613" priority="694">
      <formula>IF(OR(AND(F44="",G44="",OR(H43="Critical",H43="Major",H43="Minor"))),1,0)</formula>
    </cfRule>
  </conditionalFormatting>
  <conditionalFormatting sqref="E46:G46">
    <cfRule type="expression" dxfId="612" priority="691">
      <formula>IF(OR(AND(E46="",F46="",OR(G46="Critical",G46="Major",G46="Minor"))),1,0)</formula>
    </cfRule>
  </conditionalFormatting>
  <conditionalFormatting sqref="F46">
    <cfRule type="expression" dxfId="611" priority="690">
      <formula>IF(AND(F46="",OR(E46="Accuracy",E46="Fluency",E46="Segment",E46="Other")),1,0)</formula>
    </cfRule>
  </conditionalFormatting>
  <conditionalFormatting sqref="G46">
    <cfRule type="expression" dxfId="610" priority="692">
      <formula>IF(AND(OR(G46="",#REF!="Segment"),OR(#REF!="Accuracy",#REF!="Fluency",#REF!="Other")),1,0)</formula>
    </cfRule>
  </conditionalFormatting>
  <conditionalFormatting sqref="E51:F51">
    <cfRule type="expression" dxfId="609" priority="684">
      <formula>IF(OR(AND(E51="",F51="",OR(G51="Critical",G51="Major",G51="Minor"))),1,0)</formula>
    </cfRule>
  </conditionalFormatting>
  <conditionalFormatting sqref="F51">
    <cfRule type="expression" dxfId="608" priority="683">
      <formula>IF(AND(F51="",OR(E51="Accuracy",E51="Fluency",E51="Segment",E51="Other")),1,0)</formula>
    </cfRule>
  </conditionalFormatting>
  <conditionalFormatting sqref="E48:G49">
    <cfRule type="expression" dxfId="607" priority="688">
      <formula>IF(OR(AND(E48="",F48="",OR(G48="Critical",G48="Major",G48="Minor"))),1,0)</formula>
    </cfRule>
  </conditionalFormatting>
  <conditionalFormatting sqref="F48:F49">
    <cfRule type="expression" dxfId="606" priority="687">
      <formula>IF(AND(F48="",OR(E48="Accuracy",E48="Fluency",E48="Segment",E48="Other")),1,0)</formula>
    </cfRule>
  </conditionalFormatting>
  <conditionalFormatting sqref="G48:G49">
    <cfRule type="expression" dxfId="605" priority="689">
      <formula>IF(AND(OR(G48="",#REF!="Segment"),OR(#REF!="Accuracy",#REF!="Fluency",#REF!="Other")),1,0)</formula>
    </cfRule>
  </conditionalFormatting>
  <conditionalFormatting sqref="E50:F50">
    <cfRule type="expression" dxfId="604" priority="686">
      <formula>IF(OR(AND(E50="",F50="",OR(G50="Critical",G50="Major",G50="Minor"))),1,0)</formula>
    </cfRule>
  </conditionalFormatting>
  <conditionalFormatting sqref="F50">
    <cfRule type="expression" dxfId="603" priority="685">
      <formula>IF(AND(F50="",OR(E50="Accuracy",E50="Fluency",E50="Segment",E50="Other")),1,0)</formula>
    </cfRule>
  </conditionalFormatting>
  <conditionalFormatting sqref="G55">
    <cfRule type="expression" dxfId="602" priority="681">
      <formula>IF(OR(AND(G55="",H55="",OR(I55="Critical",I55="Major",I55="Minor"))),1,0)</formula>
    </cfRule>
  </conditionalFormatting>
  <conditionalFormatting sqref="G55">
    <cfRule type="expression" dxfId="601" priority="682">
      <formula>IF(AND(OR(G55="",#REF!="Segment"),OR(#REF!="Accuracy",#REF!="Fluency",#REF!="Other")),1,0)</formula>
    </cfRule>
  </conditionalFormatting>
  <conditionalFormatting sqref="E56:G56">
    <cfRule type="expression" dxfId="600" priority="678">
      <formula>IF(OR(AND(E56="",F56="",OR(G56="Critical",G56="Major",G56="Minor"))),1,0)</formula>
    </cfRule>
  </conditionalFormatting>
  <conditionalFormatting sqref="F56">
    <cfRule type="expression" dxfId="599" priority="677">
      <formula>IF(AND(F56="",OR(E56="Accuracy",E56="Fluency",E56="Segment",E56="Other")),1,0)</formula>
    </cfRule>
  </conditionalFormatting>
  <conditionalFormatting sqref="G56">
    <cfRule type="expression" dxfId="598" priority="679">
      <formula>IF(AND(OR(G56="",#REF!="Segment"),OR(#REF!="Accuracy",#REF!="Fluency",#REF!="Other")),1,0)</formula>
    </cfRule>
  </conditionalFormatting>
  <conditionalFormatting sqref="E59:G59">
    <cfRule type="expression" dxfId="597" priority="675">
      <formula>IF(OR(AND(E59="",F59="",OR(G59="Critical",G59="Major",G59="Minor"))),1,0)</formula>
    </cfRule>
  </conditionalFormatting>
  <conditionalFormatting sqref="F59">
    <cfRule type="expression" dxfId="596" priority="674">
      <formula>IF(AND(F59="",OR(E59="Accuracy",E59="Fluency",E59="Segment",E59="Other")),1,0)</formula>
    </cfRule>
  </conditionalFormatting>
  <conditionalFormatting sqref="G59">
    <cfRule type="expression" dxfId="595" priority="676">
      <formula>IF(AND(OR(G59="",#REF!="Segment"),OR(#REF!="Accuracy",#REF!="Fluency",#REF!="Other")),1,0)</formula>
    </cfRule>
  </conditionalFormatting>
  <conditionalFormatting sqref="E60:G60">
    <cfRule type="expression" dxfId="594" priority="672">
      <formula>IF(OR(AND(E60="",F60="",OR(G60="Critical",G60="Major",G60="Minor"))),1,0)</formula>
    </cfRule>
  </conditionalFormatting>
  <conditionalFormatting sqref="F60">
    <cfRule type="expression" dxfId="593" priority="671">
      <formula>IF(AND(F60="",OR(E60="Accuracy",E60="Fluency",E60="Segment",E60="Other")),1,0)</formula>
    </cfRule>
  </conditionalFormatting>
  <conditionalFormatting sqref="G60">
    <cfRule type="expression" dxfId="592" priority="673">
      <formula>IF(AND(OR(G60="",#REF!="Segment"),OR(#REF!="Accuracy",#REF!="Fluency",#REF!="Other")),1,0)</formula>
    </cfRule>
  </conditionalFormatting>
  <conditionalFormatting sqref="G62">
    <cfRule type="expression" dxfId="591" priority="669">
      <formula>IF(OR(AND(G62="",H62="",OR(I62="Critical",I62="Major",I62="Minor"))),1,0)</formula>
    </cfRule>
  </conditionalFormatting>
  <conditionalFormatting sqref="G62">
    <cfRule type="expression" dxfId="590" priority="670">
      <formula>IF(AND(OR(G62="",#REF!="Segment"),OR(#REF!="Accuracy",#REF!="Fluency",#REF!="Other")),1,0)</formula>
    </cfRule>
  </conditionalFormatting>
  <conditionalFormatting sqref="G63">
    <cfRule type="expression" dxfId="589" priority="665">
      <formula>IF(OR(AND(G63="",H63="",OR(I63="Critical",I63="Major",I63="Minor"))),1,0)</formula>
    </cfRule>
  </conditionalFormatting>
  <conditionalFormatting sqref="G63">
    <cfRule type="expression" dxfId="588" priority="666">
      <formula>IF(AND(OR(G63="",#REF!="Segment"),OR(#REF!="Accuracy",#REF!="Fluency",#REF!="Other")),1,0)</formula>
    </cfRule>
  </conditionalFormatting>
  <conditionalFormatting sqref="E65:G65">
    <cfRule type="expression" dxfId="587" priority="661">
      <formula>IF(OR(AND(E65="",F65="",OR(G65="Critical",G65="Major",G65="Minor"))),1,0)</formula>
    </cfRule>
  </conditionalFormatting>
  <conditionalFormatting sqref="F65">
    <cfRule type="expression" dxfId="586" priority="660">
      <formula>IF(AND(F65="",OR(E65="Accuracy",E65="Fluency",E65="Segment",E65="Other")),1,0)</formula>
    </cfRule>
  </conditionalFormatting>
  <conditionalFormatting sqref="G65">
    <cfRule type="expression" dxfId="585" priority="662">
      <formula>IF(AND(OR(G65="",#REF!="Segment"),OR(#REF!="Accuracy",#REF!="Fluency",#REF!="Other")),1,0)</formula>
    </cfRule>
  </conditionalFormatting>
  <conditionalFormatting sqref="E66:G66">
    <cfRule type="expression" dxfId="584" priority="658">
      <formula>IF(OR(AND(E66="",F66="",OR(G66="Critical",G66="Major",G66="Minor"))),1,0)</formula>
    </cfRule>
  </conditionalFormatting>
  <conditionalFormatting sqref="F66">
    <cfRule type="expression" dxfId="583" priority="657">
      <formula>IF(AND(F66="",OR(E66="Accuracy",E66="Fluency",E66="Segment",E66="Other")),1,0)</formula>
    </cfRule>
  </conditionalFormatting>
  <conditionalFormatting sqref="G66">
    <cfRule type="expression" dxfId="582" priority="659">
      <formula>IF(AND(OR(G66="",#REF!="Segment"),OR(#REF!="Accuracy",#REF!="Fluency",#REF!="Other")),1,0)</formula>
    </cfRule>
  </conditionalFormatting>
  <conditionalFormatting sqref="E70:G70">
    <cfRule type="expression" dxfId="581" priority="655">
      <formula>IF(OR(AND(E70="",F70="",OR(G70="Critical",G70="Major",G70="Minor"))),1,0)</formula>
    </cfRule>
  </conditionalFormatting>
  <conditionalFormatting sqref="F70">
    <cfRule type="expression" dxfId="580" priority="654">
      <formula>IF(AND(F70="",OR(E70="Accuracy",E70="Fluency",E70="Segment",E70="Other")),1,0)</formula>
    </cfRule>
  </conditionalFormatting>
  <conditionalFormatting sqref="G70">
    <cfRule type="expression" dxfId="579" priority="656">
      <formula>IF(AND(OR(G70="",#REF!="Segment"),OR(#REF!="Accuracy",#REF!="Fluency",#REF!="Other")),1,0)</formula>
    </cfRule>
  </conditionalFormatting>
  <conditionalFormatting sqref="E71:G71">
    <cfRule type="expression" dxfId="578" priority="652">
      <formula>IF(OR(AND(E71="",F71="",OR(G71="Critical",G71="Major",G71="Minor"))),1,0)</formula>
    </cfRule>
  </conditionalFormatting>
  <conditionalFormatting sqref="F71">
    <cfRule type="expression" dxfId="577" priority="651">
      <formula>IF(AND(F71="",OR(E71="Accuracy",E71="Fluency",E71="Segment",E71="Other")),1,0)</formula>
    </cfRule>
  </conditionalFormatting>
  <conditionalFormatting sqref="G71">
    <cfRule type="expression" dxfId="576" priority="653">
      <formula>IF(AND(OR(G71="",#REF!="Segment"),OR(#REF!="Accuracy",#REF!="Fluency",#REF!="Other")),1,0)</formula>
    </cfRule>
  </conditionalFormatting>
  <conditionalFormatting sqref="E72:G72">
    <cfRule type="expression" dxfId="575" priority="649">
      <formula>IF(OR(AND(E72="",F72="",OR(G72="Critical",G72="Major",G72="Minor"))),1,0)</formula>
    </cfRule>
  </conditionalFormatting>
  <conditionalFormatting sqref="F72">
    <cfRule type="expression" dxfId="574" priority="648">
      <formula>IF(AND(F72="",OR(E72="Accuracy",E72="Fluency",E72="Segment",E72="Other")),1,0)</formula>
    </cfRule>
  </conditionalFormatting>
  <conditionalFormatting sqref="G72">
    <cfRule type="expression" dxfId="573" priority="650">
      <formula>IF(AND(OR(G72="",#REF!="Segment"),OR(#REF!="Accuracy",#REF!="Fluency",#REF!="Other")),1,0)</formula>
    </cfRule>
  </conditionalFormatting>
  <conditionalFormatting sqref="E73:G73">
    <cfRule type="expression" dxfId="572" priority="646">
      <formula>IF(OR(AND(E73="",F73="",OR(G73="Critical",G73="Major",G73="Minor"))),1,0)</formula>
    </cfRule>
  </conditionalFormatting>
  <conditionalFormatting sqref="F73">
    <cfRule type="expression" dxfId="571" priority="645">
      <formula>IF(AND(F73="",OR(E73="Accuracy",E73="Fluency",E73="Segment",E73="Other")),1,0)</formula>
    </cfRule>
  </conditionalFormatting>
  <conditionalFormatting sqref="G73">
    <cfRule type="expression" dxfId="570" priority="647">
      <formula>IF(AND(OR(G73="",#REF!="Segment"),OR(#REF!="Accuracy",#REF!="Fluency",#REF!="Other")),1,0)</formula>
    </cfRule>
  </conditionalFormatting>
  <conditionalFormatting sqref="E74:G74">
    <cfRule type="expression" dxfId="569" priority="643">
      <formula>IF(OR(AND(E74="",F74="",OR(G74="Critical",G74="Major",G74="Minor"))),1,0)</formula>
    </cfRule>
  </conditionalFormatting>
  <conditionalFormatting sqref="F74">
    <cfRule type="expression" dxfId="568" priority="642">
      <formula>IF(AND(F74="",OR(E74="Accuracy",E74="Fluency",E74="Segment",E74="Other")),1,0)</formula>
    </cfRule>
  </conditionalFormatting>
  <conditionalFormatting sqref="G74">
    <cfRule type="expression" dxfId="567" priority="644">
      <formula>IF(AND(OR(G74="",#REF!="Segment"),OR(#REF!="Accuracy",#REF!="Fluency",#REF!="Other")),1,0)</formula>
    </cfRule>
  </conditionalFormatting>
  <conditionalFormatting sqref="E75:G75">
    <cfRule type="expression" dxfId="566" priority="640">
      <formula>IF(OR(AND(E75="",F75="",OR(G75="Critical",G75="Major",G75="Minor"))),1,0)</formula>
    </cfRule>
  </conditionalFormatting>
  <conditionalFormatting sqref="F75">
    <cfRule type="expression" dxfId="565" priority="639">
      <formula>IF(AND(F75="",OR(E75="Accuracy",E75="Fluency",E75="Segment",E75="Other")),1,0)</formula>
    </cfRule>
  </conditionalFormatting>
  <conditionalFormatting sqref="G75">
    <cfRule type="expression" dxfId="564" priority="641">
      <formula>IF(AND(OR(G75="",#REF!="Segment"),OR(#REF!="Accuracy",#REF!="Fluency",#REF!="Other")),1,0)</formula>
    </cfRule>
  </conditionalFormatting>
  <conditionalFormatting sqref="E77:G77">
    <cfRule type="expression" dxfId="563" priority="637">
      <formula>IF(OR(AND(E77="",F77="",OR(G77="Critical",G77="Major",G77="Minor"))),1,0)</formula>
    </cfRule>
  </conditionalFormatting>
  <conditionalFormatting sqref="F77">
    <cfRule type="expression" dxfId="562" priority="636">
      <formula>IF(AND(F77="",OR(E77="Accuracy",E77="Fluency",E77="Segment",E77="Other")),1,0)</formula>
    </cfRule>
  </conditionalFormatting>
  <conditionalFormatting sqref="G77">
    <cfRule type="expression" dxfId="561" priority="638">
      <formula>IF(AND(OR(G77="",#REF!="Segment"),OR(#REF!="Accuracy",#REF!="Fluency",#REF!="Other")),1,0)</formula>
    </cfRule>
  </conditionalFormatting>
  <conditionalFormatting sqref="E78:G78">
    <cfRule type="expression" dxfId="560" priority="634">
      <formula>IF(OR(AND(E78="",F78="",OR(G78="Critical",G78="Major",G78="Minor"))),1,0)</formula>
    </cfRule>
  </conditionalFormatting>
  <conditionalFormatting sqref="F78">
    <cfRule type="expression" dxfId="559" priority="633">
      <formula>IF(AND(F78="",OR(E78="Accuracy",E78="Fluency",E78="Segment",E78="Other")),1,0)</formula>
    </cfRule>
  </conditionalFormatting>
  <conditionalFormatting sqref="G78">
    <cfRule type="expression" dxfId="558" priority="635">
      <formula>IF(AND(OR(G78="",#REF!="Segment"),OR(#REF!="Accuracy",#REF!="Fluency",#REF!="Other")),1,0)</formula>
    </cfRule>
  </conditionalFormatting>
  <conditionalFormatting sqref="E79:G79">
    <cfRule type="expression" dxfId="557" priority="631">
      <formula>IF(OR(AND(E79="",F79="",OR(G79="Critical",G79="Major",G79="Minor"))),1,0)</formula>
    </cfRule>
  </conditionalFormatting>
  <conditionalFormatting sqref="F79">
    <cfRule type="expression" dxfId="556" priority="630">
      <formula>IF(AND(F79="",OR(E79="Accuracy",E79="Fluency",E79="Segment",E79="Other")),1,0)</formula>
    </cfRule>
  </conditionalFormatting>
  <conditionalFormatting sqref="G79">
    <cfRule type="expression" dxfId="555" priority="632">
      <formula>IF(AND(OR(G79="",#REF!="Segment"),OR(#REF!="Accuracy",#REF!="Fluency",#REF!="Other")),1,0)</formula>
    </cfRule>
  </conditionalFormatting>
  <conditionalFormatting sqref="G82">
    <cfRule type="expression" dxfId="554" priority="628">
      <formula>IF(OR(AND(G82="",H82="",OR(I82="Critical",I82="Major",I82="Minor"))),1,0)</formula>
    </cfRule>
  </conditionalFormatting>
  <conditionalFormatting sqref="G82">
    <cfRule type="expression" dxfId="553" priority="629">
      <formula>IF(AND(OR(G82="",#REF!="Segment"),OR(#REF!="Accuracy",#REF!="Fluency",#REF!="Other")),1,0)</formula>
    </cfRule>
  </conditionalFormatting>
  <conditionalFormatting sqref="E84:G84">
    <cfRule type="expression" dxfId="552" priority="625">
      <formula>IF(OR(AND(E84="",F84="",OR(G84="Critical",G84="Major",G84="Minor"))),1,0)</formula>
    </cfRule>
  </conditionalFormatting>
  <conditionalFormatting sqref="F84">
    <cfRule type="expression" dxfId="551" priority="624">
      <formula>IF(AND(F84="",OR(E84="Accuracy",E84="Fluency",E84="Segment",E84="Other")),1,0)</formula>
    </cfRule>
  </conditionalFormatting>
  <conditionalFormatting sqref="G84">
    <cfRule type="expression" dxfId="550" priority="626">
      <formula>IF(AND(OR(G84="",#REF!="Segment"),OR(#REF!="Accuracy",#REF!="Fluency",#REF!="Other")),1,0)</formula>
    </cfRule>
  </conditionalFormatting>
  <conditionalFormatting sqref="E89:G89">
    <cfRule type="expression" dxfId="549" priority="622">
      <formula>IF(OR(AND(E89="",F89="",OR(G89="Critical",G89="Major",G89="Minor"))),1,0)</formula>
    </cfRule>
  </conditionalFormatting>
  <conditionalFormatting sqref="F89">
    <cfRule type="expression" dxfId="548" priority="621">
      <formula>IF(AND(F89="",OR(E89="Accuracy",E89="Fluency",E89="Segment",E89="Other")),1,0)</formula>
    </cfRule>
  </conditionalFormatting>
  <conditionalFormatting sqref="G89">
    <cfRule type="expression" dxfId="547" priority="623">
      <formula>IF(AND(OR(G89="",#REF!="Segment"),OR(#REF!="Accuracy",#REF!="Fluency",#REF!="Other")),1,0)</formula>
    </cfRule>
  </conditionalFormatting>
  <conditionalFormatting sqref="E92:G92">
    <cfRule type="expression" dxfId="546" priority="619">
      <formula>IF(OR(AND(E92="",F92="",OR(G92="Critical",G92="Major",G92="Minor"))),1,0)</formula>
    </cfRule>
  </conditionalFormatting>
  <conditionalFormatting sqref="F92">
    <cfRule type="expression" dxfId="545" priority="618">
      <formula>IF(AND(F92="",OR(E92="Accuracy",E92="Fluency",E92="Segment",E92="Other")),1,0)</formula>
    </cfRule>
  </conditionalFormatting>
  <conditionalFormatting sqref="G92">
    <cfRule type="expression" dxfId="544" priority="620">
      <formula>IF(AND(OR(G92="",#REF!="Segment"),OR(#REF!="Accuracy",#REF!="Fluency",#REF!="Other")),1,0)</formula>
    </cfRule>
  </conditionalFormatting>
  <conditionalFormatting sqref="E93:G94">
    <cfRule type="expression" dxfId="543" priority="616">
      <formula>IF(OR(AND(E93="",F93="",OR(G93="Critical",G93="Major",G93="Minor"))),1,0)</formula>
    </cfRule>
  </conditionalFormatting>
  <conditionalFormatting sqref="F93:F94">
    <cfRule type="expression" dxfId="542" priority="615">
      <formula>IF(AND(F93="",OR(E93="Accuracy",E93="Fluency",E93="Segment",E93="Other")),1,0)</formula>
    </cfRule>
  </conditionalFormatting>
  <conditionalFormatting sqref="G93:G94">
    <cfRule type="expression" dxfId="541" priority="617">
      <formula>IF(AND(OR(G93="",#REF!="Segment"),OR(#REF!="Accuracy",#REF!="Fluency",#REF!="Other")),1,0)</formula>
    </cfRule>
  </conditionalFormatting>
  <conditionalFormatting sqref="G95">
    <cfRule type="expression" dxfId="540" priority="613">
      <formula>IF(OR(AND(G95="",H95="",OR(I95="Critical",I95="Major",I95="Minor"))),1,0)</formula>
    </cfRule>
  </conditionalFormatting>
  <conditionalFormatting sqref="G95">
    <cfRule type="expression" dxfId="539" priority="614">
      <formula>IF(AND(OR(G95="",#REF!="Segment"),OR(#REF!="Accuracy",#REF!="Fluency",#REF!="Other")),1,0)</formula>
    </cfRule>
  </conditionalFormatting>
  <conditionalFormatting sqref="G96">
    <cfRule type="expression" dxfId="538" priority="610">
      <formula>IF(OR(AND(G96="",H96="",OR(I96="Critical",I96="Major",I96="Minor"))),1,0)</formula>
    </cfRule>
  </conditionalFormatting>
  <conditionalFormatting sqref="G96">
    <cfRule type="expression" dxfId="537" priority="611">
      <formula>IF(AND(OR(G96="",#REF!="Segment"),OR(#REF!="Accuracy",#REF!="Fluency",#REF!="Other")),1,0)</formula>
    </cfRule>
  </conditionalFormatting>
  <conditionalFormatting sqref="E97:G97">
    <cfRule type="expression" dxfId="536" priority="607">
      <formula>IF(OR(AND(E97="",F97="",OR(G97="Critical",G97="Major",G97="Minor"))),1,0)</formula>
    </cfRule>
  </conditionalFormatting>
  <conditionalFormatting sqref="F97">
    <cfRule type="expression" dxfId="535" priority="606">
      <formula>IF(AND(F97="",OR(E97="Accuracy",E97="Fluency",E97="Segment",E97="Other")),1,0)</formula>
    </cfRule>
  </conditionalFormatting>
  <conditionalFormatting sqref="G97">
    <cfRule type="expression" dxfId="534" priority="608">
      <formula>IF(AND(OR(G97="",#REF!="Segment"),OR(#REF!="Accuracy",#REF!="Fluency",#REF!="Other")),1,0)</formula>
    </cfRule>
  </conditionalFormatting>
  <conditionalFormatting sqref="E100:G100">
    <cfRule type="expression" dxfId="533" priority="604">
      <formula>IF(OR(AND(E100="",F100="",OR(G100="Critical",G100="Major",G100="Minor"))),1,0)</formula>
    </cfRule>
  </conditionalFormatting>
  <conditionalFormatting sqref="F100">
    <cfRule type="expression" dxfId="532" priority="603">
      <formula>IF(AND(F100="",OR(E100="Accuracy",E100="Fluency",E100="Segment",E100="Other")),1,0)</formula>
    </cfRule>
  </conditionalFormatting>
  <conditionalFormatting sqref="G100">
    <cfRule type="expression" dxfId="531" priority="605">
      <formula>IF(AND(OR(G100="",#REF!="Segment"),OR(#REF!="Accuracy",#REF!="Fluency",#REF!="Other")),1,0)</formula>
    </cfRule>
  </conditionalFormatting>
  <conditionalFormatting sqref="E101:G101">
    <cfRule type="expression" dxfId="530" priority="601">
      <formula>IF(OR(AND(E101="",F101="",OR(G101="Critical",G101="Major",G101="Minor"))),1,0)</formula>
    </cfRule>
  </conditionalFormatting>
  <conditionalFormatting sqref="F101">
    <cfRule type="expression" dxfId="529" priority="600">
      <formula>IF(AND(F101="",OR(E101="Accuracy",E101="Fluency",E101="Segment",E101="Other")),1,0)</formula>
    </cfRule>
  </conditionalFormatting>
  <conditionalFormatting sqref="G101">
    <cfRule type="expression" dxfId="528" priority="602">
      <formula>IF(AND(OR(G101="",#REF!="Segment"),OR(#REF!="Accuracy",#REF!="Fluency",#REF!="Other")),1,0)</formula>
    </cfRule>
  </conditionalFormatting>
  <conditionalFormatting sqref="G102">
    <cfRule type="expression" dxfId="527" priority="598">
      <formula>IF(OR(AND(G102="",H102="",OR(I102="Critical",I102="Major",I102="Minor"))),1,0)</formula>
    </cfRule>
  </conditionalFormatting>
  <conditionalFormatting sqref="G102">
    <cfRule type="expression" dxfId="526" priority="599">
      <formula>IF(AND(OR(G102="",#REF!="Segment"),OR(#REF!="Accuracy",#REF!="Fluency",#REF!="Other")),1,0)</formula>
    </cfRule>
  </conditionalFormatting>
  <conditionalFormatting sqref="E103:G104">
    <cfRule type="expression" dxfId="525" priority="595">
      <formula>IF(OR(AND(E103="",F103="",OR(G103="Critical",G103="Major",G103="Minor"))),1,0)</formula>
    </cfRule>
  </conditionalFormatting>
  <conditionalFormatting sqref="F103:F104">
    <cfRule type="expression" dxfId="524" priority="594">
      <formula>IF(AND(F103="",OR(E103="Accuracy",E103="Fluency",E103="Segment",E103="Other")),1,0)</formula>
    </cfRule>
  </conditionalFormatting>
  <conditionalFormatting sqref="G103:G104">
    <cfRule type="expression" dxfId="523" priority="596">
      <formula>IF(AND(OR(G103="",#REF!="Segment"),OR(#REF!="Accuracy",#REF!="Fluency",#REF!="Other")),1,0)</formula>
    </cfRule>
  </conditionalFormatting>
  <conditionalFormatting sqref="G106">
    <cfRule type="expression" dxfId="522" priority="592">
      <formula>IF(OR(AND(G106="",H106="",OR(I106="Critical",I106="Major",I106="Minor"))),1,0)</formula>
    </cfRule>
  </conditionalFormatting>
  <conditionalFormatting sqref="G106">
    <cfRule type="expression" dxfId="521" priority="593">
      <formula>IF(AND(OR(G106="",#REF!="Segment"),OR(#REF!="Accuracy",#REF!="Fluency",#REF!="Other")),1,0)</formula>
    </cfRule>
  </conditionalFormatting>
  <conditionalFormatting sqref="G107">
    <cfRule type="expression" dxfId="520" priority="589">
      <formula>IF(OR(AND(G107="",H107="",OR(I107="Critical",I107="Major",I107="Minor"))),1,0)</formula>
    </cfRule>
  </conditionalFormatting>
  <conditionalFormatting sqref="G107">
    <cfRule type="expression" dxfId="519" priority="590">
      <formula>IF(AND(OR(G107="",#REF!="Segment"),OR(#REF!="Accuracy",#REF!="Fluency",#REF!="Other")),1,0)</formula>
    </cfRule>
  </conditionalFormatting>
  <conditionalFormatting sqref="E113:G115 G110:G112">
    <cfRule type="expression" dxfId="518" priority="586">
      <formula>IF(OR(AND(E110="",F110="",OR(G110="Critical",G110="Major",G110="Minor"))),1,0)</formula>
    </cfRule>
  </conditionalFormatting>
  <conditionalFormatting sqref="F113:F115">
    <cfRule type="expression" dxfId="517" priority="585">
      <formula>IF(AND(F113="",OR(E113="Accuracy",E113="Fluency",E113="Segment",E113="Other")),1,0)</formula>
    </cfRule>
  </conditionalFormatting>
  <conditionalFormatting sqref="G110:G115">
    <cfRule type="expression" dxfId="516" priority="587">
      <formula>IF(AND(OR(G110="",#REF!="Segment"),OR(#REF!="Accuracy",#REF!="Fluency",#REF!="Other")),1,0)</formula>
    </cfRule>
  </conditionalFormatting>
  <conditionalFormatting sqref="G117">
    <cfRule type="expression" dxfId="515" priority="583">
      <formula>IF(OR(AND(G117="",H117="",OR(I117="Critical",I117="Major",I117="Minor"))),1,0)</formula>
    </cfRule>
  </conditionalFormatting>
  <conditionalFormatting sqref="G117">
    <cfRule type="expression" dxfId="514" priority="584">
      <formula>IF(AND(OR(G117="",#REF!="Segment"),OR(#REF!="Accuracy",#REF!="Fluency",#REF!="Other")),1,0)</formula>
    </cfRule>
  </conditionalFormatting>
  <conditionalFormatting sqref="E119:G119">
    <cfRule type="expression" dxfId="513" priority="580">
      <formula>IF(OR(AND(E119="",F119="",OR(G119="Critical",G119="Major",G119="Minor"))),1,0)</formula>
    </cfRule>
  </conditionalFormatting>
  <conditionalFormatting sqref="F119">
    <cfRule type="expression" dxfId="512" priority="579">
      <formula>IF(AND(F119="",OR(E119="Accuracy",E119="Fluency",E119="Segment",E119="Other")),1,0)</formula>
    </cfRule>
  </conditionalFormatting>
  <conditionalFormatting sqref="G119">
    <cfRule type="expression" dxfId="511" priority="581">
      <formula>IF(AND(OR(G119="",#REF!="Segment"),OR(#REF!="Accuracy",#REF!="Fluency",#REF!="Other")),1,0)</formula>
    </cfRule>
  </conditionalFormatting>
  <conditionalFormatting sqref="E120:G120">
    <cfRule type="expression" dxfId="510" priority="577">
      <formula>IF(OR(AND(E120="",F120="",OR(G120="Critical",G120="Major",G120="Minor"))),1,0)</formula>
    </cfRule>
  </conditionalFormatting>
  <conditionalFormatting sqref="F120">
    <cfRule type="expression" dxfId="509" priority="576">
      <formula>IF(AND(F120="",OR(E120="Accuracy",E120="Fluency",E120="Segment",E120="Other")),1,0)</formula>
    </cfRule>
  </conditionalFormatting>
  <conditionalFormatting sqref="G120">
    <cfRule type="expression" dxfId="508" priority="578">
      <formula>IF(AND(OR(G120="",#REF!="Segment"),OR(#REF!="Accuracy",#REF!="Fluency",#REF!="Other")),1,0)</formula>
    </cfRule>
  </conditionalFormatting>
  <conditionalFormatting sqref="G122">
    <cfRule type="expression" dxfId="507" priority="574">
      <formula>IF(OR(AND(G122="",H122="",OR(I122="Critical",I122="Major",I122="Minor"))),1,0)</formula>
    </cfRule>
  </conditionalFormatting>
  <conditionalFormatting sqref="G122">
    <cfRule type="expression" dxfId="506" priority="575">
      <formula>IF(AND(OR(G122="",#REF!="Segment"),OR(#REF!="Accuracy",#REF!="Fluency",#REF!="Other")),1,0)</formula>
    </cfRule>
  </conditionalFormatting>
  <conditionalFormatting sqref="G123">
    <cfRule type="expression" dxfId="505" priority="571">
      <formula>IF(OR(AND(G123="",H123="",OR(I123="Critical",I123="Major",I123="Minor"))),1,0)</formula>
    </cfRule>
  </conditionalFormatting>
  <conditionalFormatting sqref="G123">
    <cfRule type="expression" dxfId="504" priority="572">
      <formula>IF(AND(OR(G123="",#REF!="Segment"),OR(#REF!="Accuracy",#REF!="Fluency",#REF!="Other")),1,0)</formula>
    </cfRule>
  </conditionalFormatting>
  <conditionalFormatting sqref="E125:G125">
    <cfRule type="expression" dxfId="503" priority="568">
      <formula>IF(OR(AND(E125="",F125="",OR(G125="Critical",G125="Major",G125="Minor"))),1,0)</formula>
    </cfRule>
  </conditionalFormatting>
  <conditionalFormatting sqref="F125">
    <cfRule type="expression" dxfId="502" priority="567">
      <formula>IF(AND(F125="",OR(E125="Accuracy",E125="Fluency",E125="Segment",E125="Other")),1,0)</formula>
    </cfRule>
  </conditionalFormatting>
  <conditionalFormatting sqref="G125">
    <cfRule type="expression" dxfId="501" priority="569">
      <formula>IF(AND(OR(G125="",#REF!="Segment"),OR(#REF!="Accuracy",#REF!="Fluency",#REF!="Other")),1,0)</formula>
    </cfRule>
  </conditionalFormatting>
  <conditionalFormatting sqref="E126:G126">
    <cfRule type="expression" dxfId="500" priority="565">
      <formula>IF(OR(AND(E126="",F126="",OR(G126="Critical",G126="Major",G126="Minor"))),1,0)</formula>
    </cfRule>
  </conditionalFormatting>
  <conditionalFormatting sqref="F126">
    <cfRule type="expression" dxfId="499" priority="564">
      <formula>IF(AND(F126="",OR(E126="Accuracy",E126="Fluency",E126="Segment",E126="Other")),1,0)</formula>
    </cfRule>
  </conditionalFormatting>
  <conditionalFormatting sqref="G126">
    <cfRule type="expression" dxfId="498" priority="566">
      <formula>IF(AND(OR(G126="",#REF!="Segment"),OR(#REF!="Accuracy",#REF!="Fluency",#REF!="Other")),1,0)</formula>
    </cfRule>
  </conditionalFormatting>
  <conditionalFormatting sqref="F130:G131 G129">
    <cfRule type="expression" dxfId="497" priority="563">
      <formula>IF(OR(AND(F129="",G129="",OR(H129="Critical",H129="Major",H129="Minor"))),1,0)</formula>
    </cfRule>
  </conditionalFormatting>
  <conditionalFormatting sqref="F130:F131">
    <cfRule type="expression" dxfId="496" priority="562">
      <formula>IF(AND(F130="",OR(E130="Accuracy",E130="Fluency",E130="Segment",E130="Other")),1,0)</formula>
    </cfRule>
  </conditionalFormatting>
  <conditionalFormatting sqref="G129:G131">
    <cfRule type="expression" dxfId="495" priority="561">
      <formula>IF(AND(OR(G129="",E129="Segment"),OR(E129="Accuracy",E129="Fluency",E129="Other")),1,0)</formula>
    </cfRule>
  </conditionalFormatting>
  <conditionalFormatting sqref="E130:E131">
    <cfRule type="expression" dxfId="494" priority="560">
      <formula>IF(OR(AND(E130="",F130="",OR(G130="Critical",G130="Major",G130="Minor"))),1,0)</formula>
    </cfRule>
  </conditionalFormatting>
  <conditionalFormatting sqref="G132">
    <cfRule type="expression" dxfId="493" priority="559">
      <formula>IF(OR(AND(G132="",H132="",OR(I132="Critical",I132="Major",I132="Minor"))),1,0)</formula>
    </cfRule>
  </conditionalFormatting>
  <conditionalFormatting sqref="G132">
    <cfRule type="expression" dxfId="492" priority="557">
      <formula>IF(AND(OR(G132="",E132="Segment"),OR(E132="Accuracy",E132="Fluency",E132="Other")),1,0)</formula>
    </cfRule>
  </conditionalFormatting>
  <conditionalFormatting sqref="G133">
    <cfRule type="expression" dxfId="491" priority="556">
      <formula>IF(OR(AND(G133="",H133="",OR(I133="Critical",I133="Major",I133="Minor"))),1,0)</formula>
    </cfRule>
  </conditionalFormatting>
  <conditionalFormatting sqref="G133">
    <cfRule type="expression" dxfId="490" priority="555">
      <formula>IF(AND(OR(G133="",E133="Segment"),OR(E133="Accuracy",E133="Fluency",E133="Other")),1,0)</formula>
    </cfRule>
  </conditionalFormatting>
  <conditionalFormatting sqref="E133:F133">
    <cfRule type="expression" dxfId="489" priority="554">
      <formula>IF(OR(AND(E133="",F133="",OR(G133="Critical",G133="Major",G133="Minor"))),1,0)</formula>
    </cfRule>
  </conditionalFormatting>
  <conditionalFormatting sqref="F133">
    <cfRule type="expression" dxfId="488" priority="553">
      <formula>IF(AND(F133="",OR(E133="Accuracy",E133="Fluency",E133="Segment",E133="Other")),1,0)</formula>
    </cfRule>
  </conditionalFormatting>
  <conditionalFormatting sqref="G134">
    <cfRule type="expression" dxfId="487" priority="552">
      <formula>IF(OR(AND(G134="",H134="",OR(I134="Critical",I134="Major",I134="Minor"))),1,0)</formula>
    </cfRule>
  </conditionalFormatting>
  <conditionalFormatting sqref="G134">
    <cfRule type="expression" dxfId="486" priority="551">
      <formula>IF(AND(OR(G134="",E134="Segment"),OR(E134="Accuracy",E134="Fluency",E134="Other")),1,0)</formula>
    </cfRule>
  </conditionalFormatting>
  <conditionalFormatting sqref="E134:F134">
    <cfRule type="expression" dxfId="485" priority="550">
      <formula>IF(OR(AND(E134="",F134="",OR(G134="Critical",G134="Major",G134="Minor"))),1,0)</formula>
    </cfRule>
  </conditionalFormatting>
  <conditionalFormatting sqref="F134">
    <cfRule type="expression" dxfId="484" priority="549">
      <formula>IF(AND(F134="",OR(E134="Accuracy",E134="Fluency",E134="Segment",E134="Other")),1,0)</formula>
    </cfRule>
  </conditionalFormatting>
  <conditionalFormatting sqref="G135">
    <cfRule type="expression" dxfId="483" priority="546">
      <formula>IF(OR(AND(G135="",H135="",OR(I135="Critical",I135="Major",I135="Minor"))),1,0)</formula>
    </cfRule>
  </conditionalFormatting>
  <conditionalFormatting sqref="G135">
    <cfRule type="expression" dxfId="482" priority="545">
      <formula>IF(AND(OR(G135="",E135="Segment"),OR(E135="Accuracy",E135="Fluency",E135="Other")),1,0)</formula>
    </cfRule>
  </conditionalFormatting>
  <conditionalFormatting sqref="G136">
    <cfRule type="expression" dxfId="481" priority="542">
      <formula>IF(OR(AND(G136="",H136="",OR(I136="Critical",I136="Major",I136="Minor"))),1,0)</formula>
    </cfRule>
  </conditionalFormatting>
  <conditionalFormatting sqref="G136">
    <cfRule type="expression" dxfId="480" priority="541">
      <formula>IF(AND(OR(G136="",E136="Segment"),OR(E136="Accuracy",E136="Fluency",E136="Other")),1,0)</formula>
    </cfRule>
  </conditionalFormatting>
  <conditionalFormatting sqref="E137:F137">
    <cfRule type="expression" dxfId="479" priority="540">
      <formula>IF(OR(AND(E137="",F137="",OR(G137="Critical",G137="Major",G137="Minor"))),1,0)</formula>
    </cfRule>
  </conditionalFormatting>
  <conditionalFormatting sqref="F137">
    <cfRule type="expression" dxfId="478" priority="539">
      <formula>IF(AND(F137="",OR(E137="Accuracy",E137="Fluency",E137="Segment",E137="Other")),1,0)</formula>
    </cfRule>
  </conditionalFormatting>
  <conditionalFormatting sqref="G137">
    <cfRule type="expression" dxfId="477" priority="538">
      <formula>IF(OR(AND(G137="",H137="",OR(I137="Critical",I137="Major",I137="Minor"))),1,0)</formula>
    </cfRule>
  </conditionalFormatting>
  <conditionalFormatting sqref="G137">
    <cfRule type="expression" dxfId="476" priority="537">
      <formula>IF(AND(OR(G137="",E137="Segment"),OR(E137="Accuracy",E137="Fluency",E137="Other")),1,0)</formula>
    </cfRule>
  </conditionalFormatting>
  <conditionalFormatting sqref="E138:F138">
    <cfRule type="expression" dxfId="475" priority="536">
      <formula>IF(OR(AND(E138="",F138="",OR(G138="Critical",G138="Major",G138="Minor"))),1,0)</formula>
    </cfRule>
  </conditionalFormatting>
  <conditionalFormatting sqref="F138">
    <cfRule type="expression" dxfId="474" priority="535">
      <formula>IF(AND(F138="",OR(E138="Accuracy",E138="Fluency",E138="Segment",E138="Other")),1,0)</formula>
    </cfRule>
  </conditionalFormatting>
  <conditionalFormatting sqref="G138">
    <cfRule type="expression" dxfId="473" priority="534">
      <formula>IF(OR(AND(G138="",H138="",OR(I138="Critical",I138="Major",I138="Minor"))),1,0)</formula>
    </cfRule>
  </conditionalFormatting>
  <conditionalFormatting sqref="G138">
    <cfRule type="expression" dxfId="472" priority="533">
      <formula>IF(AND(OR(G138="",E138="Segment"),OR(E138="Accuracy",E138="Fluency",E138="Other")),1,0)</formula>
    </cfRule>
  </conditionalFormatting>
  <conditionalFormatting sqref="E180:G180 G176 E164:G167 E162:G162 E158:G159 G154 E147:G150 E140:G140 G139 E142:G143 G141 G144 G161 G179">
    <cfRule type="expression" dxfId="471" priority="530">
      <formula>IF(OR(AND(E139="",F139="",OR(G139="Critical",G139="Major",G139="Minor"))),1,0)</formula>
    </cfRule>
  </conditionalFormatting>
  <conditionalFormatting sqref="F180 F164:F167 F162 F158:F159 F147:F150 F140 F142:F143">
    <cfRule type="expression" dxfId="470" priority="529">
      <formula>IF(AND(F140="",OR(E140="Accuracy",E140="Fluency",E140="Segment",E140="Other")),1,0)</formula>
    </cfRule>
  </conditionalFormatting>
  <conditionalFormatting sqref="H139:H140">
    <cfRule type="expression" dxfId="469" priority="531">
      <formula>IF(OR(AND(H139="",J139="",OR(#REF!="Critical",#REF!="Major",#REF!="Minor"))),1,0)</formula>
    </cfRule>
  </conditionalFormatting>
  <conditionalFormatting sqref="G179:G180 G176 G164:G168 G161:G162 G158:G159 G154 G147:G150 G139:G144">
    <cfRule type="expression" dxfId="468" priority="532">
      <formula>IF(AND(OR(G139="",#REF!="Segment"),OR(#REF!="Accuracy",#REF!="Fluency",#REF!="Other")),1,0)</formula>
    </cfRule>
  </conditionalFormatting>
  <conditionalFormatting sqref="E145:G145">
    <cfRule type="expression" dxfId="467" priority="527">
      <formula>IF(OR(AND(E145="",F145="",OR(G145="Critical",G145="Major",G145="Minor"))),1,0)</formula>
    </cfRule>
  </conditionalFormatting>
  <conditionalFormatting sqref="F145">
    <cfRule type="expression" dxfId="466" priority="526">
      <formula>IF(AND(F145="",OR(E145="Accuracy",E145="Fluency",E145="Segment",E145="Other")),1,0)</formula>
    </cfRule>
  </conditionalFormatting>
  <conditionalFormatting sqref="G145">
    <cfRule type="expression" dxfId="465" priority="528">
      <formula>IF(AND(OR(G145="",#REF!="Segment"),OR(#REF!="Accuracy",#REF!="Fluency",#REF!="Other")),1,0)</formula>
    </cfRule>
  </conditionalFormatting>
  <conditionalFormatting sqref="G146">
    <cfRule type="expression" dxfId="464" priority="524">
      <formula>IF(OR(AND(G146="",H146="",OR(I146="Critical",I146="Major",I146="Minor"))),1,0)</formula>
    </cfRule>
  </conditionalFormatting>
  <conditionalFormatting sqref="G146">
    <cfRule type="expression" dxfId="463" priority="525">
      <formula>IF(AND(OR(G146="",#REF!="Segment"),OR(#REF!="Accuracy",#REF!="Fluency",#REF!="Other")),1,0)</formula>
    </cfRule>
  </conditionalFormatting>
  <conditionalFormatting sqref="E151:G151">
    <cfRule type="expression" dxfId="462" priority="521">
      <formula>IF(OR(AND(E151="",F151="",OR(G151="Critical",G151="Major",G151="Minor"))),1,0)</formula>
    </cfRule>
  </conditionalFormatting>
  <conditionalFormatting sqref="F151">
    <cfRule type="expression" dxfId="461" priority="520">
      <formula>IF(AND(F151="",OR(E151="Accuracy",E151="Fluency",E151="Segment",E151="Other")),1,0)</formula>
    </cfRule>
  </conditionalFormatting>
  <conditionalFormatting sqref="G151">
    <cfRule type="expression" dxfId="460" priority="522">
      <formula>IF(AND(OR(G151="",#REF!="Segment"),OR(#REF!="Accuracy",#REF!="Fluency",#REF!="Other")),1,0)</formula>
    </cfRule>
  </conditionalFormatting>
  <conditionalFormatting sqref="E152:G152">
    <cfRule type="expression" dxfId="459" priority="518">
      <formula>IF(OR(AND(E152="",F152="",OR(G152="Critical",G152="Major",G152="Minor"))),1,0)</formula>
    </cfRule>
  </conditionalFormatting>
  <conditionalFormatting sqref="F152">
    <cfRule type="expression" dxfId="458" priority="517">
      <formula>IF(AND(F152="",OR(E152="Accuracy",E152="Fluency",E152="Segment",E152="Other")),1,0)</formula>
    </cfRule>
  </conditionalFormatting>
  <conditionalFormatting sqref="G152">
    <cfRule type="expression" dxfId="457" priority="519">
      <formula>IF(AND(OR(G152="",#REF!="Segment"),OR(#REF!="Accuracy",#REF!="Fluency",#REF!="Other")),1,0)</formula>
    </cfRule>
  </conditionalFormatting>
  <conditionalFormatting sqref="E153:G153">
    <cfRule type="expression" dxfId="456" priority="515">
      <formula>IF(OR(AND(E153="",F153="",OR(G153="Critical",G153="Major",G153="Minor"))),1,0)</formula>
    </cfRule>
  </conditionalFormatting>
  <conditionalFormatting sqref="F153">
    <cfRule type="expression" dxfId="455" priority="514">
      <formula>IF(AND(F153="",OR(E153="Accuracy",E153="Fluency",E153="Segment",E153="Other")),1,0)</formula>
    </cfRule>
  </conditionalFormatting>
  <conditionalFormatting sqref="G153">
    <cfRule type="expression" dxfId="454" priority="516">
      <formula>IF(AND(OR(G153="",#REF!="Segment"),OR(#REF!="Accuracy",#REF!="Fluency",#REF!="Other")),1,0)</formula>
    </cfRule>
  </conditionalFormatting>
  <conditionalFormatting sqref="E155:G155">
    <cfRule type="expression" dxfId="453" priority="512">
      <formula>IF(OR(AND(E155="",F155="",OR(G155="Critical",G155="Major",G155="Minor"))),1,0)</formula>
    </cfRule>
  </conditionalFormatting>
  <conditionalFormatting sqref="F155">
    <cfRule type="expression" dxfId="452" priority="511">
      <formula>IF(AND(F155="",OR(E155="Accuracy",E155="Fluency",E155="Segment",E155="Other")),1,0)</formula>
    </cfRule>
  </conditionalFormatting>
  <conditionalFormatting sqref="G155">
    <cfRule type="expression" dxfId="451" priority="513">
      <formula>IF(AND(OR(G155="",#REF!="Segment"),OR(#REF!="Accuracy",#REF!="Fluency",#REF!="Other")),1,0)</formula>
    </cfRule>
  </conditionalFormatting>
  <conditionalFormatting sqref="E156:G156">
    <cfRule type="expression" dxfId="450" priority="509">
      <formula>IF(OR(AND(E156="",F156="",OR(G156="Critical",G156="Major",G156="Minor"))),1,0)</formula>
    </cfRule>
  </conditionalFormatting>
  <conditionalFormatting sqref="F156">
    <cfRule type="expression" dxfId="449" priority="508">
      <formula>IF(AND(F156="",OR(E156="Accuracy",E156="Fluency",E156="Segment",E156="Other")),1,0)</formula>
    </cfRule>
  </conditionalFormatting>
  <conditionalFormatting sqref="G156">
    <cfRule type="expression" dxfId="448" priority="510">
      <formula>IF(AND(OR(G156="",#REF!="Segment"),OR(#REF!="Accuracy",#REF!="Fluency",#REF!="Other")),1,0)</formula>
    </cfRule>
  </conditionalFormatting>
  <conditionalFormatting sqref="E157:G157">
    <cfRule type="expression" dxfId="447" priority="506">
      <formula>IF(OR(AND(E157="",F157="",OR(G157="Critical",G157="Major",G157="Minor"))),1,0)</formula>
    </cfRule>
  </conditionalFormatting>
  <conditionalFormatting sqref="F157">
    <cfRule type="expression" dxfId="446" priority="505">
      <formula>IF(AND(F157="",OR(E157="Accuracy",E157="Fluency",E157="Segment",E157="Other")),1,0)</formula>
    </cfRule>
  </conditionalFormatting>
  <conditionalFormatting sqref="G157">
    <cfRule type="expression" dxfId="445" priority="507">
      <formula>IF(AND(OR(G157="",#REF!="Segment"),OR(#REF!="Accuracy",#REF!="Fluency",#REF!="Other")),1,0)</formula>
    </cfRule>
  </conditionalFormatting>
  <conditionalFormatting sqref="E160:G160">
    <cfRule type="expression" dxfId="444" priority="503">
      <formula>IF(OR(AND(E160="",F160="",OR(G160="Critical",G160="Major",G160="Minor"))),1,0)</formula>
    </cfRule>
  </conditionalFormatting>
  <conditionalFormatting sqref="F160">
    <cfRule type="expression" dxfId="443" priority="502">
      <formula>IF(AND(F160="",OR(E160="Accuracy",E160="Fluency",E160="Segment",E160="Other")),1,0)</formula>
    </cfRule>
  </conditionalFormatting>
  <conditionalFormatting sqref="G160">
    <cfRule type="expression" dxfId="442" priority="504">
      <formula>IF(AND(OR(G160="",#REF!="Segment"),OR(#REF!="Accuracy",#REF!="Fluency",#REF!="Other")),1,0)</formula>
    </cfRule>
  </conditionalFormatting>
  <conditionalFormatting sqref="E163:G163">
    <cfRule type="expression" dxfId="441" priority="500">
      <formula>IF(OR(AND(E163="",F163="",OR(G163="Critical",G163="Major",G163="Minor"))),1,0)</formula>
    </cfRule>
  </conditionalFormatting>
  <conditionalFormatting sqref="F163">
    <cfRule type="expression" dxfId="440" priority="499">
      <formula>IF(AND(F163="",OR(E163="Accuracy",E163="Fluency",E163="Segment",E163="Other")),1,0)</formula>
    </cfRule>
  </conditionalFormatting>
  <conditionalFormatting sqref="G163">
    <cfRule type="expression" dxfId="439" priority="501">
      <formula>IF(AND(OR(G163="",#REF!="Segment"),OR(#REF!="Accuracy",#REF!="Fluency",#REF!="Other")),1,0)</formula>
    </cfRule>
  </conditionalFormatting>
  <conditionalFormatting sqref="G168">
    <cfRule type="expression" dxfId="438" priority="497">
      <formula>IF(OR(AND(G168="",H167="",OR(I168="Critical",I168="Major",I168="Minor"))),1,0)</formula>
    </cfRule>
  </conditionalFormatting>
  <conditionalFormatting sqref="E171:G171">
    <cfRule type="expression" dxfId="437" priority="495">
      <formula>IF(OR(AND(E171="",F171="",OR(G171="Critical",G171="Major",G171="Minor"))),1,0)</formula>
    </cfRule>
  </conditionalFormatting>
  <conditionalFormatting sqref="F171">
    <cfRule type="expression" dxfId="436" priority="494">
      <formula>IF(AND(F171="",OR(E171="Accuracy",E171="Fluency",E171="Segment",E171="Other")),1,0)</formula>
    </cfRule>
  </conditionalFormatting>
  <conditionalFormatting sqref="G171">
    <cfRule type="expression" dxfId="435" priority="496">
      <formula>IF(AND(OR(G171="",#REF!="Segment"),OR(#REF!="Accuracy",#REF!="Fluency",#REF!="Other")),1,0)</formula>
    </cfRule>
  </conditionalFormatting>
  <conditionalFormatting sqref="E172:G172">
    <cfRule type="expression" dxfId="434" priority="492">
      <formula>IF(OR(AND(E172="",F172="",OR(G172="Critical",G172="Major",G172="Minor"))),1,0)</formula>
    </cfRule>
  </conditionalFormatting>
  <conditionalFormatting sqref="F172">
    <cfRule type="expression" dxfId="433" priority="491">
      <formula>IF(AND(F172="",OR(E172="Accuracy",E172="Fluency",E172="Segment",E172="Other")),1,0)</formula>
    </cfRule>
  </conditionalFormatting>
  <conditionalFormatting sqref="G172">
    <cfRule type="expression" dxfId="432" priority="493">
      <formula>IF(AND(OR(G172="",#REF!="Segment"),OR(#REF!="Accuracy",#REF!="Fluency",#REF!="Other")),1,0)</formula>
    </cfRule>
  </conditionalFormatting>
  <conditionalFormatting sqref="G169">
    <cfRule type="expression" dxfId="431" priority="488">
      <formula>IF(AND(OR(G169="",#REF!="Segment"),OR(#REF!="Accuracy",#REF!="Fluency",#REF!="Other")),1,0)</formula>
    </cfRule>
  </conditionalFormatting>
  <conditionalFormatting sqref="G169">
    <cfRule type="expression" dxfId="430" priority="489">
      <formula>IF(OR(AND(G169="",H168="",OR(I169="Critical",I169="Major",I169="Minor"))),1,0)</formula>
    </cfRule>
  </conditionalFormatting>
  <conditionalFormatting sqref="G170">
    <cfRule type="expression" dxfId="429" priority="483">
      <formula>IF(AND(OR(G170="",#REF!="Segment"),OR(#REF!="Accuracy",#REF!="Fluency",#REF!="Other")),1,0)</formula>
    </cfRule>
  </conditionalFormatting>
  <conditionalFormatting sqref="G170">
    <cfRule type="expression" dxfId="428" priority="484">
      <formula>IF(OR(AND(G170="",H169="",OR(I170="Critical",I170="Major",I170="Minor"))),1,0)</formula>
    </cfRule>
  </conditionalFormatting>
  <conditionalFormatting sqref="G173">
    <cfRule type="expression" dxfId="427" priority="479">
      <formula>IF(OR(AND(G173="",H173="",OR(I173="Critical",I173="Major",I173="Minor"))),1,0)</formula>
    </cfRule>
  </conditionalFormatting>
  <conditionalFormatting sqref="G173">
    <cfRule type="expression" dxfId="426" priority="480">
      <formula>IF(AND(OR(G173="",#REF!="Segment"),OR(#REF!="Accuracy",#REF!="Fluency",#REF!="Other")),1,0)</formula>
    </cfRule>
  </conditionalFormatting>
  <conditionalFormatting sqref="E174:G174">
    <cfRule type="expression" dxfId="425" priority="476">
      <formula>IF(OR(AND(E174="",F174="",OR(G174="Critical",G174="Major",G174="Minor"))),1,0)</formula>
    </cfRule>
  </conditionalFormatting>
  <conditionalFormatting sqref="F174">
    <cfRule type="expression" dxfId="424" priority="475">
      <formula>IF(AND(F174="",OR(E174="Accuracy",E174="Fluency",E174="Segment",E174="Other")),1,0)</formula>
    </cfRule>
  </conditionalFormatting>
  <conditionalFormatting sqref="G174">
    <cfRule type="expression" dxfId="423" priority="477">
      <formula>IF(AND(OR(G174="",#REF!="Segment"),OR(#REF!="Accuracy",#REF!="Fluency",#REF!="Other")),1,0)</formula>
    </cfRule>
  </conditionalFormatting>
  <conditionalFormatting sqref="E175:G175">
    <cfRule type="expression" dxfId="422" priority="473">
      <formula>IF(OR(AND(E175="",F175="",OR(G175="Critical",G175="Major",G175="Minor"))),1,0)</formula>
    </cfRule>
  </conditionalFormatting>
  <conditionalFormatting sqref="F175">
    <cfRule type="expression" dxfId="421" priority="472">
      <formula>IF(AND(F175="",OR(E175="Accuracy",E175="Fluency",E175="Segment",E175="Other")),1,0)</formula>
    </cfRule>
  </conditionalFormatting>
  <conditionalFormatting sqref="G175">
    <cfRule type="expression" dxfId="420" priority="474">
      <formula>IF(AND(OR(G175="",#REF!="Segment"),OR(#REF!="Accuracy",#REF!="Fluency",#REF!="Other")),1,0)</formula>
    </cfRule>
  </conditionalFormatting>
  <conditionalFormatting sqref="E177:G177">
    <cfRule type="expression" dxfId="419" priority="470">
      <formula>IF(OR(AND(E177="",F177="",OR(G177="Critical",G177="Major",G177="Minor"))),1,0)</formula>
    </cfRule>
  </conditionalFormatting>
  <conditionalFormatting sqref="F177">
    <cfRule type="expression" dxfId="418" priority="469">
      <formula>IF(AND(F177="",OR(E177="Accuracy",E177="Fluency",E177="Segment",E177="Other")),1,0)</formula>
    </cfRule>
  </conditionalFormatting>
  <conditionalFormatting sqref="G177">
    <cfRule type="expression" dxfId="417" priority="471">
      <formula>IF(AND(OR(G177="",#REF!="Segment"),OR(#REF!="Accuracy",#REF!="Fluency",#REF!="Other")),1,0)</formula>
    </cfRule>
  </conditionalFormatting>
  <conditionalFormatting sqref="E178:G178">
    <cfRule type="expression" dxfId="416" priority="467">
      <formula>IF(OR(AND(E178="",F178="",OR(G178="Critical",G178="Major",G178="Minor"))),1,0)</formula>
    </cfRule>
  </conditionalFormatting>
  <conditionalFormatting sqref="F178">
    <cfRule type="expression" dxfId="415" priority="466">
      <formula>IF(AND(F178="",OR(E178="Accuracy",E178="Fluency",E178="Segment",E178="Other")),1,0)</formula>
    </cfRule>
  </conditionalFormatting>
  <conditionalFormatting sqref="G178">
    <cfRule type="expression" dxfId="414" priority="468">
      <formula>IF(AND(OR(G178="",#REF!="Segment"),OR(#REF!="Accuracy",#REF!="Fluency",#REF!="Other")),1,0)</formula>
    </cfRule>
  </conditionalFormatting>
  <conditionalFormatting sqref="E181:G181">
    <cfRule type="expression" dxfId="413" priority="464">
      <formula>IF(OR(AND(E181="",F181="",OR(G181="Critical",G181="Major",G181="Minor"))),1,0)</formula>
    </cfRule>
  </conditionalFormatting>
  <conditionalFormatting sqref="F181">
    <cfRule type="expression" dxfId="412" priority="463">
      <formula>IF(AND(F181="",OR(E181="Accuracy",E181="Fluency",E181="Segment",E181="Other")),1,0)</formula>
    </cfRule>
  </conditionalFormatting>
  <conditionalFormatting sqref="G181">
    <cfRule type="expression" dxfId="411" priority="465">
      <formula>IF(AND(OR(G181="",#REF!="Segment"),OR(#REF!="Accuracy",#REF!="Fluency",#REF!="Other")),1,0)</formula>
    </cfRule>
  </conditionalFormatting>
  <conditionalFormatting sqref="E182:G182">
    <cfRule type="expression" dxfId="410" priority="461">
      <formula>IF(OR(AND(E182="",F182="",OR(G182="Critical",G182="Major",G182="Minor"))),1,0)</formula>
    </cfRule>
  </conditionalFormatting>
  <conditionalFormatting sqref="F182">
    <cfRule type="expression" dxfId="409" priority="460">
      <formula>IF(AND(F182="",OR(E182="Accuracy",E182="Fluency",E182="Segment",E182="Other")),1,0)</formula>
    </cfRule>
  </conditionalFormatting>
  <conditionalFormatting sqref="G182">
    <cfRule type="expression" dxfId="408" priority="462">
      <formula>IF(AND(OR(G182="",#REF!="Segment"),OR(#REF!="Accuracy",#REF!="Fluency",#REF!="Other")),1,0)</formula>
    </cfRule>
  </conditionalFormatting>
  <conditionalFormatting sqref="G183">
    <cfRule type="expression" dxfId="407" priority="458">
      <formula>IF(OR(AND(G183="",H183="",OR(I183="Critical",I183="Major",I183="Minor"))),1,0)</formula>
    </cfRule>
  </conditionalFormatting>
  <conditionalFormatting sqref="G183">
    <cfRule type="expression" dxfId="406" priority="459">
      <formula>IF(AND(OR(G183="",#REF!="Segment"),OR(#REF!="Accuracy",#REF!="Fluency",#REF!="Other")),1,0)</formula>
    </cfRule>
  </conditionalFormatting>
  <conditionalFormatting sqref="E184:G184">
    <cfRule type="expression" dxfId="405" priority="455">
      <formula>IF(OR(AND(E184="",F184="",OR(G184="Critical",G184="Major",G184="Minor"))),1,0)</formula>
    </cfRule>
  </conditionalFormatting>
  <conditionalFormatting sqref="F184">
    <cfRule type="expression" dxfId="404" priority="454">
      <formula>IF(AND(F184="",OR(E184="Accuracy",E184="Fluency",E184="Segment",E184="Other")),1,0)</formula>
    </cfRule>
  </conditionalFormatting>
  <conditionalFormatting sqref="G184">
    <cfRule type="expression" dxfId="403" priority="456">
      <formula>IF(AND(OR(G184="",#REF!="Segment"),OR(#REF!="Accuracy",#REF!="Fluency",#REF!="Other")),1,0)</formula>
    </cfRule>
  </conditionalFormatting>
  <conditionalFormatting sqref="E257:G257 E246:F246 E235 G233 E234:F234 E219:G220 E214 E200:G200 E195:G196 E193:G193 E187:G188 G197 E202:G204 G201 E237:G239 G236">
    <cfRule type="expression" dxfId="402" priority="452">
      <formula>IF(OR(AND(E187="",F187="",OR(G187="Critical",G187="Major",G187="Minor"))),1,0)</formula>
    </cfRule>
  </conditionalFormatting>
  <conditionalFormatting sqref="F257 F246 F234:F235 F219:F220 F200 F195:F196 F193 F187:F188 F202:F204 F237:F239">
    <cfRule type="expression" dxfId="401" priority="451">
      <formula>IF(AND(F187="",OR(E187="Accuracy",E187="Fluency",E187="Segment",E187="Other")),1,0)</formula>
    </cfRule>
  </conditionalFormatting>
  <conditionalFormatting sqref="G257 G233:G239 G219:G220 G200:G204 G195:G197 G193 G187:G188">
    <cfRule type="expression" dxfId="400" priority="453">
      <formula>IF(AND(OR(G187="",#REF!="Segment"),OR(#REF!="Accuracy",#REF!="Fluency",#REF!="Other")),1,0)</formula>
    </cfRule>
  </conditionalFormatting>
  <conditionalFormatting sqref="G185">
    <cfRule type="expression" dxfId="399" priority="447">
      <formula>IF(AND(OR(G185="",#REF!="Segment"),OR(#REF!="Accuracy",#REF!="Fluency",#REF!="Other")),1,0)</formula>
    </cfRule>
  </conditionalFormatting>
  <conditionalFormatting sqref="G185">
    <cfRule type="expression" dxfId="398" priority="449">
      <formula>IF(OR(AND(G185="",H184="",OR(I185="Critical",I185="Major",I185="Minor"))),1,0)</formula>
    </cfRule>
  </conditionalFormatting>
  <conditionalFormatting sqref="G186">
    <cfRule type="expression" dxfId="397" priority="442">
      <formula>IF(AND(OR(G186="",#REF!="Segment"),OR(#REF!="Accuracy",#REF!="Fluency",#REF!="Other")),1,0)</formula>
    </cfRule>
  </conditionalFormatting>
  <conditionalFormatting sqref="G186">
    <cfRule type="expression" dxfId="396" priority="444">
      <formula>IF(OR(AND(G186="",H185="",OR(I186="Critical",I186="Major",I186="Minor"))),1,0)</formula>
    </cfRule>
  </conditionalFormatting>
  <conditionalFormatting sqref="G189">
    <cfRule type="expression" dxfId="395" priority="439">
      <formula>IF(OR(AND(G189="",H189="",OR(I189="Critical",I189="Major",I189="Minor"))),1,0)</formula>
    </cfRule>
  </conditionalFormatting>
  <conditionalFormatting sqref="G189">
    <cfRule type="expression" dxfId="394" priority="440">
      <formula>IF(AND(OR(G189="",#REF!="Segment"),OR(#REF!="Accuracy",#REF!="Fluency",#REF!="Other")),1,0)</formula>
    </cfRule>
  </conditionalFormatting>
  <conditionalFormatting sqref="E190:G190">
    <cfRule type="expression" dxfId="393" priority="436">
      <formula>IF(OR(AND(E190="",F190="",OR(G190="Critical",G190="Major",G190="Minor"))),1,0)</formula>
    </cfRule>
  </conditionalFormatting>
  <conditionalFormatting sqref="F190">
    <cfRule type="expression" dxfId="392" priority="435">
      <formula>IF(AND(F190="",OR(E190="Accuracy",E190="Fluency",E190="Segment",E190="Other")),1,0)</formula>
    </cfRule>
  </conditionalFormatting>
  <conditionalFormatting sqref="G190">
    <cfRule type="expression" dxfId="391" priority="437">
      <formula>IF(AND(OR(G190="",#REF!="Segment"),OR(#REF!="Accuracy",#REF!="Fluency",#REF!="Other")),1,0)</formula>
    </cfRule>
  </conditionalFormatting>
  <conditionalFormatting sqref="E191:G191">
    <cfRule type="expression" dxfId="390" priority="433">
      <formula>IF(OR(AND(E191="",F191="",OR(G191="Critical",G191="Major",G191="Minor"))),1,0)</formula>
    </cfRule>
  </conditionalFormatting>
  <conditionalFormatting sqref="F191">
    <cfRule type="expression" dxfId="389" priority="432">
      <formula>IF(AND(F191="",OR(E191="Accuracy",E191="Fluency",E191="Segment",E191="Other")),1,0)</formula>
    </cfRule>
  </conditionalFormatting>
  <conditionalFormatting sqref="G191">
    <cfRule type="expression" dxfId="388" priority="434">
      <formula>IF(AND(OR(G191="",#REF!="Segment"),OR(#REF!="Accuracy",#REF!="Fluency",#REF!="Other")),1,0)</formula>
    </cfRule>
  </conditionalFormatting>
  <conditionalFormatting sqref="E192:G192">
    <cfRule type="expression" dxfId="387" priority="430">
      <formula>IF(OR(AND(E192="",F192="",OR(G192="Critical",G192="Major",G192="Minor"))),1,0)</formula>
    </cfRule>
  </conditionalFormatting>
  <conditionalFormatting sqref="F192">
    <cfRule type="expression" dxfId="386" priority="429">
      <formula>IF(AND(F192="",OR(E192="Accuracy",E192="Fluency",E192="Segment",E192="Other")),1,0)</formula>
    </cfRule>
  </conditionalFormatting>
  <conditionalFormatting sqref="G192">
    <cfRule type="expression" dxfId="385" priority="431">
      <formula>IF(AND(OR(G192="",#REF!="Segment"),OR(#REF!="Accuracy",#REF!="Fluency",#REF!="Other")),1,0)</formula>
    </cfRule>
  </conditionalFormatting>
  <conditionalFormatting sqref="E194:G194">
    <cfRule type="expression" dxfId="384" priority="427">
      <formula>IF(OR(AND(E194="",F194="",OR(G194="Critical",G194="Major",G194="Minor"))),1,0)</formula>
    </cfRule>
  </conditionalFormatting>
  <conditionalFormatting sqref="F194">
    <cfRule type="expression" dxfId="383" priority="426">
      <formula>IF(AND(F194="",OR(E194="Accuracy",E194="Fluency",E194="Segment",E194="Other")),1,0)</formula>
    </cfRule>
  </conditionalFormatting>
  <conditionalFormatting sqref="G194">
    <cfRule type="expression" dxfId="382" priority="428">
      <formula>IF(AND(OR(G194="",#REF!="Segment"),OR(#REF!="Accuracy",#REF!="Fluency",#REF!="Other")),1,0)</formula>
    </cfRule>
  </conditionalFormatting>
  <conditionalFormatting sqref="E198:G199">
    <cfRule type="expression" dxfId="381" priority="424">
      <formula>IF(OR(AND(E198="",F198="",OR(G198="Critical",G198="Major",G198="Minor"))),1,0)</formula>
    </cfRule>
  </conditionalFormatting>
  <conditionalFormatting sqref="F198:F199">
    <cfRule type="expression" dxfId="380" priority="423">
      <formula>IF(AND(F198="",OR(E198="Accuracy",E198="Fluency",E198="Segment",E198="Other")),1,0)</formula>
    </cfRule>
  </conditionalFormatting>
  <conditionalFormatting sqref="G198:G199">
    <cfRule type="expression" dxfId="379" priority="425">
      <formula>IF(AND(OR(G198="",#REF!="Segment"),OR(#REF!="Accuracy",#REF!="Fluency",#REF!="Other")),1,0)</formula>
    </cfRule>
  </conditionalFormatting>
  <conditionalFormatting sqref="E207:G207">
    <cfRule type="expression" dxfId="378" priority="421">
      <formula>IF(OR(AND(E207="",F207="",OR(G207="Critical",G207="Major",G207="Minor"))),1,0)</formula>
    </cfRule>
  </conditionalFormatting>
  <conditionalFormatting sqref="F207">
    <cfRule type="expression" dxfId="377" priority="420">
      <formula>IF(AND(F207="",OR(E207="Accuracy",E207="Fluency",E207="Segment",E207="Other")),1,0)</formula>
    </cfRule>
  </conditionalFormatting>
  <conditionalFormatting sqref="G207">
    <cfRule type="expression" dxfId="376" priority="422">
      <formula>IF(AND(OR(G207="",#REF!="Segment"),OR(#REF!="Accuracy",#REF!="Fluency",#REF!="Other")),1,0)</formula>
    </cfRule>
  </conditionalFormatting>
  <conditionalFormatting sqref="G205:G206">
    <cfRule type="expression" dxfId="375" priority="418">
      <formula>IF(OR(AND(G205="",H205="",OR(I205="Critical",I205="Major",I205="Minor"))),1,0)</formula>
    </cfRule>
  </conditionalFormatting>
  <conditionalFormatting sqref="G205:G206">
    <cfRule type="expression" dxfId="374" priority="419">
      <formula>IF(AND(OR(G205="",#REF!="Segment"),OR(#REF!="Accuracy",#REF!="Fluency",#REF!="Other")),1,0)</formula>
    </cfRule>
  </conditionalFormatting>
  <conditionalFormatting sqref="G208">
    <cfRule type="expression" dxfId="373" priority="415">
      <formula>IF(OR(AND(G208="",H208="",OR(I208="Critical",I208="Major",I208="Minor"))),1,0)</formula>
    </cfRule>
  </conditionalFormatting>
  <conditionalFormatting sqref="G208">
    <cfRule type="expression" dxfId="372" priority="416">
      <formula>IF(AND(OR(G208="",#REF!="Segment"),OR(#REF!="Accuracy",#REF!="Fluency",#REF!="Other")),1,0)</formula>
    </cfRule>
  </conditionalFormatting>
  <conditionalFormatting sqref="E210:G210">
    <cfRule type="expression" dxfId="371" priority="412">
      <formula>IF(OR(AND(E210="",F210="",OR(G210="Critical",G210="Major",G210="Minor"))),1,0)</formula>
    </cfRule>
  </conditionalFormatting>
  <conditionalFormatting sqref="F210">
    <cfRule type="expression" dxfId="370" priority="411">
      <formula>IF(AND(F210="",OR(E210="Accuracy",E210="Fluency",E210="Segment",E210="Other")),1,0)</formula>
    </cfRule>
  </conditionalFormatting>
  <conditionalFormatting sqref="G210">
    <cfRule type="expression" dxfId="369" priority="413">
      <formula>IF(AND(OR(G210="",#REF!="Segment"),OR(#REF!="Accuracy",#REF!="Fluency",#REF!="Other")),1,0)</formula>
    </cfRule>
  </conditionalFormatting>
  <conditionalFormatting sqref="G209">
    <cfRule type="expression" dxfId="368" priority="409">
      <formula>IF(OR(AND(G209="",H209="",OR(I209="Critical",I209="Major",I209="Minor"))),1,0)</formula>
    </cfRule>
  </conditionalFormatting>
  <conditionalFormatting sqref="G209">
    <cfRule type="expression" dxfId="367" priority="410">
      <formula>IF(AND(OR(G209="",#REF!="Segment"),OR(#REF!="Accuracy",#REF!="Fluency",#REF!="Other")),1,0)</formula>
    </cfRule>
  </conditionalFormatting>
  <conditionalFormatting sqref="G211:G212">
    <cfRule type="expression" dxfId="366" priority="404">
      <formula>IF(OR(AND(G211="",H211="",OR(I211="Critical",I211="Major",I211="Minor"))),1,0)</formula>
    </cfRule>
  </conditionalFormatting>
  <conditionalFormatting sqref="G211:G212">
    <cfRule type="expression" dxfId="365" priority="405">
      <formula>IF(AND(OR(G211="",#REF!="Segment"),OR(#REF!="Accuracy",#REF!="Fluency",#REF!="Other")),1,0)</formula>
    </cfRule>
  </conditionalFormatting>
  <conditionalFormatting sqref="F214">
    <cfRule type="expression" dxfId="364" priority="401">
      <formula>IF(AND(F214="",OR(E214="Accuracy",E214="Fluency",E214="Segment",E214="Other")),1,0)</formula>
    </cfRule>
  </conditionalFormatting>
  <conditionalFormatting sqref="G214">
    <cfRule type="expression" dxfId="363" priority="402">
      <formula>IF(AND(OR(G214="",#REF!="Segment"),OR(#REF!="Accuracy",#REF!="Fluency",#REF!="Other")),1,0)</formula>
    </cfRule>
  </conditionalFormatting>
  <conditionalFormatting sqref="F235 F214">
    <cfRule type="expression" dxfId="362" priority="406">
      <formula>IF(OR(AND(F214="",G214="",OR(H213="Critical",H213="Major",H213="Minor"))),1,0)</formula>
    </cfRule>
  </conditionalFormatting>
  <conditionalFormatting sqref="G214">
    <cfRule type="expression" dxfId="361" priority="407">
      <formula>IF(OR(AND(G214="",H213="",OR(I213="Critical",I213="Major",I213="Minor"))),1,0)</formula>
    </cfRule>
  </conditionalFormatting>
  <conditionalFormatting sqref="E213">
    <cfRule type="expression" dxfId="360" priority="398">
      <formula>IF(OR(AND(E213="",F213="",OR(G213="Critical",G213="Major",G213="Minor"))),1,0)</formula>
    </cfRule>
  </conditionalFormatting>
  <conditionalFormatting sqref="F213">
    <cfRule type="expression" dxfId="359" priority="396">
      <formula>IF(AND(F213="",OR(E213="Accuracy",E213="Fluency",E213="Segment",E213="Other")),1,0)</formula>
    </cfRule>
  </conditionalFormatting>
  <conditionalFormatting sqref="G213">
    <cfRule type="expression" dxfId="358" priority="397">
      <formula>IF(AND(OR(G213="",#REF!="Segment"),OR(#REF!="Accuracy",#REF!="Fluency",#REF!="Other")),1,0)</formula>
    </cfRule>
  </conditionalFormatting>
  <conditionalFormatting sqref="F213">
    <cfRule type="expression" dxfId="357" priority="399">
      <formula>IF(OR(AND(F213="",G213="",OR(H212="Critical",H212="Major",H212="Minor"))),1,0)</formula>
    </cfRule>
  </conditionalFormatting>
  <conditionalFormatting sqref="G213">
    <cfRule type="expression" dxfId="356" priority="400">
      <formula>IF(OR(AND(G213="",H212="",OR(I212="Critical",I212="Major",I212="Minor"))),1,0)</formula>
    </cfRule>
  </conditionalFormatting>
  <conditionalFormatting sqref="G215">
    <cfRule type="expression" dxfId="355" priority="394">
      <formula>IF(OR(AND(G215="",H215="",OR(I215="Critical",I215="Major",I215="Minor"))),1,0)</formula>
    </cfRule>
  </conditionalFormatting>
  <conditionalFormatting sqref="G215">
    <cfRule type="expression" dxfId="354" priority="395">
      <formula>IF(AND(OR(G215="",#REF!="Segment"),OR(#REF!="Accuracy",#REF!="Fluency",#REF!="Other")),1,0)</formula>
    </cfRule>
  </conditionalFormatting>
  <conditionalFormatting sqref="E215:F215">
    <cfRule type="expression" dxfId="353" priority="393">
      <formula>IF(OR(AND(E215="",F215="",OR(G215="Critical",G215="Major",G215="Minor"))),1,0)</formula>
    </cfRule>
  </conditionalFormatting>
  <conditionalFormatting sqref="F215">
    <cfRule type="expression" dxfId="352" priority="392">
      <formula>IF(AND(F215="",OR(E215="Accuracy",E215="Fluency",E215="Segment",E215="Other")),1,0)</formula>
    </cfRule>
  </conditionalFormatting>
  <conditionalFormatting sqref="G216">
    <cfRule type="expression" dxfId="351" priority="388">
      <formula>IF(AND(OR(G216="",#REF!="Segment"),OR(#REF!="Accuracy",#REF!="Fluency",#REF!="Other")),1,0)</formula>
    </cfRule>
  </conditionalFormatting>
  <conditionalFormatting sqref="G216">
    <cfRule type="expression" dxfId="350" priority="390">
      <formula>IF(OR(AND(G216="",H215="",OR(I216="Critical",I216="Major",I216="Minor"))),1,0)</formula>
    </cfRule>
  </conditionalFormatting>
  <conditionalFormatting sqref="E217:G217">
    <cfRule type="expression" dxfId="349" priority="385">
      <formula>IF(OR(AND(E217="",F217="",OR(G217="Critical",G217="Major",G217="Minor"))),1,0)</formula>
    </cfRule>
  </conditionalFormatting>
  <conditionalFormatting sqref="F217">
    <cfRule type="expression" dxfId="348" priority="384">
      <formula>IF(AND(F217="",OR(E217="Accuracy",E217="Fluency",E217="Segment",E217="Other")),1,0)</formula>
    </cfRule>
  </conditionalFormatting>
  <conditionalFormatting sqref="G217">
    <cfRule type="expression" dxfId="347" priority="386">
      <formula>IF(AND(OR(G217="",#REF!="Segment"),OR(#REF!="Accuracy",#REF!="Fluency",#REF!="Other")),1,0)</formula>
    </cfRule>
  </conditionalFormatting>
  <conditionalFormatting sqref="E218:G218">
    <cfRule type="expression" dxfId="346" priority="382">
      <formula>IF(OR(AND(E218="",F218="",OR(G218="Critical",G218="Major",G218="Minor"))),1,0)</formula>
    </cfRule>
  </conditionalFormatting>
  <conditionalFormatting sqref="F218">
    <cfRule type="expression" dxfId="345" priority="381">
      <formula>IF(AND(F218="",OR(E218="Accuracy",E218="Fluency",E218="Segment",E218="Other")),1,0)</formula>
    </cfRule>
  </conditionalFormatting>
  <conditionalFormatting sqref="G218">
    <cfRule type="expression" dxfId="344" priority="383">
      <formula>IF(AND(OR(G218="",#REF!="Segment"),OR(#REF!="Accuracy",#REF!="Fluency",#REF!="Other")),1,0)</formula>
    </cfRule>
  </conditionalFormatting>
  <conditionalFormatting sqref="G221">
    <cfRule type="expression" dxfId="343" priority="378">
      <formula>IF(AND(OR(G221="",#REF!="Segment"),OR(#REF!="Accuracy",#REF!="Fluency",#REF!="Other")),1,0)</formula>
    </cfRule>
  </conditionalFormatting>
  <conditionalFormatting sqref="G221">
    <cfRule type="expression" dxfId="342" priority="379">
      <formula>IF(OR(AND(G221="",#REF!="",OR(I221="Critical",I221="Major",I221="Minor"))),1,0)</formula>
    </cfRule>
  </conditionalFormatting>
  <conditionalFormatting sqref="G222">
    <cfRule type="expression" dxfId="341" priority="373">
      <formula>IF(AND(OR(G222="",#REF!="Segment"),OR(#REF!="Accuracy",#REF!="Fluency",#REF!="Other")),1,0)</formula>
    </cfRule>
  </conditionalFormatting>
  <conditionalFormatting sqref="G222">
    <cfRule type="expression" dxfId="340" priority="374">
      <formula>IF(OR(AND(G222="",#REF!="",OR(I222="Critical",I222="Major",I222="Minor"))),1,0)</formula>
    </cfRule>
  </conditionalFormatting>
  <conditionalFormatting sqref="E223:G223">
    <cfRule type="expression" dxfId="339" priority="369">
      <formula>IF(OR(AND(E223="",F223="",OR(G223="Critical",G223="Major",G223="Minor"))),1,0)</formula>
    </cfRule>
  </conditionalFormatting>
  <conditionalFormatting sqref="F223">
    <cfRule type="expression" dxfId="338" priority="368">
      <formula>IF(AND(F223="",OR(E223="Accuracy",E223="Fluency",E223="Segment",E223="Other")),1,0)</formula>
    </cfRule>
  </conditionalFormatting>
  <conditionalFormatting sqref="G223">
    <cfRule type="expression" dxfId="337" priority="370">
      <formula>IF(AND(OR(G223="",#REF!="Segment"),OR(#REF!="Accuracy",#REF!="Fluency",#REF!="Other")),1,0)</formula>
    </cfRule>
  </conditionalFormatting>
  <conditionalFormatting sqref="E224:G224">
    <cfRule type="expression" dxfId="336" priority="366">
      <formula>IF(OR(AND(E224="",F224="",OR(G224="Critical",G224="Major",G224="Minor"))),1,0)</formula>
    </cfRule>
  </conditionalFormatting>
  <conditionalFormatting sqref="F224">
    <cfRule type="expression" dxfId="335" priority="365">
      <formula>IF(AND(F224="",OR(E224="Accuracy",E224="Fluency",E224="Segment",E224="Other")),1,0)</formula>
    </cfRule>
  </conditionalFormatting>
  <conditionalFormatting sqref="G224">
    <cfRule type="expression" dxfId="334" priority="367">
      <formula>IF(AND(OR(G224="",#REF!="Segment"),OR(#REF!="Accuracy",#REF!="Fluency",#REF!="Other")),1,0)</formula>
    </cfRule>
  </conditionalFormatting>
  <conditionalFormatting sqref="G225">
    <cfRule type="expression" dxfId="333" priority="363">
      <formula>IF(OR(AND(G225="",H225="",OR(I225="Critical",I225="Major",I225="Minor"))),1,0)</formula>
    </cfRule>
  </conditionalFormatting>
  <conditionalFormatting sqref="G225">
    <cfRule type="expression" dxfId="332" priority="364">
      <formula>IF(AND(OR(G225="",#REF!="Segment"),OR(#REF!="Accuracy",#REF!="Fluency",#REF!="Other")),1,0)</formula>
    </cfRule>
  </conditionalFormatting>
  <conditionalFormatting sqref="G226">
    <cfRule type="expression" dxfId="331" priority="360">
      <formula>IF(OR(AND(G226="",H226="",OR(I226="Critical",I226="Major",I226="Minor"))),1,0)</formula>
    </cfRule>
  </conditionalFormatting>
  <conditionalFormatting sqref="G226">
    <cfRule type="expression" dxfId="330" priority="361">
      <formula>IF(AND(OR(G226="",#REF!="Segment"),OR(#REF!="Accuracy",#REF!="Fluency",#REF!="Other")),1,0)</formula>
    </cfRule>
  </conditionalFormatting>
  <conditionalFormatting sqref="E227:G227">
    <cfRule type="expression" dxfId="329" priority="357">
      <formula>IF(OR(AND(E227="",F227="",OR(G227="Critical",G227="Major",G227="Minor"))),1,0)</formula>
    </cfRule>
  </conditionalFormatting>
  <conditionalFormatting sqref="F227">
    <cfRule type="expression" dxfId="328" priority="356">
      <formula>IF(AND(F227="",OR(E227="Accuracy",E227="Fluency",E227="Segment",E227="Other")),1,0)</formula>
    </cfRule>
  </conditionalFormatting>
  <conditionalFormatting sqref="G227">
    <cfRule type="expression" dxfId="327" priority="358">
      <formula>IF(AND(OR(G227="",#REF!="Segment"),OR(#REF!="Accuracy",#REF!="Fluency",#REF!="Other")),1,0)</formula>
    </cfRule>
  </conditionalFormatting>
  <conditionalFormatting sqref="E228:G228">
    <cfRule type="expression" dxfId="326" priority="354">
      <formula>IF(OR(AND(E228="",F228="",OR(G228="Critical",G228="Major",G228="Minor"))),1,0)</formula>
    </cfRule>
  </conditionalFormatting>
  <conditionalFormatting sqref="F228">
    <cfRule type="expression" dxfId="325" priority="353">
      <formula>IF(AND(F228="",OR(E228="Accuracy",E228="Fluency",E228="Segment",E228="Other")),1,0)</formula>
    </cfRule>
  </conditionalFormatting>
  <conditionalFormatting sqref="G228">
    <cfRule type="expression" dxfId="324" priority="355">
      <formula>IF(AND(OR(G228="",#REF!="Segment"),OR(#REF!="Accuracy",#REF!="Fluency",#REF!="Other")),1,0)</formula>
    </cfRule>
  </conditionalFormatting>
  <conditionalFormatting sqref="G229:G230">
    <cfRule type="expression" dxfId="323" priority="351">
      <formula>IF(OR(AND(G229="",H229="",OR(I229="Critical",I229="Major",I229="Minor"))),1,0)</formula>
    </cfRule>
  </conditionalFormatting>
  <conditionalFormatting sqref="G229:G230">
    <cfRule type="expression" dxfId="322" priority="352">
      <formula>IF(AND(OR(G229="",#REF!="Segment"),OR(#REF!="Accuracy",#REF!="Fluency",#REF!="Other")),1,0)</formula>
    </cfRule>
  </conditionalFormatting>
  <conditionalFormatting sqref="E231">
    <cfRule type="expression" dxfId="321" priority="347">
      <formula>IF(OR(AND(E231="",F231="",OR(G231="Critical",G231="Major",G231="Minor"))),1,0)</formula>
    </cfRule>
  </conditionalFormatting>
  <conditionalFormatting sqref="G231">
    <cfRule type="expression" dxfId="320" priority="348">
      <formula>IF(OR(AND(G231="",H230="",OR(I231="Critical",I231="Major",I231="Minor"))),1,0)</formula>
    </cfRule>
  </conditionalFormatting>
  <conditionalFormatting sqref="F231">
    <cfRule type="expression" dxfId="319" priority="349">
      <formula>IF(OR(AND(F231="",G231="",OR(H230="Critical",H230="Major",H230="Minor"))),1,0)</formula>
    </cfRule>
  </conditionalFormatting>
  <conditionalFormatting sqref="F231">
    <cfRule type="expression" dxfId="318" priority="345">
      <formula>IF(AND(F231="",OR(E231="Accuracy",E231="Fluency",E231="Segment",E231="Other")),1,0)</formula>
    </cfRule>
  </conditionalFormatting>
  <conditionalFormatting sqref="G231">
    <cfRule type="expression" dxfId="317" priority="346">
      <formula>IF(AND(OR(G231="",#REF!="Segment"),OR(#REF!="Accuracy",#REF!="Fluency",#REF!="Other")),1,0)</formula>
    </cfRule>
  </conditionalFormatting>
  <conditionalFormatting sqref="E232">
    <cfRule type="expression" dxfId="316" priority="342">
      <formula>IF(OR(AND(E232="",F232="",OR(G232="Critical",G232="Major",G232="Minor"))),1,0)</formula>
    </cfRule>
  </conditionalFormatting>
  <conditionalFormatting sqref="G232">
    <cfRule type="expression" dxfId="315" priority="343">
      <formula>IF(OR(AND(G232="",H231="",OR(I232="Critical",I232="Major",I232="Minor"))),1,0)</formula>
    </cfRule>
  </conditionalFormatting>
  <conditionalFormatting sqref="F232">
    <cfRule type="expression" dxfId="314" priority="344">
      <formula>IF(OR(AND(F232="",G232="",OR(H231="Critical",H231="Major",H231="Minor"))),1,0)</formula>
    </cfRule>
  </conditionalFormatting>
  <conditionalFormatting sqref="F232">
    <cfRule type="expression" dxfId="313" priority="340">
      <formula>IF(AND(F232="",OR(E232="Accuracy",E232="Fluency",E232="Segment",E232="Other")),1,0)</formula>
    </cfRule>
  </conditionalFormatting>
  <conditionalFormatting sqref="G232">
    <cfRule type="expression" dxfId="312" priority="341">
      <formula>IF(AND(OR(G232="",#REF!="Segment"),OR(#REF!="Accuracy",#REF!="Fluency",#REF!="Other")),1,0)</formula>
    </cfRule>
  </conditionalFormatting>
  <conditionalFormatting sqref="G234">
    <cfRule type="expression" dxfId="311" priority="339">
      <formula>IF(OR(AND(G234="",H234="",OR(I235="Critical",I235="Major",I235="Minor"))),1,0)</formula>
    </cfRule>
  </conditionalFormatting>
  <conditionalFormatting sqref="G235">
    <cfRule type="expression" dxfId="310" priority="338">
      <formula>IF(OR(AND(G235="",H234="",OR(I235="Critical",I235="Major",I235="Minor"))),1,0)</formula>
    </cfRule>
  </conditionalFormatting>
  <conditionalFormatting sqref="G240">
    <cfRule type="expression" dxfId="309" priority="336">
      <formula>IF(OR(AND(G240="",H240="",OR(I240="Critical",I240="Major",I240="Minor"))),1,0)</formula>
    </cfRule>
  </conditionalFormatting>
  <conditionalFormatting sqref="G240">
    <cfRule type="expression" dxfId="308" priority="337">
      <formula>IF(AND(OR(G240="",#REF!="Segment"),OR(#REF!="Accuracy",#REF!="Fluency",#REF!="Other")),1,0)</formula>
    </cfRule>
  </conditionalFormatting>
  <conditionalFormatting sqref="E241:G242">
    <cfRule type="expression" dxfId="307" priority="333">
      <formula>IF(OR(AND(E241="",F241="",OR(G241="Critical",G241="Major",G241="Minor"))),1,0)</formula>
    </cfRule>
  </conditionalFormatting>
  <conditionalFormatting sqref="F241:F242">
    <cfRule type="expression" dxfId="306" priority="332">
      <formula>IF(AND(F241="",OR(E241="Accuracy",E241="Fluency",E241="Segment",E241="Other")),1,0)</formula>
    </cfRule>
  </conditionalFormatting>
  <conditionalFormatting sqref="G241:G242">
    <cfRule type="expression" dxfId="305" priority="334">
      <formula>IF(AND(OR(G241="",#REF!="Segment"),OR(#REF!="Accuracy",#REF!="Fluency",#REF!="Other")),1,0)</formula>
    </cfRule>
  </conditionalFormatting>
  <conditionalFormatting sqref="G243">
    <cfRule type="expression" dxfId="304" priority="330">
      <formula>IF(OR(AND(G243="",H243="",OR(I243="Critical",I243="Major",I243="Minor"))),1,0)</formula>
    </cfRule>
  </conditionalFormatting>
  <conditionalFormatting sqref="G243">
    <cfRule type="expression" dxfId="303" priority="331">
      <formula>IF(AND(OR(G243="",#REF!="Segment"),OR(#REF!="Accuracy",#REF!="Fluency",#REF!="Other")),1,0)</formula>
    </cfRule>
  </conditionalFormatting>
  <conditionalFormatting sqref="G244">
    <cfRule type="expression" dxfId="302" priority="327">
      <formula>IF(OR(AND(G244="",H244="",OR(I244="Critical",I244="Major",I244="Minor"))),1,0)</formula>
    </cfRule>
  </conditionalFormatting>
  <conditionalFormatting sqref="G244">
    <cfRule type="expression" dxfId="301" priority="328">
      <formula>IF(AND(OR(G244="",#REF!="Segment"),OR(#REF!="Accuracy",#REF!="Fluency",#REF!="Other")),1,0)</formula>
    </cfRule>
  </conditionalFormatting>
  <conditionalFormatting sqref="E244:F244">
    <cfRule type="expression" dxfId="300" priority="326">
      <formula>IF(OR(AND(E244="",F244="",OR(G244="Critical",G244="Major",G244="Minor"))),1,0)</formula>
    </cfRule>
  </conditionalFormatting>
  <conditionalFormatting sqref="F244">
    <cfRule type="expression" dxfId="299" priority="325">
      <formula>IF(AND(F244="",OR(E244="Accuracy",E244="Fluency",E244="Segment",E244="Other")),1,0)</formula>
    </cfRule>
  </conditionalFormatting>
  <conditionalFormatting sqref="F245">
    <cfRule type="expression" dxfId="298" priority="322">
      <formula>IF(AND(F245="",OR(E245="Accuracy",E245="Fluency",E245="Segment",E245="Other")),1,0)</formula>
    </cfRule>
  </conditionalFormatting>
  <conditionalFormatting sqref="G245">
    <cfRule type="expression" dxfId="297" priority="324">
      <formula>IF(AND(OR(G245="",#REF!="Segment"),OR(#REF!="Accuracy",#REF!="Fluency",#REF!="Other")),1,0)</formula>
    </cfRule>
  </conditionalFormatting>
  <conditionalFormatting sqref="E245:G245">
    <cfRule type="expression" dxfId="296" priority="323">
      <formula>IF(OR(AND(E245="",F245="",OR(G245="Critical",G245="Major",G245="Minor"))),1,0)</formula>
    </cfRule>
  </conditionalFormatting>
  <conditionalFormatting sqref="G246">
    <cfRule type="expression" dxfId="295" priority="320">
      <formula>IF(OR(AND(G246="",H246="",OR(I246="Critical",I246="Major",I246="Minor"))),1,0)</formula>
    </cfRule>
  </conditionalFormatting>
  <conditionalFormatting sqref="G246">
    <cfRule type="expression" dxfId="294" priority="321">
      <formula>IF(AND(OR(G246="",#REF!="Segment"),OR(#REF!="Accuracy",#REF!="Fluency",#REF!="Other")),1,0)</formula>
    </cfRule>
  </conditionalFormatting>
  <conditionalFormatting sqref="G247">
    <cfRule type="expression" dxfId="293" priority="318">
      <formula>IF(OR(AND(G247="",H247="",OR(I247="Critical",I247="Major",I247="Minor"))),1,0)</formula>
    </cfRule>
  </conditionalFormatting>
  <conditionalFormatting sqref="G247">
    <cfRule type="expression" dxfId="292" priority="319">
      <formula>IF(AND(OR(G247="",#REF!="Segment"),OR(#REF!="Accuracy",#REF!="Fluency",#REF!="Other")),1,0)</formula>
    </cfRule>
  </conditionalFormatting>
  <conditionalFormatting sqref="G248">
    <cfRule type="expression" dxfId="291" priority="315">
      <formula>IF(OR(AND(G248="",H248="",OR(I248="Critical",I248="Major",I248="Minor"))),1,0)</formula>
    </cfRule>
  </conditionalFormatting>
  <conditionalFormatting sqref="G248">
    <cfRule type="expression" dxfId="290" priority="316">
      <formula>IF(AND(OR(G248="",#REF!="Segment"),OR(#REF!="Accuracy",#REF!="Fluency",#REF!="Other")),1,0)</formula>
    </cfRule>
  </conditionalFormatting>
  <conditionalFormatting sqref="E249">
    <cfRule type="expression" dxfId="289" priority="310">
      <formula>IF(OR(AND(E249="",F249="",OR(G249="Critical",G249="Major",G249="Minor"))),1,0)</formula>
    </cfRule>
  </conditionalFormatting>
  <conditionalFormatting sqref="F249">
    <cfRule type="expression" dxfId="288" priority="309">
      <formula>IF(AND(F249="",OR(E249="Accuracy",E249="Fluency",E249="Segment",E249="Other")),1,0)</formula>
    </cfRule>
  </conditionalFormatting>
  <conditionalFormatting sqref="G249">
    <cfRule type="expression" dxfId="287" priority="311">
      <formula>IF(AND(OR(G249="",#REF!="Segment"),OR(#REF!="Accuracy",#REF!="Fluency",#REF!="Other")),1,0)</formula>
    </cfRule>
  </conditionalFormatting>
  <conditionalFormatting sqref="G249">
    <cfRule type="expression" dxfId="286" priority="312">
      <formula>IF(OR(AND(G249="",H248="",OR(I249="Critical",I249="Major",I249="Minor"))),1,0)</formula>
    </cfRule>
  </conditionalFormatting>
  <conditionalFormatting sqref="F249">
    <cfRule type="expression" dxfId="285" priority="313">
      <formula>IF(OR(AND(F249="",G249="",OR(H248="Critical",H248="Major",H248="Minor"))),1,0)</formula>
    </cfRule>
  </conditionalFormatting>
  <conditionalFormatting sqref="E250">
    <cfRule type="expression" dxfId="284" priority="305">
      <formula>IF(OR(AND(E250="",F250="",OR(G250="Critical",G250="Major",G250="Minor"))),1,0)</formula>
    </cfRule>
  </conditionalFormatting>
  <conditionalFormatting sqref="F250">
    <cfRule type="expression" dxfId="283" priority="304">
      <formula>IF(AND(F250="",OR(E250="Accuracy",E250="Fluency",E250="Segment",E250="Other")),1,0)</formula>
    </cfRule>
  </conditionalFormatting>
  <conditionalFormatting sqref="G250">
    <cfRule type="expression" dxfId="282" priority="306">
      <formula>IF(AND(OR(G250="",#REF!="Segment"),OR(#REF!="Accuracy",#REF!="Fluency",#REF!="Other")),1,0)</formula>
    </cfRule>
  </conditionalFormatting>
  <conditionalFormatting sqref="G250">
    <cfRule type="expression" dxfId="281" priority="307">
      <formula>IF(OR(AND(G250="",H249="",OR(I250="Critical",I250="Major",I250="Minor"))),1,0)</formula>
    </cfRule>
  </conditionalFormatting>
  <conditionalFormatting sqref="F250">
    <cfRule type="expression" dxfId="280" priority="308">
      <formula>IF(OR(AND(F250="",G250="",OR(H249="Critical",H249="Major",H249="Minor"))),1,0)</formula>
    </cfRule>
  </conditionalFormatting>
  <conditionalFormatting sqref="G251">
    <cfRule type="expression" dxfId="279" priority="302">
      <formula>IF(OR(AND(G251="",H251="",OR(I251="Critical",I251="Major",I251="Minor"))),1,0)</formula>
    </cfRule>
  </conditionalFormatting>
  <conditionalFormatting sqref="G251">
    <cfRule type="expression" dxfId="278" priority="303">
      <formula>IF(AND(OR(G251="",#REF!="Segment"),OR(#REF!="Accuracy",#REF!="Fluency",#REF!="Other")),1,0)</formula>
    </cfRule>
  </conditionalFormatting>
  <conditionalFormatting sqref="G252">
    <cfRule type="expression" dxfId="277" priority="299">
      <formula>IF(OR(AND(G252="",H252="",OR(I252="Critical",I252="Major",I252="Minor"))),1,0)</formula>
    </cfRule>
  </conditionalFormatting>
  <conditionalFormatting sqref="G252">
    <cfRule type="expression" dxfId="276" priority="300">
      <formula>IF(AND(OR(G252="",#REF!="Segment"),OR(#REF!="Accuracy",#REF!="Fluency",#REF!="Other")),1,0)</formula>
    </cfRule>
  </conditionalFormatting>
  <conditionalFormatting sqref="E253">
    <cfRule type="expression" dxfId="275" priority="294">
      <formula>IF(OR(AND(E253="",F253="",OR(G253="Critical",G253="Major",G253="Minor"))),1,0)</formula>
    </cfRule>
  </conditionalFormatting>
  <conditionalFormatting sqref="F253">
    <cfRule type="expression" dxfId="274" priority="293">
      <formula>IF(AND(F253="",OR(E253="Accuracy",E253="Fluency",E253="Segment",E253="Other")),1,0)</formula>
    </cfRule>
  </conditionalFormatting>
  <conditionalFormatting sqref="G253">
    <cfRule type="expression" dxfId="273" priority="295">
      <formula>IF(AND(OR(G253="",#REF!="Segment"),OR(#REF!="Accuracy",#REF!="Fluency",#REF!="Other")),1,0)</formula>
    </cfRule>
  </conditionalFormatting>
  <conditionalFormatting sqref="G253">
    <cfRule type="expression" dxfId="272" priority="296">
      <formula>IF(OR(AND(G253="",H252="",OR(I253="Critical",I253="Major",I253="Minor"))),1,0)</formula>
    </cfRule>
  </conditionalFormatting>
  <conditionalFormatting sqref="F253">
    <cfRule type="expression" dxfId="271" priority="297">
      <formula>IF(OR(AND(F253="",G253="",OR(H252="Critical",H252="Major",H252="Minor"))),1,0)</formula>
    </cfRule>
  </conditionalFormatting>
  <conditionalFormatting sqref="E254">
    <cfRule type="expression" dxfId="270" priority="289">
      <formula>IF(OR(AND(E254="",F254="",OR(G254="Critical",G254="Major",G254="Minor"))),1,0)</formula>
    </cfRule>
  </conditionalFormatting>
  <conditionalFormatting sqref="F254">
    <cfRule type="expression" dxfId="269" priority="288">
      <formula>IF(AND(F254="",OR(E254="Accuracy",E254="Fluency",E254="Segment",E254="Other")),1,0)</formula>
    </cfRule>
  </conditionalFormatting>
  <conditionalFormatting sqref="G254">
    <cfRule type="expression" dxfId="268" priority="290">
      <formula>IF(AND(OR(G254="",#REF!="Segment"),OR(#REF!="Accuracy",#REF!="Fluency",#REF!="Other")),1,0)</formula>
    </cfRule>
  </conditionalFormatting>
  <conditionalFormatting sqref="G254">
    <cfRule type="expression" dxfId="267" priority="291">
      <formula>IF(OR(AND(G254="",H253="",OR(I254="Critical",I254="Major",I254="Minor"))),1,0)</formula>
    </cfRule>
  </conditionalFormatting>
  <conditionalFormatting sqref="F254">
    <cfRule type="expression" dxfId="266" priority="292">
      <formula>IF(OR(AND(F254="",G254="",OR(H253="Critical",H253="Major",H253="Minor"))),1,0)</formula>
    </cfRule>
  </conditionalFormatting>
  <conditionalFormatting sqref="E255">
    <cfRule type="expression" dxfId="265" priority="284">
      <formula>IF(OR(AND(E255="",F255="",OR(G255="Critical",G255="Major",G255="Minor"))),1,0)</formula>
    </cfRule>
  </conditionalFormatting>
  <conditionalFormatting sqref="F255">
    <cfRule type="expression" dxfId="264" priority="283">
      <formula>IF(AND(F255="",OR(E255="Accuracy",E255="Fluency",E255="Segment",E255="Other")),1,0)</formula>
    </cfRule>
  </conditionalFormatting>
  <conditionalFormatting sqref="G255">
    <cfRule type="expression" dxfId="263" priority="285">
      <formula>IF(AND(OR(G255="",#REF!="Segment"),OR(#REF!="Accuracy",#REF!="Fluency",#REF!="Other")),1,0)</formula>
    </cfRule>
  </conditionalFormatting>
  <conditionalFormatting sqref="G255">
    <cfRule type="expression" dxfId="262" priority="286">
      <formula>IF(OR(AND(G255="",H254="",OR(I255="Critical",I255="Major",I255="Minor"))),1,0)</formula>
    </cfRule>
  </conditionalFormatting>
  <conditionalFormatting sqref="F255">
    <cfRule type="expression" dxfId="261" priority="287">
      <formula>IF(OR(AND(F255="",G255="",OR(H254="Critical",H254="Major",H254="Minor"))),1,0)</formula>
    </cfRule>
  </conditionalFormatting>
  <conditionalFormatting sqref="E256:G256">
    <cfRule type="expression" dxfId="260" priority="281">
      <formula>IF(OR(AND(E256="",F256="",OR(G256="Critical",G256="Major",G256="Minor"))),1,0)</formula>
    </cfRule>
  </conditionalFormatting>
  <conditionalFormatting sqref="F256">
    <cfRule type="expression" dxfId="259" priority="280">
      <formula>IF(AND(F256="",OR(E256="Accuracy",E256="Fluency",E256="Segment",E256="Other")),1,0)</formula>
    </cfRule>
  </conditionalFormatting>
  <conditionalFormatting sqref="G256">
    <cfRule type="expression" dxfId="258" priority="282">
      <formula>IF(AND(OR(G256="",#REF!="Segment"),OR(#REF!="Accuracy",#REF!="Fluency",#REF!="Other")),1,0)</formula>
    </cfRule>
  </conditionalFormatting>
  <conditionalFormatting sqref="G258:G260">
    <cfRule type="expression" dxfId="257" priority="278">
      <formula>IF(OR(AND(G258="",H258="",OR(I258="Critical",I258="Major",I258="Minor"))),1,0)</formula>
    </cfRule>
  </conditionalFormatting>
  <conditionalFormatting sqref="G258:G260">
    <cfRule type="expression" dxfId="256" priority="279">
      <formula>IF(AND(OR(G258="",#REF!="Segment"),OR(#REF!="Accuracy",#REF!="Fluency",#REF!="Other")),1,0)</formula>
    </cfRule>
  </conditionalFormatting>
  <conditionalFormatting sqref="E261:G261">
    <cfRule type="expression" dxfId="255" priority="275">
      <formula>IF(OR(AND(E261="",F261="",OR(G261="Critical",G261="Major",G261="Minor"))),1,0)</formula>
    </cfRule>
  </conditionalFormatting>
  <conditionalFormatting sqref="F261">
    <cfRule type="expression" dxfId="254" priority="274">
      <formula>IF(AND(F261="",OR(E261="Accuracy",E261="Fluency",E261="Segment",E261="Other")),1,0)</formula>
    </cfRule>
  </conditionalFormatting>
  <conditionalFormatting sqref="G261">
    <cfRule type="expression" dxfId="253" priority="276">
      <formula>IF(AND(OR(G261="",#REF!="Segment"),OR(#REF!="Accuracy",#REF!="Fluency",#REF!="Other")),1,0)</formula>
    </cfRule>
  </conditionalFormatting>
  <conditionalFormatting sqref="E262:G262">
    <cfRule type="expression" dxfId="252" priority="272">
      <formula>IF(OR(AND(E262="",F262="",OR(G262="Critical",G262="Major",G262="Minor"))),1,0)</formula>
    </cfRule>
  </conditionalFormatting>
  <conditionalFormatting sqref="F262">
    <cfRule type="expression" dxfId="251" priority="271">
      <formula>IF(AND(F262="",OR(E262="Accuracy",E262="Fluency",E262="Segment",E262="Other")),1,0)</formula>
    </cfRule>
  </conditionalFormatting>
  <conditionalFormatting sqref="G262">
    <cfRule type="expression" dxfId="250" priority="273">
      <formula>IF(AND(OR(G262="",#REF!="Segment"),OR(#REF!="Accuracy",#REF!="Fluency",#REF!="Other")),1,0)</formula>
    </cfRule>
  </conditionalFormatting>
  <conditionalFormatting sqref="E263:G263">
    <cfRule type="expression" dxfId="249" priority="269">
      <formula>IF(OR(AND(E263="",F263="",OR(G263="Critical",G263="Major",G263="Minor"))),1,0)</formula>
    </cfRule>
  </conditionalFormatting>
  <conditionalFormatting sqref="F263">
    <cfRule type="expression" dxfId="248" priority="268">
      <formula>IF(AND(F263="",OR(E263="Accuracy",E263="Fluency",E263="Segment",E263="Other")),1,0)</formula>
    </cfRule>
  </conditionalFormatting>
  <conditionalFormatting sqref="G263">
    <cfRule type="expression" dxfId="247" priority="270">
      <formula>IF(AND(OR(G263="",#REF!="Segment"),OR(#REF!="Accuracy",#REF!="Fluency",#REF!="Other")),1,0)</formula>
    </cfRule>
  </conditionalFormatting>
  <conditionalFormatting sqref="E339:G339 E327:G327 E308:G311 E306:E307 E304 G305 G303 E301:F302 E298:G298 E296 E293:G293 E292 E288:G289 E285:G285 E264:G264 E266:G268 G265 E270:G272 E274:G275 G273 E277:G278 G276 E280:G281 G279 E283:G283 G282 E291:G291 G290 G294:G295 G297 E300:G300 G299 E314:G314 G312:G313 E317:G317 G315:G316 E319:G319 G318 E322:G323 G320:G321 G338">
    <cfRule type="expression" dxfId="246" priority="266">
      <formula>IF(OR(AND(E264="",F264="",OR(G264="Critical",G264="Major",G264="Minor"))),1,0)</formula>
    </cfRule>
  </conditionalFormatting>
  <conditionalFormatting sqref="F339 F327 F264 F266:F268 F270:F272 F274:F275 F277:F278 F280:F281 F283 F285 F288:F289 F291:F293 F296 F298 F300:F302 F304 F306:F311 F314 F317 F319 F322:F323">
    <cfRule type="expression" dxfId="245" priority="265">
      <formula>IF(AND(F264="",OR(E264="Accuracy",E264="Fluency",E264="Segment",E264="Other")),1,0)</formula>
    </cfRule>
  </conditionalFormatting>
  <conditionalFormatting sqref="H264">
    <cfRule type="expression" dxfId="244" priority="267">
      <formula>IF(OR(AND(H264="",J264="",OR(#REF!="Critical",#REF!="Major",#REF!="Minor"))),1,0)</formula>
    </cfRule>
  </conditionalFormatting>
  <conditionalFormatting sqref="G264">
    <cfRule type="expression" dxfId="243" priority="264">
      <formula>IF(AND(OR(G264="",#REF!="Segment"),OR(#REF!="Accuracy",#REF!="Fluency",#REF!="Other")),1,0)</formula>
    </cfRule>
  </conditionalFormatting>
  <conditionalFormatting sqref="H265">
    <cfRule type="expression" dxfId="242" priority="263">
      <formula>IF(OR(AND(H265="",J265="",OR(#REF!="Critical",#REF!="Major",#REF!="Minor"))),1,0)</formula>
    </cfRule>
  </conditionalFormatting>
  <conditionalFormatting sqref="G265">
    <cfRule type="expression" dxfId="241" priority="262">
      <formula>IF(AND(OR(G265="",#REF!="Segment"),OR(#REF!="Accuracy",#REF!="Fluency",#REF!="Other")),1,0)</formula>
    </cfRule>
  </conditionalFormatting>
  <conditionalFormatting sqref="G266">
    <cfRule type="expression" dxfId="240" priority="261">
      <formula>IF(AND(OR(G266="",#REF!="Segment"),OR(#REF!="Accuracy",#REF!="Fluency",#REF!="Other")),1,0)</formula>
    </cfRule>
  </conditionalFormatting>
  <conditionalFormatting sqref="G267">
    <cfRule type="expression" dxfId="239" priority="260">
      <formula>IF(AND(OR(G267="",#REF!="Segment"),OR(#REF!="Accuracy",#REF!="Fluency",#REF!="Other")),1,0)</formula>
    </cfRule>
  </conditionalFormatting>
  <conditionalFormatting sqref="G268">
    <cfRule type="expression" dxfId="238" priority="259">
      <formula>IF(AND(OR(G268="",#REF!="Segment"),OR(#REF!="Accuracy",#REF!="Fluency",#REF!="Other")),1,0)</formula>
    </cfRule>
  </conditionalFormatting>
  <conditionalFormatting sqref="G269">
    <cfRule type="expression" dxfId="237" priority="258">
      <formula>IF(AND(OR(G269="",#REF!="Segment"),OR(#REF!="Accuracy",#REF!="Fluency",#REF!="Other")),1,0)</formula>
    </cfRule>
  </conditionalFormatting>
  <conditionalFormatting sqref="G270">
    <cfRule type="expression" dxfId="236" priority="257">
      <formula>IF(AND(OR(G270="",#REF!="Segment"),OR(#REF!="Accuracy",#REF!="Fluency",#REF!="Other")),1,0)</formula>
    </cfRule>
  </conditionalFormatting>
  <conditionalFormatting sqref="G338:G339 G327 G314:G316 G281 G277 G271:G274">
    <cfRule type="expression" dxfId="235" priority="255">
      <formula>IF(AND(OR(G271="",#REF!="Segment"),OR(#REF!="Accuracy",#REF!="Fluency",#REF!="Other")),1,0)</formula>
    </cfRule>
  </conditionalFormatting>
  <conditionalFormatting sqref="G275">
    <cfRule type="expression" dxfId="234" priority="254">
      <formula>IF(AND(OR(G275="",#REF!="Segment"),OR(#REF!="Accuracy",#REF!="Fluency",#REF!="Other")),1,0)</formula>
    </cfRule>
  </conditionalFormatting>
  <conditionalFormatting sqref="G276">
    <cfRule type="expression" dxfId="233" priority="253">
      <formula>IF(AND(OR(G276="",#REF!="Segment"),OR(#REF!="Accuracy",#REF!="Fluency",#REF!="Other")),1,0)</formula>
    </cfRule>
  </conditionalFormatting>
  <conditionalFormatting sqref="G278">
    <cfRule type="expression" dxfId="232" priority="252">
      <formula>IF(AND(OR(G278="",#REF!="Segment"),OR(#REF!="Accuracy",#REF!="Fluency",#REF!="Other")),1,0)</formula>
    </cfRule>
  </conditionalFormatting>
  <conditionalFormatting sqref="G279">
    <cfRule type="expression" dxfId="231" priority="251">
      <formula>IF(AND(OR(G279="",#REF!="Segment"),OR(#REF!="Accuracy",#REF!="Fluency",#REF!="Other")),1,0)</formula>
    </cfRule>
  </conditionalFormatting>
  <conditionalFormatting sqref="G280">
    <cfRule type="expression" dxfId="230" priority="250">
      <formula>IF(AND(OR(G280="",#REF!="Segment"),OR(#REF!="Accuracy",#REF!="Fluency",#REF!="Other")),1,0)</formula>
    </cfRule>
  </conditionalFormatting>
  <conditionalFormatting sqref="G282">
    <cfRule type="expression" dxfId="229" priority="249">
      <formula>IF(AND(OR(G282="",#REF!="Segment"),OR(#REF!="Accuracy",#REF!="Fluency",#REF!="Other")),1,0)</formula>
    </cfRule>
  </conditionalFormatting>
  <conditionalFormatting sqref="G283">
    <cfRule type="expression" dxfId="228" priority="248">
      <formula>IF(AND(OR(G283="",#REF!="Segment"),OR(#REF!="Accuracy",#REF!="Fluency",#REF!="Other")),1,0)</formula>
    </cfRule>
  </conditionalFormatting>
  <conditionalFormatting sqref="G286:G287 G284">
    <cfRule type="expression" dxfId="227" priority="246">
      <formula>IF(OR(AND(G284="",#REF!="",OR(I284="Critical",I284="Major",I284="Minor"))),1,0)</formula>
    </cfRule>
  </conditionalFormatting>
  <conditionalFormatting sqref="G284">
    <cfRule type="expression" dxfId="226" priority="245">
      <formula>IF(AND(OR(G284="",#REF!="Segment"),OR(#REF!="Accuracy",#REF!="Fluency",#REF!="Other")),1,0)</formula>
    </cfRule>
  </conditionalFormatting>
  <conditionalFormatting sqref="G285">
    <cfRule type="expression" dxfId="225" priority="244">
      <formula>IF(AND(OR(G285="",#REF!="Segment"),OR(#REF!="Accuracy",#REF!="Fluency",#REF!="Other")),1,0)</formula>
    </cfRule>
  </conditionalFormatting>
  <conditionalFormatting sqref="G288">
    <cfRule type="expression" dxfId="224" priority="243">
      <formula>IF(AND(OR(G288="",#REF!="Segment"),OR(#REF!="Accuracy",#REF!="Fluency",#REF!="Other")),1,0)</formula>
    </cfRule>
  </conditionalFormatting>
  <conditionalFormatting sqref="G286">
    <cfRule type="expression" dxfId="223" priority="242">
      <formula>IF(AND(OR(G286="",#REF!="Segment"),OR(#REF!="Accuracy",#REF!="Fluency",#REF!="Other")),1,0)</formula>
    </cfRule>
  </conditionalFormatting>
  <conditionalFormatting sqref="G287">
    <cfRule type="expression" dxfId="222" priority="241">
      <formula>IF(AND(OR(G287="",#REF!="Segment"),OR(#REF!="Accuracy",#REF!="Fluency",#REF!="Other")),1,0)</formula>
    </cfRule>
  </conditionalFormatting>
  <conditionalFormatting sqref="G289">
    <cfRule type="expression" dxfId="221" priority="240">
      <formula>IF(AND(OR(G289="",#REF!="Segment"),OR(#REF!="Accuracy",#REF!="Fluency",#REF!="Other")),1,0)</formula>
    </cfRule>
  </conditionalFormatting>
  <conditionalFormatting sqref="G290">
    <cfRule type="expression" dxfId="220" priority="239">
      <formula>IF(AND(OR(G290="",#REF!="Segment"),OR(#REF!="Accuracy",#REF!="Fluency",#REF!="Other")),1,0)</formula>
    </cfRule>
  </conditionalFormatting>
  <conditionalFormatting sqref="G291">
    <cfRule type="expression" dxfId="219" priority="238">
      <formula>IF(AND(OR(G291="",#REF!="Segment"),OR(#REF!="Accuracy",#REF!="Fluency",#REF!="Other")),1,0)</formula>
    </cfRule>
  </conditionalFormatting>
  <conditionalFormatting sqref="F306:F307 F304 F296 F292">
    <cfRule type="expression" dxfId="218" priority="236">
      <formula>IF(OR(AND(F292="",G292="",OR(H291="Critical",H291="Major",H291="Minor"))),1,0)</formula>
    </cfRule>
  </conditionalFormatting>
  <conditionalFormatting sqref="G292">
    <cfRule type="expression" dxfId="217" priority="237">
      <formula>IF(OR(AND(G292="",H291="",OR(I291="Critical",I291="Major",I291="Minor"))),1,0)</formula>
    </cfRule>
  </conditionalFormatting>
  <conditionalFormatting sqref="G292">
    <cfRule type="expression" dxfId="216" priority="235">
      <formula>IF(AND(OR(G292="",#REF!="Segment"),OR(#REF!="Accuracy",#REF!="Fluency",#REF!="Other")),1,0)</formula>
    </cfRule>
  </conditionalFormatting>
  <conditionalFormatting sqref="G293:G294">
    <cfRule type="expression" dxfId="215" priority="234">
      <formula>IF(AND(OR(G293="",#REF!="Segment"),OR(#REF!="Accuracy",#REF!="Fluency",#REF!="Other")),1,0)</formula>
    </cfRule>
  </conditionalFormatting>
  <conditionalFormatting sqref="G295">
    <cfRule type="expression" dxfId="214" priority="233">
      <formula>IF(AND(OR(G295="",#REF!="Segment"),OR(#REF!="Accuracy",#REF!="Fluency",#REF!="Other")),1,0)</formula>
    </cfRule>
  </conditionalFormatting>
  <conditionalFormatting sqref="G306:G307 G304 G296">
    <cfRule type="expression" dxfId="213" priority="232">
      <formula>IF(OR(AND(G296="",H295="",OR(I296="Critical",I296="Major",I296="Minor"))),1,0)</formula>
    </cfRule>
  </conditionalFormatting>
  <conditionalFormatting sqref="G296">
    <cfRule type="expression" dxfId="212" priority="231">
      <formula>IF(AND(OR(G296="",#REF!="Segment"),OR(#REF!="Accuracy",#REF!="Fluency",#REF!="Other")),1,0)</formula>
    </cfRule>
  </conditionalFormatting>
  <conditionalFormatting sqref="G297">
    <cfRule type="expression" dxfId="211" priority="230">
      <formula>IF(AND(OR(G297="",#REF!="Segment"),OR(#REF!="Accuracy",#REF!="Fluency",#REF!="Other")),1,0)</formula>
    </cfRule>
  </conditionalFormatting>
  <conditionalFormatting sqref="G298">
    <cfRule type="expression" dxfId="210" priority="229">
      <formula>IF(AND(OR(G298="",#REF!="Segment"),OR(#REF!="Accuracy",#REF!="Fluency",#REF!="Other")),1,0)</formula>
    </cfRule>
  </conditionalFormatting>
  <conditionalFormatting sqref="G300">
    <cfRule type="expression" dxfId="209" priority="228">
      <formula>IF(AND(OR(G300="",#REF!="Segment"),OR(#REF!="Accuracy",#REF!="Fluency",#REF!="Other")),1,0)</formula>
    </cfRule>
  </conditionalFormatting>
  <conditionalFormatting sqref="G299">
    <cfRule type="expression" dxfId="208" priority="227">
      <formula>IF(AND(OR(G299="",#REF!="Segment"),OR(#REF!="Accuracy",#REF!="Fluency",#REF!="Other")),1,0)</formula>
    </cfRule>
  </conditionalFormatting>
  <conditionalFormatting sqref="G301:G302">
    <cfRule type="expression" dxfId="207" priority="226">
      <formula>IF(OR(AND(G301="",H301="",OR(I303="Critical",I303="Major",I303="Minor"))),1,0)</formula>
    </cfRule>
  </conditionalFormatting>
  <conditionalFormatting sqref="G301:G302">
    <cfRule type="expression" dxfId="206" priority="225">
      <formula>IF(AND(OR(G301="",#REF!="Segment"),OR(#REF!="Accuracy",#REF!="Fluency",#REF!="Other")),1,0)</formula>
    </cfRule>
  </conditionalFormatting>
  <conditionalFormatting sqref="G303">
    <cfRule type="expression" dxfId="205" priority="224">
      <formula>IF(AND(OR(G303="",#REF!="Segment"),OR(#REF!="Accuracy",#REF!="Fluency",#REF!="Other")),1,0)</formula>
    </cfRule>
  </conditionalFormatting>
  <conditionalFormatting sqref="G304">
    <cfRule type="expression" dxfId="204" priority="223">
      <formula>IF(AND(OR(G304="",#REF!="Segment"),OR(#REF!="Accuracy",#REF!="Fluency",#REF!="Other")),1,0)</formula>
    </cfRule>
  </conditionalFormatting>
  <conditionalFormatting sqref="G305">
    <cfRule type="expression" dxfId="203" priority="222">
      <formula>IF(AND(OR(G305="",#REF!="Segment"),OR(#REF!="Accuracy",#REF!="Fluency",#REF!="Other")),1,0)</formula>
    </cfRule>
  </conditionalFormatting>
  <conditionalFormatting sqref="G306">
    <cfRule type="expression" dxfId="202" priority="221">
      <formula>IF(AND(OR(G306="",#REF!="Segment"),OR(#REF!="Accuracy",#REF!="Fluency",#REF!="Other")),1,0)</formula>
    </cfRule>
  </conditionalFormatting>
  <conditionalFormatting sqref="G307">
    <cfRule type="expression" dxfId="201" priority="220">
      <formula>IF(AND(OR(G307="",#REF!="Segment"),OR(#REF!="Accuracy",#REF!="Fluency",#REF!="Other")),1,0)</formula>
    </cfRule>
  </conditionalFormatting>
  <conditionalFormatting sqref="G308">
    <cfRule type="expression" dxfId="200" priority="219">
      <formula>IF(AND(OR(G308="",#REF!="Segment"),OR(#REF!="Accuracy",#REF!="Fluency",#REF!="Other")),1,0)</formula>
    </cfRule>
  </conditionalFormatting>
  <conditionalFormatting sqref="G309">
    <cfRule type="expression" dxfId="199" priority="218">
      <formula>IF(AND(OR(G309="",#REF!="Segment"),OR(#REF!="Accuracy",#REF!="Fluency",#REF!="Other")),1,0)</formula>
    </cfRule>
  </conditionalFormatting>
  <conditionalFormatting sqref="G310">
    <cfRule type="expression" dxfId="198" priority="217">
      <formula>IF(AND(OR(G310="",#REF!="Segment"),OR(#REF!="Accuracy",#REF!="Fluency",#REF!="Other")),1,0)</formula>
    </cfRule>
  </conditionalFormatting>
  <conditionalFormatting sqref="G311">
    <cfRule type="expression" dxfId="197" priority="216">
      <formula>IF(AND(OR(G311="",#REF!="Segment"),OR(#REF!="Accuracy",#REF!="Fluency",#REF!="Other")),1,0)</formula>
    </cfRule>
  </conditionalFormatting>
  <conditionalFormatting sqref="G312:G313">
    <cfRule type="expression" dxfId="196" priority="215">
      <formula>IF(AND(OR(G312="",#REF!="Segment"),OR(#REF!="Accuracy",#REF!="Fluency",#REF!="Other")),1,0)</formula>
    </cfRule>
  </conditionalFormatting>
  <conditionalFormatting sqref="G317">
    <cfRule type="expression" dxfId="195" priority="214">
      <formula>IF(AND(OR(G317="",#REF!="Segment"),OR(#REF!="Accuracy",#REF!="Fluency",#REF!="Other")),1,0)</formula>
    </cfRule>
  </conditionalFormatting>
  <conditionalFormatting sqref="G318">
    <cfRule type="expression" dxfId="194" priority="213">
      <formula>IF(AND(OR(G318="",#REF!="Segment"),OR(#REF!="Accuracy",#REF!="Fluency",#REF!="Other")),1,0)</formula>
    </cfRule>
  </conditionalFormatting>
  <conditionalFormatting sqref="G319">
    <cfRule type="expression" dxfId="193" priority="212">
      <formula>IF(AND(OR(G319="",#REF!="Segment"),OR(#REF!="Accuracy",#REF!="Fluency",#REF!="Other")),1,0)</formula>
    </cfRule>
  </conditionalFormatting>
  <conditionalFormatting sqref="G320:G321">
    <cfRule type="expression" dxfId="192" priority="211">
      <formula>IF(AND(OR(G320="",#REF!="Segment"),OR(#REF!="Accuracy",#REF!="Fluency",#REF!="Other")),1,0)</formula>
    </cfRule>
  </conditionalFormatting>
  <conditionalFormatting sqref="G322">
    <cfRule type="expression" dxfId="191" priority="210">
      <formula>IF(AND(OR(G322="",#REF!="Segment"),OR(#REF!="Accuracy",#REF!="Fluency",#REF!="Other")),1,0)</formula>
    </cfRule>
  </conditionalFormatting>
  <conditionalFormatting sqref="G323">
    <cfRule type="expression" dxfId="190" priority="209">
      <formula>IF(AND(OR(G323="",#REF!="Segment"),OR(#REF!="Accuracy",#REF!="Fluency",#REF!="Other")),1,0)</formula>
    </cfRule>
  </conditionalFormatting>
  <conditionalFormatting sqref="G324">
    <cfRule type="expression" dxfId="189" priority="207">
      <formula>IF(OR(AND(G324="",H324="",OR(I324="Critical",I324="Major",I324="Minor"))),1,0)</formula>
    </cfRule>
  </conditionalFormatting>
  <conditionalFormatting sqref="G324">
    <cfRule type="expression" dxfId="188" priority="208">
      <formula>IF(AND(OR(G324="",#REF!="Segment"),OR(#REF!="Accuracy",#REF!="Fluency",#REF!="Other")),1,0)</formula>
    </cfRule>
  </conditionalFormatting>
  <conditionalFormatting sqref="E325:G325">
    <cfRule type="expression" dxfId="187" priority="204">
      <formula>IF(OR(AND(E325="",F325="",OR(G325="Critical",G325="Major",G325="Minor"))),1,0)</formula>
    </cfRule>
  </conditionalFormatting>
  <conditionalFormatting sqref="F325">
    <cfRule type="expression" dxfId="186" priority="203">
      <formula>IF(AND(F325="",OR(E325="Accuracy",E325="Fluency",E325="Segment",E325="Other")),1,0)</formula>
    </cfRule>
  </conditionalFormatting>
  <conditionalFormatting sqref="G325">
    <cfRule type="expression" dxfId="185" priority="205">
      <formula>IF(AND(OR(G325="",#REF!="Segment"),OR(#REF!="Accuracy",#REF!="Fluency",#REF!="Other")),1,0)</formula>
    </cfRule>
  </conditionalFormatting>
  <conditionalFormatting sqref="G326">
    <cfRule type="expression" dxfId="184" priority="200">
      <formula>IF(AND(OR(G326="",#REF!="Segment"),OR(#REF!="Accuracy",#REF!="Fluency",#REF!="Other")),1,0)</formula>
    </cfRule>
  </conditionalFormatting>
  <conditionalFormatting sqref="G326">
    <cfRule type="expression" dxfId="183" priority="201">
      <formula>IF(OR(AND(G326="",H325="",OR(I326="Critical",I326="Major",I326="Minor"))),1,0)</formula>
    </cfRule>
  </conditionalFormatting>
  <conditionalFormatting sqref="E328:G328">
    <cfRule type="expression" dxfId="182" priority="196">
      <formula>IF(OR(AND(E328="",F328="",OR(G328="Critical",G328="Major",G328="Minor"))),1,0)</formula>
    </cfRule>
  </conditionalFormatting>
  <conditionalFormatting sqref="F328">
    <cfRule type="expression" dxfId="181" priority="195">
      <formula>IF(AND(F328="",OR(E328="Accuracy",E328="Fluency",E328="Segment",E328="Other")),1,0)</formula>
    </cfRule>
  </conditionalFormatting>
  <conditionalFormatting sqref="G328">
    <cfRule type="expression" dxfId="180" priority="197">
      <formula>IF(AND(OR(G328="",#REF!="Segment"),OR(#REF!="Accuracy",#REF!="Fluency",#REF!="Other")),1,0)</formula>
    </cfRule>
  </conditionalFormatting>
  <conditionalFormatting sqref="E329:G329 G330:G331">
    <cfRule type="expression" dxfId="179" priority="193">
      <formula>IF(OR(AND(E329="",F329="",OR(G329="Critical",G329="Major",G329="Minor"))),1,0)</formula>
    </cfRule>
  </conditionalFormatting>
  <conditionalFormatting sqref="F329">
    <cfRule type="expression" dxfId="178" priority="192">
      <formula>IF(AND(F329="",OR(E329="Accuracy",E329="Fluency",E329="Segment",E329="Other")),1,0)</formula>
    </cfRule>
  </conditionalFormatting>
  <conditionalFormatting sqref="G329:G331">
    <cfRule type="expression" dxfId="177" priority="194">
      <formula>IF(AND(OR(G329="",#REF!="Segment"),OR(#REF!="Accuracy",#REF!="Fluency",#REF!="Other")),1,0)</formula>
    </cfRule>
  </conditionalFormatting>
  <conditionalFormatting sqref="E332:G332">
    <cfRule type="expression" dxfId="176" priority="190">
      <formula>IF(OR(AND(E332="",F332="",OR(G332="Critical",G332="Major",G332="Minor"))),1,0)</formula>
    </cfRule>
  </conditionalFormatting>
  <conditionalFormatting sqref="F332">
    <cfRule type="expression" dxfId="175" priority="189">
      <formula>IF(AND(F332="",OR(E332="Accuracy",E332="Fluency",E332="Segment",E332="Other")),1,0)</formula>
    </cfRule>
  </conditionalFormatting>
  <conditionalFormatting sqref="G332">
    <cfRule type="expression" dxfId="174" priority="191">
      <formula>IF(AND(OR(G332="",#REF!="Segment"),OR(#REF!="Accuracy",#REF!="Fluency",#REF!="Other")),1,0)</formula>
    </cfRule>
  </conditionalFormatting>
  <conditionalFormatting sqref="G333">
    <cfRule type="expression" dxfId="173" priority="187">
      <formula>IF(OR(AND(G333="",H333="",OR(I333="Critical",I333="Major",I333="Minor"))),1,0)</formula>
    </cfRule>
  </conditionalFormatting>
  <conditionalFormatting sqref="G333">
    <cfRule type="expression" dxfId="172" priority="188">
      <formula>IF(AND(OR(G333="",#REF!="Segment"),OR(#REF!="Accuracy",#REF!="Fluency",#REF!="Other")),1,0)</formula>
    </cfRule>
  </conditionalFormatting>
  <conditionalFormatting sqref="G334">
    <cfRule type="expression" dxfId="171" priority="183">
      <formula>IF(OR(AND(G334="",H334="",OR(I334="Critical",I334="Major",I334="Minor"))),1,0)</formula>
    </cfRule>
  </conditionalFormatting>
  <conditionalFormatting sqref="G334">
    <cfRule type="expression" dxfId="170" priority="184">
      <formula>IF(AND(OR(G334="",#REF!="Segment"),OR(#REF!="Accuracy",#REF!="Fluency",#REF!="Other")),1,0)</formula>
    </cfRule>
  </conditionalFormatting>
  <conditionalFormatting sqref="E335:G335">
    <cfRule type="expression" dxfId="169" priority="179">
      <formula>IF(OR(AND(E335="",F335="",OR(G335="Critical",G335="Major",G335="Minor"))),1,0)</formula>
    </cfRule>
  </conditionalFormatting>
  <conditionalFormatting sqref="F335">
    <cfRule type="expression" dxfId="168" priority="178">
      <formula>IF(AND(F335="",OR(E335="Accuracy",E335="Fluency",E335="Segment",E335="Other")),1,0)</formula>
    </cfRule>
  </conditionalFormatting>
  <conditionalFormatting sqref="G335">
    <cfRule type="expression" dxfId="167" priority="180">
      <formula>IF(AND(OR(G335="",#REF!="Segment"),OR(#REF!="Accuracy",#REF!="Fluency",#REF!="Other")),1,0)</formula>
    </cfRule>
  </conditionalFormatting>
  <conditionalFormatting sqref="E336:G336">
    <cfRule type="expression" dxfId="166" priority="176">
      <formula>IF(OR(AND(E336="",F336="",OR(G336="Critical",G336="Major",G336="Minor"))),1,0)</formula>
    </cfRule>
  </conditionalFormatting>
  <conditionalFormatting sqref="F336">
    <cfRule type="expression" dxfId="165" priority="175">
      <formula>IF(AND(F336="",OR(E336="Accuracy",E336="Fluency",E336="Segment",E336="Other")),1,0)</formula>
    </cfRule>
  </conditionalFormatting>
  <conditionalFormatting sqref="G336">
    <cfRule type="expression" dxfId="164" priority="177">
      <formula>IF(AND(OR(G336="",#REF!="Segment"),OR(#REF!="Accuracy",#REF!="Fluency",#REF!="Other")),1,0)</formula>
    </cfRule>
  </conditionalFormatting>
  <conditionalFormatting sqref="E337:G337">
    <cfRule type="expression" dxfId="163" priority="173">
      <formula>IF(OR(AND(E337="",F337="",OR(G337="Critical",G337="Major",G337="Minor"))),1,0)</formula>
    </cfRule>
  </conditionalFormatting>
  <conditionalFormatting sqref="G337">
    <cfRule type="expression" dxfId="162" priority="174">
      <formula>IF(AND(OR(G337="",#REF!="Segment"),OR(#REF!="Accuracy",#REF!="Fluency",#REF!="Other")),1,0)</formula>
    </cfRule>
  </conditionalFormatting>
  <conditionalFormatting sqref="F337">
    <cfRule type="expression" dxfId="161" priority="172">
      <formula>IF(AND(F337="",OR(E337="Accuracy",E337="Fluency",E337="Segment",E337="Other")),1,0)</formula>
    </cfRule>
  </conditionalFormatting>
  <conditionalFormatting sqref="G340">
    <cfRule type="expression" dxfId="160" priority="170">
      <formula>IF(AND(OR(G340="",#REF!="Segment"),OR(#REF!="Accuracy",#REF!="Fluency",#REF!="Other")),1,0)</formula>
    </cfRule>
  </conditionalFormatting>
  <conditionalFormatting sqref="G340">
    <cfRule type="expression" dxfId="159" priority="171">
      <formula>IF(OR(AND(G340="",#REF!="",OR(I340="Critical",I340="Major",I340="Minor"))),1,0)</formula>
    </cfRule>
  </conditionalFormatting>
  <conditionalFormatting sqref="G342">
    <cfRule type="expression" dxfId="158" priority="168">
      <formula>IF(OR(AND(G342="",H342="",OR(I342="Critical",I342="Major",I342="Minor"))),1,0)</formula>
    </cfRule>
  </conditionalFormatting>
  <conditionalFormatting sqref="G342">
    <cfRule type="expression" dxfId="157" priority="169">
      <formula>IF(AND(OR(G342="",#REF!="Segment"),OR(#REF!="Accuracy",#REF!="Fluency",#REF!="Other")),1,0)</formula>
    </cfRule>
  </conditionalFormatting>
  <conditionalFormatting sqref="E343:G343">
    <cfRule type="expression" dxfId="156" priority="165">
      <formula>IF(OR(AND(E343="",F343="",OR(G343="Critical",G343="Major",G343="Minor"))),1,0)</formula>
    </cfRule>
  </conditionalFormatting>
  <conditionalFormatting sqref="F343">
    <cfRule type="expression" dxfId="155" priority="164">
      <formula>IF(AND(F343="",OR(E343="Accuracy",E343="Fluency",E343="Segment",E343="Other")),1,0)</formula>
    </cfRule>
  </conditionalFormatting>
  <conditionalFormatting sqref="G343">
    <cfRule type="expression" dxfId="154" priority="166">
      <formula>IF(AND(OR(G343="",#REF!="Segment"),OR(#REF!="Accuracy",#REF!="Fluency",#REF!="Other")),1,0)</formula>
    </cfRule>
  </conditionalFormatting>
  <conditionalFormatting sqref="E340:F340">
    <cfRule type="expression" dxfId="153" priority="163">
      <formula>IF(OR(AND(E340="",F340="",OR(G340="Critical",G340="Major",G340="Minor"))),1,0)</formula>
    </cfRule>
  </conditionalFormatting>
  <conditionalFormatting sqref="F340">
    <cfRule type="expression" dxfId="152" priority="162">
      <formula>IF(AND(F340="",OR(E340="Accuracy",E340="Fluency",E340="Segment",E340="Other")),1,0)</formula>
    </cfRule>
  </conditionalFormatting>
  <conditionalFormatting sqref="G341">
    <cfRule type="expression" dxfId="151" priority="160">
      <formula>IF(AND(OR(G341="",#REF!="Segment"),OR(#REF!="Accuracy",#REF!="Fluency",#REF!="Other")),1,0)</formula>
    </cfRule>
  </conditionalFormatting>
  <conditionalFormatting sqref="G341">
    <cfRule type="expression" dxfId="150" priority="161">
      <formula>IF(OR(AND(G341="",#REF!="",OR(I341="Critical",I341="Major",I341="Minor"))),1,0)</formula>
    </cfRule>
  </conditionalFormatting>
  <conditionalFormatting sqref="E341:F341">
    <cfRule type="expression" dxfId="149" priority="159">
      <formula>IF(OR(AND(E341="",F341="",OR(G341="Critical",G341="Major",G341="Minor"))),1,0)</formula>
    </cfRule>
  </conditionalFormatting>
  <conditionalFormatting sqref="F341">
    <cfRule type="expression" dxfId="148" priority="158">
      <formula>IF(AND(F341="",OR(E341="Accuracy",E341="Fluency",E341="Segment",E341="Other")),1,0)</formula>
    </cfRule>
  </conditionalFormatting>
  <conditionalFormatting sqref="E344:G344">
    <cfRule type="expression" dxfId="147" priority="156">
      <formula>IF(OR(AND(E344="",F344="",OR(G344="Critical",G344="Major",G344="Minor"))),1,0)</formula>
    </cfRule>
  </conditionalFormatting>
  <conditionalFormatting sqref="F344">
    <cfRule type="expression" dxfId="146" priority="155">
      <formula>IF(AND(F344="",OR(E344="Accuracy",E344="Fluency",E344="Segment",E344="Other")),1,0)</formula>
    </cfRule>
  </conditionalFormatting>
  <conditionalFormatting sqref="G344">
    <cfRule type="expression" dxfId="145" priority="157">
      <formula>IF(AND(OR(G344="",#REF!="Segment"),OR(#REF!="Accuracy",#REF!="Fluency",#REF!="Other")),1,0)</formula>
    </cfRule>
  </conditionalFormatting>
  <conditionalFormatting sqref="G345">
    <cfRule type="expression" dxfId="144" priority="153">
      <formula>IF(OR(AND(G345="",H345="",OR(I345="Critical",I345="Major",I345="Minor"))),1,0)</formula>
    </cfRule>
  </conditionalFormatting>
  <conditionalFormatting sqref="G345">
    <cfRule type="expression" dxfId="143" priority="154">
      <formula>IF(AND(OR(G345="",#REF!="Segment"),OR(#REF!="Accuracy",#REF!="Fluency",#REF!="Other")),1,0)</formula>
    </cfRule>
  </conditionalFormatting>
  <conditionalFormatting sqref="E346:G346">
    <cfRule type="expression" dxfId="142" priority="150">
      <formula>IF(OR(AND(E346="",F346="",OR(G346="Critical",G346="Major",G346="Minor"))),1,0)</formula>
    </cfRule>
  </conditionalFormatting>
  <conditionalFormatting sqref="F346">
    <cfRule type="expression" dxfId="141" priority="149">
      <formula>IF(AND(F346="",OR(E346="Accuracy",E346="Fluency",E346="Segment",E346="Other")),1,0)</formula>
    </cfRule>
  </conditionalFormatting>
  <conditionalFormatting sqref="G346">
    <cfRule type="expression" dxfId="140" priority="151">
      <formula>IF(AND(OR(G346="",#REF!="Segment"),OR(#REF!="Accuracy",#REF!="Fluency",#REF!="Other")),1,0)</formula>
    </cfRule>
  </conditionalFormatting>
  <conditionalFormatting sqref="E347">
    <cfRule type="expression" dxfId="139" priority="148">
      <formula>IF(OR(AND(E347="",F347="",OR(G347="Critical",G347="Major",G347="Minor"))),1,0)</formula>
    </cfRule>
  </conditionalFormatting>
  <conditionalFormatting sqref="F347:G347">
    <cfRule type="expression" dxfId="138" priority="146">
      <formula>IF(OR(AND(F347="",G347="",OR(H347="Critical",H347="Major",H347="Minor"))),1,0)</formula>
    </cfRule>
  </conditionalFormatting>
  <conditionalFormatting sqref="F347">
    <cfRule type="expression" dxfId="137" priority="145">
      <formula>IF(AND(F347="",OR(E347="Accuracy",E347="Fluency",E347="Segment",E347="Other")),1,0)</formula>
    </cfRule>
  </conditionalFormatting>
  <conditionalFormatting sqref="G347">
    <cfRule type="expression" dxfId="136" priority="147">
      <formula>IF(AND(OR(G347="",#REF!="Segment"),OR(#REF!="Accuracy",#REF!="Fluency",#REF!="Other")),1,0)</formula>
    </cfRule>
  </conditionalFormatting>
  <conditionalFormatting sqref="G348">
    <cfRule type="expression" dxfId="135" priority="143">
      <formula>IF(OR(AND(G348="",H348="",OR(I348="Critical",I348="Major",I348="Minor"))),1,0)</formula>
    </cfRule>
  </conditionalFormatting>
  <conditionalFormatting sqref="G348">
    <cfRule type="expression" dxfId="134" priority="144">
      <formula>IF(AND(OR(G348="",#REF!="Segment"),OR(#REF!="Accuracy",#REF!="Fluency",#REF!="Other")),1,0)</formula>
    </cfRule>
  </conditionalFormatting>
  <conditionalFormatting sqref="E350:G350 G349">
    <cfRule type="expression" dxfId="133" priority="140">
      <formula>IF(OR(AND(E349="",F349="",OR(G349="Critical",G349="Major",G349="Minor"))),1,0)</formula>
    </cfRule>
  </conditionalFormatting>
  <conditionalFormatting sqref="F350">
    <cfRule type="expression" dxfId="132" priority="139">
      <formula>IF(AND(F350="",OR(E350="Accuracy",E350="Fluency",E350="Segment",E350="Other")),1,0)</formula>
    </cfRule>
  </conditionalFormatting>
  <conditionalFormatting sqref="G349:G350">
    <cfRule type="expression" dxfId="131" priority="141">
      <formula>IF(AND(OR(G349="",#REF!="Segment"),OR(#REF!="Accuracy",#REF!="Fluency",#REF!="Other")),1,0)</formula>
    </cfRule>
  </conditionalFormatting>
  <conditionalFormatting sqref="E351:G351">
    <cfRule type="expression" dxfId="130" priority="137">
      <formula>IF(OR(AND(E351="",F351="",OR(G351="Critical",G351="Major",G351="Minor"))),1,0)</formula>
    </cfRule>
  </conditionalFormatting>
  <conditionalFormatting sqref="F351">
    <cfRule type="expression" dxfId="129" priority="136">
      <formula>IF(AND(F351="",OR(E351="Accuracy",E351="Fluency",E351="Segment",E351="Other")),1,0)</formula>
    </cfRule>
  </conditionalFormatting>
  <conditionalFormatting sqref="G351">
    <cfRule type="expression" dxfId="128" priority="138">
      <formula>IF(AND(OR(G351="",#REF!="Segment"),OR(#REF!="Accuracy",#REF!="Fluency",#REF!="Other")),1,0)</formula>
    </cfRule>
  </conditionalFormatting>
  <conditionalFormatting sqref="E352:G352">
    <cfRule type="expression" dxfId="127" priority="134">
      <formula>IF(OR(AND(E352="",F352="",OR(G352="Critical",G352="Major",G352="Minor"))),1,0)</formula>
    </cfRule>
  </conditionalFormatting>
  <conditionalFormatting sqref="F352">
    <cfRule type="expression" dxfId="126" priority="133">
      <formula>IF(AND(F352="",OR(E352="Accuracy",E352="Fluency",E352="Segment",E352="Other")),1,0)</formula>
    </cfRule>
  </conditionalFormatting>
  <conditionalFormatting sqref="G352">
    <cfRule type="expression" dxfId="125" priority="135">
      <formula>IF(AND(OR(G352="",#REF!="Segment"),OR(#REF!="Accuracy",#REF!="Fluency",#REF!="Other")),1,0)</formula>
    </cfRule>
  </conditionalFormatting>
  <conditionalFormatting sqref="G353">
    <cfRule type="expression" dxfId="124" priority="131">
      <formula>IF(OR(AND(G353="",H353="",OR(I353="Critical",I353="Major",I353="Minor"))),1,0)</formula>
    </cfRule>
  </conditionalFormatting>
  <conditionalFormatting sqref="G353">
    <cfRule type="expression" dxfId="123" priority="132">
      <formula>IF(AND(OR(G353="",#REF!="Segment"),OR(#REF!="Accuracy",#REF!="Fluency",#REF!="Other")),1,0)</formula>
    </cfRule>
  </conditionalFormatting>
  <conditionalFormatting sqref="E354:G354">
    <cfRule type="expression" dxfId="122" priority="128">
      <formula>IF(OR(AND(E354="",F354="",OR(G354="Critical",G354="Major",G354="Minor"))),1,0)</formula>
    </cfRule>
  </conditionalFormatting>
  <conditionalFormatting sqref="F354">
    <cfRule type="expression" dxfId="121" priority="127">
      <formula>IF(AND(F354="",OR(E354="Accuracy",E354="Fluency",E354="Segment",E354="Other")),1,0)</formula>
    </cfRule>
  </conditionalFormatting>
  <conditionalFormatting sqref="G354">
    <cfRule type="expression" dxfId="120" priority="129">
      <formula>IF(AND(OR(G354="",#REF!="Segment"),OR(#REF!="Accuracy",#REF!="Fluency",#REF!="Other")),1,0)</formula>
    </cfRule>
  </conditionalFormatting>
  <conditionalFormatting sqref="E355:G355">
    <cfRule type="expression" dxfId="119" priority="125">
      <formula>IF(OR(AND(E355="",F355="",OR(G355="Critical",G355="Major",G355="Minor"))),1,0)</formula>
    </cfRule>
  </conditionalFormatting>
  <conditionalFormatting sqref="F355">
    <cfRule type="expression" dxfId="118" priority="124">
      <formula>IF(AND(F355="",OR(E355="Accuracy",E355="Fluency",E355="Segment",E355="Other")),1,0)</formula>
    </cfRule>
  </conditionalFormatting>
  <conditionalFormatting sqref="G355">
    <cfRule type="expression" dxfId="117" priority="126">
      <formula>IF(AND(OR(G355="",#REF!="Segment"),OR(#REF!="Accuracy",#REF!="Fluency",#REF!="Other")),1,0)</formula>
    </cfRule>
  </conditionalFormatting>
  <conditionalFormatting sqref="E356:G356">
    <cfRule type="expression" dxfId="116" priority="122">
      <formula>IF(OR(AND(E356="",F356="",OR(G356="Critical",G356="Major",G356="Minor"))),1,0)</formula>
    </cfRule>
  </conditionalFormatting>
  <conditionalFormatting sqref="F356">
    <cfRule type="expression" dxfId="115" priority="121">
      <formula>IF(AND(F356="",OR(E356="Accuracy",E356="Fluency",E356="Segment",E356="Other")),1,0)</formula>
    </cfRule>
  </conditionalFormatting>
  <conditionalFormatting sqref="G356">
    <cfRule type="expression" dxfId="114" priority="123">
      <formula>IF(AND(OR(G356="",#REF!="Segment"),OR(#REF!="Accuracy",#REF!="Fluency",#REF!="Other")),1,0)</formula>
    </cfRule>
  </conditionalFormatting>
  <conditionalFormatting sqref="G357">
    <cfRule type="expression" dxfId="113" priority="119">
      <formula>IF(OR(AND(G357="",H357="",OR(I357="Critical",I357="Major",I357="Minor"))),1,0)</formula>
    </cfRule>
  </conditionalFormatting>
  <conditionalFormatting sqref="G357">
    <cfRule type="expression" dxfId="112" priority="120">
      <formula>IF(AND(OR(G357="",#REF!="Segment"),OR(#REF!="Accuracy",#REF!="Fluency",#REF!="Other")),1,0)</formula>
    </cfRule>
  </conditionalFormatting>
  <conditionalFormatting sqref="G358">
    <cfRule type="expression" dxfId="111" priority="116">
      <formula>IF(OR(AND(G358="",H358="",OR(I358="Critical",I358="Major",I358="Minor"))),1,0)</formula>
    </cfRule>
  </conditionalFormatting>
  <conditionalFormatting sqref="G358">
    <cfRule type="expression" dxfId="110" priority="117">
      <formula>IF(AND(OR(G358="",#REF!="Segment"),OR(#REF!="Accuracy",#REF!="Fluency",#REF!="Other")),1,0)</formula>
    </cfRule>
  </conditionalFormatting>
  <conditionalFormatting sqref="E359:G360">
    <cfRule type="expression" dxfId="109" priority="113">
      <formula>IF(OR(AND(E359="",F359="",OR(G359="Critical",G359="Major",G359="Minor"))),1,0)</formula>
    </cfRule>
  </conditionalFormatting>
  <conditionalFormatting sqref="F359:F360">
    <cfRule type="expression" dxfId="108" priority="112">
      <formula>IF(AND(F359="",OR(E359="Accuracy",E359="Fluency",E359="Segment",E359="Other")),1,0)</formula>
    </cfRule>
  </conditionalFormatting>
  <conditionalFormatting sqref="G359:G360">
    <cfRule type="expression" dxfId="107" priority="114">
      <formula>IF(AND(OR(G359="",#REF!="Segment"),OR(#REF!="Accuracy",#REF!="Fluency",#REF!="Other")),1,0)</formula>
    </cfRule>
  </conditionalFormatting>
  <conditionalFormatting sqref="G361">
    <cfRule type="expression" dxfId="106" priority="110">
      <formula>IF(OR(AND(G361="",H361="",OR(I361="Critical",I361="Major",I361="Minor"))),1,0)</formula>
    </cfRule>
  </conditionalFormatting>
  <conditionalFormatting sqref="G361">
    <cfRule type="expression" dxfId="105" priority="111">
      <formula>IF(AND(OR(G361="",#REF!="Segment"),OR(#REF!="Accuracy",#REF!="Fluency",#REF!="Other")),1,0)</formula>
    </cfRule>
  </conditionalFormatting>
  <conditionalFormatting sqref="E362:G362">
    <cfRule type="expression" dxfId="104" priority="107">
      <formula>IF(OR(AND(E362="",F362="",OR(G362="Critical",G362="Major",G362="Minor"))),1,0)</formula>
    </cfRule>
  </conditionalFormatting>
  <conditionalFormatting sqref="F362">
    <cfRule type="expression" dxfId="103" priority="106">
      <formula>IF(AND(F362="",OR(E362="Accuracy",E362="Fluency",E362="Segment",E362="Other")),1,0)</formula>
    </cfRule>
  </conditionalFormatting>
  <conditionalFormatting sqref="G362">
    <cfRule type="expression" dxfId="102" priority="108">
      <formula>IF(AND(OR(G362="",#REF!="Segment"),OR(#REF!="Accuracy",#REF!="Fluency",#REF!="Other")),1,0)</formula>
    </cfRule>
  </conditionalFormatting>
  <conditionalFormatting sqref="G363">
    <cfRule type="expression" dxfId="101" priority="104">
      <formula>IF(OR(AND(G363="",H363="",OR(I363="Critical",I363="Major",I363="Minor"))),1,0)</formula>
    </cfRule>
  </conditionalFormatting>
  <conditionalFormatting sqref="G363">
    <cfRule type="expression" dxfId="100" priority="105">
      <formula>IF(AND(OR(G363="",#REF!="Segment"),OR(#REF!="Accuracy",#REF!="Fluency",#REF!="Other")),1,0)</formula>
    </cfRule>
  </conditionalFormatting>
  <conditionalFormatting sqref="E364:G364">
    <cfRule type="expression" dxfId="99" priority="101">
      <formula>IF(OR(AND(E364="",F364="",OR(G364="Critical",G364="Major",G364="Minor"))),1,0)</formula>
    </cfRule>
  </conditionalFormatting>
  <conditionalFormatting sqref="F364">
    <cfRule type="expression" dxfId="98" priority="100">
      <formula>IF(AND(F364="",OR(E364="Accuracy",E364="Fluency",E364="Segment",E364="Other")),1,0)</formula>
    </cfRule>
  </conditionalFormatting>
  <conditionalFormatting sqref="G364">
    <cfRule type="expression" dxfId="97" priority="102">
      <formula>IF(AND(OR(G364="",#REF!="Segment"),OR(#REF!="Accuracy",#REF!="Fluency",#REF!="Other")),1,0)</formula>
    </cfRule>
  </conditionalFormatting>
  <conditionalFormatting sqref="G365">
    <cfRule type="expression" dxfId="96" priority="98">
      <formula>IF(OR(AND(G365="",H365="",OR(I365="Critical",I365="Major",I365="Minor"))),1,0)</formula>
    </cfRule>
  </conditionalFormatting>
  <conditionalFormatting sqref="G365">
    <cfRule type="expression" dxfId="95" priority="99">
      <formula>IF(AND(OR(G365="",#REF!="Segment"),OR(#REF!="Accuracy",#REF!="Fluency",#REF!="Other")),1,0)</formula>
    </cfRule>
  </conditionalFormatting>
  <conditionalFormatting sqref="E366:G366">
    <cfRule type="expression" dxfId="94" priority="95">
      <formula>IF(OR(AND(E366="",F366="",OR(G366="Critical",G366="Major",G366="Minor"))),1,0)</formula>
    </cfRule>
  </conditionalFormatting>
  <conditionalFormatting sqref="F366">
    <cfRule type="expression" dxfId="93" priority="94">
      <formula>IF(AND(F366="",OR(E366="Accuracy",E366="Fluency",E366="Segment",E366="Other")),1,0)</formula>
    </cfRule>
  </conditionalFormatting>
  <conditionalFormatting sqref="G366">
    <cfRule type="expression" dxfId="92" priority="96">
      <formula>IF(AND(OR(G366="",#REF!="Segment"),OR(#REF!="Accuracy",#REF!="Fluency",#REF!="Other")),1,0)</formula>
    </cfRule>
  </conditionalFormatting>
  <conditionalFormatting sqref="E367:G367">
    <cfRule type="expression" dxfId="91" priority="92">
      <formula>IF(OR(AND(E367="",F367="",OR(G367="Critical",G367="Major",G367="Minor"))),1,0)</formula>
    </cfRule>
  </conditionalFormatting>
  <conditionalFormatting sqref="F367">
    <cfRule type="expression" dxfId="90" priority="91">
      <formula>IF(AND(F367="",OR(E367="Accuracy",E367="Fluency",E367="Segment",E367="Other")),1,0)</formula>
    </cfRule>
  </conditionalFormatting>
  <conditionalFormatting sqref="G367">
    <cfRule type="expression" dxfId="89" priority="93">
      <formula>IF(AND(OR(G367="",#REF!="Segment"),OR(#REF!="Accuracy",#REF!="Fluency",#REF!="Other")),1,0)</formula>
    </cfRule>
  </conditionalFormatting>
  <conditionalFormatting sqref="G368">
    <cfRule type="expression" dxfId="88" priority="89">
      <formula>IF(OR(AND(G368="",H368="",OR(I368="Critical",I368="Major",I368="Minor"))),1,0)</formula>
    </cfRule>
  </conditionalFormatting>
  <conditionalFormatting sqref="G368">
    <cfRule type="expression" dxfId="87" priority="90">
      <formula>IF(AND(OR(G368="",#REF!="Segment"),OR(#REF!="Accuracy",#REF!="Fluency",#REF!="Other")),1,0)</formula>
    </cfRule>
  </conditionalFormatting>
  <conditionalFormatting sqref="E369:G369">
    <cfRule type="expression" dxfId="86" priority="86">
      <formula>IF(OR(AND(E369="",F369="",OR(G369="Critical",G369="Major",G369="Minor"))),1,0)</formula>
    </cfRule>
  </conditionalFormatting>
  <conditionalFormatting sqref="F369">
    <cfRule type="expression" dxfId="85" priority="85">
      <formula>IF(AND(F369="",OR(E369="Accuracy",E369="Fluency",E369="Segment",E369="Other")),1,0)</formula>
    </cfRule>
  </conditionalFormatting>
  <conditionalFormatting sqref="G369">
    <cfRule type="expression" dxfId="84" priority="87">
      <formula>IF(AND(OR(G369="",#REF!="Segment"),OR(#REF!="Accuracy",#REF!="Fluency",#REF!="Other")),1,0)</formula>
    </cfRule>
  </conditionalFormatting>
  <conditionalFormatting sqref="F370">
    <cfRule type="expression" dxfId="83" priority="82">
      <formula>IF(AND(F370="",OR(E370="Accuracy",E370="Fluency",E370="Segment",E370="Other")),1,0)</formula>
    </cfRule>
  </conditionalFormatting>
  <conditionalFormatting sqref="E370:G370">
    <cfRule type="expression" dxfId="82" priority="83">
      <formula>IF(OR(AND(E370="",F370="",OR(G370="Critical",G370="Major",G370="Minor"))),1,0)</formula>
    </cfRule>
  </conditionalFormatting>
  <conditionalFormatting sqref="G370">
    <cfRule type="expression" dxfId="81" priority="84">
      <formula>IF(AND(OR(G370="",#REF!="Segment"),OR(#REF!="Accuracy",#REF!="Fluency",#REF!="Other")),1,0)</formula>
    </cfRule>
  </conditionalFormatting>
  <conditionalFormatting sqref="E371:G371">
    <cfRule type="expression" dxfId="80" priority="80">
      <formula>IF(OR(AND(E371="",F371="",OR(G371="Critical",G371="Major",G371="Minor"))),1,0)</formula>
    </cfRule>
  </conditionalFormatting>
  <conditionalFormatting sqref="F371">
    <cfRule type="expression" dxfId="79" priority="79">
      <formula>IF(AND(F371="",OR(E371="Accuracy",E371="Fluency",E371="Segment",E371="Other")),1,0)</formula>
    </cfRule>
  </conditionalFormatting>
  <conditionalFormatting sqref="G371">
    <cfRule type="expression" dxfId="78" priority="81">
      <formula>IF(AND(OR(G371="",#REF!="Segment"),OR(#REF!="Accuracy",#REF!="Fluency",#REF!="Other")),1,0)</formula>
    </cfRule>
  </conditionalFormatting>
  <conditionalFormatting sqref="E372">
    <cfRule type="expression" dxfId="77" priority="78">
      <formula>IF(OR(AND(E372="",F372="",OR(G372="Critical",G372="Major",G372="Minor"))),1,0)</formula>
    </cfRule>
  </conditionalFormatting>
  <conditionalFormatting sqref="F372">
    <cfRule type="expression" dxfId="76" priority="76">
      <formula>IF(OR(AND(F372="",G372="",OR(H370="Critical",H370="Major",H370="Minor"))),1,0)</formula>
    </cfRule>
  </conditionalFormatting>
  <conditionalFormatting sqref="G372">
    <cfRule type="expression" dxfId="75" priority="77">
      <formula>IF(OR(AND(G372="",H370="",OR(I370="Critical",I370="Major",I370="Minor"))),1,0)</formula>
    </cfRule>
  </conditionalFormatting>
  <conditionalFormatting sqref="F372">
    <cfRule type="expression" dxfId="74" priority="74">
      <formula>IF(AND(F372="",OR(E372="Accuracy",E372="Fluency",E372="Segment",E372="Other")),1,0)</formula>
    </cfRule>
  </conditionalFormatting>
  <conditionalFormatting sqref="G372">
    <cfRule type="expression" dxfId="73" priority="75">
      <formula>IF(AND(OR(G372="",#REF!="Segment"),OR(#REF!="Accuracy",#REF!="Fluency",#REF!="Other")),1,0)</formula>
    </cfRule>
  </conditionalFormatting>
  <conditionalFormatting sqref="E373:E374">
    <cfRule type="expression" dxfId="72" priority="73">
      <formula>IF(OR(AND(E373="",F373="",OR(G373="Critical",G373="Major",G373="Minor"))),1,0)</formula>
    </cfRule>
  </conditionalFormatting>
  <conditionalFormatting sqref="F373:F374">
    <cfRule type="expression" dxfId="71" priority="71">
      <formula>IF(OR(AND(F373="",G373="",OR(H371="Critical",H371="Major",H371="Minor"))),1,0)</formula>
    </cfRule>
  </conditionalFormatting>
  <conditionalFormatting sqref="G373:G374">
    <cfRule type="expression" dxfId="70" priority="72">
      <formula>IF(OR(AND(G373="",H371="",OR(I371="Critical",I371="Major",I371="Minor"))),1,0)</formula>
    </cfRule>
  </conditionalFormatting>
  <conditionalFormatting sqref="F373:F374">
    <cfRule type="expression" dxfId="69" priority="69">
      <formula>IF(AND(F373="",OR(E373="Accuracy",E373="Fluency",E373="Segment",E373="Other")),1,0)</formula>
    </cfRule>
  </conditionalFormatting>
  <conditionalFormatting sqref="G373:G374">
    <cfRule type="expression" dxfId="68" priority="70">
      <formula>IF(AND(OR(G373="",#REF!="Segment"),OR(#REF!="Accuracy",#REF!="Fluency",#REF!="Other")),1,0)</formula>
    </cfRule>
  </conditionalFormatting>
  <conditionalFormatting sqref="E12">
    <cfRule type="expression" dxfId="67" priority="68">
      <formula>IF(OR(AND(E12="",F12="",OR(G12="Critical",G12="Major",G12="Minor"))),1,0)</formula>
    </cfRule>
  </conditionalFormatting>
  <conditionalFormatting sqref="F12">
    <cfRule type="expression" dxfId="66" priority="67">
      <formula>IF(AND(F12="",OR(E12="Accuracy",E12="Fluency",E12="Segment",E12="Other")),1,0)</formula>
    </cfRule>
  </conditionalFormatting>
  <conditionalFormatting sqref="F12">
    <cfRule type="expression" dxfId="65" priority="66">
      <formula>IF(OR(AND(F12="",G12="",OR(H36="Critical",H36="Major",H36="Minor"))),1,0)</formula>
    </cfRule>
  </conditionalFormatting>
  <conditionalFormatting sqref="G11">
    <cfRule type="expression" dxfId="64" priority="65">
      <formula>IF(OR(AND(G11="",H11="",OR(I11="Critical",I11="Major",I11="Minor"))),1,0)</formula>
    </cfRule>
  </conditionalFormatting>
  <conditionalFormatting sqref="G12">
    <cfRule type="expression" dxfId="63" priority="64">
      <formula>IF(OR(AND(G12="",H12="",OR(I12="Critical",I12="Major",I12="Minor"))),1,0)</formula>
    </cfRule>
  </conditionalFormatting>
  <conditionalFormatting sqref="E400:G400 E386:G386 E375:G381">
    <cfRule type="expression" dxfId="62" priority="63">
      <formula>IF(OR(AND(E375="",F375="",OR(G375="Critical",G375="Major",G375="Minor"))),1,0)</formula>
    </cfRule>
  </conditionalFormatting>
  <conditionalFormatting sqref="F400 F386 F375:F381">
    <cfRule type="expression" dxfId="61" priority="62">
      <formula>IF(AND(F375="",OR(E375="Accuracy",E375="Fluency",E375="Segment",E375="Other")),1,0)</formula>
    </cfRule>
  </conditionalFormatting>
  <conditionalFormatting sqref="H375:H381">
    <cfRule type="expression" dxfId="60" priority="60">
      <formula>IF(OR(AND(H375="",J375="",OR(#REF!="Critical",#REF!="Major",#REF!="Minor"))),1,0)</formula>
    </cfRule>
  </conditionalFormatting>
  <conditionalFormatting sqref="G375:G381">
    <cfRule type="expression" dxfId="59" priority="61">
      <formula>IF(AND(OR(G375="",#REF!="Segment"),OR(#REF!="Accuracy",#REF!="Fluency",#REF!="Other")),1,0)</formula>
    </cfRule>
  </conditionalFormatting>
  <conditionalFormatting sqref="E382:G382">
    <cfRule type="expression" dxfId="58" priority="58">
      <formula>IF(OR(AND(E382="",F382="",OR(G382="Critical",G382="Major",G382="Minor"))),1,0)</formula>
    </cfRule>
  </conditionalFormatting>
  <conditionalFormatting sqref="F382">
    <cfRule type="expression" dxfId="57" priority="57">
      <formula>IF(AND(F382="",OR(E382="Accuracy",E382="Fluency",E382="Segment",E382="Other")),1,0)</formula>
    </cfRule>
  </conditionalFormatting>
  <conditionalFormatting sqref="G382">
    <cfRule type="expression" dxfId="56" priority="59">
      <formula>IF(AND(OR(G382="",#REF!="Segment"),OR(#REF!="Accuracy",#REF!="Fluency",#REF!="Other")),1,0)</formula>
    </cfRule>
  </conditionalFormatting>
  <conditionalFormatting sqref="E383:F383">
    <cfRule type="expression" dxfId="55" priority="56">
      <formula>IF(OR(AND(E383="",F383="",OR(G383="Critical",G383="Major",G383="Minor"))),1,0)</formula>
    </cfRule>
  </conditionalFormatting>
  <conditionalFormatting sqref="F383">
    <cfRule type="expression" dxfId="54" priority="55">
      <formula>IF(AND(F383="",OR(E383="Accuracy",E383="Fluency",E383="Segment",E383="Other")),1,0)</formula>
    </cfRule>
  </conditionalFormatting>
  <conditionalFormatting sqref="G383">
    <cfRule type="expression" dxfId="53" priority="53">
      <formula>IF(OR(AND(G383="",H383="",OR(I383="Critical",I383="Major",I383="Minor"))),1,0)</formula>
    </cfRule>
  </conditionalFormatting>
  <conditionalFormatting sqref="G383">
    <cfRule type="expression" dxfId="52" priority="54">
      <formula>IF(AND(OR(G383="",#REF!="Segment"),OR(#REF!="Accuracy",#REF!="Fluency",#REF!="Other")),1,0)</formula>
    </cfRule>
  </conditionalFormatting>
  <conditionalFormatting sqref="E384:F384">
    <cfRule type="expression" dxfId="51" priority="52">
      <formula>IF(OR(AND(E384="",F384="",OR(G384="Critical",G384="Major",G384="Minor"))),1,0)</formula>
    </cfRule>
  </conditionalFormatting>
  <conditionalFormatting sqref="F384">
    <cfRule type="expression" dxfId="50" priority="51">
      <formula>IF(AND(F384="",OR(E384="Accuracy",E384="Fluency",E384="Segment",E384="Other")),1,0)</formula>
    </cfRule>
  </conditionalFormatting>
  <conditionalFormatting sqref="G384">
    <cfRule type="expression" dxfId="49" priority="49">
      <formula>IF(OR(AND(G384="",H384="",OR(I384="Critical",I384="Major",I384="Minor"))),1,0)</formula>
    </cfRule>
  </conditionalFormatting>
  <conditionalFormatting sqref="G384">
    <cfRule type="expression" dxfId="48" priority="50">
      <formula>IF(AND(OR(G384="",#REF!="Segment"),OR(#REF!="Accuracy",#REF!="Fluency",#REF!="Other")),1,0)</formula>
    </cfRule>
  </conditionalFormatting>
  <conditionalFormatting sqref="G385">
    <cfRule type="expression" dxfId="47" priority="45">
      <formula>IF(OR(AND(G385="",H385="",OR(I385="Critical",I385="Major",I385="Minor"))),1,0)</formula>
    </cfRule>
  </conditionalFormatting>
  <conditionalFormatting sqref="E385:F385">
    <cfRule type="expression" dxfId="46" priority="47">
      <formula>IF(OR(AND(E385="",F385="",OR(G385="Critical",G385="Major",G385="Minor"))),1,0)</formula>
    </cfRule>
  </conditionalFormatting>
  <conditionalFormatting sqref="F385">
    <cfRule type="expression" dxfId="45" priority="46">
      <formula>IF(AND(F385="",OR(E385="Accuracy",E385="Fluency",E385="Segment",E385="Other")),1,0)</formula>
    </cfRule>
  </conditionalFormatting>
  <conditionalFormatting sqref="G385">
    <cfRule type="expression" dxfId="44" priority="44">
      <formula>IF(AND(OR(G385="",#REF!="Segment"),OR(#REF!="Accuracy",#REF!="Fluency",#REF!="Other")),1,0)</formula>
    </cfRule>
  </conditionalFormatting>
  <conditionalFormatting sqref="H385">
    <cfRule type="expression" dxfId="43" priority="48">
      <formula>IF(OR(AND(H385="",J385="",OR(#REF!="Critical",#REF!="Major",#REF!="Minor"))),1,0)</formula>
    </cfRule>
  </conditionalFormatting>
  <conditionalFormatting sqref="G386">
    <cfRule type="expression" dxfId="42" priority="43">
      <formula>IF(AND(OR(G386="",#REF!="Segment"),OR(#REF!="Accuracy",#REF!="Fluency",#REF!="Other")),1,0)</formula>
    </cfRule>
  </conditionalFormatting>
  <conditionalFormatting sqref="G387:G391">
    <cfRule type="expression" dxfId="41" priority="39">
      <formula>IF(AND(OR(G387="",#REF!="Segment"),OR(#REF!="Accuracy",#REF!="Fluency",#REF!="Other")),1,0)</formula>
    </cfRule>
  </conditionalFormatting>
  <conditionalFormatting sqref="E387:F391">
    <cfRule type="expression" dxfId="40" priority="42">
      <formula>IF(OR(AND(E387="",F387="",OR(G387="Critical",G387="Major",G387="Minor"))),1,0)</formula>
    </cfRule>
  </conditionalFormatting>
  <conditionalFormatting sqref="F387:F391">
    <cfRule type="expression" dxfId="39" priority="41">
      <formula>IF(AND(F387="",OR(E387="Accuracy",E387="Fluency",E387="Segment",E387="Other")),1,0)</formula>
    </cfRule>
  </conditionalFormatting>
  <conditionalFormatting sqref="G387:G391">
    <cfRule type="expression" dxfId="38" priority="40">
      <formula>IF(OR(AND(G387="",H387="",OR(I387="Critical",I387="Major",I387="Minor"))),1,0)</formula>
    </cfRule>
  </conditionalFormatting>
  <conditionalFormatting sqref="G387:G391">
    <cfRule type="expression" dxfId="37" priority="38">
      <formula>IF(AND(OR(G387="",#REF!="Segment"),OR(#REF!="Accuracy",#REF!="Fluency",#REF!="Other")),1,0)</formula>
    </cfRule>
  </conditionalFormatting>
  <conditionalFormatting sqref="F392">
    <cfRule type="expression" dxfId="36" priority="36">
      <formula>IF(AND(F392="",OR(E392="Accuracy",E392="Fluency",E392="Segment",E392="Other")),1,0)</formula>
    </cfRule>
  </conditionalFormatting>
  <conditionalFormatting sqref="E392:F392">
    <cfRule type="expression" dxfId="35" priority="35">
      <formula>IF(OR(AND(E392="",F392="",OR(G392="Critical",G392="Major",G392="Minor"))),1,0)</formula>
    </cfRule>
  </conditionalFormatting>
  <conditionalFormatting sqref="G392">
    <cfRule type="expression" dxfId="34" priority="34">
      <formula>IF(AND(OR(G392="",#REF!="Segment"),OR(#REF!="Accuracy",#REF!="Fluency",#REF!="Other")),1,0)</formula>
    </cfRule>
  </conditionalFormatting>
  <conditionalFormatting sqref="G392">
    <cfRule type="expression" dxfId="33" priority="37">
      <formula>IF(OR(AND(G392="",H392="",OR(I399="Critical",I399="Major",I399="Minor"))),1,0)</formula>
    </cfRule>
  </conditionalFormatting>
  <conditionalFormatting sqref="E393">
    <cfRule type="expression" dxfId="32" priority="31">
      <formula>IF(OR(AND(E393="",F393="",OR(G393="Critical",G393="Major",G393="Minor"))),1,0)</formula>
    </cfRule>
  </conditionalFormatting>
  <conditionalFormatting sqref="F393">
    <cfRule type="expression" dxfId="31" priority="30">
      <formula>IF(AND(F393="",OR(E393="Accuracy",E393="Fluency",E393="Segment",E393="Other")),1,0)</formula>
    </cfRule>
  </conditionalFormatting>
  <conditionalFormatting sqref="G393">
    <cfRule type="expression" dxfId="30" priority="29">
      <formula>IF(AND(OR(G393="",#REF!="Segment"),OR(#REF!="Accuracy",#REF!="Fluency",#REF!="Other")),1,0)</formula>
    </cfRule>
  </conditionalFormatting>
  <conditionalFormatting sqref="G394">
    <cfRule type="expression" dxfId="29" priority="27">
      <formula>IF(OR(AND(G394="",H394="",OR(I394="Critical",I394="Major",I394="Minor"))),1,0)</formula>
    </cfRule>
  </conditionalFormatting>
  <conditionalFormatting sqref="G394">
    <cfRule type="expression" dxfId="28" priority="28">
      <formula>IF(AND(OR(G394="",#REF!="Segment"),OR(#REF!="Accuracy",#REF!="Fluency",#REF!="Other")),1,0)</formula>
    </cfRule>
  </conditionalFormatting>
  <conditionalFormatting sqref="E394:F394">
    <cfRule type="expression" dxfId="27" priority="26">
      <formula>IF(OR(AND(E394="",F394="",OR(G394="Critical",G394="Major",G394="Minor"))),1,0)</formula>
    </cfRule>
  </conditionalFormatting>
  <conditionalFormatting sqref="F394">
    <cfRule type="expression" dxfId="26" priority="25">
      <formula>IF(AND(F394="",OR(E394="Accuracy",E394="Fluency",E394="Segment",E394="Other")),1,0)</formula>
    </cfRule>
  </conditionalFormatting>
  <conditionalFormatting sqref="G395">
    <cfRule type="expression" dxfId="25" priority="23">
      <formula>IF(OR(AND(G395="",H395="",OR(I395="Critical",I395="Major",I395="Minor"))),1,0)</formula>
    </cfRule>
  </conditionalFormatting>
  <conditionalFormatting sqref="G395">
    <cfRule type="expression" dxfId="24" priority="24">
      <formula>IF(AND(OR(G395="",#REF!="Segment"),OR(#REF!="Accuracy",#REF!="Fluency",#REF!="Other")),1,0)</formula>
    </cfRule>
  </conditionalFormatting>
  <conditionalFormatting sqref="E395:F395">
    <cfRule type="expression" dxfId="23" priority="22">
      <formula>IF(OR(AND(E395="",F395="",OR(G395="Critical",G395="Major",G395="Minor"))),1,0)</formula>
    </cfRule>
  </conditionalFormatting>
  <conditionalFormatting sqref="F395">
    <cfRule type="expression" dxfId="22" priority="21">
      <formula>IF(AND(F395="",OR(E395="Accuracy",E395="Fluency",E395="Segment",E395="Other")),1,0)</formula>
    </cfRule>
  </conditionalFormatting>
  <conditionalFormatting sqref="F393">
    <cfRule type="expression" dxfId="21" priority="32">
      <formula>IF(OR(AND(F393="",G393="",OR(#REF!="Critical",#REF!="Major",#REF!="Minor"))),1,0)</formula>
    </cfRule>
  </conditionalFormatting>
  <conditionalFormatting sqref="G393">
    <cfRule type="expression" dxfId="20" priority="33">
      <formula>IF(OR(AND(G393="",#REF!="",OR(I393="Critical",I393="Major",I393="Minor"))),1,0)</formula>
    </cfRule>
  </conditionalFormatting>
  <conditionalFormatting sqref="E396">
    <cfRule type="expression" dxfId="19" priority="20">
      <formula>IF(OR(AND(E396="",F396="",OR(G396="Critical",G396="Major",G396="Minor"))),1,0)</formula>
    </cfRule>
  </conditionalFormatting>
  <conditionalFormatting sqref="F396">
    <cfRule type="expression" dxfId="18" priority="19">
      <formula>IF(AND(F396="",OR(E396="Accuracy",E396="Fluency",E396="Segment",E396="Other")),1,0)</formula>
    </cfRule>
  </conditionalFormatting>
  <conditionalFormatting sqref="F396">
    <cfRule type="expression" dxfId="17" priority="18">
      <formula>IF(OR(AND(F396="",G396="",OR(H395="Critical",H395="Major",H395="Minor"))),1,0)</formula>
    </cfRule>
  </conditionalFormatting>
  <conditionalFormatting sqref="G396">
    <cfRule type="expression" dxfId="16" priority="17">
      <formula>IF(OR(AND(G396="",H395="",OR(I396="Critical",I396="Major",I396="Minor"))),1,0)</formula>
    </cfRule>
  </conditionalFormatting>
  <conditionalFormatting sqref="G396">
    <cfRule type="expression" dxfId="15" priority="16">
      <formula>IF(AND(OR(G396="",#REF!="Segment"),OR(#REF!="Accuracy",#REF!="Fluency",#REF!="Other")),1,0)</formula>
    </cfRule>
  </conditionalFormatting>
  <conditionalFormatting sqref="G397">
    <cfRule type="expression" dxfId="14" priority="15">
      <formula>IF(AND(OR(G397="",#REF!="Segment"),OR(#REF!="Accuracy",#REF!="Fluency",#REF!="Other")),1,0)</formula>
    </cfRule>
  </conditionalFormatting>
  <conditionalFormatting sqref="G397">
    <cfRule type="expression" dxfId="13" priority="14">
      <formula>IF(OR(AND(G397="",H397="",OR(I397="Critical",I397="Major",I397="Minor"))),1,0)</formula>
    </cfRule>
  </conditionalFormatting>
  <conditionalFormatting sqref="E397:F397">
    <cfRule type="expression" dxfId="12" priority="13">
      <formula>IF(OR(AND(E397="",F397="",OR(G397="Critical",G397="Major",G397="Minor"))),1,0)</formula>
    </cfRule>
  </conditionalFormatting>
  <conditionalFormatting sqref="F397">
    <cfRule type="expression" dxfId="11" priority="12">
      <formula>IF(AND(F397="",OR(E397="Accuracy",E397="Fluency",E397="Segment",E397="Other")),1,0)</formula>
    </cfRule>
  </conditionalFormatting>
  <conditionalFormatting sqref="E398:F398">
    <cfRule type="expression" dxfId="10" priority="9">
      <formula>IF(OR(AND(E398="",F398="",OR(G398="Critical",G398="Major",G398="Minor"))),1,0)</formula>
    </cfRule>
  </conditionalFormatting>
  <conditionalFormatting sqref="F398">
    <cfRule type="expression" dxfId="9" priority="8">
      <formula>IF(AND(F398="",OR(E398="Accuracy",E398="Fluency",E398="Segment",E398="Other")),1,0)</formula>
    </cfRule>
  </conditionalFormatting>
  <conditionalFormatting sqref="G398">
    <cfRule type="expression" dxfId="8" priority="10">
      <formula>IF(OR(AND(G398="",H398="",OR(I398="Critical",I398="Major",I398="Minor"))),1,0)</formula>
    </cfRule>
  </conditionalFormatting>
  <conditionalFormatting sqref="G398">
    <cfRule type="expression" dxfId="7" priority="11">
      <formula>IF(AND(OR(G398="",#REF!="Segment"),OR(#REF!="Accuracy",#REF!="Fluency",#REF!="Other")),1,0)</formula>
    </cfRule>
  </conditionalFormatting>
  <conditionalFormatting sqref="E399:G399">
    <cfRule type="expression" dxfId="6" priority="6">
      <formula>IF(OR(AND(E399="",F399="",OR(G399="Critical",G399="Major",G399="Minor"))),1,0)</formula>
    </cfRule>
  </conditionalFormatting>
  <conditionalFormatting sqref="F399">
    <cfRule type="expression" dxfId="5" priority="5">
      <formula>IF(AND(F399="",OR(E399="Accuracy",E399="Fluency",E399="Segment",E399="Other")),1,0)</formula>
    </cfRule>
  </conditionalFormatting>
  <conditionalFormatting sqref="G399">
    <cfRule type="expression" dxfId="4" priority="7">
      <formula>IF(AND(OR(G399="",#REF!="Segment"),OR(#REF!="Accuracy",#REF!="Fluency",#REF!="Other")),1,0)</formula>
    </cfRule>
  </conditionalFormatting>
  <conditionalFormatting sqref="G400">
    <cfRule type="expression" dxfId="3" priority="4">
      <formula>IF(AND(OR(G400="",E400="Segment"),OR(E400="Accuracy",E400="Fluency",E400="Other")),1,0)</formula>
    </cfRule>
  </conditionalFormatting>
  <conditionalFormatting sqref="E401:G401">
    <cfRule type="expression" dxfId="2" priority="3">
      <formula>IF(OR(AND(E401="",F401="",OR(G401="Critical",G401="Major",G401="Minor"))),1,0)</formula>
    </cfRule>
  </conditionalFormatting>
  <conditionalFormatting sqref="F401">
    <cfRule type="expression" dxfId="1" priority="2">
      <formula>IF(AND(F401="",OR(E401="Accuracy",E401="Fluency",E401="Segment",E401="Other")),1,0)</formula>
    </cfRule>
  </conditionalFormatting>
  <conditionalFormatting sqref="G401">
    <cfRule type="expression" dxfId="0" priority="1">
      <formula>IF(AND(OR(G401="",E401="Segment"),OR(E401="Accuracy",E401="Fluency",E401="Other")),1,0)</formula>
    </cfRule>
  </conditionalFormatting>
  <dataValidations count="3">
    <dataValidation allowBlank="1" showDropDown="1" showInputMessage="1" showErrorMessage="1" sqref="E1:G1 H1:H43 H45:H134 H137:H167 H169:H215 H217:H234 H236:H251 H303 H305:H311 H313:H319 H321:H336 H338:H339 H341:H346 H253:H301 H348:H383 I1:I384 H385:I392 I393:I401 H393 H396:H401 H402:I827" xr:uid="{00000000-0002-0000-0100-000000000000}"/>
    <dataValidation type="list" allowBlank="1" showInputMessage="1" showErrorMessage="1" sqref="F2:G827" xr:uid="{00000000-0002-0000-0100-000002000000}">
      <formula1>INDIRECT(E2)</formula1>
    </dataValidation>
    <dataValidation type="list" allowBlank="1" showInputMessage="1" showErrorMessage="1" sqref="E2:E827" xr:uid="{00000000-0002-0000-0100-000001000000}">
      <formula1>Issue_Type</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90" zoomScaleNormal="90" workbookViewId="0">
      <pane ySplit="1" topLeftCell="A2" activePane="bottomLeft" state="frozen"/>
      <selection pane="bottomLeft" sqref="A1:XFD1"/>
    </sheetView>
  </sheetViews>
  <sheetFormatPr defaultColWidth="9" defaultRowHeight="15"/>
  <cols>
    <col min="1" max="1" width="9" style="88"/>
    <col min="2" max="2" width="23.19921875" style="30" customWidth="1"/>
    <col min="3" max="3" width="47" style="30" customWidth="1"/>
    <col min="4" max="4" width="11" style="30" bestFit="1" customWidth="1"/>
    <col min="5" max="9" width="9" style="30"/>
    <col min="10" max="10" width="17" style="30" bestFit="1" customWidth="1"/>
    <col min="11" max="16384" width="9" style="30"/>
  </cols>
  <sheetData>
    <row r="1" spans="1:10" ht="27.6">
      <c r="A1" s="78" t="s">
        <v>20</v>
      </c>
      <c r="B1" s="12" t="s">
        <v>4</v>
      </c>
      <c r="C1" s="12" t="s">
        <v>5</v>
      </c>
      <c r="D1" s="15" t="s">
        <v>44</v>
      </c>
      <c r="E1" s="11" t="s">
        <v>25</v>
      </c>
      <c r="F1" s="11" t="s">
        <v>23</v>
      </c>
      <c r="G1" s="11" t="s">
        <v>1</v>
      </c>
      <c r="H1" s="11" t="s">
        <v>46</v>
      </c>
      <c r="I1" s="11" t="s">
        <v>47</v>
      </c>
      <c r="J1" s="11" t="s">
        <v>53</v>
      </c>
    </row>
    <row r="2" spans="1:10">
      <c r="A2" s="79" t="s">
        <v>74</v>
      </c>
      <c r="B2" s="68" t="str">
        <f>IF(ISBLANK(A2),"",INDEX('Error Log'!$A:$J,MATCH('Scores per segment'!$A2,'Error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2" s="68" t="str">
        <f>IF(ISBLANK(A2),"",INDEX('Error Log'!$A:$J,MATCH('Scores per segment'!$A2,'Error Log'!$A:$A,0),MATCH('Scores per segment'!C$1,'Error Log'!$A$1:$J$1,0)))</f>
        <v>torture chamber : corry ` corey ' campbell , 21 ( left ) , the ringleader of a gang dubbed the ` tattoo terrorists ' was jailed for 20 years thursday for the abuse in march/april 21 .
campbell believed the victim , greg valecce , had hurt his cat , pebbles .
three people have been sent to prison and another two are awaiting sentencing for their roles in a horrific assault on a 53-year-old man , who was beaten , tied to a chair , and covered in offensive tattoos .</v>
      </c>
      <c r="D2" s="68">
        <f>IF(H2=0,wdct(TRIM(C2)),0)</f>
        <v>76</v>
      </c>
      <c r="E2" s="68">
        <f>COUNTIFS('Error Log'!$A:$A,$A2,'Error Log'!$J:$J,E$1)</f>
        <v>0</v>
      </c>
      <c r="F2" s="68">
        <f>COUNTIFS('Error Log'!$A:$A,$A2,'Error Log'!$J:$J,F$1)</f>
        <v>3</v>
      </c>
      <c r="G2" s="68">
        <f>COUNTIFS('Error Log'!$A:$A,$A2,'Error Log'!$J:$J,G$1)</f>
        <v>0</v>
      </c>
      <c r="H2" s="68">
        <f>COUNTIFS('Error Log'!$A:$A,$A2,'Error Log'!$F:$F,"Source")</f>
        <v>0</v>
      </c>
      <c r="I2" s="68">
        <f>COUNTIFS('Error Log'!$A:$A,$A2,'Error Log'!$F:$F,"Target")</f>
        <v>0</v>
      </c>
      <c r="J2" s="69">
        <f t="shared" ref="J2:J65" si="0">IF(I2=0,IFERROR((((1-((E2*10+F2*5+G2*1)/D2))*100)+100)/2,0),-150)</f>
        <v>90.131578947368411</v>
      </c>
    </row>
    <row r="3" spans="1:10">
      <c r="A3" s="79" t="s">
        <v>75</v>
      </c>
      <c r="B3" s="68" t="str">
        <f>IF(ISBLANK(A3),"",INDEX('Error Log'!$A:$J,MATCH('Scores per segment'!$A3,'Error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3" s="68" t="str">
        <f>IF(ISBLANK(A3),"",INDEX('Error Log'!$A:$J,MATCH('Scores per segment'!$A3,'Error Log'!$A:$A,0),MATCH('Scores per segment'!C$1,'Error Log'!$A$1:$J$1,0)))</f>
        <v>the golden bear added another magic moment to his storied career at augusta national in the par-3 contest .
at the grand old age of 75 , jack nicklaus is still capable of hitting aces .
nicklaus was playing alongside gary player and ben crenshaw as the first roar of masters week filled the skies in a sunswept georgia . '</v>
      </c>
      <c r="D3" s="68">
        <f>IF(H3=0,wdct(TRIM(C3)),0)</f>
        <v>56</v>
      </c>
      <c r="E3" s="68">
        <f>COUNTIFS('Error Log'!$A:$A,$A3,'Error Log'!$J:$J,E$1)</f>
        <v>4</v>
      </c>
      <c r="F3" s="68">
        <f>COUNTIFS('Error Log'!$A:$A,$A3,'Error Log'!$J:$J,F$1)</f>
        <v>0</v>
      </c>
      <c r="G3" s="68">
        <f>COUNTIFS('Error Log'!$A:$A,$A3,'Error Log'!$J:$J,G$1)</f>
        <v>0</v>
      </c>
      <c r="H3" s="68">
        <f>COUNTIFS('Error Log'!$A:$A,$A3,'Error Log'!$F:$F,"Source")</f>
        <v>0</v>
      </c>
      <c r="I3" s="68">
        <f>COUNTIFS('Error Log'!$A:$A,$A3,'Error Log'!$F:$F,"Target")</f>
        <v>0</v>
      </c>
      <c r="J3" s="69">
        <f t="shared" si="0"/>
        <v>64.285714285714278</v>
      </c>
    </row>
    <row r="4" spans="1:10">
      <c r="A4" s="79" t="s">
        <v>76</v>
      </c>
      <c r="B4" s="68" t="str">
        <f>IF(ISBLANK(A4),"",INDEX('Error Log'!$A:$J,MATCH('Scores per segment'!$A4,'Error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v>
      </c>
      <c r="C4" s="68" t="str">
        <f>IF(ISBLANK(A4),"",INDEX('Error Log'!$A:$J,MATCH('Scores per segment'!$A4,'Error Log'!$A:$A,0),MATCH('Scores per segment'!C$1,'Error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bates , 73 , was working as a reserve deputy for the tulsa county sheriff 's office on april 2 when he was involved the arrest of eric harris in a weapons sting operation .</v>
      </c>
      <c r="D4" s="68">
        <f>IF(H4=0,wdct(TRIM(C4)),0)</f>
        <v>82</v>
      </c>
      <c r="E4" s="68">
        <f>COUNTIFS('Error Log'!$A:$A,$A4,'Error Log'!$J:$J,E$1)</f>
        <v>1</v>
      </c>
      <c r="F4" s="68">
        <f>COUNTIFS('Error Log'!$A:$A,$A4,'Error Log'!$J:$J,F$1)</f>
        <v>0</v>
      </c>
      <c r="G4" s="68">
        <f>COUNTIFS('Error Log'!$A:$A,$A4,'Error Log'!$J:$J,G$1)</f>
        <v>0</v>
      </c>
      <c r="H4" s="68">
        <f>COUNTIFS('Error Log'!$A:$A,$A4,'Error Log'!$F:$F,"Source")</f>
        <v>0</v>
      </c>
      <c r="I4" s="68">
        <f>COUNTIFS('Error Log'!$A:$A,$A4,'Error Log'!$F:$F,"Target")</f>
        <v>0</v>
      </c>
      <c r="J4" s="69">
        <f t="shared" si="0"/>
        <v>93.902439024390247</v>
      </c>
    </row>
    <row r="5" spans="1:10">
      <c r="A5" s="79" t="s">
        <v>77</v>
      </c>
      <c r="B5" s="68" t="str">
        <f>IF(ISBLANK(A5),"",INDEX('Error Log'!$A:$J,MATCH('Scores per segment'!$A5,'Error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v>
      </c>
      <c r="C5" s="68" t="str">
        <f>IF(ISBLANK(A5),"",INDEX('Error Log'!$A:$J,MATCH('Scores per segment'!$A5,'Error Log'!$A:$A,0),MATCH('Scores per segment'!C$1,'Error Log'!$A$1:$J$1,0)))</f>
        <v>stephen curry eclipsed his own nba record for most 3-pointers in a season , scoring 45 points to rally the golden state warriors to a 116-105 victory over the portland trail blazers on thursday night .
pau gasol ( right ) had 16 points and 15 rebounds as the chicago bulls beat miami heat 89-78 on thursday
curry ( centre ) hit eight three-pointers to to eclipse his previous nba best of 272 made in a single season</v>
      </c>
      <c r="D5" s="68">
        <f>IF(H5=0,wdct(TRIM(C5)),0)</f>
        <v>72</v>
      </c>
      <c r="E5" s="68">
        <f>COUNTIFS('Error Log'!$A:$A,$A5,'Error Log'!$J:$J,E$1)</f>
        <v>0</v>
      </c>
      <c r="F5" s="68">
        <f>COUNTIFS('Error Log'!$A:$A,$A5,'Error Log'!$J:$J,F$1)</f>
        <v>2</v>
      </c>
      <c r="G5" s="68">
        <f>COUNTIFS('Error Log'!$A:$A,$A5,'Error Log'!$J:$J,G$1)</f>
        <v>0</v>
      </c>
      <c r="H5" s="68">
        <f>COUNTIFS('Error Log'!$A:$A,$A5,'Error Log'!$F:$F,"Source")</f>
        <v>0</v>
      </c>
      <c r="I5" s="68">
        <f>COUNTIFS('Error Log'!$A:$A,$A5,'Error Log'!$F:$F,"Target")</f>
        <v>0</v>
      </c>
      <c r="J5" s="69">
        <f t="shared" si="0"/>
        <v>93.055555555555557</v>
      </c>
    </row>
    <row r="6" spans="1:10">
      <c r="A6" s="79" t="s">
        <v>78</v>
      </c>
      <c r="B6" s="68" t="str">
        <f>IF(ISBLANK(A6),"",INDEX('Error Log'!$A:$J,MATCH('Scores per segment'!$A6,'Error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6" s="68" t="str">
        <f>IF(ISBLANK(A6),"",INDEX('Error Log'!$A:$J,MATCH('Scores per segment'!$A6,'Error Log'!$A:$A,0),MATCH('Scores per segment'!C$1,'Error Log'!$A$1:$J$1,0)))</f>
        <v>mcgregor is challenging jose aldo for his featherweight champion title in las vegas on july 11
conor mcgregor reveals his new tattoo of a tiger on his stomach to his instagram followers
the 26-year-old irishman has already got a picture of a gorilla eating a heart inked upon his chest and ` the notorious ' has now revealed a tiger 's face tattooed onto his stomach .</v>
      </c>
      <c r="D6" s="68">
        <f>IF(H6=0,wdct(TRIM(C6)),0)</f>
        <v>64</v>
      </c>
      <c r="E6" s="68">
        <f>COUNTIFS('Error Log'!$A:$A,$A6,'Error Log'!$J:$J,E$1)</f>
        <v>1</v>
      </c>
      <c r="F6" s="68">
        <f>COUNTIFS('Error Log'!$A:$A,$A6,'Error Log'!$J:$J,F$1)</f>
        <v>0</v>
      </c>
      <c r="G6" s="68">
        <f>COUNTIFS('Error Log'!$A:$A,$A6,'Error Log'!$J:$J,G$1)</f>
        <v>0</v>
      </c>
      <c r="H6" s="68">
        <f>COUNTIFS('Error Log'!$A:$A,$A6,'Error Log'!$F:$F,"Source")</f>
        <v>0</v>
      </c>
      <c r="I6" s="68">
        <f>COUNTIFS('Error Log'!$A:$A,$A6,'Error Log'!$F:$F,"Target")</f>
        <v>0</v>
      </c>
      <c r="J6" s="69">
        <f t="shared" si="0"/>
        <v>92.1875</v>
      </c>
    </row>
    <row r="7" spans="1:10">
      <c r="A7" s="79" t="s">
        <v>79</v>
      </c>
      <c r="B7" s="68" t="str">
        <f>IF(ISBLANK(A7),"",INDEX('Error Log'!$A:$J,MATCH('Scores per segment'!$A7,'Error Log'!$A:$A,0),MATCH('Scores per segment'!B$1,'Error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v>
      </c>
      <c r="C7" s="68" t="str">
        <f>IF(ISBLANK(A7),"",INDEX('Error Log'!$A:$J,MATCH('Scores per segment'!$A7,'Error Log'!$A:$A,0),MATCH('Scores per segment'!C$1,'Error Log'!$A$1:$J$1,0)))</f>
        <v>liverpool players mario balotelli , fabio borini , rickie lambert and lazar markovic got more than they bargained for when youtube star bas van velzen arrived at melwood .
van velzen lines up his first free-kick of the day as the liverpool stars watch on
balotelli and lambert watch as van velzen showcases his dead-ball skills at melwood</v>
      </c>
      <c r="D7" s="68">
        <f>IF(H7=0,wdct(TRIM(C7)),0)</f>
        <v>55</v>
      </c>
      <c r="E7" s="68">
        <f>COUNTIFS('Error Log'!$A:$A,$A7,'Error Log'!$J:$J,E$1)</f>
        <v>3</v>
      </c>
      <c r="F7" s="68">
        <f>COUNTIFS('Error Log'!$A:$A,$A7,'Error Log'!$J:$J,F$1)</f>
        <v>2</v>
      </c>
      <c r="G7" s="68">
        <f>COUNTIFS('Error Log'!$A:$A,$A7,'Error Log'!$J:$J,G$1)</f>
        <v>0</v>
      </c>
      <c r="H7" s="68">
        <f>COUNTIFS('Error Log'!$A:$A,$A7,'Error Log'!$F:$F,"Source")</f>
        <v>0</v>
      </c>
      <c r="I7" s="68">
        <f>COUNTIFS('Error Log'!$A:$A,$A7,'Error Log'!$F:$F,"Target")</f>
        <v>0</v>
      </c>
      <c r="J7" s="69">
        <f t="shared" si="0"/>
        <v>63.636363636363633</v>
      </c>
    </row>
    <row r="8" spans="1:10">
      <c r="A8" s="79" t="s">
        <v>80</v>
      </c>
      <c r="B8" s="68" t="str">
        <f>IF(ISBLANK(A8),"",INDEX('Error Log'!$A:$J,MATCH('Scores per segment'!$A8,'Error Log'!$A:$A,0),MATCH('Scores per segment'!B$1,'Error Log'!$A$1:$J$1,0)))</f>
        <v>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v>
      </c>
      <c r="C8" s="68" t="str">
        <f>IF(ISBLANK(A8),"",INDEX('Error Log'!$A:$J,MATCH('Scores per segment'!$A8,'Error Log'!$A:$A,0),MATCH('Scores per segment'!C$1,'Error Log'!$A$1:$J$1,0)))</f>
        <v xml:space="preserve">
australian prime minister tony abbott was cheered on by a crowd of about 50 as he skolled a schooner of beer
mr abbott came under fire after the incident as anti-drinking campaigners said he was glorifying binge drinking
julie robert , a cultural studies professor at the university of technology sydney , said it was ` problematic ' that the prime minister , who she believes should be advocating against binge drinking , thought it acceptable to ` showcase his masculinity ' by skolling a beer .</v>
      </c>
      <c r="D8" s="68">
        <f>IF(H8=0,wdct(TRIM(C8)),0)</f>
        <v>78</v>
      </c>
      <c r="E8" s="68">
        <f>COUNTIFS('Error Log'!$A:$A,$A8,'Error Log'!$J:$J,E$1)</f>
        <v>2</v>
      </c>
      <c r="F8" s="68">
        <f>COUNTIFS('Error Log'!$A:$A,$A8,'Error Log'!$J:$J,F$1)</f>
        <v>1</v>
      </c>
      <c r="G8" s="68">
        <f>COUNTIFS('Error Log'!$A:$A,$A8,'Error Log'!$J:$J,G$1)</f>
        <v>0</v>
      </c>
      <c r="H8" s="68">
        <f>COUNTIFS('Error Log'!$A:$A,$A8,'Error Log'!$F:$F,"Source")</f>
        <v>0</v>
      </c>
      <c r="I8" s="68">
        <f>COUNTIFS('Error Log'!$A:$A,$A8,'Error Log'!$F:$F,"Target")</f>
        <v>0</v>
      </c>
      <c r="J8" s="69">
        <f t="shared" si="0"/>
        <v>83.974358974358978</v>
      </c>
    </row>
    <row r="9" spans="1:10">
      <c r="A9" s="79" t="s">
        <v>81</v>
      </c>
      <c r="B9" s="68" t="str">
        <f>IF(ISBLANK(A9),"",INDEX('Error Log'!$A:$J,MATCH('Scores per segment'!$A9,'Error Log'!$A:$A,0),MATCH('Scores per segment'!B$1,'Error Log'!$A$1:$J$1,0)))</f>
        <v>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v>
      </c>
      <c r="C9" s="68" t="str">
        <f>IF(ISBLANK(A9),"",INDEX('Error Log'!$A:$J,MATCH('Scores per segment'!$A9,'Error Log'!$A:$A,0),MATCH('Scores per segment'!C$1,'Error Log'!$A$1:$J$1,0)))</f>
        <v xml:space="preserve">carriers of the brca1 gene , like hollywood star angelina jolie , can reduce their risk of death once they have been diagnosed with breast cancer by having their ovaries removed
women who carry a mutated version of brca1 or another gene known as brca2 face a life-time risk of breast cancer of up to 70 per cent .
if diagnosed , they face a severe threat of ovarian tumours .
</v>
      </c>
      <c r="D9" s="68">
        <f>IF(H9=0,wdct(TRIM(C9)),0)</f>
        <v>66</v>
      </c>
      <c r="E9" s="68">
        <f>COUNTIFS('Error Log'!$A:$A,$A9,'Error Log'!$J:$J,E$1)</f>
        <v>2</v>
      </c>
      <c r="F9" s="68">
        <f>COUNTIFS('Error Log'!$A:$A,$A9,'Error Log'!$J:$J,F$1)</f>
        <v>0</v>
      </c>
      <c r="G9" s="68">
        <f>COUNTIFS('Error Log'!$A:$A,$A9,'Error Log'!$J:$J,G$1)</f>
        <v>0</v>
      </c>
      <c r="H9" s="68">
        <f>COUNTIFS('Error Log'!$A:$A,$A9,'Error Log'!$F:$F,"Source")</f>
        <v>0</v>
      </c>
      <c r="I9" s="68">
        <f>COUNTIFS('Error Log'!$A:$A,$A9,'Error Log'!$F:$F,"Target")</f>
        <v>0</v>
      </c>
      <c r="J9" s="69">
        <f t="shared" si="0"/>
        <v>84.848484848484844</v>
      </c>
    </row>
    <row r="10" spans="1:10">
      <c r="A10" s="79" t="s">
        <v>82</v>
      </c>
      <c r="B10" s="68" t="str">
        <f>IF(ISBLANK(A10),"",INDEX('Error Log'!$A:$J,MATCH('Scores per segment'!$A10,'Error Log'!$A:$A,0),MATCH('Scores per segment'!B$1,'Error Log'!$A$1:$J$1,0)))</f>
        <v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10" s="68" t="str">
        <f>IF(ISBLANK(A10),"",INDEX('Error Log'!$A:$J,MATCH('Scores per segment'!$A10,'Error Log'!$A:$A,0),MATCH('Scores per segment'!C$1,'Error Log'!$A$1:$J$1,0)))</f>
        <v>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v>
      </c>
      <c r="D10" s="68">
        <f>IF(H10=0,wdct(TRIM(C10)),0)</f>
        <v>60</v>
      </c>
      <c r="E10" s="68">
        <f>COUNTIFS('Error Log'!$A:$A,$A10,'Error Log'!$J:$J,E$1)</f>
        <v>2</v>
      </c>
      <c r="F10" s="68">
        <f>COUNTIFS('Error Log'!$A:$A,$A10,'Error Log'!$J:$J,F$1)</f>
        <v>1</v>
      </c>
      <c r="G10" s="68">
        <f>COUNTIFS('Error Log'!$A:$A,$A10,'Error Log'!$J:$J,G$1)</f>
        <v>0</v>
      </c>
      <c r="H10" s="68">
        <f>COUNTIFS('Error Log'!$A:$A,$A10,'Error Log'!$F:$F,"Source")</f>
        <v>0</v>
      </c>
      <c r="I10" s="68">
        <f>COUNTIFS('Error Log'!$A:$A,$A10,'Error Log'!$F:$F,"Target")</f>
        <v>0</v>
      </c>
      <c r="J10" s="69">
        <f t="shared" si="0"/>
        <v>79.166666666666657</v>
      </c>
    </row>
    <row r="11" spans="1:10">
      <c r="A11" s="79" t="s">
        <v>83</v>
      </c>
      <c r="B11" s="68" t="str">
        <f>IF(ISBLANK(A11),"",INDEX('Error Log'!$A:$J,MATCH('Scores per segment'!$A11,'Error Log'!$A:$A,0),MATCH('Scores per segment'!B$1,'Error Log'!$A$1:$J$1,0)))</f>
        <v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11" s="68" t="str">
        <f>IF(ISBLANK(A11),"",INDEX('Error Log'!$A:$J,MATCH('Scores per segment'!$A11,'Error Log'!$A:$A,0),MATCH('Scores per segment'!C$1,'Error Log'!$A$1:$J$1,0)))</f>
        <v>derek lowe , 38 , and tina lowe , 33 , were hit shortly before 10am on sunday in durham by a train heading north .
authorities say none of the 166 passengers on the train were injured , although a man who fell ill during the delay did receive treatment
amtrak spokesman marc magliari said train no. 80 , the carolinian , was headed from charlotte to new york city when the accident occurred on property owned by norfolk-southern .</v>
      </c>
      <c r="D11" s="68">
        <f>IF(H11=0,wdct(TRIM(C11)),0)</f>
        <v>72</v>
      </c>
      <c r="E11" s="68">
        <f>COUNTIFS('Error Log'!$A:$A,$A11,'Error Log'!$J:$J,E$1)</f>
        <v>1</v>
      </c>
      <c r="F11" s="68">
        <f>COUNTIFS('Error Log'!$A:$A,$A11,'Error Log'!$J:$J,F$1)</f>
        <v>0</v>
      </c>
      <c r="G11" s="68">
        <f>COUNTIFS('Error Log'!$A:$A,$A11,'Error Log'!$J:$J,G$1)</f>
        <v>0</v>
      </c>
      <c r="H11" s="68">
        <f>COUNTIFS('Error Log'!$A:$A,$A11,'Error Log'!$F:$F,"Source")</f>
        <v>0</v>
      </c>
      <c r="I11" s="68">
        <f>COUNTIFS('Error Log'!$A:$A,$A11,'Error Log'!$F:$F,"Target")</f>
        <v>0</v>
      </c>
      <c r="J11" s="69">
        <f t="shared" si="0"/>
        <v>93.055555555555557</v>
      </c>
    </row>
    <row r="12" spans="1:10">
      <c r="A12" s="79" t="s">
        <v>84</v>
      </c>
      <c r="B12" s="68" t="str">
        <f>IF(ISBLANK(A12),"",INDEX('Error Log'!$A:$J,MATCH('Scores per segment'!$A12,'Error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v>
      </c>
      <c r="C12" s="68" t="str">
        <f>IF(ISBLANK(A12),"",INDEX('Error Log'!$A:$J,MATCH('Scores per segment'!$A12,'Error Log'!$A:$A,0),MATCH('Scores per segment'!C$1,'Error Log'!$A$1:$J$1,0)))</f>
        <v>saskia 's football fan boyfriend made her take an arsenal test and did n't dump her thanks to her a grade
saskia scored an impressive 87 per cent , but according to her unnamed boyfriend 's feedback she ` could have performed better on q17 ' , needs to ` learn all player positions ' and should understand that ` tottenham are scum ' .
an obsessive arsenal fan made his girlfriend sit a test quizzing her about his favourite football club .</v>
      </c>
      <c r="D12" s="68">
        <f>IF(H12=0,wdct(TRIM(C12)),0)</f>
        <v>73</v>
      </c>
      <c r="E12" s="68">
        <f>COUNTIFS('Error Log'!$A:$A,$A12,'Error Log'!$J:$J,E$1)</f>
        <v>1</v>
      </c>
      <c r="F12" s="68">
        <f>COUNTIFS('Error Log'!$A:$A,$A12,'Error Log'!$J:$J,F$1)</f>
        <v>1</v>
      </c>
      <c r="G12" s="68">
        <f>COUNTIFS('Error Log'!$A:$A,$A12,'Error Log'!$J:$J,G$1)</f>
        <v>0</v>
      </c>
      <c r="H12" s="68">
        <f>COUNTIFS('Error Log'!$A:$A,$A12,'Error Log'!$F:$F,"Source")</f>
        <v>0</v>
      </c>
      <c r="I12" s="68">
        <f>COUNTIFS('Error Log'!$A:$A,$A12,'Error Log'!$F:$F,"Target")</f>
        <v>0</v>
      </c>
      <c r="J12" s="69">
        <f t="shared" si="0"/>
        <v>89.726027397260282</v>
      </c>
    </row>
    <row r="13" spans="1:10">
      <c r="A13" s="79" t="s">
        <v>85</v>
      </c>
      <c r="B13" s="68" t="str">
        <f>IF(ISBLANK(A13),"",INDEX('Error Log'!$A:$J,MATCH('Scores per segment'!$A13,'Error Log'!$A:$A,0),MATCH('Scores per segment'!B$1,'Error Log'!$A$1:$J$1,0)))</f>
        <v>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v>
      </c>
      <c r="C13" s="68" t="str">
        <f>IF(ISBLANK(A13),"",INDEX('Error Log'!$A:$J,MATCH('Scores per segment'!$A13,'Error Log'!$A:$A,0),MATCH('Scores per segment'!C$1,'Error Log'!$A$1:$J$1,0)))</f>
        <v>carlos toro , 66 , worked as a mid-level member of the medellin cartel in the 1980s when a confrontation with his boss caused him to flee from colombia fearing for his life .
an informant who spent the last 27 years working for the dea as an undercover operative in exchange for the promise of us citizenship says he 'll be deported now that he has retired .
he was n't paid for work , but was told he would be rewarded with us citizenship .</v>
      </c>
      <c r="D13" s="68">
        <f>IF(H13=0,wdct(TRIM(C13)),0)</f>
        <v>81</v>
      </c>
      <c r="E13" s="68">
        <f>COUNTIFS('Error Log'!$A:$A,$A13,'Error Log'!$J:$J,E$1)</f>
        <v>4</v>
      </c>
      <c r="F13" s="68">
        <f>COUNTIFS('Error Log'!$A:$A,$A13,'Error Log'!$J:$J,F$1)</f>
        <v>1</v>
      </c>
      <c r="G13" s="68">
        <f>COUNTIFS('Error Log'!$A:$A,$A13,'Error Log'!$J:$J,G$1)</f>
        <v>0</v>
      </c>
      <c r="H13" s="68">
        <f>COUNTIFS('Error Log'!$A:$A,$A13,'Error Log'!$F:$F,"Source")</f>
        <v>0</v>
      </c>
      <c r="I13" s="68">
        <f>COUNTIFS('Error Log'!$A:$A,$A13,'Error Log'!$F:$F,"Target")</f>
        <v>0</v>
      </c>
      <c r="J13" s="69">
        <f t="shared" si="0"/>
        <v>72.222222222222229</v>
      </c>
    </row>
    <row r="14" spans="1:10">
      <c r="A14" s="79" t="s">
        <v>86</v>
      </c>
      <c r="B14" s="68" t="str">
        <f>IF(ISBLANK(A14),"",INDEX('Error Log'!$A:$J,MATCH('Scores per segment'!$A14,'Error Log'!$A:$A,0),MATCH('Scores per segment'!B$1,'Error Log'!$A$1:$J$1,0)))</f>
        <v>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v>
      </c>
      <c r="C14" s="68" t="str">
        <f>IF(ISBLANK(A14),"",INDEX('Error Log'!$A:$J,MATCH('Scores per segment'!$A14,'Error Log'!$A:$A,0),MATCH('Scores per segment'!C$1,'Error Log'!$A$1:$J$1,0)))</f>
        <v>the former all black , who denies the allegations , was arrested last night after his team was defeated in the quarter finals of the european challenge cup .
world cup winning rugby star mils muliaina has been bailed after being arrested on suspicion of sexual assault .
he had come off injured during connacht 's 14-7 defeat at gloucester last night when he was approached by police .</v>
      </c>
      <c r="D14" s="68">
        <f>IF(H14=0,wdct(TRIM(C14)),0)</f>
        <v>64</v>
      </c>
      <c r="E14" s="68">
        <f>COUNTIFS('Error Log'!$A:$A,$A14,'Error Log'!$J:$J,E$1)</f>
        <v>1</v>
      </c>
      <c r="F14" s="68">
        <f>COUNTIFS('Error Log'!$A:$A,$A14,'Error Log'!$J:$J,F$1)</f>
        <v>0</v>
      </c>
      <c r="G14" s="68">
        <f>COUNTIFS('Error Log'!$A:$A,$A14,'Error Log'!$J:$J,G$1)</f>
        <v>0</v>
      </c>
      <c r="H14" s="68">
        <f>COUNTIFS('Error Log'!$A:$A,$A14,'Error Log'!$F:$F,"Source")</f>
        <v>0</v>
      </c>
      <c r="I14" s="68">
        <f>COUNTIFS('Error Log'!$A:$A,$A14,'Error Log'!$F:$F,"Target")</f>
        <v>0</v>
      </c>
      <c r="J14" s="69">
        <f t="shared" si="0"/>
        <v>92.1875</v>
      </c>
    </row>
    <row r="15" spans="1:10">
      <c r="A15" s="79" t="s">
        <v>87</v>
      </c>
      <c r="B15" s="68" t="str">
        <f>IF(ISBLANK(A15),"",INDEX('Error Log'!$A:$J,MATCH('Scores per segment'!$A15,'Error Log'!$A:$A,0),MATCH('Scores per segment'!B$1,'Error Log'!$A$1:$J$1,0)))</f>
        <v>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v>
      </c>
      <c r="C15" s="68" t="str">
        <f>IF(ISBLANK(A15),"",INDEX('Error Log'!$A:$J,MATCH('Scores per segment'!$A15,'Error Log'!$A:$A,0),MATCH('Scores per segment'!C$1,'Error Log'!$A$1:$J$1,0)))</f>
        <v>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v>
      </c>
      <c r="D15" s="68">
        <f>IF(H15=0,wdct(TRIM(C15)),0)</f>
        <v>45</v>
      </c>
      <c r="E15" s="68">
        <f>COUNTIFS('Error Log'!$A:$A,$A15,'Error Log'!$J:$J,E$1)</f>
        <v>4</v>
      </c>
      <c r="F15" s="68">
        <f>COUNTIFS('Error Log'!$A:$A,$A15,'Error Log'!$J:$J,F$1)</f>
        <v>4</v>
      </c>
      <c r="G15" s="68">
        <f>COUNTIFS('Error Log'!$A:$A,$A15,'Error Log'!$J:$J,G$1)</f>
        <v>0</v>
      </c>
      <c r="H15" s="68">
        <f>COUNTIFS('Error Log'!$A:$A,$A15,'Error Log'!$F:$F,"Source")</f>
        <v>0</v>
      </c>
      <c r="I15" s="68">
        <f>COUNTIFS('Error Log'!$A:$A,$A15,'Error Log'!$F:$F,"Target")</f>
        <v>0</v>
      </c>
      <c r="J15" s="69">
        <f t="shared" si="0"/>
        <v>33.333333333333336</v>
      </c>
    </row>
    <row r="16" spans="1:10">
      <c r="A16" s="79" t="s">
        <v>88</v>
      </c>
      <c r="B16" s="68" t="str">
        <f>IF(ISBLANK(A16),"",INDEX('Error Log'!$A:$J,MATCH('Scores per segment'!$A16,'Error Log'!$A:$A,0),MATCH('Scores per segment'!B$1,'Error Log'!$A$1:$J$1,0)))</f>
        <v>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16" s="68" t="str">
        <f>IF(ISBLANK(A16),"",INDEX('Error Log'!$A:$J,MATCH('Scores per segment'!$A16,'Error Log'!$A:$A,0),MATCH('Scores per segment'!C$1,'Error Log'!$A$1:$J$1,0)))</f>
        <v>the 14-year-old is now fighting for her life in delhi 's safdarjung hospital with 70 per cent burns .
she was allegedly gang-raped on sunday when she went outside her house in kosi kalan , in uttar pradesh 's mathura district , to relieve herself .
on tuesday she set herself on fire using kerosene , according to ndtv , to the shock of her brother , who doused her with water .</v>
      </c>
      <c r="D16" s="68">
        <f>IF(H16=0,wdct(TRIM(C16)),0)</f>
        <v>65</v>
      </c>
      <c r="E16" s="68">
        <f>COUNTIFS('Error Log'!$A:$A,$A16,'Error Log'!$J:$J,E$1)</f>
        <v>0</v>
      </c>
      <c r="F16" s="68">
        <f>COUNTIFS('Error Log'!$A:$A,$A16,'Error Log'!$J:$J,F$1)</f>
        <v>0</v>
      </c>
      <c r="G16" s="68">
        <f>COUNTIFS('Error Log'!$A:$A,$A16,'Error Log'!$J:$J,G$1)</f>
        <v>0</v>
      </c>
      <c r="H16" s="68">
        <f>COUNTIFS('Error Log'!$A:$A,$A16,'Error Log'!$F:$F,"Source")</f>
        <v>0</v>
      </c>
      <c r="I16" s="68">
        <f>COUNTIFS('Error Log'!$A:$A,$A16,'Error Log'!$F:$F,"Target")</f>
        <v>0</v>
      </c>
      <c r="J16" s="69">
        <f t="shared" si="0"/>
        <v>100</v>
      </c>
    </row>
    <row r="17" spans="1:10">
      <c r="A17" s="79" t="s">
        <v>89</v>
      </c>
      <c r="B17" s="68" t="str">
        <f>IF(ISBLANK(A17),"",INDEX('Error Log'!$A:$J,MATCH('Scores per segment'!$A17,'Error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17" s="68" t="str">
        <f>IF(ISBLANK(A17),"",INDEX('Error Log'!$A:$J,MATCH('Scores per segment'!$A17,'Error Log'!$A:$A,0),MATCH('Scores per segment'!C$1,'Error Log'!$A$1:$J$1,0)))</f>
        <v>the woman , who has not been named , was arrested on suspicion of infanticide but the charge was dropped after she explained how the baby had been stillborn and that she had concealed the pregnancy from her family and friends .
police exhumed the boy 's body from his grave in norfolk last year after the case came up for periodical review .
a mother of a baby boy was arrested 27 years after his body was found wrapped in a blanket inside a sainsbury 's bag floating on a village pond .</v>
      </c>
      <c r="D17" s="68">
        <f>IF(H17=0,wdct(TRIM(C17)),0)</f>
        <v>89</v>
      </c>
      <c r="E17" s="68">
        <f>COUNTIFS('Error Log'!$A:$A,$A17,'Error Log'!$J:$J,E$1)</f>
        <v>1</v>
      </c>
      <c r="F17" s="68">
        <f>COUNTIFS('Error Log'!$A:$A,$A17,'Error Log'!$J:$J,F$1)</f>
        <v>1</v>
      </c>
      <c r="G17" s="68">
        <f>COUNTIFS('Error Log'!$A:$A,$A17,'Error Log'!$J:$J,G$1)</f>
        <v>0</v>
      </c>
      <c r="H17" s="68">
        <f>COUNTIFS('Error Log'!$A:$A,$A17,'Error Log'!$F:$F,"Source")</f>
        <v>0</v>
      </c>
      <c r="I17" s="68">
        <f>COUNTIFS('Error Log'!$A:$A,$A17,'Error Log'!$F:$F,"Target")</f>
        <v>0</v>
      </c>
      <c r="J17" s="69">
        <f t="shared" si="0"/>
        <v>91.573033707865164</v>
      </c>
    </row>
    <row r="18" spans="1:10">
      <c r="A18" s="79" t="s">
        <v>90</v>
      </c>
      <c r="B18" s="68" t="str">
        <f>IF(ISBLANK(A18),"",INDEX('Error Log'!$A:$J,MATCH('Scores per segment'!$A18,'Error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v>
      </c>
      <c r="C18" s="68" t="str">
        <f>IF(ISBLANK(A18),"",INDEX('Error Log'!$A:$J,MATCH('Scores per segment'!$A18,'Error Log'!$A:$A,0),MATCH('Scores per segment'!C$1,'Error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robin is not fit enough to play . '</v>
      </c>
      <c r="D18" s="68">
        <f>IF(H18=0,wdct(TRIM(C18)),0)</f>
        <v>64</v>
      </c>
      <c r="E18" s="68">
        <f>COUNTIFS('Error Log'!$A:$A,$A18,'Error Log'!$J:$J,E$1)</f>
        <v>0</v>
      </c>
      <c r="F18" s="68">
        <f>COUNTIFS('Error Log'!$A:$A,$A18,'Error Log'!$J:$J,F$1)</f>
        <v>0</v>
      </c>
      <c r="G18" s="68">
        <f>COUNTIFS('Error Log'!$A:$A,$A18,'Error Log'!$J:$J,G$1)</f>
        <v>0</v>
      </c>
      <c r="H18" s="68">
        <f>COUNTIFS('Error Log'!$A:$A,$A18,'Error Log'!$F:$F,"Source")</f>
        <v>0</v>
      </c>
      <c r="I18" s="68">
        <f>COUNTIFS('Error Log'!$A:$A,$A18,'Error Log'!$F:$F,"Target")</f>
        <v>0</v>
      </c>
      <c r="J18" s="69">
        <f t="shared" si="0"/>
        <v>100</v>
      </c>
    </row>
    <row r="19" spans="1:10">
      <c r="A19" s="79" t="s">
        <v>91</v>
      </c>
      <c r="B19" s="68" t="str">
        <f>IF(ISBLANK(A19),"",INDEX('Error Log'!$A:$J,MATCH('Scores per segment'!$A19,'Error Log'!$A:$A,0),MATCH('Scores per segment'!B$1,'Error Log'!$A$1:$J$1,0)))</f>
        <v>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v>
      </c>
      <c r="C19" s="68" t="str">
        <f>IF(ISBLANK(A19),"",INDEX('Error Log'!$A:$J,MATCH('Scores per segment'!$A19,'Error Log'!$A:$A,0),MATCH('Scores per segment'!C$1,'Error Log'!$A$1:$J$1,0)))</f>
        <v>kristopher hicks , now 27 , was on his way home from a night out in bath , somerset , with his girlfriend in a taxi driven by michael young , 56 , five years ago .
he suffered devastating brain injuries , developed epilepsy and now requires round-the-clock care from his mother .
mr hicks ' family , from bath , took driver mr young to the high court ( pictured ) , where a judge ruled he had unlawfully imprisoned his passenger</v>
      </c>
      <c r="D19" s="68">
        <f>IF(H19=0,wdct(TRIM(C19)),0)</f>
        <v>69</v>
      </c>
      <c r="E19" s="68">
        <f>COUNTIFS('Error Log'!$A:$A,$A19,'Error Log'!$J:$J,E$1)</f>
        <v>4</v>
      </c>
      <c r="F19" s="68">
        <f>COUNTIFS('Error Log'!$A:$A,$A19,'Error Log'!$J:$J,F$1)</f>
        <v>0</v>
      </c>
      <c r="G19" s="68">
        <f>COUNTIFS('Error Log'!$A:$A,$A19,'Error Log'!$J:$J,G$1)</f>
        <v>0</v>
      </c>
      <c r="H19" s="68">
        <f>COUNTIFS('Error Log'!$A:$A,$A19,'Error Log'!$F:$F,"Source")</f>
        <v>0</v>
      </c>
      <c r="I19" s="68">
        <f>COUNTIFS('Error Log'!$A:$A,$A19,'Error Log'!$F:$F,"Target")</f>
        <v>0</v>
      </c>
      <c r="J19" s="69">
        <f t="shared" si="0"/>
        <v>71.014492753623188</v>
      </c>
    </row>
    <row r="20" spans="1:10">
      <c r="A20" s="79" t="s">
        <v>92</v>
      </c>
      <c r="B20" s="68" t="str">
        <f>IF(ISBLANK(A20),"",INDEX('Error Log'!$A:$J,MATCH('Scores per segment'!$A20,'Error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20" s="68" t="str">
        <f>IF(ISBLANK(A20),"",INDEX('Error Log'!$A:$J,MATCH('Scores per segment'!$A20,'Error Log'!$A:$A,0),MATCH('Scores per segment'!C$1,'Error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v>
      </c>
      <c r="D20" s="68">
        <f>IF(H20=0,wdct(TRIM(C20)),0)</f>
        <v>118</v>
      </c>
      <c r="E20" s="68">
        <f>COUNTIFS('Error Log'!$A:$A,$A20,'Error Log'!$J:$J,E$1)</f>
        <v>1</v>
      </c>
      <c r="F20" s="68">
        <f>COUNTIFS('Error Log'!$A:$A,$A20,'Error Log'!$J:$J,F$1)</f>
        <v>1</v>
      </c>
      <c r="G20" s="68">
        <f>COUNTIFS('Error Log'!$A:$A,$A20,'Error Log'!$J:$J,G$1)</f>
        <v>0</v>
      </c>
      <c r="H20" s="68">
        <f>COUNTIFS('Error Log'!$A:$A,$A20,'Error Log'!$F:$F,"Source")</f>
        <v>0</v>
      </c>
      <c r="I20" s="68">
        <f>COUNTIFS('Error Log'!$A:$A,$A20,'Error Log'!$F:$F,"Target")</f>
        <v>0</v>
      </c>
      <c r="J20" s="69">
        <f t="shared" si="0"/>
        <v>93.644067796610173</v>
      </c>
    </row>
    <row r="21" spans="1:10">
      <c r="A21" s="80" t="s">
        <v>93</v>
      </c>
      <c r="B21" s="68" t="str">
        <f>IF(ISBLANK(A21),"",INDEX('Error Log'!$A:$J,MATCH('Scores per segment'!$A21,'Error Log'!$A:$A,0),MATCH('Scores per segment'!B$1,'Error Log'!$A$1:$J$1,0)))</f>
        <v>(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v>
      </c>
      <c r="C21" s="68" t="str">
        <f>IF(ISBLANK(A21),"",INDEX('Error Log'!$A:$J,MATCH('Scores per segment'!$A21,'Error Log'!$A:$A,0),MATCH('Scores per segment'!C$1,'Error Log'!$A$1:$J$1,0)))</f>
        <v>the national weather service indicated a tornado may have touched down in the small town of potosi , missouri , about 70 miles from st. louis .
spotters reported a tornado about 6 miles northwest of goddard , which is less than 15 miles west of wichita .
kansas was n't the only state affected by the storms .</v>
      </c>
      <c r="D21" s="68">
        <f>IF(H21=0,wdct(TRIM(C21)),0)</f>
        <v>53</v>
      </c>
      <c r="E21" s="68">
        <f>COUNTIFS('Error Log'!$A:$A,$A21,'Error Log'!$J:$J,E$1)</f>
        <v>2</v>
      </c>
      <c r="F21" s="68">
        <f>COUNTIFS('Error Log'!$A:$A,$A21,'Error Log'!$J:$J,F$1)</f>
        <v>1</v>
      </c>
      <c r="G21" s="68">
        <f>COUNTIFS('Error Log'!$A:$A,$A21,'Error Log'!$J:$J,G$1)</f>
        <v>0</v>
      </c>
      <c r="H21" s="68">
        <f>COUNTIFS('Error Log'!$A:$A,$A21,'Error Log'!$F:$F,"Source")</f>
        <v>0</v>
      </c>
      <c r="I21" s="68">
        <f>COUNTIFS('Error Log'!$A:$A,$A21,'Error Log'!$F:$F,"Target")</f>
        <v>0</v>
      </c>
      <c r="J21" s="69">
        <f t="shared" si="0"/>
        <v>76.415094339622641</v>
      </c>
    </row>
    <row r="22" spans="1:10">
      <c r="A22" s="80" t="s">
        <v>94</v>
      </c>
      <c r="B22" s="68" t="str">
        <f>IF(ISBLANK(A22),"",INDEX('Error Log'!$A:$J,MATCH('Scores per segment'!$A22,'Error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v>
      </c>
      <c r="C22" s="68" t="str">
        <f>IF(ISBLANK(A22),"",INDEX('Error Log'!$A:$J,MATCH('Scores per segment'!$A22,'Error Log'!$A:$A,0),MATCH('Scores per segment'!C$1,'Error Log'!$A$1:$J$1,0)))</f>
        <v>star reader was diagnosed with biliary atresia within days of being born in barnsley , west yorkshire .
jade reader ( left ) said she was ` overcome with emotion ' when her twin sister shanell ( right ) gave up part of her liver to save niece star
after undergoing an operation to have her bile ducts unblocked , her parents , jade reader and matthew bygrave , were told the infant would need a liver transplant in order to survive .</v>
      </c>
      <c r="D22" s="68">
        <f>IF(H22=0,wdct(TRIM(C22)),0)</f>
        <v>71</v>
      </c>
      <c r="E22" s="68">
        <f>COUNTIFS('Error Log'!$A:$A,$A22,'Error Log'!$J:$J,E$1)</f>
        <v>2</v>
      </c>
      <c r="F22" s="68">
        <f>COUNTIFS('Error Log'!$A:$A,$A22,'Error Log'!$J:$J,F$1)</f>
        <v>2</v>
      </c>
      <c r="G22" s="68">
        <f>COUNTIFS('Error Log'!$A:$A,$A22,'Error Log'!$J:$J,G$1)</f>
        <v>0</v>
      </c>
      <c r="H22" s="68">
        <f>COUNTIFS('Error Log'!$A:$A,$A22,'Error Log'!$F:$F,"Source")</f>
        <v>0</v>
      </c>
      <c r="I22" s="68">
        <f>COUNTIFS('Error Log'!$A:$A,$A22,'Error Log'!$F:$F,"Target")</f>
        <v>0</v>
      </c>
      <c r="J22" s="69">
        <f t="shared" si="0"/>
        <v>78.873239436619713</v>
      </c>
    </row>
    <row r="23" spans="1:10">
      <c r="A23" s="80" t="s">
        <v>95</v>
      </c>
      <c r="B23" s="68" t="str">
        <f>IF(ISBLANK(A23),"",INDEX('Error Log'!$A:$J,MATCH('Scores per segment'!$A23,'Error Log'!$A:$A,0),MATCH('Scores per segment'!B$1,'Error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v>
      </c>
      <c r="C23" s="68" t="str">
        <f>IF(ISBLANK(A23),"",INDEX('Error Log'!$A:$J,MATCH('Scores per segment'!$A23,'Error Log'!$A:$A,0),MATCH('Scores per segment'!C$1,'Error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lyoto machida ( left ) and luke rockhold face off ahead of their middleweight clash this weekend '</v>
      </c>
      <c r="D23" s="68">
        <f>IF(H23=0,wdct(TRIM(C23)),0)</f>
        <v>62</v>
      </c>
      <c r="E23" s="68">
        <f>COUNTIFS('Error Log'!$A:$A,$A23,'Error Log'!$J:$J,E$1)</f>
        <v>0</v>
      </c>
      <c r="F23" s="68">
        <f>COUNTIFS('Error Log'!$A:$A,$A23,'Error Log'!$J:$J,F$1)</f>
        <v>1</v>
      </c>
      <c r="G23" s="68">
        <f>COUNTIFS('Error Log'!$A:$A,$A23,'Error Log'!$J:$J,G$1)</f>
        <v>0</v>
      </c>
      <c r="H23" s="68">
        <f>COUNTIFS('Error Log'!$A:$A,$A23,'Error Log'!$F:$F,"Source")</f>
        <v>0</v>
      </c>
      <c r="I23" s="68">
        <f>COUNTIFS('Error Log'!$A:$A,$A23,'Error Log'!$F:$F,"Target")</f>
        <v>0</v>
      </c>
      <c r="J23" s="69">
        <f t="shared" si="0"/>
        <v>95.967741935483872</v>
      </c>
    </row>
    <row r="24" spans="1:10">
      <c r="A24" s="80" t="s">
        <v>96</v>
      </c>
      <c r="B24" s="68" t="str">
        <f>IF(ISBLANK(A24),"",INDEX('Error Log'!$A:$J,MATCH('Scores per segment'!$A24,'Error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v>
      </c>
      <c r="C24" s="68" t="str">
        <f>IF(ISBLANK(A24),"",INDEX('Error Log'!$A:$J,MATCH('Scores per segment'!$A24,'Error Log'!$A:$A,0),MATCH('Scores per segment'!C$1,'Error Log'!$A$1:$J$1,0)))</f>
        <v>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v>
      </c>
      <c r="D24" s="68">
        <f>IF(H24=0,wdct(TRIM(C24)),0)</f>
        <v>78</v>
      </c>
      <c r="E24" s="68">
        <f>COUNTIFS('Error Log'!$A:$A,$A24,'Error Log'!$J:$J,E$1)</f>
        <v>1</v>
      </c>
      <c r="F24" s="68">
        <f>COUNTIFS('Error Log'!$A:$A,$A24,'Error Log'!$J:$J,F$1)</f>
        <v>2</v>
      </c>
      <c r="G24" s="68">
        <f>COUNTIFS('Error Log'!$A:$A,$A24,'Error Log'!$J:$J,G$1)</f>
        <v>0</v>
      </c>
      <c r="H24" s="68">
        <f>COUNTIFS('Error Log'!$A:$A,$A24,'Error Log'!$F:$F,"Source")</f>
        <v>0</v>
      </c>
      <c r="I24" s="68">
        <f>COUNTIFS('Error Log'!$A:$A,$A24,'Error Log'!$F:$F,"Target")</f>
        <v>0</v>
      </c>
      <c r="J24" s="69">
        <f t="shared" si="0"/>
        <v>87.179487179487182</v>
      </c>
    </row>
    <row r="25" spans="1:10">
      <c r="A25" s="80" t="s">
        <v>97</v>
      </c>
      <c r="B25" s="68" t="str">
        <f>IF(ISBLANK(A25),"",INDEX('Error Log'!$A:$J,MATCH('Scores per segment'!$A25,'Error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25" s="68" t="str">
        <f>IF(ISBLANK(A25),"",INDEX('Error Log'!$A:$J,MATCH('Scores per segment'!$A25,'Error Log'!$A:$A,0),MATCH('Scores per segment'!C$1,'Error Log'!$A$1:$J$1,0)))</f>
        <v>captured in fort pierce , florida , the shocking footage shows the light general aviation aircraft approaching the aero acres residential airpark .
the plane 's propellers can be heard ricocheting off the ground as the wings bounce up and down from the impact
the plane scratches along the runway and the video maker describes the sound as ` one you will not forget '</v>
      </c>
      <c r="D25" s="68">
        <f>IF(H25=0,wdct(TRIM(C25)),0)</f>
        <v>60</v>
      </c>
      <c r="E25" s="68">
        <f>COUNTIFS('Error Log'!$A:$A,$A25,'Error Log'!$J:$J,E$1)</f>
        <v>2</v>
      </c>
      <c r="F25" s="68">
        <f>COUNTIFS('Error Log'!$A:$A,$A25,'Error Log'!$J:$J,F$1)</f>
        <v>0</v>
      </c>
      <c r="G25" s="68">
        <f>COUNTIFS('Error Log'!$A:$A,$A25,'Error Log'!$J:$J,G$1)</f>
        <v>0</v>
      </c>
      <c r="H25" s="68">
        <f>COUNTIFS('Error Log'!$A:$A,$A25,'Error Log'!$F:$F,"Source")</f>
        <v>0</v>
      </c>
      <c r="I25" s="68">
        <f>COUNTIFS('Error Log'!$A:$A,$A25,'Error Log'!$F:$F,"Target")</f>
        <v>0</v>
      </c>
      <c r="J25" s="69">
        <f t="shared" si="0"/>
        <v>83.333333333333343</v>
      </c>
    </row>
    <row r="26" spans="1:10">
      <c r="A26" s="80" t="s">
        <v>98</v>
      </c>
      <c r="B26" s="68" t="str">
        <f>IF(ISBLANK(A26),"",INDEX('Error Log'!$A:$J,MATCH('Scores per segment'!$A26,'Error Log'!$A:$A,0),MATCH('Scores per segment'!B$1,'Error Log'!$A$1:$J$1,0)))</f>
        <v>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v>
      </c>
      <c r="C26" s="68" t="str">
        <f>IF(ISBLANK(A26),"",INDEX('Error Log'!$A:$J,MATCH('Scores per segment'!$A26,'Error Log'!$A:$A,0),MATCH('Scores per segment'!C$1,'Error Log'!$A$1:$J$1,0)))</f>
        <v>prosecutors previously said that robert dellinger , 54 , told investigators he was trying to kill himself in december 2013 when he drove his pickup truck across a median at more than 100mph and plowed into an oncoming suv .
tragic : john timmons , 29 , and amanda murphy , 24 , were killed instantly in the crash on december 7 , 2013
he faces 12 to 24 years in prison when sentencing resumes thursday .</v>
      </c>
      <c r="D26" s="68">
        <f>IF(H26=0,wdct(TRIM(C26)),0)</f>
        <v>67</v>
      </c>
      <c r="E26" s="68">
        <f>COUNTIFS('Error Log'!$A:$A,$A26,'Error Log'!$J:$J,E$1)</f>
        <v>4</v>
      </c>
      <c r="F26" s="68">
        <f>COUNTIFS('Error Log'!$A:$A,$A26,'Error Log'!$J:$J,F$1)</f>
        <v>1</v>
      </c>
      <c r="G26" s="68">
        <f>COUNTIFS('Error Log'!$A:$A,$A26,'Error Log'!$J:$J,G$1)</f>
        <v>0</v>
      </c>
      <c r="H26" s="68">
        <f>COUNTIFS('Error Log'!$A:$A,$A26,'Error Log'!$F:$F,"Source")</f>
        <v>0</v>
      </c>
      <c r="I26" s="68">
        <f>COUNTIFS('Error Log'!$A:$A,$A26,'Error Log'!$F:$F,"Target")</f>
        <v>0</v>
      </c>
      <c r="J26" s="69">
        <f t="shared" si="0"/>
        <v>66.417910447761187</v>
      </c>
    </row>
    <row r="27" spans="1:10">
      <c r="A27" s="80" t="s">
        <v>99</v>
      </c>
      <c r="B27" s="68" t="str">
        <f>IF(ISBLANK(A27),"",INDEX('Error Log'!$A:$J,MATCH('Scores per segment'!$A27,'Error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27" s="68" t="str">
        <f>IF(ISBLANK(A27),"",INDEX('Error Log'!$A:$J,MATCH('Scores per segment'!$A27,'Error Log'!$A:$A,0),MATCH('Scores per segment'!C$1,'Error Log'!$A$1:$J$1,0)))</f>
        <v>manuel pellegrini has admitted he is disappointed in yaya toure but vowed to back the manchester city midfielder -- at least until the end of the season .
sportsmail revealed that manchester city will listen to offers for toure in the summer
toure is determined not to be forced out but the chilean , speaking ahead of sunday 's visit of west ham , acknowledged the midfielder had underperformed and dismissed claims he should be given a rest .</v>
      </c>
      <c r="D27" s="68">
        <f>IF(H27=0,wdct(TRIM(C27)),0)</f>
        <v>74</v>
      </c>
      <c r="E27" s="68">
        <f>COUNTIFS('Error Log'!$A:$A,$A27,'Error Log'!$J:$J,E$1)</f>
        <v>3</v>
      </c>
      <c r="F27" s="68">
        <f>COUNTIFS('Error Log'!$A:$A,$A27,'Error Log'!$J:$J,F$1)</f>
        <v>0</v>
      </c>
      <c r="G27" s="68">
        <f>COUNTIFS('Error Log'!$A:$A,$A27,'Error Log'!$J:$J,G$1)</f>
        <v>0</v>
      </c>
      <c r="H27" s="68">
        <f>COUNTIFS('Error Log'!$A:$A,$A27,'Error Log'!$F:$F,"Source")</f>
        <v>0</v>
      </c>
      <c r="I27" s="68">
        <f>COUNTIFS('Error Log'!$A:$A,$A27,'Error Log'!$F:$F,"Target")</f>
        <v>0</v>
      </c>
      <c r="J27" s="69">
        <f t="shared" si="0"/>
        <v>79.729729729729726</v>
      </c>
    </row>
    <row r="28" spans="1:10">
      <c r="A28" s="80" t="s">
        <v>100</v>
      </c>
      <c r="B28" s="68" t="str">
        <f>IF(ISBLANK(A28),"",INDEX('Error Log'!$A:$J,MATCH('Scores per segment'!$A28,'Error Log'!$A:$A,0),MATCH('Scores per segment'!B$1,'Error Log'!$A$1:$J$1,0)))</f>
        <v>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v>
      </c>
      <c r="C28" s="68" t="str">
        <f>IF(ISBLANK(A28),"",INDEX('Error Log'!$A:$J,MATCH('Scores per segment'!$A28,'Error Log'!$A:$A,0),MATCH('Scores per segment'!C$1,'Error Log'!$A$1:$J$1,0)))</f>
        <v>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prosecutors said spears loaded the hospitalized boy 's feeding tube with a lethal amount of salt and kept on blogging</v>
      </c>
      <c r="D28" s="68">
        <f>IF(H28=0,wdct(TRIM(C28)),0)</f>
        <v>72</v>
      </c>
      <c r="E28" s="68">
        <f>COUNTIFS('Error Log'!$A:$A,$A28,'Error Log'!$J:$J,E$1)</f>
        <v>1</v>
      </c>
      <c r="F28" s="68">
        <f>COUNTIFS('Error Log'!$A:$A,$A28,'Error Log'!$J:$J,F$1)</f>
        <v>0</v>
      </c>
      <c r="G28" s="68">
        <f>COUNTIFS('Error Log'!$A:$A,$A28,'Error Log'!$J:$J,G$1)</f>
        <v>0</v>
      </c>
      <c r="H28" s="68">
        <f>COUNTIFS('Error Log'!$A:$A,$A28,'Error Log'!$F:$F,"Source")</f>
        <v>0</v>
      </c>
      <c r="I28" s="68">
        <f>COUNTIFS('Error Log'!$A:$A,$A28,'Error Log'!$F:$F,"Target")</f>
        <v>0</v>
      </c>
      <c r="J28" s="69">
        <f t="shared" si="0"/>
        <v>93.055555555555557</v>
      </c>
    </row>
    <row r="29" spans="1:10">
      <c r="A29" s="80" t="s">
        <v>101</v>
      </c>
      <c r="B29" s="68" t="str">
        <f>IF(ISBLANK(A29),"",INDEX('Error Log'!$A:$J,MATCH('Scores per segment'!$A29,'Error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29" s="68" t="str">
        <f>IF(ISBLANK(A29),"",INDEX('Error Log'!$A:$J,MATCH('Scores per segment'!$A29,'Error Log'!$A:$A,0),MATCH('Scores per segment'!C$1,'Error Log'!$A$1:$J$1,0)))</f>
        <v>sentence dropped : domenico rancadore ( right and left ) fled to britain in the 1990s and was convicted in his absence in italy for his role as a ` man of honour '
domenico rancadore , who has lived in britain for more than 20 years , was given a seven-year sentence by an italian court in 1999 for being a member of the cosa nostra .
but today it emerged that the 65-year-old 's case expired last october and his european arrest warrant is to be withdrawn .</v>
      </c>
      <c r="D29" s="68">
        <f>IF(H29=0,wdct(TRIM(C29)),0)</f>
        <v>81</v>
      </c>
      <c r="E29" s="68">
        <f>COUNTIFS('Error Log'!$A:$A,$A29,'Error Log'!$J:$J,E$1)</f>
        <v>1</v>
      </c>
      <c r="F29" s="68">
        <f>COUNTIFS('Error Log'!$A:$A,$A29,'Error Log'!$J:$J,F$1)</f>
        <v>3</v>
      </c>
      <c r="G29" s="68">
        <f>COUNTIFS('Error Log'!$A:$A,$A29,'Error Log'!$J:$J,G$1)</f>
        <v>0</v>
      </c>
      <c r="H29" s="68">
        <f>COUNTIFS('Error Log'!$A:$A,$A29,'Error Log'!$F:$F,"Source")</f>
        <v>0</v>
      </c>
      <c r="I29" s="68">
        <f>COUNTIFS('Error Log'!$A:$A,$A29,'Error Log'!$F:$F,"Target")</f>
        <v>0</v>
      </c>
      <c r="J29" s="69">
        <f t="shared" si="0"/>
        <v>84.567901234567898</v>
      </c>
    </row>
    <row r="30" spans="1:10">
      <c r="A30" s="80" t="s">
        <v>102</v>
      </c>
      <c r="B30" s="68" t="str">
        <f>IF(ISBLANK(A30),"",INDEX('Error Log'!$A:$J,MATCH('Scores per segment'!$A30,'Error Log'!$A:$A,0),MATCH('Scores per segment'!B$1,'Error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v>
      </c>
      <c r="C30" s="68" t="str">
        <f>IF(ISBLANK(A30),"",INDEX('Error Log'!$A:$J,MATCH('Scores per segment'!$A30,'Error Log'!$A:$A,0),MATCH('Scores per segment'!C$1,'Error Log'!$A$1:$J$1,0)))</f>
        <v>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world health authorities realised that and modified the vaccine to be used in australia this winter .</v>
      </c>
      <c r="D30" s="68">
        <f>IF(H30=0,wdct(TRIM(C30)),0)</f>
        <v>77</v>
      </c>
      <c r="E30" s="68">
        <f>COUNTIFS('Error Log'!$A:$A,$A30,'Error Log'!$J:$J,E$1)</f>
        <v>1</v>
      </c>
      <c r="F30" s="68">
        <f>COUNTIFS('Error Log'!$A:$A,$A30,'Error Log'!$J:$J,F$1)</f>
        <v>0</v>
      </c>
      <c r="G30" s="68">
        <f>COUNTIFS('Error Log'!$A:$A,$A30,'Error Log'!$J:$J,G$1)</f>
        <v>0</v>
      </c>
      <c r="H30" s="68">
        <f>COUNTIFS('Error Log'!$A:$A,$A30,'Error Log'!$F:$F,"Source")</f>
        <v>0</v>
      </c>
      <c r="I30" s="68">
        <f>COUNTIFS('Error Log'!$A:$A,$A30,'Error Log'!$F:$F,"Target")</f>
        <v>0</v>
      </c>
      <c r="J30" s="69">
        <f t="shared" si="0"/>
        <v>93.506493506493513</v>
      </c>
    </row>
    <row r="31" spans="1:10">
      <c r="A31" s="80" t="s">
        <v>103</v>
      </c>
      <c r="B31" s="68" t="str">
        <f>IF(ISBLANK(A31),"",INDEX('Error Log'!$A:$J,MATCH('Scores per segment'!$A31,'Error Log'!$A:$A,0),MATCH('Scores per segment'!B$1,'Error Log'!$A$1:$J$1,0)))</f>
        <v>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31" s="68" t="str">
        <f>IF(ISBLANK(A31),"",INDEX('Error Log'!$A:$J,MATCH('Scores per segment'!$A31,'Error Log'!$A:$A,0),MATCH('Scores per segment'!C$1,'Error Log'!$A$1:$J$1,0)))</f>
        <v>ap mccoy and mr mole will have six rivals in the grade one celebration chase at sandown on saturday
his book of rides for his final day as a professional jockey will not be finalised until friday morning .
paul nicholls-trained mr mole is bracketed with irish raider special tiara and nicky henderson 's sprinter sacre , who will be ridden by cheltenham gold cup winner nico de boinville in the absence of injured barry geraghty .</v>
      </c>
      <c r="D31" s="68">
        <f>IF(H31=0,wdct(TRIM(C31)),0)</f>
        <v>74</v>
      </c>
      <c r="E31" s="68">
        <f>COUNTIFS('Error Log'!$A:$A,$A31,'Error Log'!$J:$J,E$1)</f>
        <v>2</v>
      </c>
      <c r="F31" s="68">
        <f>COUNTIFS('Error Log'!$A:$A,$A31,'Error Log'!$J:$J,F$1)</f>
        <v>2</v>
      </c>
      <c r="G31" s="68">
        <f>COUNTIFS('Error Log'!$A:$A,$A31,'Error Log'!$J:$J,G$1)</f>
        <v>0</v>
      </c>
      <c r="H31" s="68">
        <f>COUNTIFS('Error Log'!$A:$A,$A31,'Error Log'!$F:$F,"Source")</f>
        <v>0</v>
      </c>
      <c r="I31" s="68">
        <f>COUNTIFS('Error Log'!$A:$A,$A31,'Error Log'!$F:$F,"Target")</f>
        <v>0</v>
      </c>
      <c r="J31" s="69">
        <f t="shared" si="0"/>
        <v>79.729729729729726</v>
      </c>
    </row>
    <row r="32" spans="1:10">
      <c r="A32" s="80" t="s">
        <v>104</v>
      </c>
      <c r="B32" s="68" t="str">
        <f>IF(ISBLANK(A32),"",INDEX('Error Log'!$A:$J,MATCH('Scores per segment'!$A32,'Error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v>
      </c>
      <c r="C32" s="68" t="str">
        <f>IF(ISBLANK(A32),"",INDEX('Error Log'!$A:$J,MATCH('Scores per segment'!$A32,'Error Log'!$A:$A,0),MATCH('Scores per segment'!C$1,'Error Log'!$A$1:$J$1,0)))</f>
        <v>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he would roll the agency into another department .</v>
      </c>
      <c r="D32" s="68">
        <f>IF(H32=0,wdct(TRIM(C32)),0)</f>
        <v>106</v>
      </c>
      <c r="E32" s="68">
        <f>COUNTIFS('Error Log'!$A:$A,$A32,'Error Log'!$J:$J,E$1)</f>
        <v>4</v>
      </c>
      <c r="F32" s="68">
        <f>COUNTIFS('Error Log'!$A:$A,$A32,'Error Log'!$J:$J,F$1)</f>
        <v>0</v>
      </c>
      <c r="G32" s="68">
        <f>COUNTIFS('Error Log'!$A:$A,$A32,'Error Log'!$J:$J,G$1)</f>
        <v>0</v>
      </c>
      <c r="H32" s="68">
        <f>COUNTIFS('Error Log'!$A:$A,$A32,'Error Log'!$F:$F,"Source")</f>
        <v>0</v>
      </c>
      <c r="I32" s="68">
        <f>COUNTIFS('Error Log'!$A:$A,$A32,'Error Log'!$F:$F,"Target")</f>
        <v>0</v>
      </c>
      <c r="J32" s="69">
        <f t="shared" si="0"/>
        <v>81.132075471698116</v>
      </c>
    </row>
    <row r="33" spans="1:10">
      <c r="A33" s="80" t="s">
        <v>105</v>
      </c>
      <c r="B33" s="68" t="str">
        <f>IF(ISBLANK(A33),"",INDEX('Error Log'!$A:$J,MATCH('Scores per segment'!$A33,'Error Log'!$A:$A,0),MATCH('Scores per segment'!B$1,'Error Log'!$A$1:$J$1,0)))</f>
        <v>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v>
      </c>
      <c r="C33" s="68" t="str">
        <f>IF(ISBLANK(A33),"",INDEX('Error Log'!$A:$J,MATCH('Scores per segment'!$A33,'Error Log'!$A:$A,0),MATCH('Scores per segment'!C$1,'Error Log'!$A$1:$J$1,0)))</f>
        <v>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 the real marcia . '</v>
      </c>
      <c r="D33" s="68">
        <f>IF(H33=0,wdct(TRIM(C33)),0)</f>
        <v>66</v>
      </c>
      <c r="E33" s="68">
        <f>COUNTIFS('Error Log'!$A:$A,$A33,'Error Log'!$J:$J,E$1)</f>
        <v>3</v>
      </c>
      <c r="F33" s="68">
        <f>COUNTIFS('Error Log'!$A:$A,$A33,'Error Log'!$J:$J,F$1)</f>
        <v>2</v>
      </c>
      <c r="G33" s="68">
        <f>COUNTIFS('Error Log'!$A:$A,$A33,'Error Log'!$J:$J,G$1)</f>
        <v>0</v>
      </c>
      <c r="H33" s="68">
        <f>COUNTIFS('Error Log'!$A:$A,$A33,'Error Log'!$F:$F,"Source")</f>
        <v>0</v>
      </c>
      <c r="I33" s="68">
        <f>COUNTIFS('Error Log'!$A:$A,$A33,'Error Log'!$F:$F,"Target")</f>
        <v>0</v>
      </c>
      <c r="J33" s="69">
        <f t="shared" si="0"/>
        <v>69.696969696969688</v>
      </c>
    </row>
    <row r="34" spans="1:10">
      <c r="A34" s="80" t="s">
        <v>106</v>
      </c>
      <c r="B34" s="68" t="str">
        <f>IF(ISBLANK(A34),"",INDEX('Error Log'!$A:$J,MATCH('Scores per segment'!$A34,'Error Log'!$A:$A,0),MATCH('Scores per segment'!B$1,'Error Log'!$A$1:$J$1,0)))</f>
        <v>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v>
      </c>
      <c r="C34" s="68" t="str">
        <f>IF(ISBLANK(A34),"",INDEX('Error Log'!$A:$J,MATCH('Scores per segment'!$A34,'Error Log'!$A:$A,0),MATCH('Scores per segment'!C$1,'Error Log'!$A$1:$J$1,0)))</f>
        <v>jcno jeans , popular at nineties raves , are threatening to make a comeback
chokers , berry-coloured lips , round sunglasses and calvin klein logo t-shirts are all the rage with a new generation of fashion fans .
originally a staple of fishermen and farmers , it soon enough found its way into popular culture and temporarily dominated the music scene .</v>
      </c>
      <c r="D34" s="68">
        <f>IF(H34=0,wdct(TRIM(C34)),0)</f>
        <v>55</v>
      </c>
      <c r="E34" s="68">
        <f>COUNTIFS('Error Log'!$A:$A,$A34,'Error Log'!$J:$J,E$1)</f>
        <v>1</v>
      </c>
      <c r="F34" s="68">
        <f>COUNTIFS('Error Log'!$A:$A,$A34,'Error Log'!$J:$J,F$1)</f>
        <v>2</v>
      </c>
      <c r="G34" s="68">
        <f>COUNTIFS('Error Log'!$A:$A,$A34,'Error Log'!$J:$J,G$1)</f>
        <v>0</v>
      </c>
      <c r="H34" s="68">
        <f>COUNTIFS('Error Log'!$A:$A,$A34,'Error Log'!$F:$F,"Source")</f>
        <v>0</v>
      </c>
      <c r="I34" s="68">
        <f>COUNTIFS('Error Log'!$A:$A,$A34,'Error Log'!$F:$F,"Target")</f>
        <v>0</v>
      </c>
      <c r="J34" s="69">
        <f t="shared" si="0"/>
        <v>81.818181818181813</v>
      </c>
    </row>
    <row r="35" spans="1:10">
      <c r="A35" s="80" t="s">
        <v>107</v>
      </c>
      <c r="B35" s="68" t="str">
        <f>IF(ISBLANK(A35),"",INDEX('Error Log'!$A:$J,MATCH('Scores per segment'!$A35,'Error Log'!$A:$A,0),MATCH('Scores per segment'!B$1,'Error Log'!$A$1:$J$1,0)))</f>
        <v>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v>
      </c>
      <c r="C35" s="68" t="str">
        <f>IF(ISBLANK(A35),"",INDEX('Error Log'!$A:$J,MATCH('Scores per segment'!$A35,'Error Log'!$A:$A,0),MATCH('Scores per segment'!C$1,'Error Log'!$A$1:$J$1,0)))</f>
        <v>rory mcilroy believes it is ` unthinkable ' that he will not win the masters at some point to complete the career grand slam .
mcilroy is hoping to complete his grand slam of majors with a victory at augusta later this month
mcilroy is looking to claim his first green jacket and become just the sixth player to win all four major titles after gene sarazen , ben hogan , gary player , jack nicklaus and tiger woods .</v>
      </c>
      <c r="D35" s="68">
        <f>IF(H35=0,wdct(TRIM(C35)),0)</f>
        <v>73</v>
      </c>
      <c r="E35" s="68">
        <f>COUNTIFS('Error Log'!$A:$A,$A35,'Error Log'!$J:$J,E$1)</f>
        <v>2</v>
      </c>
      <c r="F35" s="68">
        <f>COUNTIFS('Error Log'!$A:$A,$A35,'Error Log'!$J:$J,F$1)</f>
        <v>2</v>
      </c>
      <c r="G35" s="68">
        <f>COUNTIFS('Error Log'!$A:$A,$A35,'Error Log'!$J:$J,G$1)</f>
        <v>0</v>
      </c>
      <c r="H35" s="68">
        <f>COUNTIFS('Error Log'!$A:$A,$A35,'Error Log'!$F:$F,"Source")</f>
        <v>0</v>
      </c>
      <c r="I35" s="68">
        <f>COUNTIFS('Error Log'!$A:$A,$A35,'Error Log'!$F:$F,"Target")</f>
        <v>0</v>
      </c>
      <c r="J35" s="69">
        <f t="shared" si="0"/>
        <v>79.452054794520549</v>
      </c>
    </row>
    <row r="36" spans="1:10">
      <c r="A36" s="80" t="s">
        <v>108</v>
      </c>
      <c r="B36" s="68" t="str">
        <f>IF(ISBLANK(A36),"",INDEX('Error Log'!$A:$J,MATCH('Scores per segment'!$A36,'Error Log'!$A:$A,0),MATCH('Scores per segment'!B$1,'Error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v>
      </c>
      <c r="C36" s="68" t="str">
        <f>IF(ISBLANK(A36),"",INDEX('Error Log'!$A:$J,MATCH('Scores per segment'!$A36,'Error Log'!$A:$A,0),MATCH('Scores per segment'!C$1,'Error Log'!$A$1:$J$1,0)))</f>
        <v>jurgen klopp confirmed in a press conference he is to leave borussia dortmund this summer
an emotional klopp said he believed dortmund need a change of manager next season
klopp was immediately installed as the bookmakers ' favourite to replace manuel pellegrini at manchester city , although it is understood that the struggling premier league champions have no plans to make such a move .</v>
      </c>
      <c r="D36" s="68">
        <f>IF(H36=0,wdct(TRIM(C36)),0)</f>
        <v>62</v>
      </c>
      <c r="E36" s="68">
        <f>COUNTIFS('Error Log'!$A:$A,$A36,'Error Log'!$J:$J,E$1)</f>
        <v>2</v>
      </c>
      <c r="F36" s="68">
        <f>COUNTIFS('Error Log'!$A:$A,$A36,'Error Log'!$J:$J,F$1)</f>
        <v>1</v>
      </c>
      <c r="G36" s="68">
        <f>COUNTIFS('Error Log'!$A:$A,$A36,'Error Log'!$J:$J,G$1)</f>
        <v>0</v>
      </c>
      <c r="H36" s="68">
        <f>COUNTIFS('Error Log'!$A:$A,$A36,'Error Log'!$F:$F,"Source")</f>
        <v>0</v>
      </c>
      <c r="I36" s="68">
        <f>COUNTIFS('Error Log'!$A:$A,$A36,'Error Log'!$F:$F,"Target")</f>
        <v>0</v>
      </c>
      <c r="J36" s="69">
        <f t="shared" si="0"/>
        <v>79.838709677419359</v>
      </c>
    </row>
    <row r="37" spans="1:10">
      <c r="A37" s="80" t="s">
        <v>109</v>
      </c>
      <c r="B37" s="68" t="str">
        <f>IF(ISBLANK(A37),"",INDEX('Error Log'!$A:$J,MATCH('Scores per segment'!$A37,'Error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v>
      </c>
      <c r="C37" s="68" t="str">
        <f>IF(ISBLANK(A37),"",INDEX('Error Log'!$A:$J,MATCH('Scores per segment'!$A37,'Error Log'!$A:$A,0),MATCH('Scores per segment'!C$1,'Error Log'!$A$1:$J$1,0)))</f>
        <v>( cnn ) it was a busy week for trending stories .
rdj grew increasingly agitated as a channel 4 interviewer from the uk asked about his private life on tuesday .
they seem to spawn a new trend every other week .</v>
      </c>
      <c r="D37" s="68">
        <f>IF(H37=0,wdct(TRIM(C37)),0)</f>
        <v>38</v>
      </c>
      <c r="E37" s="68">
        <f>COUNTIFS('Error Log'!$A:$A,$A37,'Error Log'!$J:$J,E$1)</f>
        <v>0</v>
      </c>
      <c r="F37" s="68">
        <f>COUNTIFS('Error Log'!$A:$A,$A37,'Error Log'!$J:$J,F$1)</f>
        <v>3</v>
      </c>
      <c r="G37" s="68">
        <f>COUNTIFS('Error Log'!$A:$A,$A37,'Error Log'!$J:$J,G$1)</f>
        <v>0</v>
      </c>
      <c r="H37" s="68">
        <f>COUNTIFS('Error Log'!$A:$A,$A37,'Error Log'!$F:$F,"Source")</f>
        <v>0</v>
      </c>
      <c r="I37" s="68">
        <f>COUNTIFS('Error Log'!$A:$A,$A37,'Error Log'!$F:$F,"Target")</f>
        <v>0</v>
      </c>
      <c r="J37" s="69">
        <f t="shared" si="0"/>
        <v>80.26315789473685</v>
      </c>
    </row>
    <row r="38" spans="1:10">
      <c r="A38" s="80" t="s">
        <v>110</v>
      </c>
      <c r="B38" s="68" t="str">
        <f>IF(ISBLANK(A38),"",INDEX('Error Log'!$A:$J,MATCH('Scores per segment'!$A38,'Error Log'!$A:$A,0),MATCH('Scores per segment'!B$1,'Error Log'!$A$1:$J$1,0)))</f>
        <v>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v>
      </c>
      <c r="C38" s="68" t="str">
        <f>IF(ISBLANK(A38),"",INDEX('Error Log'!$A:$J,MATCH('Scores per segment'!$A38,'Error Log'!$A:$A,0),MATCH('Scores per segment'!C$1,'Error Log'!$A$1:$J$1,0)))</f>
        <v>williams beat sabine lisicki in three sets on wednesday to progress to the semi-finals of the miami open
williams will face romania 's simona halep for a place in the final after the third-seed beat sloane stephens 6-1 , 7-5 .
the day following andy murray 's 500th win another huge cake was wheeled out to mark williams reaching the semi-final with a 7-6 , 1-6 , 6-3 progression over germany 's sabine lisicki .</v>
      </c>
      <c r="D38" s="68">
        <f>IF(H38=0,wdct(TRIM(C38)),0)</f>
        <v>70</v>
      </c>
      <c r="E38" s="68">
        <f>COUNTIFS('Error Log'!$A:$A,$A38,'Error Log'!$J:$J,E$1)</f>
        <v>0</v>
      </c>
      <c r="F38" s="68">
        <f>COUNTIFS('Error Log'!$A:$A,$A38,'Error Log'!$J:$J,F$1)</f>
        <v>1</v>
      </c>
      <c r="G38" s="68">
        <f>COUNTIFS('Error Log'!$A:$A,$A38,'Error Log'!$J:$J,G$1)</f>
        <v>0</v>
      </c>
      <c r="H38" s="68">
        <f>COUNTIFS('Error Log'!$A:$A,$A38,'Error Log'!$F:$F,"Source")</f>
        <v>0</v>
      </c>
      <c r="I38" s="68">
        <f>COUNTIFS('Error Log'!$A:$A,$A38,'Error Log'!$F:$F,"Target")</f>
        <v>0</v>
      </c>
      <c r="J38" s="69">
        <f t="shared" si="0"/>
        <v>96.428571428571431</v>
      </c>
    </row>
    <row r="39" spans="1:10">
      <c r="A39" s="80" t="s">
        <v>111</v>
      </c>
      <c r="B39" s="68" t="str">
        <f>IF(ISBLANK(A39),"",INDEX('Error Log'!$A:$J,MATCH('Scores per segment'!$A39,'Error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39" s="68" t="str">
        <f>IF(ISBLANK(A39),"",INDEX('Error Log'!$A:$J,MATCH('Scores per segment'!$A39,'Error Log'!$A:$A,0),MATCH('Scores per segment'!C$1,'Error Log'!$A$1:$J$1,0)))</f>
        <v>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tip of the iceberg : research by the world health organisation suggests that at least one in 100 babies born in the uk could suffer learning and behavioural problems because of exposure to alcohol in the womb</v>
      </c>
      <c r="D39" s="68">
        <f>IF(H39=0,wdct(TRIM(C39)),0)</f>
        <v>84</v>
      </c>
      <c r="E39" s="68">
        <f>COUNTIFS('Error Log'!$A:$A,$A39,'Error Log'!$J:$J,E$1)</f>
        <v>0</v>
      </c>
      <c r="F39" s="68">
        <f>COUNTIFS('Error Log'!$A:$A,$A39,'Error Log'!$J:$J,F$1)</f>
        <v>0</v>
      </c>
      <c r="G39" s="68">
        <f>COUNTIFS('Error Log'!$A:$A,$A39,'Error Log'!$J:$J,G$1)</f>
        <v>0</v>
      </c>
      <c r="H39" s="68">
        <f>COUNTIFS('Error Log'!$A:$A,$A39,'Error Log'!$F:$F,"Source")</f>
        <v>0</v>
      </c>
      <c r="I39" s="68">
        <f>COUNTIFS('Error Log'!$A:$A,$A39,'Error Log'!$F:$F,"Target")</f>
        <v>0</v>
      </c>
      <c r="J39" s="69">
        <f t="shared" si="0"/>
        <v>100</v>
      </c>
    </row>
    <row r="40" spans="1:10">
      <c r="A40" s="80" t="s">
        <v>112</v>
      </c>
      <c r="B40" s="68" t="str">
        <f>IF(ISBLANK(A40),"",INDEX('Error Log'!$A:$J,MATCH('Scores per segment'!$A40,'Error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40" s="68" t="str">
        <f>IF(ISBLANK(A40),"",INDEX('Error Log'!$A:$J,MATCH('Scores per segment'!$A40,'Error Log'!$A:$A,0),MATCH('Scores per segment'!C$1,'Error Log'!$A$1:$J$1,0)))</f>
        <v>but in pakistan , free speech is dangerous , and mahmud 's exuberant exercise of it made her stick out nationwide .
two gunman shot her dead at point-blank range late friday after she locked up the second floor cafe in karachi for the night , police said .
she is in a hospital but is expected to be released on time for her daughter 's funeral .</v>
      </c>
      <c r="D40" s="68">
        <f>IF(H40=0,wdct(TRIM(C40)),0)</f>
        <v>62</v>
      </c>
      <c r="E40" s="68">
        <f>COUNTIFS('Error Log'!$A:$A,$A40,'Error Log'!$J:$J,E$1)</f>
        <v>3</v>
      </c>
      <c r="F40" s="68">
        <f>COUNTIFS('Error Log'!$A:$A,$A40,'Error Log'!$J:$J,F$1)</f>
        <v>3</v>
      </c>
      <c r="G40" s="68">
        <f>COUNTIFS('Error Log'!$A:$A,$A40,'Error Log'!$J:$J,G$1)</f>
        <v>0</v>
      </c>
      <c r="H40" s="68">
        <f>COUNTIFS('Error Log'!$A:$A,$A40,'Error Log'!$F:$F,"Source")</f>
        <v>0</v>
      </c>
      <c r="I40" s="68">
        <f>COUNTIFS('Error Log'!$A:$A,$A40,'Error Log'!$F:$F,"Target")</f>
        <v>0</v>
      </c>
      <c r="J40" s="69">
        <f t="shared" si="0"/>
        <v>63.70967741935484</v>
      </c>
    </row>
    <row r="41" spans="1:10">
      <c r="A41" s="80" t="s">
        <v>113</v>
      </c>
      <c r="B41" s="68" t="str">
        <f>IF(ISBLANK(A41),"",INDEX('Error Log'!$A:$J,MATCH('Scores per segment'!$A41,'Error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v>
      </c>
      <c r="C41" s="68" t="str">
        <f>IF(ISBLANK(A41),"",INDEX('Error Log'!$A:$J,MATCH('Scores per segment'!$A41,'Error Log'!$A:$A,0),MATCH('Scores per segment'!C$1,'Error Log'!$A$1:$J$1,0)))</f>
        <v>ex-juvenile offender shaun andrew mckerry , dubbed boomerang boy or homing pigeon boy in his youth , burst into shildon post office and stores , county durham , at 8pm on march 15 .
as the men wrestled , sab dhillon 's wife sam helped by hitting mckerry with a baseball bat
mr dhillon said mckerry was waving the axe around when he jumped on him and wrestled him to the floor</v>
      </c>
      <c r="D41" s="68">
        <f>IF(H41=0,wdct(TRIM(C41)),0)</f>
        <v>66</v>
      </c>
      <c r="E41" s="68">
        <f>COUNTIFS('Error Log'!$A:$A,$A41,'Error Log'!$J:$J,E$1)</f>
        <v>3</v>
      </c>
      <c r="F41" s="68">
        <f>COUNTIFS('Error Log'!$A:$A,$A41,'Error Log'!$J:$J,F$1)</f>
        <v>2</v>
      </c>
      <c r="G41" s="68">
        <f>COUNTIFS('Error Log'!$A:$A,$A41,'Error Log'!$J:$J,G$1)</f>
        <v>0</v>
      </c>
      <c r="H41" s="68">
        <f>COUNTIFS('Error Log'!$A:$A,$A41,'Error Log'!$F:$F,"Source")</f>
        <v>0</v>
      </c>
      <c r="I41" s="68">
        <f>COUNTIFS('Error Log'!$A:$A,$A41,'Error Log'!$F:$F,"Target")</f>
        <v>0</v>
      </c>
      <c r="J41" s="69">
        <f t="shared" si="0"/>
        <v>69.696969696969688</v>
      </c>
    </row>
    <row r="42" spans="1:10">
      <c r="A42" s="80" t="s">
        <v>114</v>
      </c>
      <c r="B42" s="68" t="str">
        <f>IF(ISBLANK(A42),"",INDEX('Error Log'!$A:$J,MATCH('Scores per segment'!$A42,'Error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v>
      </c>
      <c r="C42" s="68" t="str">
        <f>IF(ISBLANK(A42),"",INDEX('Error Log'!$A:$J,MATCH('Scores per segment'!$A42,'Error Log'!$A:$A,0),MATCH('Scores per segment'!C$1,'Error Log'!$A$1:$J$1,0)))</f>
        <v>mangu ram was 14 when he fled to kashmir as a refugee - now an old man , for the past 70 years he has been denied citizenship rights
it is almost 70 years since he fled the violence that followed the partition of india , and he is still regarded as a second class citizen in indian kashmir -- unable to own property or vote in state elections .
a hindu , traditional healer ram lives a slum house within india 's only muslim-majority state .</v>
      </c>
      <c r="D42" s="68">
        <f>IF(H42=0,wdct(TRIM(C42)),0)</f>
        <v>80</v>
      </c>
      <c r="E42" s="68">
        <f>COUNTIFS('Error Log'!$A:$A,$A42,'Error Log'!$J:$J,E$1)</f>
        <v>3</v>
      </c>
      <c r="F42" s="68">
        <f>COUNTIFS('Error Log'!$A:$A,$A42,'Error Log'!$J:$J,F$1)</f>
        <v>3</v>
      </c>
      <c r="G42" s="68">
        <f>COUNTIFS('Error Log'!$A:$A,$A42,'Error Log'!$J:$J,G$1)</f>
        <v>0</v>
      </c>
      <c r="H42" s="68">
        <f>COUNTIFS('Error Log'!$A:$A,$A42,'Error Log'!$F:$F,"Source")</f>
        <v>0</v>
      </c>
      <c r="I42" s="68">
        <f>COUNTIFS('Error Log'!$A:$A,$A42,'Error Log'!$F:$F,"Target")</f>
        <v>0</v>
      </c>
      <c r="J42" s="69">
        <f t="shared" si="0"/>
        <v>71.875</v>
      </c>
    </row>
    <row r="43" spans="1:10">
      <c r="A43" s="80" t="s">
        <v>115</v>
      </c>
      <c r="B43" s="68" t="str">
        <f>IF(ISBLANK(A43),"",INDEX('Error Log'!$A:$J,MATCH('Scores per segment'!$A43,'Error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v>
      </c>
      <c r="C43" s="68" t="str">
        <f>IF(ISBLANK(A43),"",INDEX('Error Log'!$A:$J,MATCH('Scores per segment'!$A43,'Error Log'!$A:$A,0),MATCH('Scores per segment'!C$1,'Error Log'!$A$1:$J$1,0)))</f>
        <v>four royal navy sailors charged with the gang rape of a young woman at an alcohol-fuelled party at a canadian barracks must stay in nova scotia until they have been tried .
bail was set at over # 2,000 for each of them but they also agreed to surrender their passports and live at the nearby stadacona naval base in halifax .
the four men appeared in turn in a courtroom in dartmouth , near halifax , where they were given identical but unusual bail conditions that could see them having to live on a canadian naval base for the next few years .</v>
      </c>
      <c r="D43" s="68">
        <f>IF(H43=0,wdct(TRIM(C43)),0)</f>
        <v>98</v>
      </c>
      <c r="E43" s="68">
        <f>COUNTIFS('Error Log'!$A:$A,$A43,'Error Log'!$J:$J,E$1)</f>
        <v>1</v>
      </c>
      <c r="F43" s="68">
        <f>COUNTIFS('Error Log'!$A:$A,$A43,'Error Log'!$J:$J,F$1)</f>
        <v>1</v>
      </c>
      <c r="G43" s="68">
        <f>COUNTIFS('Error Log'!$A:$A,$A43,'Error Log'!$J:$J,G$1)</f>
        <v>0</v>
      </c>
      <c r="H43" s="68">
        <f>COUNTIFS('Error Log'!$A:$A,$A43,'Error Log'!$F:$F,"Source")</f>
        <v>0</v>
      </c>
      <c r="I43" s="68">
        <f>COUNTIFS('Error Log'!$A:$A,$A43,'Error Log'!$F:$F,"Target")</f>
        <v>0</v>
      </c>
      <c r="J43" s="69">
        <f t="shared" si="0"/>
        <v>92.34693877551021</v>
      </c>
    </row>
    <row r="44" spans="1:10">
      <c r="A44" s="79" t="s">
        <v>116</v>
      </c>
      <c r="B44" s="68" t="str">
        <f>IF(ISBLANK(A44),"",INDEX('Error Log'!$A:$J,MATCH('Scores per segment'!$A44,'Error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44" s="68" t="str">
        <f>IF(ISBLANK(A44),"",INDEX('Error Log'!$A:$J,MATCH('Scores per segment'!$A44,'Error Log'!$A:$A,0),MATCH('Scores per segment'!C$1,'Error Log'!$A$1:$J$1,0)))</f>
        <v>fc tokyo forward yoshinori muto has admitted that he is still considering whether to join premier league leaders chelsea this summer .
chelsea have made an offer for muto according to fc tokyo president naoki ogane
chelsea would look to loan muto to partner club vitesse arnhem next season but the 22-year-old is keen to join a club where he will play regularly and realise his potential .</v>
      </c>
      <c r="D44" s="68">
        <f>IF(H44=0,wdct(TRIM(C44)),0)</f>
        <v>66</v>
      </c>
      <c r="E44" s="68">
        <f>COUNTIFS('Error Log'!$A:$A,$A44,'Error Log'!$J:$J,E$1)</f>
        <v>2</v>
      </c>
      <c r="F44" s="68">
        <f>COUNTIFS('Error Log'!$A:$A,$A44,'Error Log'!$J:$J,F$1)</f>
        <v>1</v>
      </c>
      <c r="G44" s="68">
        <f>COUNTIFS('Error Log'!$A:$A,$A44,'Error Log'!$J:$J,G$1)</f>
        <v>0</v>
      </c>
      <c r="H44" s="68">
        <f>COUNTIFS('Error Log'!$A:$A,$A44,'Error Log'!$F:$F,"Source")</f>
        <v>0</v>
      </c>
      <c r="I44" s="68">
        <f>COUNTIFS('Error Log'!$A:$A,$A44,'Error Log'!$F:$F,"Target")</f>
        <v>0</v>
      </c>
      <c r="J44" s="69">
        <f t="shared" si="0"/>
        <v>81.060606060606062</v>
      </c>
    </row>
    <row r="45" spans="1:10">
      <c r="A45" s="79" t="s">
        <v>117</v>
      </c>
      <c r="B45" s="68" t="str">
        <f>IF(ISBLANK(A45),"",INDEX('Error Log'!$A:$J,MATCH('Scores per segment'!$A45,'Error Log'!$A:$A,0),MATCH('Scores per segment'!B$1,'Error Log'!$A$1:$J$1,0)))</f>
        <v>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v>
      </c>
      <c r="C45" s="68" t="str">
        <f>IF(ISBLANK(A45),"",INDEX('Error Log'!$A:$J,MATCH('Scores per segment'!$A45,'Error Log'!$A:$A,0),MATCH('Scores per segment'!C$1,'Error Log'!$A$1:$J$1,0)))</f>
        <v>four-year-old rj jackson is one of just 70 people in the world who suffers netherton 's syndrome .
his mother valerie jackson has to regularly cover him in creams to try and prevent his skin drying out .
valerie jackson , pictured left with her son rj when he was three months old , was accused of scalding her son after a member of the public mistook his rare skin disease for the signs of abuse .</v>
      </c>
      <c r="D45" s="68">
        <f>IF(H45=0,wdct(TRIM(C45)),0)</f>
        <v>72</v>
      </c>
      <c r="E45" s="68">
        <f>COUNTIFS('Error Log'!$A:$A,$A45,'Error Log'!$J:$J,E$1)</f>
        <v>2</v>
      </c>
      <c r="F45" s="68">
        <f>COUNTIFS('Error Log'!$A:$A,$A45,'Error Log'!$J:$J,F$1)</f>
        <v>1</v>
      </c>
      <c r="G45" s="68">
        <f>COUNTIFS('Error Log'!$A:$A,$A45,'Error Log'!$J:$J,G$1)</f>
        <v>0</v>
      </c>
      <c r="H45" s="68">
        <f>COUNTIFS('Error Log'!$A:$A,$A45,'Error Log'!$F:$F,"Source")</f>
        <v>0</v>
      </c>
      <c r="I45" s="68">
        <f>COUNTIFS('Error Log'!$A:$A,$A45,'Error Log'!$F:$F,"Target")</f>
        <v>0</v>
      </c>
      <c r="J45" s="69">
        <f t="shared" si="0"/>
        <v>82.638888888888886</v>
      </c>
    </row>
    <row r="46" spans="1:10">
      <c r="A46" s="79" t="s">
        <v>118</v>
      </c>
      <c r="B46" s="68" t="str">
        <f>IF(ISBLANK(A46),"",INDEX('Error Log'!$A:$J,MATCH('Scores per segment'!$A46,'Error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v>
      </c>
      <c r="C46" s="68" t="str">
        <f>IF(ISBLANK(A46),"",INDEX('Error Log'!$A:$J,MATCH('Scores per segment'!$A46,'Error Log'!$A:$A,0),MATCH('Scores per segment'!C$1,'Error Log'!$A$1:$J$1,0)))</f>
        <v>matt giteau 's stellar displays for toulon have put him back on the wallabies radar ahead of the world cup
stuart lancaster must be free to pick his best players , no matter where in the world they ply their trade .
congratulations to australia for seeing sense and dropping the ridiculous policy of not selecting their best players if they are playing overseas .</v>
      </c>
      <c r="D46" s="68">
        <f>IF(H46=0,wdct(TRIM(C46)),0)</f>
        <v>62</v>
      </c>
      <c r="E46" s="68">
        <f>COUNTIFS('Error Log'!$A:$A,$A46,'Error Log'!$J:$J,E$1)</f>
        <v>2</v>
      </c>
      <c r="F46" s="68">
        <f>COUNTIFS('Error Log'!$A:$A,$A46,'Error Log'!$J:$J,F$1)</f>
        <v>2</v>
      </c>
      <c r="G46" s="68">
        <f>COUNTIFS('Error Log'!$A:$A,$A46,'Error Log'!$J:$J,G$1)</f>
        <v>0</v>
      </c>
      <c r="H46" s="68">
        <f>COUNTIFS('Error Log'!$A:$A,$A46,'Error Log'!$F:$F,"Source")</f>
        <v>0</v>
      </c>
      <c r="I46" s="68">
        <f>COUNTIFS('Error Log'!$A:$A,$A46,'Error Log'!$F:$F,"Target")</f>
        <v>0</v>
      </c>
      <c r="J46" s="69">
        <f t="shared" si="0"/>
        <v>75.806451612903231</v>
      </c>
    </row>
    <row r="47" spans="1:10">
      <c r="A47" s="79" t="s">
        <v>119</v>
      </c>
      <c r="B47" s="68" t="str">
        <f>IF(ISBLANK(A47),"",INDEX('Error Log'!$A:$J,MATCH('Scores per segment'!$A47,'Error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v>
      </c>
      <c r="C47" s="68" t="str">
        <f>IF(ISBLANK(A47),"",INDEX('Error Log'!$A:$J,MATCH('Scores per segment'!$A47,'Error Log'!$A:$A,0),MATCH('Scores per segment'!C$1,'Error Log'!$A$1:$J$1,0)))</f>
        <v>transport for london ( tfl ) has revealed that the controversial posters around the london underground , featuring a bikini-clad model called renee somerfield are being removed .
campaigners against the new protein world ` are you beach body ready ? '
the advertising standards authority has also received more than 200 complaints from people saying that the adverts promote an unhealthy body image .</v>
      </c>
      <c r="D47" s="68">
        <f>IF(H47=0,wdct(TRIM(C47)),0)</f>
        <v>57</v>
      </c>
      <c r="E47" s="68">
        <f>COUNTIFS('Error Log'!$A:$A,$A47,'Error Log'!$J:$J,E$1)</f>
        <v>1</v>
      </c>
      <c r="F47" s="68">
        <f>COUNTIFS('Error Log'!$A:$A,$A47,'Error Log'!$J:$J,F$1)</f>
        <v>1</v>
      </c>
      <c r="G47" s="68">
        <f>COUNTIFS('Error Log'!$A:$A,$A47,'Error Log'!$J:$J,G$1)</f>
        <v>0</v>
      </c>
      <c r="H47" s="68">
        <f>COUNTIFS('Error Log'!$A:$A,$A47,'Error Log'!$F:$F,"Source")</f>
        <v>0</v>
      </c>
      <c r="I47" s="68">
        <f>COUNTIFS('Error Log'!$A:$A,$A47,'Error Log'!$F:$F,"Target")</f>
        <v>0</v>
      </c>
      <c r="J47" s="69">
        <f t="shared" si="0"/>
        <v>86.84210526315789</v>
      </c>
    </row>
    <row r="48" spans="1:10">
      <c r="A48" s="79" t="s">
        <v>120</v>
      </c>
      <c r="B48" s="68" t="str">
        <f>IF(ISBLANK(A48),"",INDEX('Error Log'!$A:$J,MATCH('Scores per segment'!$A48,'Error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48" s="68" t="str">
        <f>IF(ISBLANK(A48),"",INDEX('Error Log'!$A:$J,MATCH('Scores per segment'!$A48,'Error Log'!$A:$A,0),MATCH('Scores per segment'!C$1,'Error Log'!$A$1:$J$1,0)))</f>
        <v>called greenstone , the egg-shaped gadget acts like a beacon , or booster , to help messages move around these so-called wireless mesh networks more easily .
firechat launched last year and has been downloaded more than five million times .
it takes advantage of a feature that launched in apple 's ios 7 called multipeer connectivity framework ( mcf ) .</v>
      </c>
      <c r="D48" s="68">
        <f>IF(H48=0,wdct(TRIM(C48)),0)</f>
        <v>54</v>
      </c>
      <c r="E48" s="68">
        <f>COUNTIFS('Error Log'!$A:$A,$A48,'Error Log'!$J:$J,E$1)</f>
        <v>2</v>
      </c>
      <c r="F48" s="68">
        <f>COUNTIFS('Error Log'!$A:$A,$A48,'Error Log'!$J:$J,F$1)</f>
        <v>1</v>
      </c>
      <c r="G48" s="68">
        <f>COUNTIFS('Error Log'!$A:$A,$A48,'Error Log'!$J:$J,G$1)</f>
        <v>0</v>
      </c>
      <c r="H48" s="68">
        <f>COUNTIFS('Error Log'!$A:$A,$A48,'Error Log'!$F:$F,"Source")</f>
        <v>0</v>
      </c>
      <c r="I48" s="68">
        <f>COUNTIFS('Error Log'!$A:$A,$A48,'Error Log'!$F:$F,"Target")</f>
        <v>0</v>
      </c>
      <c r="J48" s="69">
        <f t="shared" si="0"/>
        <v>76.851851851851848</v>
      </c>
    </row>
    <row r="49" spans="1:10">
      <c r="A49" s="79" t="s">
        <v>121</v>
      </c>
      <c r="B49" s="68" t="str">
        <f>IF(ISBLANK(A49),"",INDEX('Error Log'!$A:$J,MATCH('Scores per segment'!$A49,'Error Log'!$A:$A,0),MATCH('Scores per segment'!B$1,'Error Log'!$A$1:$J$1,0)))</f>
        <v>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v>
      </c>
      <c r="C49" s="68" t="str">
        <f>IF(ISBLANK(A49),"",INDEX('Error Log'!$A:$J,MATCH('Scores per segment'!$A49,'Error Log'!$A:$A,0),MATCH('Scores per segment'!C$1,'Error Log'!$A$1:$J$1,0)))</f>
        <v>sent letter : prime minister david cameron has written to first great western to request it ` urgently reviews ' plans to increase fares on trains running through his witney constituency
mr cameron has promised to freeze fares in real terms for the whole of the next parliament , while labour has also pledged to bring in a ` cap ' on price hikes .
rail firms came under fire this weekend for planning a series of fare hikes of up to 87 per cent just ten days after the general election - despite the main party leaders pledging to freeze prices .</v>
      </c>
      <c r="D49" s="68">
        <f>IF(H49=0,wdct(TRIM(C49)),0)</f>
        <v>94</v>
      </c>
      <c r="E49" s="68">
        <f>COUNTIFS('Error Log'!$A:$A,$A49,'Error Log'!$J:$J,E$1)</f>
        <v>1</v>
      </c>
      <c r="F49" s="68">
        <f>COUNTIFS('Error Log'!$A:$A,$A49,'Error Log'!$J:$J,F$1)</f>
        <v>1</v>
      </c>
      <c r="G49" s="68">
        <f>COUNTIFS('Error Log'!$A:$A,$A49,'Error Log'!$J:$J,G$1)</f>
        <v>0</v>
      </c>
      <c r="H49" s="68">
        <f>COUNTIFS('Error Log'!$A:$A,$A49,'Error Log'!$F:$F,"Source")</f>
        <v>0</v>
      </c>
      <c r="I49" s="68">
        <f>COUNTIFS('Error Log'!$A:$A,$A49,'Error Log'!$F:$F,"Target")</f>
        <v>0</v>
      </c>
      <c r="J49" s="69">
        <f t="shared" si="0"/>
        <v>92.021276595744681</v>
      </c>
    </row>
    <row r="50" spans="1:10">
      <c r="A50" s="79" t="s">
        <v>122</v>
      </c>
      <c r="B50" s="68" t="str">
        <f>IF(ISBLANK(A50),"",INDEX('Error Log'!$A:$J,MATCH('Scores per segment'!$A50,'Error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50" s="68" t="str">
        <f>IF(ISBLANK(A50),"",INDEX('Error Log'!$A:$J,MATCH('Scores per segment'!$A50,'Error Log'!$A:$A,0),MATCH('Scores per segment'!C$1,'Error Log'!$A$1:$J$1,0)))</f>
        <v>not-so-tiny dancer : burlesque performer lillian bustle explained in her ted talk that ` fat ' is just another word - and using it does n't have to be an insult
during a recent ted talk , lillian bustle , from new jersey , revealed that she also calls herself ` short ' , because she is 5 ' 3 " , and ` wife ' , because she is married , noting that each of these words is just an honest description of what she is .
unfortunately , lillian added , her worldview is n't held by everyone , and she pointed to a statistic that shows that size discrimination in the workplace has risen 66 per cent in the past 30 years .</v>
      </c>
      <c r="D50" s="68">
        <f>IF(H50=0,wdct(TRIM(C50)),0)</f>
        <v>104</v>
      </c>
      <c r="E50" s="68">
        <f>COUNTIFS('Error Log'!$A:$A,$A50,'Error Log'!$J:$J,E$1)</f>
        <v>2</v>
      </c>
      <c r="F50" s="68">
        <f>COUNTIFS('Error Log'!$A:$A,$A50,'Error Log'!$J:$J,F$1)</f>
        <v>1</v>
      </c>
      <c r="G50" s="68">
        <f>COUNTIFS('Error Log'!$A:$A,$A50,'Error Log'!$J:$J,G$1)</f>
        <v>0</v>
      </c>
      <c r="H50" s="68">
        <f>COUNTIFS('Error Log'!$A:$A,$A50,'Error Log'!$F:$F,"Source")</f>
        <v>0</v>
      </c>
      <c r="I50" s="68">
        <f>COUNTIFS('Error Log'!$A:$A,$A50,'Error Log'!$F:$F,"Target")</f>
        <v>0</v>
      </c>
      <c r="J50" s="69">
        <f t="shared" si="0"/>
        <v>87.980769230769226</v>
      </c>
    </row>
    <row r="51" spans="1:10">
      <c r="A51" s="79" t="s">
        <v>123</v>
      </c>
      <c r="B51" s="68" t="str">
        <f>IF(ISBLANK(A51),"",INDEX('Error Log'!$A:$J,MATCH('Scores per segment'!$A51,'Error Log'!$A:$A,0),MATCH('Scores per segment'!B$1,'Error Log'!$A$1:$J$1,0)))</f>
        <v>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51" s="68" t="str">
        <f>IF(ISBLANK(A51),"",INDEX('Error Log'!$A:$J,MATCH('Scores per segment'!$A51,'Error Log'!$A:$A,0),MATCH('Scores per segment'!C$1,'Error Log'!$A$1:$J$1,0)))</f>
        <v>former soldier john young , 66 , and his new wife elaine , 54 , were sat in the front room of their home in oldham , greater manchester , when thugs began pelting his front window with stones .
he suffered an open wound to his forehead and a serious injury to his left eye and was taken to hospital .
however , despite undergoing emergency surgery , doctors were unable to save his eyesight meaning he is now blind in one eye .</v>
      </c>
      <c r="D51" s="68">
        <f>IF(H51=0,wdct(TRIM(C51)),0)</f>
        <v>74</v>
      </c>
      <c r="E51" s="68">
        <f>COUNTIFS('Error Log'!$A:$A,$A51,'Error Log'!$J:$J,E$1)</f>
        <v>0</v>
      </c>
      <c r="F51" s="68">
        <f>COUNTIFS('Error Log'!$A:$A,$A51,'Error Log'!$J:$J,F$1)</f>
        <v>0</v>
      </c>
      <c r="G51" s="68">
        <f>COUNTIFS('Error Log'!$A:$A,$A51,'Error Log'!$J:$J,G$1)</f>
        <v>0</v>
      </c>
      <c r="H51" s="68">
        <f>COUNTIFS('Error Log'!$A:$A,$A51,'Error Log'!$F:$F,"Source")</f>
        <v>0</v>
      </c>
      <c r="I51" s="68">
        <f>COUNTIFS('Error Log'!$A:$A,$A51,'Error Log'!$F:$F,"Target")</f>
        <v>0</v>
      </c>
      <c r="J51" s="69">
        <f t="shared" si="0"/>
        <v>100</v>
      </c>
    </row>
    <row r="52" spans="1:10">
      <c r="A52" s="79" t="s">
        <v>124</v>
      </c>
      <c r="B52" s="68" t="str">
        <f>IF(ISBLANK(A52),"",INDEX('Error Log'!$A:$J,MATCH('Scores per segment'!$A52,'Error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52" s="68" t="str">
        <f>IF(ISBLANK(A52),"",INDEX('Error Log'!$A:$J,MATCH('Scores per segment'!$A52,'Error Log'!$A:$A,0),MATCH('Scores per segment'!C$1,'Error Log'!$A$1:$J$1,0)))</f>
        <v>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will be hoping to make his first arsenal start since his side 's 3-0 win over west ham on march 14 when the gunners face hull at the kc stadium on monday .</v>
      </c>
      <c r="D52" s="68">
        <f>IF(H52=0,wdct(TRIM(C52)),0)</f>
        <v>77</v>
      </c>
      <c r="E52" s="68">
        <f>COUNTIFS('Error Log'!$A:$A,$A52,'Error Log'!$J:$J,E$1)</f>
        <v>2</v>
      </c>
      <c r="F52" s="68">
        <f>COUNTIFS('Error Log'!$A:$A,$A52,'Error Log'!$J:$J,F$1)</f>
        <v>1</v>
      </c>
      <c r="G52" s="68">
        <f>COUNTIFS('Error Log'!$A:$A,$A52,'Error Log'!$J:$J,G$1)</f>
        <v>0</v>
      </c>
      <c r="H52" s="68">
        <f>COUNTIFS('Error Log'!$A:$A,$A52,'Error Log'!$F:$F,"Source")</f>
        <v>0</v>
      </c>
      <c r="I52" s="68">
        <f>COUNTIFS('Error Log'!$A:$A,$A52,'Error Log'!$F:$F,"Target")</f>
        <v>0</v>
      </c>
      <c r="J52" s="69">
        <f t="shared" si="0"/>
        <v>83.766233766233768</v>
      </c>
    </row>
    <row r="53" spans="1:10">
      <c r="A53" s="79" t="s">
        <v>125</v>
      </c>
      <c r="B53" s="68" t="str">
        <f>IF(ISBLANK(A53),"",INDEX('Error Log'!$A:$J,MATCH('Scores per segment'!$A53,'Error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53" s="68" t="str">
        <f>IF(ISBLANK(A53),"",INDEX('Error Log'!$A:$J,MATCH('Scores per segment'!$A53,'Error Log'!$A:$A,0),MATCH('Scores per segment'!C$1,'Error Log'!$A$1:$J$1,0)))</f>
        <v>poynton , 25 , missed the entire 2014 campaign due to leg injuries sustained in a road accident in which his father keith died last april .
derbyshire wicketkeeper tom poynton has been rewarded for his successful return from injury
he will be available for the start of the season and has now committed himself to the county until the end of the 2016 season .</v>
      </c>
      <c r="D53" s="68">
        <f>IF(H53=0,wdct(TRIM(C53)),0)</f>
        <v>62</v>
      </c>
      <c r="E53" s="68">
        <f>COUNTIFS('Error Log'!$A:$A,$A53,'Error Log'!$J:$J,E$1)</f>
        <v>0</v>
      </c>
      <c r="F53" s="68">
        <f>COUNTIFS('Error Log'!$A:$A,$A53,'Error Log'!$J:$J,F$1)</f>
        <v>0</v>
      </c>
      <c r="G53" s="68">
        <f>COUNTIFS('Error Log'!$A:$A,$A53,'Error Log'!$J:$J,G$1)</f>
        <v>0</v>
      </c>
      <c r="H53" s="68">
        <f>COUNTIFS('Error Log'!$A:$A,$A53,'Error Log'!$F:$F,"Source")</f>
        <v>0</v>
      </c>
      <c r="I53" s="68">
        <f>COUNTIFS('Error Log'!$A:$A,$A53,'Error Log'!$F:$F,"Target")</f>
        <v>0</v>
      </c>
      <c r="J53" s="69">
        <f t="shared" si="0"/>
        <v>100</v>
      </c>
    </row>
    <row r="54" spans="1:10">
      <c r="A54" s="80" t="s">
        <v>390</v>
      </c>
      <c r="B54" s="68" t="str">
        <f>IF(ISBLANK(A54),"",INDEX('Error Log'!$A:$J,MATCH('Scores per segment'!$A54,'Error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4" s="68" t="str">
        <f>IF(ISBLANK(A54),"",INDEX('Error Log'!$A:$J,MATCH('Scores per segment'!$A54,'Error Log'!$A:$A,0),MATCH('Scores per segment'!C$1,'Error Log'!$A$1:$J$1,0)))</f>
        <v>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fans of blockbusters like men in black , batman forever and how the grinch stole christmas will have a chance to own a piece of hollywood history when an amazing collection of props and puppets goes under the hammer at the end of may .</v>
      </c>
      <c r="D54" s="68">
        <f>IF(H54=0,wdct(TRIM(C54)),0)</f>
        <v>111</v>
      </c>
      <c r="E54" s="68">
        <f>COUNTIFS('Error Log'!$A:$A,$A54,'Error Log'!$J:$J,E$1)</f>
        <v>3</v>
      </c>
      <c r="F54" s="68">
        <f>COUNTIFS('Error Log'!$A:$A,$A54,'Error Log'!$J:$J,F$1)</f>
        <v>1</v>
      </c>
      <c r="G54" s="68">
        <f>COUNTIFS('Error Log'!$A:$A,$A54,'Error Log'!$J:$J,G$1)</f>
        <v>0</v>
      </c>
      <c r="H54" s="68">
        <f>COUNTIFS('Error Log'!$A:$A,$A54,'Error Log'!$F:$F,"Source")</f>
        <v>0</v>
      </c>
      <c r="I54" s="68">
        <f>COUNTIFS('Error Log'!$A:$A,$A54,'Error Log'!$F:$F,"Target")</f>
        <v>0</v>
      </c>
      <c r="J54" s="69">
        <f t="shared" si="0"/>
        <v>84.234234234234236</v>
      </c>
    </row>
    <row r="55" spans="1:10">
      <c r="A55" s="80" t="s">
        <v>398</v>
      </c>
      <c r="B55" s="68" t="str">
        <f>IF(ISBLANK(A55),"",INDEX('Error Log'!$A:$J,MATCH('Scores per segment'!$A55,'Error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5" s="68" t="str">
        <f>IF(ISBLANK(A55),"",INDEX('Error Log'!$A:$J,MATCH('Scores per segment'!$A55,'Error Log'!$A:$A,0),MATCH('Scores per segment'!C$1,'Error Log'!$A$1:$J$1,0)))</f>
        <v>harley renshaw was diagnosed with cancer in his kidney , neck , lungs and bones .
harley asked if he could decorate the protective mask that holds him still while having his radiotherapy treatment like a ninja turtle
harley renshaw has been told he is cancer-free after battling an aggressive form of the disease for a year .</v>
      </c>
      <c r="D55" s="68">
        <f>IF(H55=0,wdct(TRIM(C55)),0)</f>
        <v>54</v>
      </c>
      <c r="E55" s="68">
        <f>COUNTIFS('Error Log'!$A:$A,$A55,'Error Log'!$J:$J,E$1)</f>
        <v>0</v>
      </c>
      <c r="F55" s="68">
        <f>COUNTIFS('Error Log'!$A:$A,$A55,'Error Log'!$J:$J,F$1)</f>
        <v>0</v>
      </c>
      <c r="G55" s="68">
        <f>COUNTIFS('Error Log'!$A:$A,$A55,'Error Log'!$J:$J,G$1)</f>
        <v>0</v>
      </c>
      <c r="H55" s="68">
        <f>COUNTIFS('Error Log'!$A:$A,$A55,'Error Log'!$F:$F,"Source")</f>
        <v>0</v>
      </c>
      <c r="I55" s="68">
        <f>COUNTIFS('Error Log'!$A:$A,$A55,'Error Log'!$F:$F,"Target")</f>
        <v>0</v>
      </c>
      <c r="J55" s="69">
        <f t="shared" si="0"/>
        <v>100</v>
      </c>
    </row>
    <row r="56" spans="1:10">
      <c r="A56" s="80" t="s">
        <v>401</v>
      </c>
      <c r="B56" s="68" t="str">
        <f>IF(ISBLANK(A56),"",INDEX('Error Log'!$A:$J,MATCH('Scores per segment'!$A56,'Error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6" s="68" t="str">
        <f>IF(ISBLANK(A56),"",INDEX('Error Log'!$A:$J,MATCH('Scores per segment'!$A56,'Error Log'!$A:$A,0),MATCH('Scores per segment'!C$1,'Error Log'!$A$1:$J$1,0)))</f>
        <v>tragedy : carwyn scott-howell ( left ; right ) fell to his death while on holiday with his mother ceri , nine-year-old sister antonia and brother gerwyn , 19 , in the alps
the schoolboy was skiing with his family when he became separated from his mother and headed into dense woodland where he fell over a 164ft drop .
the family of the seven-year-old british boy killed in the french alps say his death has left a ` vast void in their hearts ' .</v>
      </c>
      <c r="D56" s="68">
        <f>IF(H56=0,wdct(TRIM(C56)),0)</f>
        <v>75</v>
      </c>
      <c r="E56" s="68">
        <f>COUNTIFS('Error Log'!$A:$A,$A56,'Error Log'!$J:$J,E$1)</f>
        <v>2</v>
      </c>
      <c r="F56" s="68">
        <f>COUNTIFS('Error Log'!$A:$A,$A56,'Error Log'!$J:$J,F$1)</f>
        <v>3</v>
      </c>
      <c r="G56" s="68">
        <f>COUNTIFS('Error Log'!$A:$A,$A56,'Error Log'!$J:$J,G$1)</f>
        <v>0</v>
      </c>
      <c r="H56" s="68">
        <f>COUNTIFS('Error Log'!$A:$A,$A56,'Error Log'!$F:$F,"Source")</f>
        <v>0</v>
      </c>
      <c r="I56" s="68">
        <f>COUNTIFS('Error Log'!$A:$A,$A56,'Error Log'!$F:$F,"Target")</f>
        <v>0</v>
      </c>
      <c r="J56" s="69">
        <f t="shared" si="0"/>
        <v>76.666666666666671</v>
      </c>
    </row>
    <row r="57" spans="1:10">
      <c r="A57" s="80" t="s">
        <v>410</v>
      </c>
      <c r="B57" s="68" t="str">
        <f>IF(ISBLANK(A57),"",INDEX('Error Log'!$A:$J,MATCH('Scores per segment'!$A57,'Error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7" s="68" t="str">
        <f>IF(ISBLANK(A57),"",INDEX('Error Log'!$A:$J,MATCH('Scores per segment'!$A57,'Error Log'!$A:$A,0),MATCH('Scores per segment'!C$1,'Error Log'!$A$1:$J$1,0)))</f>
        <v>grealish ( centre ) impressed against liverpool and is wanted by the republic of ireland and england
jack grealish must concentrate on his aston villa career rather than his international future , according to tim sherwood .
but sherwood wants grealish to focus on continuing to force his way into the villa first team .</v>
      </c>
      <c r="D57" s="68">
        <f>IF(H57=0,wdct(TRIM(C57)),0)</f>
        <v>50</v>
      </c>
      <c r="E57" s="68">
        <f>COUNTIFS('Error Log'!$A:$A,$A57,'Error Log'!$J:$J,E$1)</f>
        <v>1</v>
      </c>
      <c r="F57" s="68">
        <f>COUNTIFS('Error Log'!$A:$A,$A57,'Error Log'!$J:$J,F$1)</f>
        <v>2</v>
      </c>
      <c r="G57" s="68">
        <f>COUNTIFS('Error Log'!$A:$A,$A57,'Error Log'!$J:$J,G$1)</f>
        <v>0</v>
      </c>
      <c r="H57" s="68">
        <f>COUNTIFS('Error Log'!$A:$A,$A57,'Error Log'!$F:$F,"Source")</f>
        <v>0</v>
      </c>
      <c r="I57" s="68">
        <f>COUNTIFS('Error Log'!$A:$A,$A57,'Error Log'!$F:$F,"Target")</f>
        <v>0</v>
      </c>
      <c r="J57" s="69">
        <f t="shared" si="0"/>
        <v>80</v>
      </c>
    </row>
    <row r="58" spans="1:10">
      <c r="A58" s="80" t="s">
        <v>417</v>
      </c>
      <c r="B58" s="68" t="str">
        <f>IF(ISBLANK(A58),"",INDEX('Error Log'!$A:$J,MATCH('Scores per segment'!$A58,'Error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8" s="68" t="str">
        <f>IF(ISBLANK(A58),"",INDEX('Error Log'!$A:$J,MATCH('Scores per segment'!$A58,'Error Log'!$A:$A,0),MATCH('Scores per segment'!C$1,'Error Log'!$A$1:$J$1,0)))</f>
        <v>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was living off just one piece of fruit a day and would hide her food down the side of her bed so her parents would n't see it</v>
      </c>
      <c r="D58" s="68">
        <f>IF(H58=0,wdct(TRIM(C58)),0)</f>
        <v>80</v>
      </c>
      <c r="E58" s="68">
        <f>COUNTIFS('Error Log'!$A:$A,$A58,'Error Log'!$J:$J,E$1)</f>
        <v>1</v>
      </c>
      <c r="F58" s="68">
        <f>COUNTIFS('Error Log'!$A:$A,$A58,'Error Log'!$J:$J,F$1)</f>
        <v>0</v>
      </c>
      <c r="G58" s="68">
        <f>COUNTIFS('Error Log'!$A:$A,$A58,'Error Log'!$J:$J,G$1)</f>
        <v>0</v>
      </c>
      <c r="H58" s="68">
        <f>COUNTIFS('Error Log'!$A:$A,$A58,'Error Log'!$F:$F,"Source")</f>
        <v>0</v>
      </c>
      <c r="I58" s="68">
        <f>COUNTIFS('Error Log'!$A:$A,$A58,'Error Log'!$F:$F,"Target")</f>
        <v>0</v>
      </c>
      <c r="J58" s="69">
        <f t="shared" si="0"/>
        <v>93.75</v>
      </c>
    </row>
    <row r="59" spans="1:10">
      <c r="A59" s="80" t="s">
        <v>421</v>
      </c>
      <c r="B59" s="68" t="str">
        <f>IF(ISBLANK(A59),"",INDEX('Error Log'!$A:$J,MATCH('Scores per segment'!$A59,'Error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9" s="68" t="str">
        <f>IF(ISBLANK(A59),"",INDEX('Error Log'!$A:$J,MATCH('Scores per segment'!$A59,'Error Log'!$A:$A,0),MATCH('Scores per segment'!C$1,'Error Log'!$A$1:$J$1,0)))</f>
        <v>travelling by private jet is a growing trend , with 2.5 million private flights recorded in the us in 2013 ( the latest statistics ) and 705,000 in europe .
the high landings fees give an insight into some of the most unexpectedly popular transport hubs for the rich and famous , from salzburg , in austria , to darwin , in australia .
the busiest weekends unsurprisingly occur during huge sporting events , with the super bowl in america and the monaco grand prix the priciest times of year to fly and the busiest weekends for private jets companies .</v>
      </c>
      <c r="D59" s="68">
        <f>IF(H59=0,wdct(TRIM(C59)),0)</f>
        <v>90</v>
      </c>
      <c r="E59" s="68">
        <f>COUNTIFS('Error Log'!$A:$A,$A59,'Error Log'!$J:$J,E$1)</f>
        <v>2</v>
      </c>
      <c r="F59" s="68">
        <f>COUNTIFS('Error Log'!$A:$A,$A59,'Error Log'!$J:$J,F$1)</f>
        <v>3</v>
      </c>
      <c r="G59" s="68">
        <f>COUNTIFS('Error Log'!$A:$A,$A59,'Error Log'!$J:$J,G$1)</f>
        <v>0</v>
      </c>
      <c r="H59" s="68">
        <f>COUNTIFS('Error Log'!$A:$A,$A59,'Error Log'!$F:$F,"Source")</f>
        <v>0</v>
      </c>
      <c r="I59" s="68">
        <f>COUNTIFS('Error Log'!$A:$A,$A59,'Error Log'!$F:$F,"Target")</f>
        <v>0</v>
      </c>
      <c r="J59" s="69">
        <f t="shared" si="0"/>
        <v>80.555555555555557</v>
      </c>
    </row>
    <row r="60" spans="1:10">
      <c r="A60" s="80" t="s">
        <v>430</v>
      </c>
      <c r="B60" s="68" t="str">
        <f>IF(ISBLANK(A60),"",INDEX('Error Log'!$A:$J,MATCH('Scores per segment'!$A60,'Error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60" s="68" t="str">
        <f>IF(ISBLANK(A60),"",INDEX('Error Log'!$A:$J,MATCH('Scores per segment'!$A60,'Error Log'!$A:$A,0),MATCH('Scores per segment'!C$1,'Error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v>
      </c>
      <c r="D60" s="68">
        <f>IF(H60=0,wdct(TRIM(C60)),0)</f>
        <v>103</v>
      </c>
      <c r="E60" s="68">
        <f>COUNTIFS('Error Log'!$A:$A,$A60,'Error Log'!$J:$J,E$1)</f>
        <v>2</v>
      </c>
      <c r="F60" s="68">
        <f>COUNTIFS('Error Log'!$A:$A,$A60,'Error Log'!$J:$J,F$1)</f>
        <v>1</v>
      </c>
      <c r="G60" s="68">
        <f>COUNTIFS('Error Log'!$A:$A,$A60,'Error Log'!$J:$J,G$1)</f>
        <v>0</v>
      </c>
      <c r="H60" s="68">
        <f>COUNTIFS('Error Log'!$A:$A,$A60,'Error Log'!$F:$F,"Source")</f>
        <v>0</v>
      </c>
      <c r="I60" s="68">
        <f>COUNTIFS('Error Log'!$A:$A,$A60,'Error Log'!$F:$F,"Target")</f>
        <v>0</v>
      </c>
      <c r="J60" s="69">
        <f t="shared" si="0"/>
        <v>87.864077669902912</v>
      </c>
    </row>
    <row r="61" spans="1:10">
      <c r="A61" s="80" t="s">
        <v>437</v>
      </c>
      <c r="B61" s="68" t="str">
        <f>IF(ISBLANK(A61),"",INDEX('Error Log'!$A:$J,MATCH('Scores per segment'!$A61,'Error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2012 by a points landslide , thereby retaining the world super-middleweight title .
but sugar ray took most pride from the trilogy from forcing duran to say no mas .
he said : ` to me , making roberto duran to quit was better than knocking him out . '</v>
      </c>
      <c r="C61" s="68" t="str">
        <f>IF(ISBLANK(A61),"",INDEX('Error Log'!$A:$J,MATCH('Scores per segment'!$A61,'Error Log'!$A:$A,0),MATCH('Scores per segment'!C$1,'Error Log'!$A$1:$J$1,0)))</f>
        <v>sugar ray leonard v roberto duran
floyd mayweather v manny pacquiao will be the biggest fight of all time financially and the most significant this century .
in this , the sixth in a series of 12 fights that shaped boxing history , i recall when a hard man could take no more ...</v>
      </c>
      <c r="D61" s="68">
        <f>IF(H61=0,wdct(TRIM(C61)),0)</f>
        <v>50</v>
      </c>
      <c r="E61" s="68">
        <f>COUNTIFS('Error Log'!$A:$A,$A61,'Error Log'!$J:$J,E$1)</f>
        <v>2</v>
      </c>
      <c r="F61" s="68">
        <f>COUNTIFS('Error Log'!$A:$A,$A61,'Error Log'!$J:$J,F$1)</f>
        <v>1</v>
      </c>
      <c r="G61" s="68">
        <f>COUNTIFS('Error Log'!$A:$A,$A61,'Error Log'!$J:$J,G$1)</f>
        <v>0</v>
      </c>
      <c r="H61" s="68">
        <f>COUNTIFS('Error Log'!$A:$A,$A61,'Error Log'!$F:$F,"Source")</f>
        <v>0</v>
      </c>
      <c r="I61" s="68">
        <f>COUNTIFS('Error Log'!$A:$A,$A61,'Error Log'!$F:$F,"Target")</f>
        <v>0</v>
      </c>
      <c r="J61" s="69">
        <f t="shared" si="0"/>
        <v>75</v>
      </c>
    </row>
    <row r="62" spans="1:10">
      <c r="A62" s="80" t="s">
        <v>444</v>
      </c>
      <c r="B62" s="68" t="str">
        <f>IF(ISBLANK(A62),"",INDEX('Error Log'!$A:$J,MATCH('Scores per segment'!$A62,'Error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2" s="68" t="str">
        <f>IF(ISBLANK(A62),"",INDEX('Error Log'!$A:$J,MATCH('Scores per segment'!$A62,'Error Log'!$A:$A,0),MATCH('Scores per segment'!C$1,'Error Log'!$A$1:$J$1,0)))</f>
        <v>it is the first in a series of maps of the cosmos that will eventually allow a 3d view of dark matter across one eighth of the night sky .
university of manchester researchers have revealed an hd dark matter map ( shown ) .
the goal is to eventually map 12.5 per cent over five years .</v>
      </c>
      <c r="D62" s="68">
        <f>IF(H62=0,wdct(TRIM(C62)),0)</f>
        <v>53</v>
      </c>
      <c r="E62" s="68">
        <f>COUNTIFS('Error Log'!$A:$A,$A62,'Error Log'!$J:$J,E$1)</f>
        <v>2</v>
      </c>
      <c r="F62" s="68">
        <f>COUNTIFS('Error Log'!$A:$A,$A62,'Error Log'!$J:$J,F$1)</f>
        <v>2</v>
      </c>
      <c r="G62" s="68">
        <f>COUNTIFS('Error Log'!$A:$A,$A62,'Error Log'!$J:$J,G$1)</f>
        <v>0</v>
      </c>
      <c r="H62" s="68">
        <f>COUNTIFS('Error Log'!$A:$A,$A62,'Error Log'!$F:$F,"Source")</f>
        <v>0</v>
      </c>
      <c r="I62" s="68">
        <f>COUNTIFS('Error Log'!$A:$A,$A62,'Error Log'!$F:$F,"Target")</f>
        <v>0</v>
      </c>
      <c r="J62" s="69">
        <f t="shared" si="0"/>
        <v>71.698113207547166</v>
      </c>
    </row>
    <row r="63" spans="1:10">
      <c r="A63" s="80" t="s">
        <v>452</v>
      </c>
      <c r="B63" s="68" t="str">
        <f>IF(ISBLANK(A63),"",INDEX('Error Log'!$A:$J,MATCH('Scores per segment'!$A63,'Error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3" s="68" t="str">
        <f>IF(ISBLANK(A63),"",INDEX('Error Log'!$A:$J,MATCH('Scores per segment'!$A63,'Error Log'!$A:$A,0),MATCH('Scores per segment'!C$1,'Error Log'!$A$1:$J$1,0)))</f>
        <v>katie gallegos from clackamas county , oregon , decided to take the pooch to a mcdonald 's drive-thru for an ice cream with his pal daisy .
but while the small female pup takes a few ladylike licks , cooper gobbles the rest of the cone up in one bite .
to date the video of cooper 's ice cream outing has been watched more than seven million times .</v>
      </c>
      <c r="D63" s="68">
        <f>IF(H63=0,wdct(TRIM(C63)),0)</f>
        <v>64</v>
      </c>
      <c r="E63" s="68">
        <f>COUNTIFS('Error Log'!$A:$A,$A63,'Error Log'!$J:$J,E$1)</f>
        <v>1</v>
      </c>
      <c r="F63" s="68">
        <f>COUNTIFS('Error Log'!$A:$A,$A63,'Error Log'!$J:$J,F$1)</f>
        <v>1</v>
      </c>
      <c r="G63" s="68">
        <f>COUNTIFS('Error Log'!$A:$A,$A63,'Error Log'!$J:$J,G$1)</f>
        <v>0</v>
      </c>
      <c r="H63" s="68">
        <f>COUNTIFS('Error Log'!$A:$A,$A63,'Error Log'!$F:$F,"Source")</f>
        <v>0</v>
      </c>
      <c r="I63" s="68">
        <f>COUNTIFS('Error Log'!$A:$A,$A63,'Error Log'!$F:$F,"Target")</f>
        <v>0</v>
      </c>
      <c r="J63" s="69">
        <f t="shared" si="0"/>
        <v>88.28125</v>
      </c>
    </row>
    <row r="64" spans="1:10">
      <c r="A64" s="79" t="s">
        <v>457</v>
      </c>
      <c r="B64" s="68" t="str">
        <f>IF(ISBLANK(A64),"",INDEX('Error Log'!$A:$J,MATCH('Scores per segment'!$A64,'Error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4" s="68" t="str">
        <f>IF(ISBLANK(A64),"",INDEX('Error Log'!$A:$J,MATCH('Scores per segment'!$A64,'Error Log'!$A:$A,0),MATCH('Scores per segment'!C$1,'Error Log'!$A$1:$J$1,0)))</f>
        <v>mouscron , in belgium 's pro league , had a partnership with lille but the french side are now poised to link up with another belgian club , ostend , leaving room for a new deal and chelsea are the preferred option .
chelsea are in early discussions over a possible partnership with belgian club royal mouscron-peruwelz .
vitesse currently have chelsea 's josh mceachran , bertrand traore and wallace on their books as they look to seek europa league qualification from the dutch eredivisie .</v>
      </c>
      <c r="D64" s="68">
        <f>IF(H64=0,wdct(TRIM(C64)),0)</f>
        <v>78</v>
      </c>
      <c r="E64" s="68">
        <f>COUNTIFS('Error Log'!$A:$A,$A64,'Error Log'!$J:$J,E$1)</f>
        <v>2</v>
      </c>
      <c r="F64" s="68">
        <f>COUNTIFS('Error Log'!$A:$A,$A64,'Error Log'!$J:$J,F$1)</f>
        <v>2</v>
      </c>
      <c r="G64" s="68">
        <f>COUNTIFS('Error Log'!$A:$A,$A64,'Error Log'!$J:$J,G$1)</f>
        <v>0</v>
      </c>
      <c r="H64" s="68">
        <f>COUNTIFS('Error Log'!$A:$A,$A64,'Error Log'!$F:$F,"Source")</f>
        <v>0</v>
      </c>
      <c r="I64" s="68">
        <f>COUNTIFS('Error Log'!$A:$A,$A64,'Error Log'!$F:$F,"Target")</f>
        <v>0</v>
      </c>
      <c r="J64" s="69">
        <f t="shared" si="0"/>
        <v>80.769230769230774</v>
      </c>
    </row>
    <row r="65" spans="1:10">
      <c r="A65" s="79" t="s">
        <v>465</v>
      </c>
      <c r="B65" s="68" t="str">
        <f>IF(ISBLANK(A65),"",INDEX('Error Log'!$A:$J,MATCH('Scores per segment'!$A65,'Error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$ 4.13 billion</v>
      </c>
      <c r="C65" s="68" t="str">
        <f>IF(ISBLANK(A65),"",INDEX('Error Log'!$A:$J,MATCH('Scores per segment'!$A65,'Error Log'!$A:$A,0),MATCH('Scores per segment'!C$1,'Error Log'!$A$1:$J$1,0)))</f>
        <v>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it did not explain exactly what caused the outage , which began in the early evening on the east coast and in the late afternoon on the west coast .</v>
      </c>
      <c r="D65" s="68">
        <f>IF(H65=0,wdct(TRIM(C65)),0)</f>
        <v>81</v>
      </c>
      <c r="E65" s="68">
        <f>COUNTIFS('Error Log'!$A:$A,$A65,'Error Log'!$J:$J,E$1)</f>
        <v>3</v>
      </c>
      <c r="F65" s="68">
        <f>COUNTIFS('Error Log'!$A:$A,$A65,'Error Log'!$J:$J,F$1)</f>
        <v>1</v>
      </c>
      <c r="G65" s="68">
        <f>COUNTIFS('Error Log'!$A:$A,$A65,'Error Log'!$J:$J,G$1)</f>
        <v>0</v>
      </c>
      <c r="H65" s="68">
        <f>COUNTIFS('Error Log'!$A:$A,$A65,'Error Log'!$F:$F,"Source")</f>
        <v>0</v>
      </c>
      <c r="I65" s="68">
        <f>COUNTIFS('Error Log'!$A:$A,$A65,'Error Log'!$F:$F,"Target")</f>
        <v>0</v>
      </c>
      <c r="J65" s="69">
        <f t="shared" si="0"/>
        <v>78.395061728395063</v>
      </c>
    </row>
    <row r="66" spans="1:10">
      <c r="A66" s="79" t="s">
        <v>473</v>
      </c>
      <c r="B66" s="68" t="str">
        <f>IF(ISBLANK(A66),"",INDEX('Error Log'!$A:$J,MATCH('Scores per segment'!$A66,'Error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v>
      </c>
      <c r="C66" s="68" t="str">
        <f>IF(ISBLANK(A66),"",INDEX('Error Log'!$A:$J,MATCH('Scores per segment'!$A66,'Error Log'!$A:$A,0),MATCH('Scores per segment'!C$1,'Error Log'!$A$1:$J$1,0)))</f>
        <v>floyd mayweather and manny pacquiao are less than two weeks away from playing their part in the richest fight in boxing history .
here , sportsmail takes a look at the two men 's achievements , in and out of the ring , ahead of their $ 300m mega-fight on may 2
since leaving top rank in 2006 , mayweather has looked after his own interests and negotiated a 60-40 split in his favour for his fight against pacquiao .</v>
      </c>
      <c r="D66" s="68">
        <f>IF(H66=0,wdct(TRIM(C66)),0)</f>
        <v>73</v>
      </c>
      <c r="E66" s="68">
        <f>COUNTIFS('Error Log'!$A:$A,$A66,'Error Log'!$J:$J,E$1)</f>
        <v>0</v>
      </c>
      <c r="F66" s="68">
        <f>COUNTIFS('Error Log'!$A:$A,$A66,'Error Log'!$J:$J,F$1)</f>
        <v>0</v>
      </c>
      <c r="G66" s="68">
        <f>COUNTIFS('Error Log'!$A:$A,$A66,'Error Log'!$J:$J,G$1)</f>
        <v>0</v>
      </c>
      <c r="H66" s="68">
        <f>COUNTIFS('Error Log'!$A:$A,$A66,'Error Log'!$F:$F,"Source")</f>
        <v>0</v>
      </c>
      <c r="I66" s="68">
        <f>COUNTIFS('Error Log'!$A:$A,$A66,'Error Log'!$F:$F,"Target")</f>
        <v>0</v>
      </c>
      <c r="J66" s="69">
        <f t="shared" ref="J66:J129" si="1">IF(I66=0,IFERROR((((1-((E66*10+F66*5+G66*1)/D66))*100)+100)/2,0),-150)</f>
        <v>100</v>
      </c>
    </row>
    <row r="67" spans="1:10">
      <c r="A67" s="79" t="s">
        <v>476</v>
      </c>
      <c r="B67" s="68" t="str">
        <f>IF(ISBLANK(A67),"",INDEX('Error Log'!$A:$J,MATCH('Scores per segment'!$A67,'Error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29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7" s="68" t="str">
        <f>IF(ISBLANK(A67),"",INDEX('Error Log'!$A:$J,MATCH('Scores per segment'!$A67,'Error Log'!$A:$A,0),MATCH('Scores per segment'!C$1,'Error Log'!$A$1:$J$1,0)))</f>
        <v>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terrorists are undergoing training in rural areas of west wales , it has emerged .</v>
      </c>
      <c r="D67" s="68">
        <f>IF(H67=0,wdct(TRIM(C67)),0)</f>
        <v>62</v>
      </c>
      <c r="E67" s="68">
        <f>COUNTIFS('Error Log'!$A:$A,$A67,'Error Log'!$J:$J,E$1)</f>
        <v>0</v>
      </c>
      <c r="F67" s="68">
        <f>COUNTIFS('Error Log'!$A:$A,$A67,'Error Log'!$J:$J,F$1)</f>
        <v>0</v>
      </c>
      <c r="G67" s="68">
        <f>COUNTIFS('Error Log'!$A:$A,$A67,'Error Log'!$J:$J,G$1)</f>
        <v>0</v>
      </c>
      <c r="H67" s="68">
        <f>COUNTIFS('Error Log'!$A:$A,$A67,'Error Log'!$F:$F,"Source")</f>
        <v>0</v>
      </c>
      <c r="I67" s="68">
        <f>COUNTIFS('Error Log'!$A:$A,$A67,'Error Log'!$F:$F,"Target")</f>
        <v>0</v>
      </c>
      <c r="J67" s="69">
        <f t="shared" si="1"/>
        <v>100</v>
      </c>
    </row>
    <row r="68" spans="1:10">
      <c r="A68" s="79" t="s">
        <v>479</v>
      </c>
      <c r="B68" s="68" t="str">
        <f>IF(ISBLANK(A68),"",INDEX('Error Log'!$A:$J,MATCH('Scores per segment'!$A68,'Error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3-9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8" s="68" t="str">
        <f>IF(ISBLANK(A68),"",INDEX('Error Log'!$A:$J,MATCH('Scores per segment'!$A68,'Error Log'!$A:$A,0),MATCH('Scores per segment'!C$1,'Error Log'!$A$1:$J$1,0)))</f>
        <v>manchester united have made an official approach for memphis depay ( right ) , says psv 's technical director
the 21-year-old ( left ) has scored 20 goals in 26 league games for psv this season
the eredivisie champions have confirmed that the red devils have made a move over the holland international - with united manager louis van gaal keen to make him one of his first signings this summer .</v>
      </c>
      <c r="D68" s="68">
        <f>IF(H68=0,wdct(TRIM(C68)),0)</f>
        <v>65</v>
      </c>
      <c r="E68" s="68">
        <f>COUNTIFS('Error Log'!$A:$A,$A68,'Error Log'!$J:$J,E$1)</f>
        <v>2</v>
      </c>
      <c r="F68" s="68">
        <f>COUNTIFS('Error Log'!$A:$A,$A68,'Error Log'!$J:$J,F$1)</f>
        <v>3</v>
      </c>
      <c r="G68" s="68">
        <f>COUNTIFS('Error Log'!$A:$A,$A68,'Error Log'!$J:$J,G$1)</f>
        <v>0</v>
      </c>
      <c r="H68" s="68">
        <f>COUNTIFS('Error Log'!$A:$A,$A68,'Error Log'!$F:$F,"Source")</f>
        <v>0</v>
      </c>
      <c r="I68" s="68">
        <f>COUNTIFS('Error Log'!$A:$A,$A68,'Error Log'!$F:$F,"Target")</f>
        <v>0</v>
      </c>
      <c r="J68" s="69">
        <f t="shared" si="1"/>
        <v>73.07692307692308</v>
      </c>
    </row>
    <row r="69" spans="1:10">
      <c r="A69" s="79" t="s">
        <v>496</v>
      </c>
      <c r="B69" s="68" t="str">
        <f>IF(ISBLANK(A69),"",INDEX('Error Log'!$A:$J,MATCH('Scores per segment'!$A69,'Error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63 vertebrae</v>
      </c>
      <c r="C69" s="68" t="str">
        <f>IF(ISBLANK(A69),"",INDEX('Error Log'!$A:$J,MATCH('Scores per segment'!$A69,'Error Log'!$A:$A,0),MATCH('Scores per segment'!C$1,'Error Log'!$A$1:$J$1,0)))</f>
        <v>it is the first sighting of the species in wa and only the second in australia .
an omura 's whale was discovered on a remote exmouth beach in wa ( pictured ) .
a species of whale that was feared to be extinct has been found washed up on a west australian beach , giving scientists an opportunity to learn more about the mammal .</v>
      </c>
      <c r="D69" s="68">
        <f>IF(H69=0,wdct(TRIM(C69)),0)</f>
        <v>60</v>
      </c>
      <c r="E69" s="68">
        <f>COUNTIFS('Error Log'!$A:$A,$A69,'Error Log'!$J:$J,E$1)</f>
        <v>3</v>
      </c>
      <c r="F69" s="68">
        <f>COUNTIFS('Error Log'!$A:$A,$A69,'Error Log'!$J:$J,F$1)</f>
        <v>2</v>
      </c>
      <c r="G69" s="68">
        <f>COUNTIFS('Error Log'!$A:$A,$A69,'Error Log'!$J:$J,G$1)</f>
        <v>0</v>
      </c>
      <c r="H69" s="68">
        <f>COUNTIFS('Error Log'!$A:$A,$A69,'Error Log'!$F:$F,"Source")</f>
        <v>0</v>
      </c>
      <c r="I69" s="68">
        <f>COUNTIFS('Error Log'!$A:$A,$A69,'Error Log'!$F:$F,"Target")</f>
        <v>0</v>
      </c>
      <c r="J69" s="69">
        <f t="shared" si="1"/>
        <v>66.666666666666671</v>
      </c>
    </row>
    <row r="70" spans="1:10">
      <c r="A70" s="79" t="s">
        <v>509</v>
      </c>
      <c r="B70" s="68" t="str">
        <f>IF(ISBLANK(A70),"",INDEX('Error Log'!$A:$J,MATCH('Scores per segment'!$A70,'Error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31 ) : on for abraham and showed explosive pace straight away but was let down by a hurried attempt at a finish which flew over the bar .
isaiah brown holds off a tackle from fikayo tomori , during another impressive display for the young forward</v>
      </c>
      <c r="C70" s="68" t="str">
        <f>IF(ISBLANK(A70),"",INDEX('Error Log'!$A:$J,MATCH('Scores per segment'!$A70,'Error Log'!$A:$A,0),MATCH('Scores per segment'!C$1,'Error Log'!$A$1:$J$1,0)))</f>
        <v>dominic solanke scored late on to put a gloss on the scoreline after a tammy abraham double had seen chelsea take a first half lead .
chelsea took a commanding 3-1 lead back to west london after a strong showing in manchester to see off city 's young side .
tammy abraham smashes chelsea into the lead with a fierce drive into the top corner</v>
      </c>
      <c r="D70" s="68">
        <f>IF(H70=0,wdct(TRIM(C70)),0)</f>
        <v>63</v>
      </c>
      <c r="E70" s="68">
        <f>COUNTIFS('Error Log'!$A:$A,$A70,'Error Log'!$J:$J,E$1)</f>
        <v>1</v>
      </c>
      <c r="F70" s="68">
        <f>COUNTIFS('Error Log'!$A:$A,$A70,'Error Log'!$J:$J,F$1)</f>
        <v>2</v>
      </c>
      <c r="G70" s="68">
        <f>COUNTIFS('Error Log'!$A:$A,$A70,'Error Log'!$J:$J,G$1)</f>
        <v>0</v>
      </c>
      <c r="H70" s="68">
        <f>COUNTIFS('Error Log'!$A:$A,$A70,'Error Log'!$F:$F,"Source")</f>
        <v>0</v>
      </c>
      <c r="I70" s="68">
        <f>COUNTIFS('Error Log'!$A:$A,$A70,'Error Log'!$F:$F,"Target")</f>
        <v>0</v>
      </c>
      <c r="J70" s="69">
        <f t="shared" si="1"/>
        <v>84.126984126984127</v>
      </c>
    </row>
    <row r="71" spans="1:10">
      <c r="A71" s="79" t="s">
        <v>516</v>
      </c>
      <c r="B71" s="68" t="str">
        <f>IF(ISBLANK(A71),"",INDEX('Error Log'!$A:$J,MATCH('Scores per segment'!$A71,'Error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2019 .
correction : an earlier version of this article incorrectly stated that canadians elected their first female prime minister , kim campbell .</v>
      </c>
      <c r="C71" s="68" t="str">
        <f>IF(ISBLANK(A71),"",INDEX('Error Log'!$A:$J,MATCH('Scores per segment'!$A71,'Error Log'!$A:$A,0),MATCH('Scores per segment'!C$1,'Error Log'!$A$1:$J$1,0)))</f>
        <v>according to one female businesswoman in texas , hillary clinton should n't be president because her hormones might make her so irrational she 'll start an unnecessary war .
apparently , hormones are a major factor one should consider .
( cnn ) thinking about presidential candidates ?</v>
      </c>
      <c r="D71" s="68">
        <f>IF(H71=0,wdct(TRIM(C71)),0)</f>
        <v>41</v>
      </c>
      <c r="E71" s="68">
        <f>COUNTIFS('Error Log'!$A:$A,$A71,'Error Log'!$J:$J,E$1)</f>
        <v>1</v>
      </c>
      <c r="F71" s="68">
        <f>COUNTIFS('Error Log'!$A:$A,$A71,'Error Log'!$J:$J,F$1)</f>
        <v>2</v>
      </c>
      <c r="G71" s="68">
        <f>COUNTIFS('Error Log'!$A:$A,$A71,'Error Log'!$J:$J,G$1)</f>
        <v>0</v>
      </c>
      <c r="H71" s="68">
        <f>COUNTIFS('Error Log'!$A:$A,$A71,'Error Log'!$F:$F,"Source")</f>
        <v>0</v>
      </c>
      <c r="I71" s="68">
        <f>COUNTIFS('Error Log'!$A:$A,$A71,'Error Log'!$F:$F,"Target")</f>
        <v>0</v>
      </c>
      <c r="J71" s="69">
        <f t="shared" si="1"/>
        <v>75.609756097560975</v>
      </c>
    </row>
    <row r="72" spans="1:10">
      <c r="A72" s="79" t="s">
        <v>523</v>
      </c>
      <c r="B72" s="68" t="str">
        <f>IF(ISBLANK(A72),"",INDEX('Error Log'!$A:$J,MATCH('Scores per segment'!$A72,'Error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$ 45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2" s="68" t="str">
        <f>IF(ISBLANK(A72),"",INDEX('Error Log'!$A:$J,MATCH('Scores per segment'!$A72,'Error Log'!$A:$A,0),MATCH('Scores per segment'!C$1,'Error Log'!$A$1:$J$1,0)))</f>
        <v>marco rubio told face the nation he believes people are born with a sexual preference , but insisted same-sex marriage should not be a constitutional right
the florida senator told bob schieffer that he was n't against gay marriage , but believes the ` definition of the institution of marriage should be between one man and one woman ' .
rubio also noted that , as a catholic , he believes divorce is wrong , but he would n't stop loving someone if they were divorced .</v>
      </c>
      <c r="D72" s="68">
        <f>IF(H72=0,wdct(TRIM(C72)),0)</f>
        <v>78</v>
      </c>
      <c r="E72" s="68">
        <f>COUNTIFS('Error Log'!$A:$A,$A72,'Error Log'!$J:$J,E$1)</f>
        <v>2</v>
      </c>
      <c r="F72" s="68">
        <f>COUNTIFS('Error Log'!$A:$A,$A72,'Error Log'!$J:$J,F$1)</f>
        <v>2</v>
      </c>
      <c r="G72" s="68">
        <f>COUNTIFS('Error Log'!$A:$A,$A72,'Error Log'!$J:$J,G$1)</f>
        <v>0</v>
      </c>
      <c r="H72" s="68">
        <f>COUNTIFS('Error Log'!$A:$A,$A72,'Error Log'!$F:$F,"Source")</f>
        <v>0</v>
      </c>
      <c r="I72" s="68">
        <f>COUNTIFS('Error Log'!$A:$A,$A72,'Error Log'!$F:$F,"Target")</f>
        <v>0</v>
      </c>
      <c r="J72" s="69">
        <f t="shared" si="1"/>
        <v>80.769230769230774</v>
      </c>
    </row>
    <row r="73" spans="1:10">
      <c r="A73" s="80" t="s">
        <v>531</v>
      </c>
      <c r="B73" s="68" t="str">
        <f>IF(ISBLANK(A73),"",INDEX('Error Log'!$A:$J,MATCH('Scores per segment'!$A73,'Error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3" s="68" t="str">
        <f>IF(ISBLANK(A73),"",INDEX('Error Log'!$A:$J,MATCH('Scores per segment'!$A73,'Error Log'!$A:$A,0),MATCH('Scores per segment'!C$1,'Error Log'!$A$1:$J$1,0)))</f>
        <v>mr hardy , 89 , is a keen military historian who studied english with j.r.r. tolkien and is now an expert on the medieval longbow .
the star , known for appearing in all creatures great and small and playing winston churchill several times , is auctioning off more than 200 items he has collected over his career .
sale : actor robert hardy is selling off his collection of antiques including a diorama of the battle of agincourt</v>
      </c>
      <c r="D73" s="68">
        <f>IF(H73=0,wdct(TRIM(C73)),0)</f>
        <v>74</v>
      </c>
      <c r="E73" s="68">
        <f>COUNTIFS('Error Log'!$A:$A,$A73,'Error Log'!$J:$J,E$1)</f>
        <v>1</v>
      </c>
      <c r="F73" s="68">
        <f>COUNTIFS('Error Log'!$A:$A,$A73,'Error Log'!$J:$J,F$1)</f>
        <v>0</v>
      </c>
      <c r="G73" s="68">
        <f>COUNTIFS('Error Log'!$A:$A,$A73,'Error Log'!$J:$J,G$1)</f>
        <v>0</v>
      </c>
      <c r="H73" s="68">
        <f>COUNTIFS('Error Log'!$A:$A,$A73,'Error Log'!$F:$F,"Source")</f>
        <v>0</v>
      </c>
      <c r="I73" s="68">
        <f>COUNTIFS('Error Log'!$A:$A,$A73,'Error Log'!$F:$F,"Target")</f>
        <v>0</v>
      </c>
      <c r="J73" s="69">
        <f t="shared" si="1"/>
        <v>93.243243243243242</v>
      </c>
    </row>
    <row r="74" spans="1:10">
      <c r="A74" s="80" t="s">
        <v>535</v>
      </c>
      <c r="B74" s="68" t="str">
        <f>IF(ISBLANK(A74),"",INDEX('Error Log'!$A:$J,MATCH('Scores per segment'!$A74,'Error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4" s="68" t="str">
        <f>IF(ISBLANK(A74),"",INDEX('Error Log'!$A:$J,MATCH('Scores per segment'!$A74,'Error Log'!$A:$A,0),MATCH('Scores per segment'!C$1,'Error Log'!$A$1:$J$1,0)))</f>
        <v>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pablo mandado and ilze zebolde have no plans , no agenda , no cause to fight for and they are certainly in no hurry -- the couple simply has a dream to ` discover different parts of this planet a pedal at a time . '</v>
      </c>
      <c r="D74" s="68">
        <f>IF(H74=0,wdct(TRIM(C74)),0)</f>
        <v>93</v>
      </c>
      <c r="E74" s="68">
        <f>COUNTIFS('Error Log'!$A:$A,$A74,'Error Log'!$J:$J,E$1)</f>
        <v>2</v>
      </c>
      <c r="F74" s="68">
        <f>COUNTIFS('Error Log'!$A:$A,$A74,'Error Log'!$J:$J,F$1)</f>
        <v>1</v>
      </c>
      <c r="G74" s="68">
        <f>COUNTIFS('Error Log'!$A:$A,$A74,'Error Log'!$J:$J,G$1)</f>
        <v>0</v>
      </c>
      <c r="H74" s="68">
        <f>COUNTIFS('Error Log'!$A:$A,$A74,'Error Log'!$F:$F,"Source")</f>
        <v>0</v>
      </c>
      <c r="I74" s="68">
        <f>COUNTIFS('Error Log'!$A:$A,$A74,'Error Log'!$F:$F,"Target")</f>
        <v>0</v>
      </c>
      <c r="J74" s="69">
        <f t="shared" si="1"/>
        <v>86.55913978494624</v>
      </c>
    </row>
    <row r="75" spans="1:10">
      <c r="A75" s="80" t="s">
        <v>546</v>
      </c>
      <c r="B75" s="68" t="str">
        <f>IF(ISBLANK(A75),"",INDEX('Error Log'!$A:$J,MATCH('Scores per segment'!$A75,'Error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v>
      </c>
      <c r="C75" s="68" t="str">
        <f>IF(ISBLANK(A75),"",INDEX('Error Log'!$A:$J,MATCH('Scores per segment'!$A75,'Error Log'!$A:$A,0),MATCH('Scores per segment'!C$1,'Error Log'!$A$1:$J$1,0)))</f>
        <v>police say michael scott shemansky came to their attention after he failed to appear for a supervised visit with his son on the same day mother sandra shemansky , 57 , was found dead at the home they shared in winter garden .
he is already on parole for battery on law enforcement , has a history of bipolar mental illness , and was involuntarily committed to a psychiatric ward for an attempted suicide .
a florida man wanted as a suspect in the murder of his own mother has been on the run from police since saturday .</v>
      </c>
      <c r="D75" s="68">
        <f>IF(H75=0,wdct(TRIM(C75)),0)</f>
        <v>92</v>
      </c>
      <c r="E75" s="68">
        <f>COUNTIFS('Error Log'!$A:$A,$A75,'Error Log'!$J:$J,E$1)</f>
        <v>0</v>
      </c>
      <c r="F75" s="68">
        <f>COUNTIFS('Error Log'!$A:$A,$A75,'Error Log'!$J:$J,F$1)</f>
        <v>0</v>
      </c>
      <c r="G75" s="68">
        <f>COUNTIFS('Error Log'!$A:$A,$A75,'Error Log'!$J:$J,G$1)</f>
        <v>0</v>
      </c>
      <c r="H75" s="68">
        <f>COUNTIFS('Error Log'!$A:$A,$A75,'Error Log'!$F:$F,"Source")</f>
        <v>0</v>
      </c>
      <c r="I75" s="68">
        <f>COUNTIFS('Error Log'!$A:$A,$A75,'Error Log'!$F:$F,"Target")</f>
        <v>0</v>
      </c>
      <c r="J75" s="69">
        <f t="shared" si="1"/>
        <v>100</v>
      </c>
    </row>
    <row r="76" spans="1:10">
      <c r="A76" s="80" t="s">
        <v>549</v>
      </c>
      <c r="B76" s="68" t="str">
        <f>IF(ISBLANK(A76),"",INDEX('Error Log'!$A:$J,MATCH('Scores per segment'!$A76,'Error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6" s="68" t="str">
        <f>IF(ISBLANK(A76),"",INDEX('Error Log'!$A:$J,MATCH('Scores per segment'!$A76,'Error Log'!$A:$A,0),MATCH('Scores per segment'!C$1,'Error Log'!$A$1:$J$1,0)))</f>
        <v>the couple , who does not wish to be identified , hired attorney cathy hale to sue james evans the owner of premiere photos for allegedly providing a photo booth that printed , ` poor n ***** party ' on the bottom of the pictures .
denies allegations : james evans who runs premiere photo allegedly did n't apologize for the racial slur and told the couple to ` sue ' him
the couple was n't alerted of the photos until many months after the celebration when the bride 's sister told the family about the racist incident at the photo booth the couple rented for the party .</v>
      </c>
      <c r="D76" s="68">
        <f>IF(H76=0,wdct(TRIM(C76)),0)</f>
        <v>98</v>
      </c>
      <c r="E76" s="68">
        <f>COUNTIFS('Error Log'!$A:$A,$A76,'Error Log'!$J:$J,E$1)</f>
        <v>0</v>
      </c>
      <c r="F76" s="68">
        <f>COUNTIFS('Error Log'!$A:$A,$A76,'Error Log'!$J:$J,F$1)</f>
        <v>0</v>
      </c>
      <c r="G76" s="68">
        <f>COUNTIFS('Error Log'!$A:$A,$A76,'Error Log'!$J:$J,G$1)</f>
        <v>0</v>
      </c>
      <c r="H76" s="68">
        <f>COUNTIFS('Error Log'!$A:$A,$A76,'Error Log'!$F:$F,"Source")</f>
        <v>0</v>
      </c>
      <c r="I76" s="68">
        <f>COUNTIFS('Error Log'!$A:$A,$A76,'Error Log'!$F:$F,"Target")</f>
        <v>0</v>
      </c>
      <c r="J76" s="69">
        <f t="shared" si="1"/>
        <v>100</v>
      </c>
    </row>
    <row r="77" spans="1:10">
      <c r="A77" s="80" t="s">
        <v>552</v>
      </c>
      <c r="B77" s="68" t="str">
        <f>IF(ISBLANK(A77),"",INDEX('Error Log'!$A:$J,MATCH('Scores per segment'!$A77,'Error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2016 iaaf world athletics championships in moscow</v>
      </c>
      <c r="C77" s="68" t="str">
        <f>IF(ISBLANK(A77),"",INDEX('Error Log'!$A:$J,MATCH('Scores per segment'!$A77,'Error Log'!$A:$A,0),MATCH('Scores per segment'!C$1,'Error Log'!$A$1:$J$1,0)))</f>
        <v>the city of eugene in the united states has been awarded the rights to host the 2021 iaaf world championships .
the 2007 world championships held in osaka , japan was also awarded without a bidding process .
mo farah won gold in the men 's 10000 metres during the 2013 iaaf world athletics championships in moscow</v>
      </c>
      <c r="D77" s="68">
        <f>IF(H77=0,wdct(TRIM(C77)),0)</f>
        <v>54</v>
      </c>
      <c r="E77" s="68">
        <f>COUNTIFS('Error Log'!$A:$A,$A77,'Error Log'!$J:$J,E$1)</f>
        <v>2</v>
      </c>
      <c r="F77" s="68">
        <f>COUNTIFS('Error Log'!$A:$A,$A77,'Error Log'!$J:$J,F$1)</f>
        <v>2</v>
      </c>
      <c r="G77" s="68">
        <f>COUNTIFS('Error Log'!$A:$A,$A77,'Error Log'!$J:$J,G$1)</f>
        <v>0</v>
      </c>
      <c r="H77" s="68">
        <f>COUNTIFS('Error Log'!$A:$A,$A77,'Error Log'!$F:$F,"Source")</f>
        <v>0</v>
      </c>
      <c r="I77" s="68">
        <f>COUNTIFS('Error Log'!$A:$A,$A77,'Error Log'!$F:$F,"Target")</f>
        <v>0</v>
      </c>
      <c r="J77" s="69">
        <f t="shared" si="1"/>
        <v>72.222222222222229</v>
      </c>
    </row>
    <row r="78" spans="1:10">
      <c r="A78" s="80" t="s">
        <v>566</v>
      </c>
      <c r="B78" s="68" t="str">
        <f>IF(ISBLANK(A78),"",INDEX('Error Log'!$A:$J,MATCH('Scores per segment'!$A78,'Error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2022 campaign that champions people at the heart and soul of the game by putting grassroots clubs on the global stage .</v>
      </c>
      <c r="C78" s="68" t="str">
        <f>IF(ISBLANK(A78),"",INDEX('Error Log'!$A:$J,MATCH('Scores per segment'!$A78,'Error Log'!$A:$A,0),MATCH('Scores per segment'!C$1,'Error Log'!$A$1:$J$1,0)))</f>
        <v>england full back mike brown admits he is unsure when he will return to action for club side harlequins
george north will not play against clermont auvergne on saturday and will see a neurosurgeon
northampton wing george north has been advised by leading medics not to play again this season after suffering four quick-fire concussions , while ireland 's johnny sexton was stood down for 12 weeks earlier this term .</v>
      </c>
      <c r="D78" s="68">
        <f>IF(H78=0,wdct(TRIM(C78)),0)</f>
        <v>69</v>
      </c>
      <c r="E78" s="68">
        <f>COUNTIFS('Error Log'!$A:$A,$A78,'Error Log'!$J:$J,E$1)</f>
        <v>2</v>
      </c>
      <c r="F78" s="68">
        <f>COUNTIFS('Error Log'!$A:$A,$A78,'Error Log'!$J:$J,F$1)</f>
        <v>2</v>
      </c>
      <c r="G78" s="68">
        <f>COUNTIFS('Error Log'!$A:$A,$A78,'Error Log'!$J:$J,G$1)</f>
        <v>0</v>
      </c>
      <c r="H78" s="68">
        <f>COUNTIFS('Error Log'!$A:$A,$A78,'Error Log'!$F:$F,"Source")</f>
        <v>0</v>
      </c>
      <c r="I78" s="68">
        <f>COUNTIFS('Error Log'!$A:$A,$A78,'Error Log'!$F:$F,"Target")</f>
        <v>0</v>
      </c>
      <c r="J78" s="69">
        <f t="shared" si="1"/>
        <v>78.260869565217391</v>
      </c>
    </row>
    <row r="79" spans="1:10">
      <c r="A79" s="80" t="s">
        <v>580</v>
      </c>
      <c r="B79" s="68" t="str">
        <f>IF(ISBLANK(A79),"",INDEX('Error Log'!$A:$J,MATCH('Scores per segment'!$A79,'Error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£ 63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9" s="68" t="str">
        <f>IF(ISBLANK(A79),"",INDEX('Error Log'!$A:$J,MATCH('Scores per segment'!$A79,'Error Log'!$A:$A,0),MATCH('Scores per segment'!C$1,'Error Log'!$A$1:$J$1,0)))</f>
        <v>leonie granger , 25 , targeted playboy mehmet hassan , 56 , after spotting him flashing a roll of # 50 notes at a casino in london 's west end .
she was sentenced to 16 years behind bars for the killing by judge william kennedy today .
the care assistant , from gillingham , kent , used her good looks to befriend the poker player , who showered her with gifts , cash and trips to fancy restaurants .</v>
      </c>
      <c r="D79" s="68">
        <f>IF(H79=0,wdct(TRIM(C79)),0)</f>
        <v>67</v>
      </c>
      <c r="E79" s="68">
        <f>COUNTIFS('Error Log'!$A:$A,$A79,'Error Log'!$J:$J,E$1)</f>
        <v>2</v>
      </c>
      <c r="F79" s="68">
        <f>COUNTIFS('Error Log'!$A:$A,$A79,'Error Log'!$J:$J,F$1)</f>
        <v>2</v>
      </c>
      <c r="G79" s="68">
        <f>COUNTIFS('Error Log'!$A:$A,$A79,'Error Log'!$J:$J,G$1)</f>
        <v>0</v>
      </c>
      <c r="H79" s="68">
        <f>COUNTIFS('Error Log'!$A:$A,$A79,'Error Log'!$F:$F,"Source")</f>
        <v>0</v>
      </c>
      <c r="I79" s="68">
        <f>COUNTIFS('Error Log'!$A:$A,$A79,'Error Log'!$F:$F,"Target")</f>
        <v>0</v>
      </c>
      <c r="J79" s="69">
        <f t="shared" si="1"/>
        <v>77.611940298507463</v>
      </c>
    </row>
    <row r="80" spans="1:10">
      <c r="A80" s="80" t="s">
        <v>595</v>
      </c>
      <c r="B80" s="68" t="str">
        <f>IF(ISBLANK(A80),"",INDEX('Error Log'!$A:$J,MATCH('Scores per segment'!$A80,'Error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9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80" s="68" t="str">
        <f>IF(ISBLANK(A80),"",INDEX('Error Log'!$A:$J,MATCH('Scores per segment'!$A80,'Error Log'!$A:$A,0),MATCH('Scores per segment'!C$1,'Error Log'!$A$1:$J$1,0)))</f>
        <v>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in his book , prof spiegelhalter pointed to a number of possible factors for the decline in sexual activity with one possible explanation being that more people are living on their own .</v>
      </c>
      <c r="D80" s="68">
        <f>IF(H80=0,wdct(TRIM(C80)),0)</f>
        <v>82</v>
      </c>
      <c r="E80" s="68">
        <f>COUNTIFS('Error Log'!$A:$A,$A80,'Error Log'!$J:$J,E$1)</f>
        <v>1</v>
      </c>
      <c r="F80" s="68">
        <f>COUNTIFS('Error Log'!$A:$A,$A80,'Error Log'!$J:$J,F$1)</f>
        <v>1</v>
      </c>
      <c r="G80" s="68">
        <f>COUNTIFS('Error Log'!$A:$A,$A80,'Error Log'!$J:$J,G$1)</f>
        <v>0</v>
      </c>
      <c r="H80" s="68">
        <f>COUNTIFS('Error Log'!$A:$A,$A80,'Error Log'!$F:$F,"Source")</f>
        <v>0</v>
      </c>
      <c r="I80" s="68">
        <f>COUNTIFS('Error Log'!$A:$A,$A80,'Error Log'!$F:$F,"Target")</f>
        <v>0</v>
      </c>
      <c r="J80" s="69">
        <f t="shared" si="1"/>
        <v>90.853658536585371</v>
      </c>
    </row>
    <row r="81" spans="1:10">
      <c r="A81" s="80" t="s">
        <v>601</v>
      </c>
      <c r="B81" s="68" t="str">
        <f>IF(ISBLANK(A81),"",INDEX('Error Log'!$A:$J,MATCH('Scores per segment'!$A81,'Error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3-13 win over hull city , but that was his first in five games
mourinho is looking to guide his team over the line in the premier league title race , with fabregas a key cog</v>
      </c>
      <c r="C81" s="68" t="str">
        <f>IF(ISBLANK(A81),"",INDEX('Error Log'!$A:$J,MATCH('Scores per segment'!$A81,'Error Log'!$A:$A,0),MATCH('Scores per segment'!C$1,'Error Log'!$A$1:$J$1,0)))</f>
        <v>cesc fabregas ( right ) captained spain on tuesday but his poor form continued as they lost 2-0 in holland
it seems an accepted trend that chelsea midfielder cesc fabregas struggles during the second half of the season and the spanish midfielder was one of the worst players on the pitch again in his country 's 2-0 defeat by holland on tuesday .
the chelsea midfielder struggled to make an impact in midfield as the european champions fell to defeat</v>
      </c>
      <c r="D81" s="68">
        <f>IF(H81=0,wdct(TRIM(C81)),0)</f>
        <v>77</v>
      </c>
      <c r="E81" s="68">
        <f>COUNTIFS('Error Log'!$A:$A,$A81,'Error Log'!$J:$J,E$1)</f>
        <v>3</v>
      </c>
      <c r="F81" s="68">
        <f>COUNTIFS('Error Log'!$A:$A,$A81,'Error Log'!$J:$J,F$1)</f>
        <v>2</v>
      </c>
      <c r="G81" s="68">
        <f>COUNTIFS('Error Log'!$A:$A,$A81,'Error Log'!$J:$J,G$1)</f>
        <v>0</v>
      </c>
      <c r="H81" s="68">
        <f>COUNTIFS('Error Log'!$A:$A,$A81,'Error Log'!$F:$F,"Source")</f>
        <v>0</v>
      </c>
      <c r="I81" s="68">
        <f>COUNTIFS('Error Log'!$A:$A,$A81,'Error Log'!$F:$F,"Target")</f>
        <v>0</v>
      </c>
      <c r="J81" s="69">
        <f t="shared" si="1"/>
        <v>74.025974025974023</v>
      </c>
    </row>
    <row r="82" spans="1:10">
      <c r="A82" s="80" t="s">
        <v>617</v>
      </c>
      <c r="B82" s="68" t="str">
        <f>IF(ISBLANK(A82),"",INDEX('Error Log'!$A:$J,MATCH('Scores per segment'!$A82,'Error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v>
      </c>
      <c r="C82" s="68" t="str">
        <f>IF(ISBLANK(A82),"",INDEX('Error Log'!$A:$J,MATCH('Scores per segment'!$A82,'Error Log'!$A:$A,0),MATCH('Scores per segment'!C$1,'Error Log'!$A$1:$J$1,0)))</f>
        <v>but tibetan mastiffs are now so unpopular in china they are being sent to slaughterhouses -- and their meat put into cheap hotpots .
big beauty : tibetan mastiffs can weigh 80kg
the dogs ' dramatic decline in fortune is being partly blamed on the chinese government 's wide-reaching anti-corruption crackdown .</v>
      </c>
      <c r="D82" s="68">
        <f>IF(H82=0,wdct(TRIM(C82)),0)</f>
        <v>47</v>
      </c>
      <c r="E82" s="68">
        <f>COUNTIFS('Error Log'!$A:$A,$A82,'Error Log'!$J:$J,E$1)</f>
        <v>2</v>
      </c>
      <c r="F82" s="68">
        <f>COUNTIFS('Error Log'!$A:$A,$A82,'Error Log'!$J:$J,F$1)</f>
        <v>1</v>
      </c>
      <c r="G82" s="68">
        <f>COUNTIFS('Error Log'!$A:$A,$A82,'Error Log'!$J:$J,G$1)</f>
        <v>0</v>
      </c>
      <c r="H82" s="68">
        <f>COUNTIFS('Error Log'!$A:$A,$A82,'Error Log'!$F:$F,"Source")</f>
        <v>0</v>
      </c>
      <c r="I82" s="68">
        <f>COUNTIFS('Error Log'!$A:$A,$A82,'Error Log'!$F:$F,"Target")</f>
        <v>0</v>
      </c>
      <c r="J82" s="69">
        <f t="shared" si="1"/>
        <v>73.404255319148945</v>
      </c>
    </row>
    <row r="83" spans="1:10">
      <c r="A83" s="80" t="s">
        <v>624</v>
      </c>
      <c r="B83" s="68" t="str">
        <f>IF(ISBLANK(A83),"",INDEX('Error Log'!$A:$J,MATCH('Scores per segment'!$A83,'Error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v>
      </c>
      <c r="C83" s="68" t="str">
        <f>IF(ISBLANK(A83),"",INDEX('Error Log'!$A:$J,MATCH('Scores per segment'!$A83,'Error Log'!$A:$A,0),MATCH('Scores per segment'!C$1,'Error Log'!$A$1:$J$1,0)))</f>
        <v>premier league outfit west ham are closing in on the signature of jamaican starlet deshane beckford
meanwhile , west ham have revealed season tickets at the olympic stadium will cost as little as # 289 .
the skilful 17-year-old forward from montego bay united was invited to train with west ham 's academy earlier this month and has impressed coaches after spending two weeks with the club .</v>
      </c>
      <c r="D83" s="68">
        <f>IF(H83=0,wdct(TRIM(C83)),0)</f>
        <v>64</v>
      </c>
      <c r="E83" s="68">
        <f>COUNTIFS('Error Log'!$A:$A,$A83,'Error Log'!$J:$J,E$1)</f>
        <v>1</v>
      </c>
      <c r="F83" s="68">
        <f>COUNTIFS('Error Log'!$A:$A,$A83,'Error Log'!$J:$J,F$1)</f>
        <v>1</v>
      </c>
      <c r="G83" s="68">
        <f>COUNTIFS('Error Log'!$A:$A,$A83,'Error Log'!$J:$J,G$1)</f>
        <v>0</v>
      </c>
      <c r="H83" s="68">
        <f>COUNTIFS('Error Log'!$A:$A,$A83,'Error Log'!$F:$F,"Source")</f>
        <v>0</v>
      </c>
      <c r="I83" s="68">
        <f>COUNTIFS('Error Log'!$A:$A,$A83,'Error Log'!$F:$F,"Target")</f>
        <v>0</v>
      </c>
      <c r="J83" s="69">
        <f t="shared" si="1"/>
        <v>88.28125</v>
      </c>
    </row>
    <row r="84" spans="1:10">
      <c r="A84" s="80" t="s">
        <v>629</v>
      </c>
      <c r="B84" s="68" t="str">
        <f>IF(ISBLANK(A84),"",INDEX('Error Log'!$A:$J,MATCH('Scores per segment'!$A84,'Error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v>
      </c>
      <c r="C84" s="68" t="str">
        <f>IF(ISBLANK(A84),"",INDEX('Error Log'!$A:$J,MATCH('Scores per segment'!$A84,'Error Log'!$A:$A,0),MATCH('Scores per segment'!C$1,'Error Log'!$A$1:$J$1,0)))</f>
        <v>half of them were assaulted before they were 18 years old .
the poll led to calls for a campaign to stem sexist or threatening behaviour on buses and trains .
the poll of 600 women from the area around paris found that half of those interviewed said they had first suffered harassment under the age of 18 .</v>
      </c>
      <c r="D84" s="68">
        <f>IF(H84=0,wdct(TRIM(C84)),0)</f>
        <v>56</v>
      </c>
      <c r="E84" s="68">
        <f>COUNTIFS('Error Log'!$A:$A,$A84,'Error Log'!$J:$J,E$1)</f>
        <v>1</v>
      </c>
      <c r="F84" s="68">
        <f>COUNTIFS('Error Log'!$A:$A,$A84,'Error Log'!$J:$J,F$1)</f>
        <v>1</v>
      </c>
      <c r="G84" s="68">
        <f>COUNTIFS('Error Log'!$A:$A,$A84,'Error Log'!$J:$J,G$1)</f>
        <v>0</v>
      </c>
      <c r="H84" s="68">
        <f>COUNTIFS('Error Log'!$A:$A,$A84,'Error Log'!$F:$F,"Source")</f>
        <v>0</v>
      </c>
      <c r="I84" s="68">
        <f>COUNTIFS('Error Log'!$A:$A,$A84,'Error Log'!$F:$F,"Target")</f>
        <v>0</v>
      </c>
      <c r="J84" s="69">
        <f t="shared" si="1"/>
        <v>86.607142857142861</v>
      </c>
    </row>
    <row r="85" spans="1:10">
      <c r="A85" s="80" t="s">
        <v>634</v>
      </c>
      <c r="B85" s="68" t="str">
        <f>IF(ISBLANK(A85),"",INDEX('Error Log'!$A:$J,MATCH('Scores per segment'!$A85,'Error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5" s="68" t="str">
        <f>IF(ISBLANK(A85),"",INDEX('Error Log'!$A:$J,MATCH('Scores per segment'!$A85,'Error Log'!$A:$A,0),MATCH('Scores per segment'!C$1,'Error Log'!$A$1:$J$1,0)))</f>
        <v>last night the victim , mike lane , 40 , who was beaten by balaclava-clad protesters armed with iron bars on ropes , condemned the decision by police as ` pathetic ' .
police have dropped an investigation into a vicious assault on a huntsman just three months after it took place -- despite a wealth of evidence pointing to the identity of a suspected attacker .
attack : mike lane ,40 , who is joint master of the tedworth hunt , on the ground during the confrontation with hunt saboteurs</v>
      </c>
      <c r="D85" s="68">
        <f>IF(H85=0,wdct(TRIM(C85)),0)</f>
        <v>79</v>
      </c>
      <c r="E85" s="68">
        <f>COUNTIFS('Error Log'!$A:$A,$A85,'Error Log'!$J:$J,E$1)</f>
        <v>2</v>
      </c>
      <c r="F85" s="68">
        <f>COUNTIFS('Error Log'!$A:$A,$A85,'Error Log'!$J:$J,F$1)</f>
        <v>2</v>
      </c>
      <c r="G85" s="68">
        <f>COUNTIFS('Error Log'!$A:$A,$A85,'Error Log'!$J:$J,G$1)</f>
        <v>0</v>
      </c>
      <c r="H85" s="68">
        <f>COUNTIFS('Error Log'!$A:$A,$A85,'Error Log'!$F:$F,"Source")</f>
        <v>0</v>
      </c>
      <c r="I85" s="68">
        <f>COUNTIFS('Error Log'!$A:$A,$A85,'Error Log'!$F:$F,"Target")</f>
        <v>0</v>
      </c>
      <c r="J85" s="69">
        <f t="shared" si="1"/>
        <v>81.012658227848107</v>
      </c>
    </row>
    <row r="86" spans="1:10">
      <c r="A86" s="80" t="s">
        <v>642</v>
      </c>
      <c r="B86" s="68" t="str">
        <f>IF(ISBLANK(A86),"",INDEX('Error Log'!$A:$J,MATCH('Scores per segment'!$A86,'Error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36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6" s="68" t="str">
        <f>IF(ISBLANK(A86),"",INDEX('Error Log'!$A:$J,MATCH('Scores per segment'!$A86,'Error Log'!$A:$A,0),MATCH('Scores per segment'!C$1,'Error Log'!$A$1:$J$1,0)))</f>
        <v>leeds-based direct line is running a competition called #everydayfix .
the products were designed as part of the direct line everyday fix design makeathon .
these include forgetting to lock the door , which one company hopes to solve with their forget me lock prototype , shown</v>
      </c>
      <c r="D86" s="68">
        <f>IF(H86=0,wdct(TRIM(C86)),0)</f>
        <v>43</v>
      </c>
      <c r="E86" s="68">
        <f>COUNTIFS('Error Log'!$A:$A,$A86,'Error Log'!$J:$J,E$1)</f>
        <v>3</v>
      </c>
      <c r="F86" s="68">
        <f>COUNTIFS('Error Log'!$A:$A,$A86,'Error Log'!$J:$J,F$1)</f>
        <v>2</v>
      </c>
      <c r="G86" s="68">
        <f>COUNTIFS('Error Log'!$A:$A,$A86,'Error Log'!$J:$J,G$1)</f>
        <v>0</v>
      </c>
      <c r="H86" s="68">
        <f>COUNTIFS('Error Log'!$A:$A,$A86,'Error Log'!$F:$F,"Source")</f>
        <v>0</v>
      </c>
      <c r="I86" s="68">
        <f>COUNTIFS('Error Log'!$A:$A,$A86,'Error Log'!$F:$F,"Target")</f>
        <v>0</v>
      </c>
      <c r="J86" s="69">
        <f t="shared" si="1"/>
        <v>53.488372093023258</v>
      </c>
    </row>
    <row r="87" spans="1:10">
      <c r="A87" s="80" t="s">
        <v>655</v>
      </c>
      <c r="B87" s="68" t="str">
        <f>IF(ISBLANK(A87),"",INDEX('Error Log'!$A:$J,MATCH('Scores per segment'!$A87,'Error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7" s="68" t="str">
        <f>IF(ISBLANK(A87),"",INDEX('Error Log'!$A:$J,MATCH('Scores per segment'!$A87,'Error Log'!$A:$A,0),MATCH('Scores per segment'!C$1,'Error Log'!$A$1:$J$1,0)))</f>
        <v>the former hearts boss joined the club as assistant boss to allan johnston last summer but took control of the team when his ex-tynecastle team-mate quit at the start of february .
kilmarnock interim manager gary locke has been given the role on a permanent basis after signing a three-year deal .
the 39-year-old - who will speak at a press conference on friday morning - has lost just once in seven games since taking over at rugby park .</v>
      </c>
      <c r="D87" s="68">
        <f>IF(H87=0,wdct(TRIM(C87)),0)</f>
        <v>75</v>
      </c>
      <c r="E87" s="68">
        <f>COUNTIFS('Error Log'!$A:$A,$A87,'Error Log'!$J:$J,E$1)</f>
        <v>0</v>
      </c>
      <c r="F87" s="68">
        <f>COUNTIFS('Error Log'!$A:$A,$A87,'Error Log'!$J:$J,F$1)</f>
        <v>0</v>
      </c>
      <c r="G87" s="68">
        <f>COUNTIFS('Error Log'!$A:$A,$A87,'Error Log'!$J:$J,G$1)</f>
        <v>0</v>
      </c>
      <c r="H87" s="68">
        <f>COUNTIFS('Error Log'!$A:$A,$A87,'Error Log'!$F:$F,"Source")</f>
        <v>0</v>
      </c>
      <c r="I87" s="68">
        <f>COUNTIFS('Error Log'!$A:$A,$A87,'Error Log'!$F:$F,"Target")</f>
        <v>0</v>
      </c>
      <c r="J87" s="69">
        <f t="shared" si="1"/>
        <v>100</v>
      </c>
    </row>
    <row r="88" spans="1:10">
      <c r="A88" s="80" t="s">
        <v>658</v>
      </c>
      <c r="B88" s="68" t="str">
        <f>IF(ISBLANK(A88),"",INDEX('Error Log'!$A:$J,MATCH('Scores per segment'!$A88,'Error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v>
      </c>
      <c r="C88" s="68" t="str">
        <f>IF(ISBLANK(A88),"",INDEX('Error Log'!$A:$J,MATCH('Scores per segment'!$A88,'Error Log'!$A:$A,0),MATCH('Scores per segment'!C$1,'Error Log'!$A$1:$J$1,0)))</f>
        <v>vera baird donated # 500,000 to victims first northumbria , a charity which supports crime victims in her area and of which she is a director .
the pair now face a ministry of justice probe as critics accuse them of concocting ' a soap opera ' within the force .
sitting alongside her on the organisation 's top table is sue sim , northumbria 's chief constable , records revealed .</v>
      </c>
      <c r="D88" s="68">
        <f>IF(H88=0,wdct(TRIM(C88)),0)</f>
        <v>63</v>
      </c>
      <c r="E88" s="68">
        <f>COUNTIFS('Error Log'!$A:$A,$A88,'Error Log'!$J:$J,E$1)</f>
        <v>0</v>
      </c>
      <c r="F88" s="68">
        <f>COUNTIFS('Error Log'!$A:$A,$A88,'Error Log'!$J:$J,F$1)</f>
        <v>0</v>
      </c>
      <c r="G88" s="68">
        <f>COUNTIFS('Error Log'!$A:$A,$A88,'Error Log'!$J:$J,G$1)</f>
        <v>0</v>
      </c>
      <c r="H88" s="68">
        <f>COUNTIFS('Error Log'!$A:$A,$A88,'Error Log'!$F:$F,"Source")</f>
        <v>0</v>
      </c>
      <c r="I88" s="68">
        <f>COUNTIFS('Error Log'!$A:$A,$A88,'Error Log'!$F:$F,"Target")</f>
        <v>0</v>
      </c>
      <c r="J88" s="69">
        <f t="shared" si="1"/>
        <v>100</v>
      </c>
    </row>
    <row r="89" spans="1:10">
      <c r="A89" s="80" t="s">
        <v>661</v>
      </c>
      <c r="B89" s="68" t="str">
        <f>IF(ISBLANK(A89),"",INDEX('Error Log'!$A:$J,MATCH('Scores per segment'!$A89,'Error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2033 letter from gadahn making recommendations for al qaeda 's media strategy .
gadahn was married to a muslim woman from afghanistan and reportedly had at least one child .
cnn 's steve almasy contributed to this report .</v>
      </c>
      <c r="C89" s="68" t="str">
        <f>IF(ISBLANK(A89),"",INDEX('Error Log'!$A:$J,MATCH('Scores per segment'!$A89,'Error Log'!$A:$A,0),MATCH('Scores per segment'!C$1,'Error Log'!$A$1:$J$1,0)))</f>
        <v>the white house announced thursday that adam gadahn , 36 , was killed in january in a u.s. government counterterrorism operation .
while he was n't one of al qaeda 's top leaders , gadahn was one of its most prominent members , given his many statements on behalf of the organization .
also known as azzam the american , he was born in 1978 .</v>
      </c>
      <c r="D89" s="68">
        <f>IF(H89=0,wdct(TRIM(C89)),0)</f>
        <v>59</v>
      </c>
      <c r="E89" s="68">
        <f>COUNTIFS('Error Log'!$A:$A,$A89,'Error Log'!$J:$J,E$1)</f>
        <v>3</v>
      </c>
      <c r="F89" s="68">
        <f>COUNTIFS('Error Log'!$A:$A,$A89,'Error Log'!$J:$J,F$1)</f>
        <v>3</v>
      </c>
      <c r="G89" s="68">
        <f>COUNTIFS('Error Log'!$A:$A,$A89,'Error Log'!$J:$J,G$1)</f>
        <v>0</v>
      </c>
      <c r="H89" s="68">
        <f>COUNTIFS('Error Log'!$A:$A,$A89,'Error Log'!$F:$F,"Source")</f>
        <v>0</v>
      </c>
      <c r="I89" s="68">
        <f>COUNTIFS('Error Log'!$A:$A,$A89,'Error Log'!$F:$F,"Target")</f>
        <v>0</v>
      </c>
      <c r="J89" s="69">
        <f t="shared" si="1"/>
        <v>61.864406779661017</v>
      </c>
    </row>
    <row r="90" spans="1:10">
      <c r="A90" s="81" t="s">
        <v>883</v>
      </c>
      <c r="B90" s="68"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68" t="str">
        <f>IF(ISBLANK(A90),"",INDEX('Error Log'!$A:$J,MATCH('Scores per segment'!$A90,'Error Log'!$A:$A,0),MATCH('Scores per segment'!C$1,'Error Log'!$A$1:$J$1,0)))</f>
        <v>martin skrtel ( left ) says departing liverpool captain steven gerrard is still one of the best players in the world
martin skrtel has praised the impact steven gerrard has had upon him since arriving at anfield in 2008 but believes liverpool can overcome the difficult challenge of replacing him .
gerrard is aiming to end his liverpool career by making the fa cup final and beating arsenal</v>
      </c>
      <c r="D90" s="68">
        <f>IF(H90=0,wdct(TRIM(C90)),0)</f>
        <v>65</v>
      </c>
      <c r="E90" s="68">
        <f>COUNTIFS('Error Log'!$A:$A,$A90,'Error Log'!$J:$J,E$1)</f>
        <v>0</v>
      </c>
      <c r="F90" s="68">
        <f>COUNTIFS('Error Log'!$A:$A,$A90,'Error Log'!$J:$J,F$1)</f>
        <v>1</v>
      </c>
      <c r="G90" s="68">
        <f>COUNTIFS('Error Log'!$A:$A,$A90,'Error Log'!$J:$J,G$1)</f>
        <v>0</v>
      </c>
      <c r="H90" s="68">
        <f>COUNTIFS('Error Log'!$A:$A,$A90,'Error Log'!$F:$F,"Source")</f>
        <v>0</v>
      </c>
      <c r="I90" s="68">
        <f>COUNTIFS('Error Log'!$A:$A,$A90,'Error Log'!$F:$F,"Target")</f>
        <v>0</v>
      </c>
      <c r="J90" s="69">
        <f t="shared" si="1"/>
        <v>96.15384615384616</v>
      </c>
    </row>
    <row r="91" spans="1:10">
      <c r="A91" s="81" t="s">
        <v>884</v>
      </c>
      <c r="B91" s="68"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68" t="str">
        <f>IF(ISBLANK(A91),"",INDEX('Error Log'!$A:$J,MATCH('Scores per segment'!$A91,'Error Log'!$A:$A,0),MATCH('Scores per segment'!C$1,'Error Log'!$A$1:$J$1,0)))</f>
        <v>jessica kemp from eustis says teachers at seminole county elementary warned they would remove kindergartner logan from class because the products , manufactured by doterra , smell and are a distraction to youngsters around him .
the 32-year-old puts the oil on his neck as she believes it keeps him calm and focused
she claims her boy has been using them all year , but then a teacher 's aide complained .</v>
      </c>
      <c r="D91" s="68">
        <f>IF(H91=0,wdct(TRIM(C91)),0)</f>
        <v>67</v>
      </c>
      <c r="E91" s="68">
        <f>COUNTIFS('Error Log'!$A:$A,$A91,'Error Log'!$J:$J,E$1)</f>
        <v>2</v>
      </c>
      <c r="F91" s="68">
        <f>COUNTIFS('Error Log'!$A:$A,$A91,'Error Log'!$J:$J,F$1)</f>
        <v>1</v>
      </c>
      <c r="G91" s="68">
        <f>COUNTIFS('Error Log'!$A:$A,$A91,'Error Log'!$J:$J,G$1)</f>
        <v>0</v>
      </c>
      <c r="H91" s="68">
        <f>COUNTIFS('Error Log'!$A:$A,$A91,'Error Log'!$F:$F,"Source")</f>
        <v>0</v>
      </c>
      <c r="I91" s="68">
        <f>COUNTIFS('Error Log'!$A:$A,$A91,'Error Log'!$F:$F,"Target")</f>
        <v>0</v>
      </c>
      <c r="J91" s="69">
        <f t="shared" si="1"/>
        <v>81.343283582089555</v>
      </c>
    </row>
    <row r="92" spans="1:10">
      <c r="A92" s="82" t="s">
        <v>885</v>
      </c>
      <c r="B92" s="68"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68" t="str">
        <f>IF(ISBLANK(A92),"",INDEX('Error Log'!$A:$J,MATCH('Scores per segment'!$A92,'Error Log'!$A:$A,0),MATCH('Scores per segment'!C$1,'Error Log'!$A$1:$J$1,0)))</f>
        <v>a new study has revealed that a third of men have never picked up a bucket and a chamois leather to wash their own car ( file pic )
meanwhile only five per cent of those surveyed said that had ever asked their children to wash the car , as a way for them to earn extra pocket money .
other reasons given for not washing cars include the rise of hand car washes and the fact that 4x4 and off-road vehicles are too large to clean .</v>
      </c>
      <c r="D92" s="68">
        <f>IF(H92=0,wdct(TRIM(C92)),0)</f>
        <v>83</v>
      </c>
      <c r="E92" s="68">
        <f>COUNTIFS('Error Log'!$A:$A,$A92,'Error Log'!$J:$J,E$1)</f>
        <v>1</v>
      </c>
      <c r="F92" s="68">
        <f>COUNTIFS('Error Log'!$A:$A,$A92,'Error Log'!$J:$J,F$1)</f>
        <v>2</v>
      </c>
      <c r="G92" s="68">
        <f>COUNTIFS('Error Log'!$A:$A,$A92,'Error Log'!$J:$J,G$1)</f>
        <v>0</v>
      </c>
      <c r="H92" s="68">
        <f>COUNTIFS('Error Log'!$A:$A,$A92,'Error Log'!$F:$F,"Source")</f>
        <v>0</v>
      </c>
      <c r="I92" s="68">
        <f>COUNTIFS('Error Log'!$A:$A,$A92,'Error Log'!$F:$F,"Target")</f>
        <v>0</v>
      </c>
      <c r="J92" s="69">
        <f t="shared" si="1"/>
        <v>87.951807228915669</v>
      </c>
    </row>
    <row r="93" spans="1:10">
      <c r="A93" s="81" t="s">
        <v>886</v>
      </c>
      <c r="B93" s="68"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68" t="str">
        <f>IF(ISBLANK(A93),"",INDEX('Error Log'!$A:$J,MATCH('Scores per segment'!$A93,'Error Log'!$A:$A,0),MATCH('Scores per segment'!C$1,'Error Log'!$A$1:$J$1,0)))</f>
        <v>ravaged : ninety condos on the beach in westhampton were obliterated by flames on wednesday afternoon
smoked poured over westhampton beach on wednesday at 3pm as a fire spread through 90 condos before the building eventually collapsed .
intense : residents said the fire , whic is being investigated , was so intense it melted the paint off buildings nearby</v>
      </c>
      <c r="D93" s="68">
        <f>IF(H93=0,wdct(TRIM(C93)),0)</f>
        <v>55</v>
      </c>
      <c r="E93" s="68">
        <f>COUNTIFS('Error Log'!$A:$A,$A93,'Error Log'!$J:$J,E$1)</f>
        <v>1</v>
      </c>
      <c r="F93" s="68">
        <f>COUNTIFS('Error Log'!$A:$A,$A93,'Error Log'!$J:$J,F$1)</f>
        <v>3</v>
      </c>
      <c r="G93" s="68">
        <f>COUNTIFS('Error Log'!$A:$A,$A93,'Error Log'!$J:$J,G$1)</f>
        <v>0</v>
      </c>
      <c r="H93" s="68">
        <f>COUNTIFS('Error Log'!$A:$A,$A93,'Error Log'!$F:$F,"Source")</f>
        <v>0</v>
      </c>
      <c r="I93" s="68">
        <f>COUNTIFS('Error Log'!$A:$A,$A93,'Error Log'!$F:$F,"Target")</f>
        <v>0</v>
      </c>
      <c r="J93" s="69">
        <f t="shared" si="1"/>
        <v>77.272727272727266</v>
      </c>
    </row>
    <row r="94" spans="1:10">
      <c r="A94" s="81" t="s">
        <v>887</v>
      </c>
      <c r="B94" s="68"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68" t="str">
        <f>IF(ISBLANK(A94),"",INDEX('Error Log'!$A:$J,MATCH('Scores per segment'!$A94,'Error Log'!$A:$A,0),MATCH('Scores per segment'!C$1,'Error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moreover , her photographs and memorabilia had all been lost over the years .</v>
      </c>
      <c r="D94" s="68">
        <f>IF(H94=0,wdct(TRIM(C94)),0)</f>
        <v>62</v>
      </c>
      <c r="E94" s="68">
        <f>COUNTIFS('Error Log'!$A:$A,$A94,'Error Log'!$J:$J,E$1)</f>
        <v>0</v>
      </c>
      <c r="F94" s="68">
        <f>COUNTIFS('Error Log'!$A:$A,$A94,'Error Log'!$J:$J,F$1)</f>
        <v>2</v>
      </c>
      <c r="G94" s="68">
        <f>COUNTIFS('Error Log'!$A:$A,$A94,'Error Log'!$J:$J,G$1)</f>
        <v>0</v>
      </c>
      <c r="H94" s="68">
        <f>COUNTIFS('Error Log'!$A:$A,$A94,'Error Log'!$F:$F,"Source")</f>
        <v>0</v>
      </c>
      <c r="I94" s="68">
        <f>COUNTIFS('Error Log'!$A:$A,$A94,'Error Log'!$F:$F,"Target")</f>
        <v>0</v>
      </c>
      <c r="J94" s="69">
        <f t="shared" si="1"/>
        <v>91.935483870967744</v>
      </c>
    </row>
    <row r="95" spans="1:10">
      <c r="A95" s="81" t="s">
        <v>888</v>
      </c>
      <c r="B95" s="68"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68" t="str">
        <f>IF(ISBLANK(A95),"",INDEX('Error Log'!$A:$J,MATCH('Scores per segment'!$A95,'Error Log'!$A:$A,0),MATCH('Scores per segment'!C$1,'Error Log'!$A$1:$J$1,0)))</f>
        <v>the monarch , 88 , was spotted trotting through windsor great park aboard her faithful black fell pony , carltonlima emma .
enjoying the sunshine : the queen enjoys a ride on her fell pony carltonlima emma
the queen , who has never worn riding helmets , has been encouraged to wear the safety hats in the past but is reportedly reluctant to wear one because of her hair .</v>
      </c>
      <c r="D95" s="68">
        <f>IF(H95=0,wdct(TRIM(C95)),0)</f>
        <v>62</v>
      </c>
      <c r="E95" s="68">
        <f>COUNTIFS('Error Log'!$A:$A,$A95,'Error Log'!$J:$J,E$1)</f>
        <v>0</v>
      </c>
      <c r="F95" s="68">
        <f>COUNTIFS('Error Log'!$A:$A,$A95,'Error Log'!$J:$J,F$1)</f>
        <v>1</v>
      </c>
      <c r="G95" s="68">
        <f>COUNTIFS('Error Log'!$A:$A,$A95,'Error Log'!$J:$J,G$1)</f>
        <v>0</v>
      </c>
      <c r="H95" s="68">
        <f>COUNTIFS('Error Log'!$A:$A,$A95,'Error Log'!$F:$F,"Source")</f>
        <v>0</v>
      </c>
      <c r="I95" s="68">
        <f>COUNTIFS('Error Log'!$A:$A,$A95,'Error Log'!$F:$F,"Target")</f>
        <v>0</v>
      </c>
      <c r="J95" s="69">
        <f t="shared" si="1"/>
        <v>95.967741935483872</v>
      </c>
    </row>
    <row r="96" spans="1:10">
      <c r="A96" s="79" t="s">
        <v>889</v>
      </c>
      <c r="B96" s="68"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68" t="str">
        <f>IF(ISBLANK(A96),"",INDEX('Error Log'!$A:$J,MATCH('Scores per segment'!$A96,'Error Log'!$A:$A,0),MATCH('Scores per segment'!C$1,'Error Log'!$A$1:$J$1,0)))</f>
        <v>the two men allegedly ignited an aerosol spray with a lighter causing a large flame to make contact with a quokka on rottnest island off perth in western australia on april 3 .
they have each been charged with animal cruelty and will appear in fremantle magistrates court on april 17 .
the lucky little critter survived the reckless incident but was singed by the flame .</v>
      </c>
      <c r="D96" s="68">
        <f>IF(H96=0,wdct(TRIM(C96)),0)</f>
        <v>64</v>
      </c>
      <c r="E96" s="68">
        <f>COUNTIFS('Error Log'!$A:$A,$A96,'Error Log'!$J:$J,E$1)</f>
        <v>0</v>
      </c>
      <c r="F96" s="68">
        <f>COUNTIFS('Error Log'!$A:$A,$A96,'Error Log'!$J:$J,F$1)</f>
        <v>0</v>
      </c>
      <c r="G96" s="68">
        <f>COUNTIFS('Error Log'!$A:$A,$A96,'Error Log'!$J:$J,G$1)</f>
        <v>0</v>
      </c>
      <c r="H96" s="68">
        <f>COUNTIFS('Error Log'!$A:$A,$A96,'Error Log'!$F:$F,"Source")</f>
        <v>0</v>
      </c>
      <c r="I96" s="68">
        <f>COUNTIFS('Error Log'!$A:$A,$A96,'Error Log'!$F:$F,"Target")</f>
        <v>0</v>
      </c>
      <c r="J96" s="69">
        <f t="shared" si="1"/>
        <v>100</v>
      </c>
    </row>
    <row r="97" spans="1:10">
      <c r="A97" s="81" t="s">
        <v>890</v>
      </c>
      <c r="B97" s="68"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68" t="str">
        <f>IF(ISBLANK(A97),"",INDEX('Error Log'!$A:$J,MATCH('Scores per segment'!$A97,'Error Log'!$A:$A,0),MATCH('Scores per segment'!C$1,'Error Log'!$A$1:$J$1,0)))</f>
        <v>leon yeaman , 55 , was allegedly killed by a single punch in the head from 28-year-old shift worker phillip pama , 28 , during a row in front of their north brisbane homes .
an argument between two brisbane neighbours over noise levels has ended in tragedy with one man dead and another charged with manslaughter .
the father of three allegedly killed his 55-year-old neighbour with one punch after he refused to turn his music down</v>
      </c>
      <c r="D97" s="68">
        <f>IF(H97=0,wdct(TRIM(C97)),0)</f>
        <v>72</v>
      </c>
      <c r="E97" s="68">
        <f>COUNTIFS('Error Log'!$A:$A,$A97,'Error Log'!$J:$J,E$1)</f>
        <v>1</v>
      </c>
      <c r="F97" s="68">
        <f>COUNTIFS('Error Log'!$A:$A,$A97,'Error Log'!$J:$J,F$1)</f>
        <v>1</v>
      </c>
      <c r="G97" s="68">
        <f>COUNTIFS('Error Log'!$A:$A,$A97,'Error Log'!$J:$J,G$1)</f>
        <v>0</v>
      </c>
      <c r="H97" s="68">
        <f>COUNTIFS('Error Log'!$A:$A,$A97,'Error Log'!$F:$F,"Source")</f>
        <v>0</v>
      </c>
      <c r="I97" s="68">
        <f>COUNTIFS('Error Log'!$A:$A,$A97,'Error Log'!$F:$F,"Target")</f>
        <v>0</v>
      </c>
      <c r="J97" s="69">
        <f t="shared" si="1"/>
        <v>89.583333333333329</v>
      </c>
    </row>
    <row r="98" spans="1:10">
      <c r="A98" s="81" t="s">
        <v>891</v>
      </c>
      <c r="B98" s="68"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68" t="str">
        <f>IF(ISBLANK(A98),"",INDEX('Error Log'!$A:$J,MATCH('Scores per segment'!$A98,'Error Log'!$A:$A,0),MATCH('Scores per segment'!C$1,'Error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v>
      </c>
      <c r="D98" s="68">
        <f>IF(H98=0,wdct(TRIM(C98)),0)</f>
        <v>77</v>
      </c>
      <c r="E98" s="68">
        <f>COUNTIFS('Error Log'!$A:$A,$A98,'Error Log'!$J:$J,E$1)</f>
        <v>1</v>
      </c>
      <c r="F98" s="68">
        <f>COUNTIFS('Error Log'!$A:$A,$A98,'Error Log'!$J:$J,F$1)</f>
        <v>2</v>
      </c>
      <c r="G98" s="68">
        <f>COUNTIFS('Error Log'!$A:$A,$A98,'Error Log'!$J:$J,G$1)</f>
        <v>0</v>
      </c>
      <c r="H98" s="68">
        <f>COUNTIFS('Error Log'!$A:$A,$A98,'Error Log'!$F:$F,"Source")</f>
        <v>0</v>
      </c>
      <c r="I98" s="68">
        <f>COUNTIFS('Error Log'!$A:$A,$A98,'Error Log'!$F:$F,"Target")</f>
        <v>0</v>
      </c>
      <c r="J98" s="69">
        <f t="shared" si="1"/>
        <v>87.012987012987011</v>
      </c>
    </row>
    <row r="99" spans="1:10">
      <c r="A99" s="81" t="s">
        <v>892</v>
      </c>
      <c r="B99" s="68"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68" t="str">
        <f>IF(ISBLANK(A99),"",INDEX('Error Log'!$A:$J,MATCH('Scores per segment'!$A99,'Error Log'!$A:$A,0),MATCH('Scores per segment'!C$1,'Error Log'!$A$1:$J$1,0)))</f>
        <v>jilted music teacher yulia simonova , 52 , wanted to hire a hitman to torture and murder 15-year-old damian vanya after he ended their relationship
the russian music teacher now faces 15 years in prison after being charged with attempted murder '
but police set up a sting operation , sending one of their undercover officers to pose as a hitman during a meeting with simonova in the russian city of shatura , near the capital of moscow .</v>
      </c>
      <c r="D99" s="68">
        <f>IF(H99=0,wdct(TRIM(C99)),0)</f>
        <v>73</v>
      </c>
      <c r="E99" s="68">
        <f>COUNTIFS('Error Log'!$A:$A,$A99,'Error Log'!$J:$J,E$1)</f>
        <v>1</v>
      </c>
      <c r="F99" s="68">
        <f>COUNTIFS('Error Log'!$A:$A,$A99,'Error Log'!$J:$J,F$1)</f>
        <v>1</v>
      </c>
      <c r="G99" s="68">
        <f>COUNTIFS('Error Log'!$A:$A,$A99,'Error Log'!$J:$J,G$1)</f>
        <v>0</v>
      </c>
      <c r="H99" s="68">
        <f>COUNTIFS('Error Log'!$A:$A,$A99,'Error Log'!$F:$F,"Source")</f>
        <v>0</v>
      </c>
      <c r="I99" s="68">
        <f>COUNTIFS('Error Log'!$A:$A,$A99,'Error Log'!$F:$F,"Target")</f>
        <v>0</v>
      </c>
      <c r="J99" s="69">
        <f t="shared" si="1"/>
        <v>89.726027397260282</v>
      </c>
    </row>
    <row r="100" spans="1:10">
      <c r="A100" s="81" t="s">
        <v>893</v>
      </c>
      <c r="B100" s="68"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68" t="str">
        <f>IF(ISBLANK(A100),"",INDEX('Error Log'!$A:$J,MATCH('Scores per segment'!$A100,'Error Log'!$A:$A,0),MATCH('Scores per segment'!C$1,'Error Log'!$A$1:$J$1,0)))</f>
        <v>louise redknapp says that a wide-leg trouser can come as a welcome relief from the skinny jean
be it denim , cropped , printed or striped , the wide leg trouser is at the forefront of ss15 trends .
the wide-leg trouser made an appearance on several catwalks including on the runway of gucci ss15 who showcased a denim take on the trend , for a high street take try the topshop miller jean ( right )</v>
      </c>
      <c r="D100" s="68">
        <f>IF(H100=0,wdct(TRIM(C100)),0)</f>
        <v>70</v>
      </c>
      <c r="E100" s="68">
        <f>COUNTIFS('Error Log'!$A:$A,$A100,'Error Log'!$J:$J,E$1)</f>
        <v>1</v>
      </c>
      <c r="F100" s="68">
        <f>COUNTIFS('Error Log'!$A:$A,$A100,'Error Log'!$J:$J,F$1)</f>
        <v>3</v>
      </c>
      <c r="G100" s="68">
        <f>COUNTIFS('Error Log'!$A:$A,$A100,'Error Log'!$J:$J,G$1)</f>
        <v>0</v>
      </c>
      <c r="H100" s="68">
        <f>COUNTIFS('Error Log'!$A:$A,$A100,'Error Log'!$F:$F,"Source")</f>
        <v>0</v>
      </c>
      <c r="I100" s="68">
        <f>COUNTIFS('Error Log'!$A:$A,$A100,'Error Log'!$F:$F,"Target")</f>
        <v>0</v>
      </c>
      <c r="J100" s="69">
        <f t="shared" si="1"/>
        <v>82.142857142857139</v>
      </c>
    </row>
    <row r="101" spans="1:10">
      <c r="A101" s="81" t="s">
        <v>894</v>
      </c>
      <c r="B101" s="68"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68" t="str">
        <f>IF(ISBLANK(A101),"",INDEX('Error Log'!$A:$J,MATCH('Scores per segment'!$A101,'Error Log'!$A:$A,0),MATCH('Scores per segment'!C$1,'Error Log'!$A$1:$J$1,0)))</f>
        <v>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former real madrid manager said he only prays for things in is personal life , never about chelsea . '</v>
      </c>
      <c r="D101" s="68">
        <f>IF(H101=0,wdct(TRIM(C101)),0)</f>
        <v>72</v>
      </c>
      <c r="E101" s="68">
        <f>COUNTIFS('Error Log'!$A:$A,$A101,'Error Log'!$J:$J,E$1)</f>
        <v>1</v>
      </c>
      <c r="F101" s="68">
        <f>COUNTIFS('Error Log'!$A:$A,$A101,'Error Log'!$J:$J,F$1)</f>
        <v>1</v>
      </c>
      <c r="G101" s="68">
        <f>COUNTIFS('Error Log'!$A:$A,$A101,'Error Log'!$J:$J,G$1)</f>
        <v>0</v>
      </c>
      <c r="H101" s="68">
        <f>COUNTIFS('Error Log'!$A:$A,$A101,'Error Log'!$F:$F,"Source")</f>
        <v>0</v>
      </c>
      <c r="I101" s="68">
        <f>COUNTIFS('Error Log'!$A:$A,$A101,'Error Log'!$F:$F,"Target")</f>
        <v>0</v>
      </c>
      <c r="J101" s="69">
        <f t="shared" si="1"/>
        <v>89.583333333333329</v>
      </c>
    </row>
    <row r="102" spans="1:10">
      <c r="A102" s="81" t="s">
        <v>895</v>
      </c>
      <c r="B102" s="68"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68" t="str">
        <f>IF(ISBLANK(A102),"",INDEX('Error Log'!$A:$J,MATCH('Scores per segment'!$A102,'Error Log'!$A:$A,0),MATCH('Scores per segment'!C$1,'Error Log'!$A$1:$J$1,0)))</f>
        <v>england flanker james haskell dressed in iron man costume and posted it on his instagram page
the highly-anticipated movie premiered at westfield london shopping centre on tuesday evening with fans queuing up to see the a-list cast which includes robert downey jr. , chris hemsworth and scarlett johansson .
with the new avengers : age of ultron movie released this week , james haskell showed off his inner iron man in a serious-looking instagram post .</v>
      </c>
      <c r="D102" s="68">
        <f>IF(H102=0,wdct(TRIM(C102)),0)</f>
        <v>71</v>
      </c>
      <c r="E102" s="68">
        <f>COUNTIFS('Error Log'!$A:$A,$A102,'Error Log'!$J:$J,E$1)</f>
        <v>1</v>
      </c>
      <c r="F102" s="68">
        <f>COUNTIFS('Error Log'!$A:$A,$A102,'Error Log'!$J:$J,F$1)</f>
        <v>2</v>
      </c>
      <c r="G102" s="68">
        <f>COUNTIFS('Error Log'!$A:$A,$A102,'Error Log'!$J:$J,G$1)</f>
        <v>0</v>
      </c>
      <c r="H102" s="68">
        <f>COUNTIFS('Error Log'!$A:$A,$A102,'Error Log'!$F:$F,"Source")</f>
        <v>0</v>
      </c>
      <c r="I102" s="68">
        <f>COUNTIFS('Error Log'!$A:$A,$A102,'Error Log'!$F:$F,"Target")</f>
        <v>0</v>
      </c>
      <c r="J102" s="69">
        <f t="shared" si="1"/>
        <v>85.915492957746466</v>
      </c>
    </row>
    <row r="103" spans="1:10">
      <c r="A103" s="80" t="s">
        <v>896</v>
      </c>
      <c r="B103" s="68"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68" t="str">
        <f>IF(ISBLANK(A103),"",INDEX('Error Log'!$A:$J,MATCH('Scores per segment'!$A103,'Error Log'!$A:$A,0),MATCH('Scores per segment'!C$1,'Error Log'!$A$1:$J$1,0)))</f>
        <v>on the april 1 edition of " the price is right " encountered not host drew carey but another familiar face in charge of the proceedings .
instead , there was bob barker , who hosted the tv game show for 35 years before stepping down in 2007 .
( cnn ) for the first time in eight years , a tv legend returned to doing what he does best .</v>
      </c>
      <c r="D103" s="68">
        <f>IF(H103=0,wdct(TRIM(C103)),0)</f>
        <v>61</v>
      </c>
      <c r="E103" s="68">
        <f>COUNTIFS('Error Log'!$A:$A,$A103,'Error Log'!$J:$J,E$1)</f>
        <v>0</v>
      </c>
      <c r="F103" s="68">
        <f>COUNTIFS('Error Log'!$A:$A,$A103,'Error Log'!$J:$J,F$1)</f>
        <v>1</v>
      </c>
      <c r="G103" s="68">
        <f>COUNTIFS('Error Log'!$A:$A,$A103,'Error Log'!$J:$J,G$1)</f>
        <v>0</v>
      </c>
      <c r="H103" s="68">
        <f>COUNTIFS('Error Log'!$A:$A,$A103,'Error Log'!$F:$F,"Source")</f>
        <v>0</v>
      </c>
      <c r="I103" s="68">
        <f>COUNTIFS('Error Log'!$A:$A,$A103,'Error Log'!$F:$F,"Target")</f>
        <v>0</v>
      </c>
      <c r="J103" s="69">
        <f t="shared" si="1"/>
        <v>95.901639344262293</v>
      </c>
    </row>
    <row r="104" spans="1:10">
      <c r="A104" s="80" t="s">
        <v>897</v>
      </c>
      <c r="B104" s="68"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68" t="str">
        <f>IF(ISBLANK(A104),"",INDEX('Error Log'!$A:$J,MATCH('Scores per segment'!$A104,'Error Log'!$A:$A,0),MATCH('Scores per segment'!C$1,'Error Log'!$A$1:$J$1,0)))</f>
        <v>amateur jockey lee lewis ferguson has just a cut on his nose to show for his ordeal
teenager ferguson was flung from his horse in spectacular fashion at wincanton
ferguson 's spectacular double somersault fall from the favourite merrion square in the 4.20 pm at wincanton has been watched hundreds of thousands of times online .</v>
      </c>
      <c r="D104" s="68">
        <f>IF(H104=0,wdct(TRIM(C104)),0)</f>
        <v>55</v>
      </c>
      <c r="E104" s="68">
        <f>COUNTIFS('Error Log'!$A:$A,$A104,'Error Log'!$J:$J,E$1)</f>
        <v>1</v>
      </c>
      <c r="F104" s="68">
        <f>COUNTIFS('Error Log'!$A:$A,$A104,'Error Log'!$J:$J,F$1)</f>
        <v>0</v>
      </c>
      <c r="G104" s="68">
        <f>COUNTIFS('Error Log'!$A:$A,$A104,'Error Log'!$J:$J,G$1)</f>
        <v>0</v>
      </c>
      <c r="H104" s="68">
        <f>COUNTIFS('Error Log'!$A:$A,$A104,'Error Log'!$F:$F,"Source")</f>
        <v>0</v>
      </c>
      <c r="I104" s="68">
        <f>COUNTIFS('Error Log'!$A:$A,$A104,'Error Log'!$F:$F,"Target")</f>
        <v>0</v>
      </c>
      <c r="J104" s="69">
        <f t="shared" si="1"/>
        <v>90.909090909090907</v>
      </c>
    </row>
    <row r="105" spans="1:10">
      <c r="A105" s="80" t="s">
        <v>898</v>
      </c>
      <c r="B105" s="68"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68" t="str">
        <f>IF(ISBLANK(A105),"",INDEX('Error Log'!$A:$J,MATCH('Scores per segment'!$A105,'Error Log'!$A:$A,0),MATCH('Scores per segment'!C$1,'Error Log'!$A$1:$J$1,0)))</f>
        <v>agent arthur baldwin was taken into custody at 12:30 am on friday on a residential street in south-eastern d.c. by the metropolitan police .
he has been hit with a felony charge of attempted burglary and another of destruction of property .
an off-duty secret service agent was arrested this morning in washington d.c. after allegedly attempting to break into a house at midnight .</v>
      </c>
      <c r="D105" s="68">
        <f>IF(H105=0,wdct(TRIM(C105)),0)</f>
        <v>65</v>
      </c>
      <c r="E105" s="68">
        <f>COUNTIFS('Error Log'!$A:$A,$A105,'Error Log'!$J:$J,E$1)</f>
        <v>1</v>
      </c>
      <c r="F105" s="68">
        <f>COUNTIFS('Error Log'!$A:$A,$A105,'Error Log'!$J:$J,F$1)</f>
        <v>1</v>
      </c>
      <c r="G105" s="68">
        <f>COUNTIFS('Error Log'!$A:$A,$A105,'Error Log'!$J:$J,G$1)</f>
        <v>0</v>
      </c>
      <c r="H105" s="68">
        <f>COUNTIFS('Error Log'!$A:$A,$A105,'Error Log'!$F:$F,"Source")</f>
        <v>0</v>
      </c>
      <c r="I105" s="68">
        <f>COUNTIFS('Error Log'!$A:$A,$A105,'Error Log'!$F:$F,"Target")</f>
        <v>0</v>
      </c>
      <c r="J105" s="69">
        <f t="shared" si="1"/>
        <v>88.461538461538453</v>
      </c>
    </row>
    <row r="106" spans="1:10">
      <c r="A106" s="80" t="s">
        <v>899</v>
      </c>
      <c r="B106" s="68"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68" t="str">
        <f>IF(ISBLANK(A106),"",INDEX('Error Log'!$A:$J,MATCH('Scores per segment'!$A106,'Error Log'!$A:$A,0),MATCH('Scores per segment'!C$1,'Error Log'!$A$1:$J$1,0)))</f>
        <v>pablo osvaldo thinks that his former team-mates andrea pirlo and francesco totti should move to boca
the 29-year-old moved to his current side on a loan deal from southampton and has become an instant hit - scoring three goals in six games .
totti ( 10 ) is a roma legend and osvaldo feels that he would be just as loved if he moved to argentina</v>
      </c>
      <c r="D106" s="68">
        <f>IF(H106=0,wdct(TRIM(C106)),0)</f>
        <v>62</v>
      </c>
      <c r="E106" s="68">
        <f>COUNTIFS('Error Log'!$A:$A,$A106,'Error Log'!$J:$J,E$1)</f>
        <v>1</v>
      </c>
      <c r="F106" s="68">
        <f>COUNTIFS('Error Log'!$A:$A,$A106,'Error Log'!$J:$J,F$1)</f>
        <v>1</v>
      </c>
      <c r="G106" s="68">
        <f>COUNTIFS('Error Log'!$A:$A,$A106,'Error Log'!$J:$J,G$1)</f>
        <v>0</v>
      </c>
      <c r="H106" s="68">
        <f>COUNTIFS('Error Log'!$A:$A,$A106,'Error Log'!$F:$F,"Source")</f>
        <v>0</v>
      </c>
      <c r="I106" s="68">
        <f>COUNTIFS('Error Log'!$A:$A,$A106,'Error Log'!$F:$F,"Target")</f>
        <v>0</v>
      </c>
      <c r="J106" s="69">
        <f t="shared" si="1"/>
        <v>87.903225806451616</v>
      </c>
    </row>
    <row r="107" spans="1:10">
      <c r="A107" s="80" t="s">
        <v>900</v>
      </c>
      <c r="B107" s="68"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68" t="str">
        <f>IF(ISBLANK(A107),"",INDEX('Error Log'!$A:$J,MATCH('Scores per segment'!$A107,'Error Log'!$A:$A,0),MATCH('Scores per segment'!C$1,'Error Log'!$A$1:$J$1,0)))</f>
        <v>fearless atif saeed , 38 , from lahore , pakistan was in the city 's safari park when he spotted the male lion in the distance .
atif saeed crept to within 10 feet of the hungry lion before leaving the safety of his car to lie on the ground
armed only with a camera , mr saeed , managed to capture a couple of frames before retreating to safety</v>
      </c>
      <c r="D107" s="68">
        <f>IF(H107=0,wdct(TRIM(C107)),0)</f>
        <v>64</v>
      </c>
      <c r="E107" s="68">
        <f>COUNTIFS('Error Log'!$A:$A,$A107,'Error Log'!$J:$J,E$1)</f>
        <v>2</v>
      </c>
      <c r="F107" s="68">
        <f>COUNTIFS('Error Log'!$A:$A,$A107,'Error Log'!$J:$J,F$1)</f>
        <v>0</v>
      </c>
      <c r="G107" s="68">
        <f>COUNTIFS('Error Log'!$A:$A,$A107,'Error Log'!$J:$J,G$1)</f>
        <v>0</v>
      </c>
      <c r="H107" s="68">
        <f>COUNTIFS('Error Log'!$A:$A,$A107,'Error Log'!$F:$F,"Source")</f>
        <v>0</v>
      </c>
      <c r="I107" s="68">
        <f>COUNTIFS('Error Log'!$A:$A,$A107,'Error Log'!$F:$F,"Target")</f>
        <v>0</v>
      </c>
      <c r="J107" s="69">
        <f t="shared" si="1"/>
        <v>84.375</v>
      </c>
    </row>
    <row r="108" spans="1:10">
      <c r="A108" s="80" t="s">
        <v>901</v>
      </c>
      <c r="B108" s="68"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68" t="str">
        <f>IF(ISBLANK(A108),"",INDEX('Error Log'!$A:$J,MATCH('Scores per segment'!$A108,'Error Log'!$A:$A,0),MATCH('Scores per segment'!C$1,'Error Log'!$A$1:$J$1,0)))</f>
        <v>alves has been unable to agree a new deal with the catalan club and will leave the nou camp this summer
dinorah santana , alves 's agent and ex-wife , confirmed that the right-back had rejected a three-year deal
alves has enjoyed seven successful years at barcelona , winning four spanish titles and the champions league twice .</v>
      </c>
      <c r="D108" s="68">
        <f>IF(H108=0,wdct(TRIM(C108)),0)</f>
        <v>54</v>
      </c>
      <c r="E108" s="68">
        <f>COUNTIFS('Error Log'!$A:$A,$A108,'Error Log'!$J:$J,E$1)</f>
        <v>0</v>
      </c>
      <c r="F108" s="68">
        <f>COUNTIFS('Error Log'!$A:$A,$A108,'Error Log'!$J:$J,F$1)</f>
        <v>1</v>
      </c>
      <c r="G108" s="68">
        <f>COUNTIFS('Error Log'!$A:$A,$A108,'Error Log'!$J:$J,G$1)</f>
        <v>0</v>
      </c>
      <c r="H108" s="68">
        <f>COUNTIFS('Error Log'!$A:$A,$A108,'Error Log'!$F:$F,"Source")</f>
        <v>0</v>
      </c>
      <c r="I108" s="68">
        <f>COUNTIFS('Error Log'!$A:$A,$A108,'Error Log'!$F:$F,"Target")</f>
        <v>0</v>
      </c>
      <c r="J108" s="69">
        <f t="shared" si="1"/>
        <v>95.370370370370381</v>
      </c>
    </row>
    <row r="109" spans="1:10">
      <c r="A109" s="80" t="s">
        <v>902</v>
      </c>
      <c r="B109" s="68"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68" t="str">
        <f>IF(ISBLANK(A109),"",INDEX('Error Log'!$A:$J,MATCH('Scores per segment'!$A109,'Error Log'!$A:$A,0),MATCH('Scores per segment'!C$1,'Error Log'!$A$1:$J$1,0)))</f>
        <v>the unnamed woman , believed to be between 25 and 45 years old , was discovered lying unconscious march 22 in the area near shore parkway and 26th avenue in the gravesend section of brooklyn .
distinctive : nypd has released images of a heart tattoo with the name ` monique ' found on an unnamed woman who died in brooklyn last month .
paramedics who responded to the scene were unable to revive her and she was pronounced dead that evening .</v>
      </c>
      <c r="D109" s="68">
        <f>IF(H109=0,wdct(TRIM(C109)),0)</f>
        <v>75</v>
      </c>
      <c r="E109" s="68">
        <f>COUNTIFS('Error Log'!$A:$A,$A109,'Error Log'!$J:$J,E$1)</f>
        <v>0</v>
      </c>
      <c r="F109" s="68">
        <f>COUNTIFS('Error Log'!$A:$A,$A109,'Error Log'!$J:$J,F$1)</f>
        <v>2</v>
      </c>
      <c r="G109" s="68">
        <f>COUNTIFS('Error Log'!$A:$A,$A109,'Error Log'!$J:$J,G$1)</f>
        <v>0</v>
      </c>
      <c r="H109" s="68">
        <f>COUNTIFS('Error Log'!$A:$A,$A109,'Error Log'!$F:$F,"Source")</f>
        <v>0</v>
      </c>
      <c r="I109" s="68">
        <f>COUNTIFS('Error Log'!$A:$A,$A109,'Error Log'!$F:$F,"Target")</f>
        <v>0</v>
      </c>
      <c r="J109" s="69">
        <f t="shared" si="1"/>
        <v>93.333333333333343</v>
      </c>
    </row>
    <row r="110" spans="1:10">
      <c r="A110" s="80" t="s">
        <v>903</v>
      </c>
      <c r="B110" s="68"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68" t="str">
        <f>IF(ISBLANK(A110),"",INDEX('Error Log'!$A:$J,MATCH('Scores per segment'!$A110,'Error Log'!$A:$A,0),MATCH('Scores per segment'!C$1,'Error Log'!$A$1:$J$1,0)))</f>
        <v>an afghan lawmaker taking part in the protests in the city of khost was among the 64 people wounded , said faizullah ghairat , the provincial police chief .
kabul , afghanistan ( cnn ) a suicide bomber detonated his explosives near a group of protesters in eastern afghanistan on thursday , killing 17 people and wounding dozens more , police said .
taliban spokesman zabiullah mujahid denied his group was responsible for the attack .</v>
      </c>
      <c r="D110" s="68">
        <f>IF(H110=0,wdct(TRIM(C110)),0)</f>
        <v>66</v>
      </c>
      <c r="E110" s="68">
        <f>COUNTIFS('Error Log'!$A:$A,$A110,'Error Log'!$J:$J,E$1)</f>
        <v>0</v>
      </c>
      <c r="F110" s="68">
        <f>COUNTIFS('Error Log'!$A:$A,$A110,'Error Log'!$J:$J,F$1)</f>
        <v>1</v>
      </c>
      <c r="G110" s="68">
        <f>COUNTIFS('Error Log'!$A:$A,$A110,'Error Log'!$J:$J,G$1)</f>
        <v>0</v>
      </c>
      <c r="H110" s="68">
        <f>COUNTIFS('Error Log'!$A:$A,$A110,'Error Log'!$F:$F,"Source")</f>
        <v>0</v>
      </c>
      <c r="I110" s="68">
        <f>COUNTIFS('Error Log'!$A:$A,$A110,'Error Log'!$F:$F,"Target")</f>
        <v>0</v>
      </c>
      <c r="J110" s="69">
        <f t="shared" si="1"/>
        <v>96.212121212121218</v>
      </c>
    </row>
    <row r="111" spans="1:10">
      <c r="A111" s="80" t="s">
        <v>904</v>
      </c>
      <c r="B111" s="68"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68" t="str">
        <f>IF(ISBLANK(A111),"",INDEX('Error Log'!$A:$J,MATCH('Scores per segment'!$A111,'Error Log'!$A:$A,0),MATCH('Scores per segment'!C$1,'Error Log'!$A$1:$J$1,0)))</f>
        <v>hannah and alex purchased a 1986 hino flatbed and undertook their year and a half labor of love .
the result was a solar-powered two-bedroom , wood and steel home that now allows them to live almost self-sufficiently in nelson , new zealand .
a new zealand couple needed a home upon returning home after living in the uk , so they built one on the back of an old flatbed truck .</v>
      </c>
      <c r="D111" s="68">
        <f>IF(H111=0,wdct(TRIM(C111)),0)</f>
        <v>67</v>
      </c>
      <c r="E111" s="68">
        <f>COUNTIFS('Error Log'!$A:$A,$A111,'Error Log'!$J:$J,E$1)</f>
        <v>0</v>
      </c>
      <c r="F111" s="68">
        <f>COUNTIFS('Error Log'!$A:$A,$A111,'Error Log'!$J:$J,F$1)</f>
        <v>0</v>
      </c>
      <c r="G111" s="68">
        <f>COUNTIFS('Error Log'!$A:$A,$A111,'Error Log'!$J:$J,G$1)</f>
        <v>0</v>
      </c>
      <c r="H111" s="68">
        <f>COUNTIFS('Error Log'!$A:$A,$A111,'Error Log'!$F:$F,"Source")</f>
        <v>0</v>
      </c>
      <c r="I111" s="68">
        <f>COUNTIFS('Error Log'!$A:$A,$A111,'Error Log'!$F:$F,"Target")</f>
        <v>0</v>
      </c>
      <c r="J111" s="69">
        <f t="shared" si="1"/>
        <v>100</v>
      </c>
    </row>
    <row r="112" spans="1:10">
      <c r="A112" s="80" t="s">
        <v>905</v>
      </c>
      <c r="B112" s="68"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68" t="str">
        <f>IF(ISBLANK(A112),"",INDEX('Error Log'!$A:$J,MATCH('Scores per segment'!$A112,'Error Log'!$A:$A,0),MATCH('Scores per segment'!C$1,'Error Log'!$A$1:$J$1,0)))</f>
        <v>according to the yougov survey for the sunday times , 12 per cent of people questioned thought that the child should be named after william 's mother - diana the princess of wales .
a new poll has revealed that diana is the favourite option for baby if it is a girl .
brits are hoping for a baby princess this time and favour the name diana</v>
      </c>
      <c r="D112" s="68">
        <f>IF(H112=0,wdct(TRIM(C112)),0)</f>
        <v>63</v>
      </c>
      <c r="E112" s="68">
        <f>COUNTIFS('Error Log'!$A:$A,$A112,'Error Log'!$J:$J,E$1)</f>
        <v>2</v>
      </c>
      <c r="F112" s="68">
        <f>COUNTIFS('Error Log'!$A:$A,$A112,'Error Log'!$J:$J,F$1)</f>
        <v>2</v>
      </c>
      <c r="G112" s="68">
        <f>COUNTIFS('Error Log'!$A:$A,$A112,'Error Log'!$J:$J,G$1)</f>
        <v>0</v>
      </c>
      <c r="H112" s="68">
        <f>COUNTIFS('Error Log'!$A:$A,$A112,'Error Log'!$F:$F,"Source")</f>
        <v>0</v>
      </c>
      <c r="I112" s="68">
        <f>COUNTIFS('Error Log'!$A:$A,$A112,'Error Log'!$F:$F,"Target")</f>
        <v>0</v>
      </c>
      <c r="J112" s="69">
        <f t="shared" si="1"/>
        <v>76.19047619047619</v>
      </c>
    </row>
    <row r="113" spans="1:10">
      <c r="A113" s="80" t="s">
        <v>906</v>
      </c>
      <c r="B113" s="68"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68" t="str">
        <f>IF(ISBLANK(A113),"",INDEX('Error Log'!$A:$J,MATCH('Scores per segment'!$A113,'Error Log'!$A:$A,0),MATCH('Scores per segment'!C$1,'Error Log'!$A$1:$J$1,0)))</f>
        <v>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shared ipad students scored around 30 points higher in a test than students who used the device on their own and non-ipad users ( stock image above )</v>
      </c>
      <c r="D113" s="68">
        <f>IF(H113=0,wdct(TRIM(C113)),0)</f>
        <v>74</v>
      </c>
      <c r="E113" s="68">
        <f>COUNTIFS('Error Log'!$A:$A,$A113,'Error Log'!$J:$J,E$1)</f>
        <v>0</v>
      </c>
      <c r="F113" s="68">
        <f>COUNTIFS('Error Log'!$A:$A,$A113,'Error Log'!$J:$J,F$1)</f>
        <v>3</v>
      </c>
      <c r="G113" s="68">
        <f>COUNTIFS('Error Log'!$A:$A,$A113,'Error Log'!$J:$J,G$1)</f>
        <v>0</v>
      </c>
      <c r="H113" s="68">
        <f>COUNTIFS('Error Log'!$A:$A,$A113,'Error Log'!$F:$F,"Source")</f>
        <v>0</v>
      </c>
      <c r="I113" s="68">
        <f>COUNTIFS('Error Log'!$A:$A,$A113,'Error Log'!$F:$F,"Target")</f>
        <v>0</v>
      </c>
      <c r="J113" s="69">
        <f t="shared" si="1"/>
        <v>89.86486486486487</v>
      </c>
    </row>
    <row r="114" spans="1:10">
      <c r="A114" s="80" t="s">
        <v>907</v>
      </c>
      <c r="B114" s="68"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68" t="str">
        <f>IF(ISBLANK(A114),"",INDEX('Error Log'!$A:$J,MATCH('Scores per segment'!$A114,'Error Log'!$A:$A,0),MATCH('Scores per segment'!C$1,'Error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nina has tried to commit suicide .</v>
      </c>
      <c r="D114" s="68">
        <f>IF(H114=0,wdct(TRIM(C114)),0)</f>
        <v>70</v>
      </c>
      <c r="E114" s="68">
        <f>COUNTIFS('Error Log'!$A:$A,$A114,'Error Log'!$J:$J,E$1)</f>
        <v>1</v>
      </c>
      <c r="F114" s="68">
        <f>COUNTIFS('Error Log'!$A:$A,$A114,'Error Log'!$J:$J,F$1)</f>
        <v>2</v>
      </c>
      <c r="G114" s="68">
        <f>COUNTIFS('Error Log'!$A:$A,$A114,'Error Log'!$J:$J,G$1)</f>
        <v>0</v>
      </c>
      <c r="H114" s="68">
        <f>COUNTIFS('Error Log'!$A:$A,$A114,'Error Log'!$F:$F,"Source")</f>
        <v>0</v>
      </c>
      <c r="I114" s="68">
        <f>COUNTIFS('Error Log'!$A:$A,$A114,'Error Log'!$F:$F,"Target")</f>
        <v>0</v>
      </c>
      <c r="J114" s="69">
        <f t="shared" si="1"/>
        <v>85.714285714285722</v>
      </c>
    </row>
    <row r="115" spans="1:10">
      <c r="A115" s="80" t="s">
        <v>908</v>
      </c>
      <c r="B115" s="68"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68" t="str">
        <f>IF(ISBLANK(A115),"",INDEX('Error Log'!$A:$J,MATCH('Scores per segment'!$A115,'Error Log'!$A:$A,0),MATCH('Scores per segment'!C$1,'Error Log'!$A$1:$J$1,0)))</f>
        <v>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v>
      </c>
      <c r="D115" s="68">
        <f>IF(H115=0,wdct(TRIM(C115)),0)</f>
        <v>67</v>
      </c>
      <c r="E115" s="68">
        <f>COUNTIFS('Error Log'!$A:$A,$A115,'Error Log'!$J:$J,E$1)</f>
        <v>1</v>
      </c>
      <c r="F115" s="68">
        <f>COUNTIFS('Error Log'!$A:$A,$A115,'Error Log'!$J:$J,F$1)</f>
        <v>1</v>
      </c>
      <c r="G115" s="68">
        <f>COUNTIFS('Error Log'!$A:$A,$A115,'Error Log'!$J:$J,G$1)</f>
        <v>0</v>
      </c>
      <c r="H115" s="68">
        <f>COUNTIFS('Error Log'!$A:$A,$A115,'Error Log'!$F:$F,"Source")</f>
        <v>0</v>
      </c>
      <c r="I115" s="68">
        <f>COUNTIFS('Error Log'!$A:$A,$A115,'Error Log'!$F:$F,"Target")</f>
        <v>0</v>
      </c>
      <c r="J115" s="69">
        <f t="shared" si="1"/>
        <v>88.805970149253739</v>
      </c>
    </row>
    <row r="116" spans="1:10">
      <c r="A116" s="80" t="s">
        <v>909</v>
      </c>
      <c r="B116" s="68"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68" t="str">
        <f>IF(ISBLANK(A116),"",INDEX('Error Log'!$A:$J,MATCH('Scores per segment'!$A116,'Error Log'!$A:$A,0),MATCH('Scores per segment'!C$1,'Error Log'!$A$1:$J$1,0)))</f>
        <v>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v>
      </c>
      <c r="D116" s="68">
        <f>IF(H116=0,wdct(TRIM(C116)),0)</f>
        <v>79</v>
      </c>
      <c r="E116" s="68">
        <f>COUNTIFS('Error Log'!$A:$A,$A116,'Error Log'!$J:$J,E$1)</f>
        <v>2</v>
      </c>
      <c r="F116" s="68">
        <f>COUNTIFS('Error Log'!$A:$A,$A116,'Error Log'!$J:$J,F$1)</f>
        <v>2</v>
      </c>
      <c r="G116" s="68">
        <f>COUNTIFS('Error Log'!$A:$A,$A116,'Error Log'!$J:$J,G$1)</f>
        <v>0</v>
      </c>
      <c r="H116" s="68">
        <f>COUNTIFS('Error Log'!$A:$A,$A116,'Error Log'!$F:$F,"Source")</f>
        <v>0</v>
      </c>
      <c r="I116" s="68">
        <f>COUNTIFS('Error Log'!$A:$A,$A116,'Error Log'!$F:$F,"Target")</f>
        <v>0</v>
      </c>
      <c r="J116" s="69">
        <f t="shared" si="1"/>
        <v>81.012658227848107</v>
      </c>
    </row>
    <row r="117" spans="1:10">
      <c r="A117" s="80" t="s">
        <v>910</v>
      </c>
      <c r="B117" s="68"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68" t="str">
        <f>IF(ISBLANK(A117),"",INDEX('Error Log'!$A:$J,MATCH('Scores per segment'!$A117,'Error Log'!$A:$A,0),MATCH('Scores per segment'!C$1,'Error Log'!$A$1:$J$1,0)))</f>
        <v>todd phillips , a front-outside tire changer for dayle coyne racing , was injuried when he was struck by the car of francesco dracone , who had come in on lap 25 for tires and fuel .
phillips was taken to the infield care center for treatment where he has received stitches for a cut on his leg and has been released .
dracone spun while exiting his put box , clipping phillips ' leg .</v>
      </c>
      <c r="D117" s="68">
        <f>IF(H117=0,wdct(TRIM(C117)),0)</f>
        <v>68</v>
      </c>
      <c r="E117" s="68">
        <f>COUNTIFS('Error Log'!$A:$A,$A117,'Error Log'!$J:$J,E$1)</f>
        <v>1</v>
      </c>
      <c r="F117" s="68">
        <f>COUNTIFS('Error Log'!$A:$A,$A117,'Error Log'!$J:$J,F$1)</f>
        <v>1</v>
      </c>
      <c r="G117" s="68">
        <f>COUNTIFS('Error Log'!$A:$A,$A117,'Error Log'!$J:$J,G$1)</f>
        <v>0</v>
      </c>
      <c r="H117" s="68">
        <f>COUNTIFS('Error Log'!$A:$A,$A117,'Error Log'!$F:$F,"Source")</f>
        <v>0</v>
      </c>
      <c r="I117" s="68">
        <f>COUNTIFS('Error Log'!$A:$A,$A117,'Error Log'!$F:$F,"Target")</f>
        <v>0</v>
      </c>
      <c r="J117" s="69">
        <f t="shared" si="1"/>
        <v>88.970588235294116</v>
      </c>
    </row>
    <row r="118" spans="1:10">
      <c r="A118" s="80" t="s">
        <v>911</v>
      </c>
      <c r="B118" s="68"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68" t="str">
        <f>IF(ISBLANK(A118),"",INDEX('Error Log'!$A:$J,MATCH('Scores per segment'!$A118,'Error Log'!$A:$A,0),MATCH('Scores per segment'!C$1,'Error Log'!$A$1:$J$1,0)))</f>
        <v>anastasia pavlyuchenkova of russia beat germany 's sabine lisicki for a 2-0 lead in their fed cup tie
pavlyuchenkova saved the match point in the second set before going on to beat lisicki 4-6 , 7-6 ( 4 ) , 6-3 , after svetlana kuznetsova beat julia goerges in straight sets in the opening rubber .
the result left russia needing one win from sunday 's three matches to reach the final and bag a first fed cup title since 2008 .</v>
      </c>
      <c r="D118" s="68">
        <f>IF(H118=0,wdct(TRIM(C118)),0)</f>
        <v>75</v>
      </c>
      <c r="E118" s="68">
        <f>COUNTIFS('Error Log'!$A:$A,$A118,'Error Log'!$J:$J,E$1)</f>
        <v>1</v>
      </c>
      <c r="F118" s="68">
        <f>COUNTIFS('Error Log'!$A:$A,$A118,'Error Log'!$J:$J,F$1)</f>
        <v>1</v>
      </c>
      <c r="G118" s="68">
        <f>COUNTIFS('Error Log'!$A:$A,$A118,'Error Log'!$J:$J,G$1)</f>
        <v>0</v>
      </c>
      <c r="H118" s="68">
        <f>COUNTIFS('Error Log'!$A:$A,$A118,'Error Log'!$F:$F,"Source")</f>
        <v>0</v>
      </c>
      <c r="I118" s="68">
        <f>COUNTIFS('Error Log'!$A:$A,$A118,'Error Log'!$F:$F,"Target")</f>
        <v>0</v>
      </c>
      <c r="J118" s="69">
        <f t="shared" si="1"/>
        <v>90</v>
      </c>
    </row>
    <row r="119" spans="1:10">
      <c r="A119" s="80" t="s">
        <v>912</v>
      </c>
      <c r="B119" s="68"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68" t="str">
        <f>IF(ISBLANK(A119),"",INDEX('Error Log'!$A:$J,MATCH('Scores per segment'!$A119,'Error Log'!$A:$A,0),MATCH('Scores per segment'!C$1,'Error Log'!$A$1:$J$1,0)))</f>
        <v>milton vieira severiano confessed that he battered and shot his wife because he was jealous of men looking at her
dancer cicera alves de sena ( pictured ) was killed by her husband after he 'd yelled at her that she was ' a slut '
horrific cctv footage has emerged of a husband smashing his dancer wife 's head into concrete paving 11 times then shooting her in the face five times .</v>
      </c>
      <c r="D119" s="68">
        <f>IF(H119=0,wdct(TRIM(C119)),0)</f>
        <v>69</v>
      </c>
      <c r="E119" s="68">
        <f>COUNTIFS('Error Log'!$A:$A,$A119,'Error Log'!$J:$J,E$1)</f>
        <v>0</v>
      </c>
      <c r="F119" s="68">
        <f>COUNTIFS('Error Log'!$A:$A,$A119,'Error Log'!$J:$J,F$1)</f>
        <v>1</v>
      </c>
      <c r="G119" s="68">
        <f>COUNTIFS('Error Log'!$A:$A,$A119,'Error Log'!$J:$J,G$1)</f>
        <v>0</v>
      </c>
      <c r="H119" s="68">
        <f>COUNTIFS('Error Log'!$A:$A,$A119,'Error Log'!$F:$F,"Source")</f>
        <v>0</v>
      </c>
      <c r="I119" s="68">
        <f>COUNTIFS('Error Log'!$A:$A,$A119,'Error Log'!$F:$F,"Target")</f>
        <v>0</v>
      </c>
      <c r="J119" s="69">
        <f t="shared" si="1"/>
        <v>96.376811594202906</v>
      </c>
    </row>
    <row r="120" spans="1:10">
      <c r="A120" s="80" t="s">
        <v>913</v>
      </c>
      <c r="B120" s="68"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68" t="str">
        <f>IF(ISBLANK(A120),"",INDEX('Error Log'!$A:$J,MATCH('Scores per segment'!$A120,'Error Log'!$A:$A,0),MATCH('Scores per segment'!C$1,'Error Log'!$A$1:$J$1,0)))</f>
        <v>(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she also has a tracheostomy in her throat , the source said .</v>
      </c>
      <c r="D120" s="68">
        <f>IF(H120=0,wdct(TRIM(C120)),0)</f>
        <v>58</v>
      </c>
      <c r="E120" s="68">
        <f>COUNTIFS('Error Log'!$A:$A,$A120,'Error Log'!$J:$J,E$1)</f>
        <v>1</v>
      </c>
      <c r="F120" s="68">
        <f>COUNTIFS('Error Log'!$A:$A,$A120,'Error Log'!$J:$J,F$1)</f>
        <v>3</v>
      </c>
      <c r="G120" s="68">
        <f>COUNTIFS('Error Log'!$A:$A,$A120,'Error Log'!$J:$J,G$1)</f>
        <v>0</v>
      </c>
      <c r="H120" s="68">
        <f>COUNTIFS('Error Log'!$A:$A,$A120,'Error Log'!$F:$F,"Source")</f>
        <v>0</v>
      </c>
      <c r="I120" s="68">
        <f>COUNTIFS('Error Log'!$A:$A,$A120,'Error Log'!$F:$F,"Target")</f>
        <v>0</v>
      </c>
      <c r="J120" s="69">
        <f t="shared" si="1"/>
        <v>78.448275862068968</v>
      </c>
    </row>
    <row r="121" spans="1:10">
      <c r="A121" s="80" t="s">
        <v>914</v>
      </c>
      <c r="B121" s="68"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68" t="str">
        <f>IF(ISBLANK(A121),"",INDEX('Error Log'!$A:$J,MATCH('Scores per segment'!$A121,'Error Log'!$A:$A,0),MATCH('Scores per segment'!C$1,'Error Log'!$A$1:$J$1,0)))</f>
        <v>sarah wilson opened up in a candid interview about how her battle with mental illness drove her to believe her life was n't worth living
ms wilson said while she now accepts she is an ` anxious person ' , when she was younger she watched everybody else coping and felt like she had ` missed out on a guide book to life ' .
she said ` people get on with their lives ' and while she had n't found a husband , nor had children , she felt increasingly isolated . '</v>
      </c>
      <c r="D121" s="68">
        <f>IF(H121=0,wdct(TRIM(C121)),0)</f>
        <v>82</v>
      </c>
      <c r="E121" s="68">
        <f>COUNTIFS('Error Log'!$A:$A,$A121,'Error Log'!$J:$J,E$1)</f>
        <v>2</v>
      </c>
      <c r="F121" s="68">
        <f>COUNTIFS('Error Log'!$A:$A,$A121,'Error Log'!$J:$J,F$1)</f>
        <v>2</v>
      </c>
      <c r="G121" s="68">
        <f>COUNTIFS('Error Log'!$A:$A,$A121,'Error Log'!$J:$J,G$1)</f>
        <v>0</v>
      </c>
      <c r="H121" s="68">
        <f>COUNTIFS('Error Log'!$A:$A,$A121,'Error Log'!$F:$F,"Source")</f>
        <v>0</v>
      </c>
      <c r="I121" s="68">
        <f>COUNTIFS('Error Log'!$A:$A,$A121,'Error Log'!$F:$F,"Target")</f>
        <v>0</v>
      </c>
      <c r="J121" s="69">
        <f t="shared" si="1"/>
        <v>81.707317073170728</v>
      </c>
    </row>
    <row r="122" spans="1:10">
      <c r="A122" s="80" t="s">
        <v>915</v>
      </c>
      <c r="B122" s="68"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68" t="str">
        <f>IF(ISBLANK(A122),"",INDEX('Error Log'!$A:$J,MATCH('Scores per segment'!$A122,'Error Log'!$A:$A,0),MATCH('Scores per segment'!C$1,'Error Log'!$A$1:$J$1,0)))</f>
        <v>the ireland under 21 international wears children 's shinpads - and says is n't about to change
jack grealish is renowned for wearing his socks low when he takes to the field for aston villa
grealish was pleased to have finally made his first premier league start for villa against qpr</v>
      </c>
      <c r="D122" s="68">
        <f>IF(H122=0,wdct(TRIM(C122)),0)</f>
        <v>50</v>
      </c>
      <c r="E122" s="68">
        <f>COUNTIFS('Error Log'!$A:$A,$A122,'Error Log'!$J:$J,E$1)</f>
        <v>0</v>
      </c>
      <c r="F122" s="68">
        <f>COUNTIFS('Error Log'!$A:$A,$A122,'Error Log'!$J:$J,F$1)</f>
        <v>0</v>
      </c>
      <c r="G122" s="68">
        <f>COUNTIFS('Error Log'!$A:$A,$A122,'Error Log'!$J:$J,G$1)</f>
        <v>0</v>
      </c>
      <c r="H122" s="68">
        <f>COUNTIFS('Error Log'!$A:$A,$A122,'Error Log'!$F:$F,"Source")</f>
        <v>0</v>
      </c>
      <c r="I122" s="68">
        <f>COUNTIFS('Error Log'!$A:$A,$A122,'Error Log'!$F:$F,"Target")</f>
        <v>0</v>
      </c>
      <c r="J122" s="69">
        <f t="shared" si="1"/>
        <v>100</v>
      </c>
    </row>
    <row r="123" spans="1:10">
      <c r="A123" s="80" t="s">
        <v>916</v>
      </c>
      <c r="B123" s="68"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68" t="str">
        <f>IF(ISBLANK(A123),"",INDEX('Error Log'!$A:$J,MATCH('Scores per segment'!$A123,'Error Log'!$A:$A,0),MATCH('Scores per segment'!C$1,'Error Log'!$A$1:$J$1,0)))</f>
        <v>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curtin gave birth in january .</v>
      </c>
      <c r="D123" s="68">
        <f>IF(H123=0,wdct(TRIM(C123)),0)</f>
        <v>67</v>
      </c>
      <c r="E123" s="68">
        <f>COUNTIFS('Error Log'!$A:$A,$A123,'Error Log'!$J:$J,E$1)</f>
        <v>1</v>
      </c>
      <c r="F123" s="68">
        <f>COUNTIFS('Error Log'!$A:$A,$A123,'Error Log'!$J:$J,F$1)</f>
        <v>1</v>
      </c>
      <c r="G123" s="68">
        <f>COUNTIFS('Error Log'!$A:$A,$A123,'Error Log'!$J:$J,G$1)</f>
        <v>0</v>
      </c>
      <c r="H123" s="68">
        <f>COUNTIFS('Error Log'!$A:$A,$A123,'Error Log'!$F:$F,"Source")</f>
        <v>0</v>
      </c>
      <c r="I123" s="68">
        <f>COUNTIFS('Error Log'!$A:$A,$A123,'Error Log'!$F:$F,"Target")</f>
        <v>0</v>
      </c>
      <c r="J123" s="69">
        <f t="shared" si="1"/>
        <v>88.805970149253739</v>
      </c>
    </row>
    <row r="124" spans="1:10">
      <c r="A124" s="83" t="s">
        <v>917</v>
      </c>
      <c r="B124" s="68"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68" t="str">
        <f>IF(ISBLANK(A124),"",INDEX('Error Log'!$A:$J,MATCH('Scores per segment'!$A124,'Error Log'!$A:$A,0),MATCH('Scores per segment'!C$1,'Error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v>
      </c>
      <c r="D124" s="68">
        <f>IF(H124=0,wdct(TRIM(C124)),0)</f>
        <v>76</v>
      </c>
      <c r="E124" s="68">
        <f>COUNTIFS('Error Log'!$A:$A,$A124,'Error Log'!$J:$J,E$1)</f>
        <v>0</v>
      </c>
      <c r="F124" s="68">
        <f>COUNTIFS('Error Log'!$A:$A,$A124,'Error Log'!$J:$J,F$1)</f>
        <v>4</v>
      </c>
      <c r="G124" s="68">
        <f>COUNTIFS('Error Log'!$A:$A,$A124,'Error Log'!$J:$J,G$1)</f>
        <v>0</v>
      </c>
      <c r="H124" s="68">
        <f>COUNTIFS('Error Log'!$A:$A,$A124,'Error Log'!$F:$F,"Source")</f>
        <v>0</v>
      </c>
      <c r="I124" s="68">
        <f>COUNTIFS('Error Log'!$A:$A,$A124,'Error Log'!$F:$F,"Target")</f>
        <v>0</v>
      </c>
      <c r="J124" s="69">
        <f t="shared" si="1"/>
        <v>86.84210526315789</v>
      </c>
    </row>
    <row r="125" spans="1:10">
      <c r="A125" s="83" t="s">
        <v>918</v>
      </c>
      <c r="B125" s="68"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68" t="str">
        <f>IF(ISBLANK(A125),"",INDEX('Error Log'!$A:$J,MATCH('Scores per segment'!$A125,'Error Log'!$A:$A,0),MATCH('Scores per segment'!C$1,'Error Log'!$A$1:$J$1,0)))</f>
        <v>gemma the pit bull was filmed at home in california being fed some treats .
but in a bid to trick her , her owner throws a broccoli spear into the mix .
she then proceeds to spit it out on the floor .</v>
      </c>
      <c r="D125" s="68">
        <f>IF(H125=0,wdct(TRIM(C125)),0)</f>
        <v>40</v>
      </c>
      <c r="E125" s="68">
        <f>COUNTIFS('Error Log'!$A:$A,$A125,'Error Log'!$J:$J,E$1)</f>
        <v>0</v>
      </c>
      <c r="F125" s="68">
        <f>COUNTIFS('Error Log'!$A:$A,$A125,'Error Log'!$J:$J,F$1)</f>
        <v>0</v>
      </c>
      <c r="G125" s="68">
        <f>COUNTIFS('Error Log'!$A:$A,$A125,'Error Log'!$J:$J,G$1)</f>
        <v>0</v>
      </c>
      <c r="H125" s="68">
        <f>COUNTIFS('Error Log'!$A:$A,$A125,'Error Log'!$F:$F,"Source")</f>
        <v>0</v>
      </c>
      <c r="I125" s="68">
        <f>COUNTIFS('Error Log'!$A:$A,$A125,'Error Log'!$F:$F,"Target")</f>
        <v>0</v>
      </c>
      <c r="J125" s="69">
        <f t="shared" si="1"/>
        <v>100</v>
      </c>
    </row>
    <row r="126" spans="1:10">
      <c r="A126" s="83" t="s">
        <v>919</v>
      </c>
      <c r="B126" s="68"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68" t="str">
        <f>IF(ISBLANK(A126),"",INDEX('Error Log'!$A:$J,MATCH('Scores per segment'!$A126,'Error Log'!$A:$A,0),MATCH('Scores per segment'!C$1,'Error Log'!$A$1:$J$1,0)))</f>
        <v>kushner , 32 , is one of more than a dozen former drug dealers testifying for the federal government about allegations of police wrongdoing .
witness robert kushner lost his varsity coaching job at a private academy after testifying this week about his years selling marijuana .
he told jurors tuesday that some of the undercover officers on trial had stolen $ 81,000 in cash and 7 pounds of marijuana from him during a 2007 arrest .</v>
      </c>
      <c r="D126" s="68">
        <f>IF(H126=0,wdct(TRIM(C126)),0)</f>
        <v>71</v>
      </c>
      <c r="E126" s="68">
        <f>COUNTIFS('Error Log'!$A:$A,$A126,'Error Log'!$J:$J,E$1)</f>
        <v>1</v>
      </c>
      <c r="F126" s="68">
        <f>COUNTIFS('Error Log'!$A:$A,$A126,'Error Log'!$J:$J,F$1)</f>
        <v>1</v>
      </c>
      <c r="G126" s="68">
        <f>COUNTIFS('Error Log'!$A:$A,$A126,'Error Log'!$J:$J,G$1)</f>
        <v>0</v>
      </c>
      <c r="H126" s="68">
        <f>COUNTIFS('Error Log'!$A:$A,$A126,'Error Log'!$F:$F,"Source")</f>
        <v>0</v>
      </c>
      <c r="I126" s="68">
        <f>COUNTIFS('Error Log'!$A:$A,$A126,'Error Log'!$F:$F,"Target")</f>
        <v>0</v>
      </c>
      <c r="J126" s="69">
        <f t="shared" si="1"/>
        <v>89.436619718309856</v>
      </c>
    </row>
    <row r="127" spans="1:10">
      <c r="A127" s="83" t="s">
        <v>920</v>
      </c>
      <c r="B127" s="68"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68" t="str">
        <f>IF(ISBLANK(A127),"",INDEX('Error Log'!$A:$J,MATCH('Scores per segment'!$A127,'Error Log'!$A:$A,0),MATCH('Scores per segment'!C$1,'Error Log'!$A$1:$J$1,0)))</f>
        <v>the porn site took over the address after the awards were scrapped in 2011 and the organisers allowed its registration on hsbc.com.hk to retire .
anyone trying to access the bank 's page for the young entrepreneur awards - which has since been shut down - was greeted by images of women posing naked or having sex .
hsbc has apologised after a link on its official website directed visitors to a pornographic page .</v>
      </c>
      <c r="D127" s="68">
        <f>IF(H127=0,wdct(TRIM(C127)),0)</f>
        <v>72</v>
      </c>
      <c r="E127" s="68">
        <f>COUNTIFS('Error Log'!$A:$A,$A127,'Error Log'!$J:$J,E$1)</f>
        <v>1</v>
      </c>
      <c r="F127" s="68">
        <f>COUNTIFS('Error Log'!$A:$A,$A127,'Error Log'!$J:$J,F$1)</f>
        <v>0</v>
      </c>
      <c r="G127" s="68">
        <f>COUNTIFS('Error Log'!$A:$A,$A127,'Error Log'!$J:$J,G$1)</f>
        <v>0</v>
      </c>
      <c r="H127" s="68">
        <f>COUNTIFS('Error Log'!$A:$A,$A127,'Error Log'!$F:$F,"Source")</f>
        <v>0</v>
      </c>
      <c r="I127" s="68">
        <f>COUNTIFS('Error Log'!$A:$A,$A127,'Error Log'!$F:$F,"Target")</f>
        <v>0</v>
      </c>
      <c r="J127" s="69">
        <f t="shared" si="1"/>
        <v>93.055555555555557</v>
      </c>
    </row>
    <row r="128" spans="1:10">
      <c r="A128" s="83" t="s">
        <v>921</v>
      </c>
      <c r="B128" s="68"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68" t="str">
        <f>IF(ISBLANK(A128),"",INDEX('Error Log'!$A:$J,MATCH('Scores per segment'!$A128,'Error Log'!$A:$A,0),MATCH('Scores per segment'!C$1,'Error Log'!$A$1:$J$1,0)))</f>
        <v>youtube user lionel hutz filmed his young son chasing the family feline around the garden in a bid to get some rest . 
 footage shows the cat licking his fur before his human friend comes along and plonks himself on top . 
 the boy then proceeds to follow the pet to his new location .</v>
      </c>
      <c r="D128" s="68">
        <f>IF(H128=0,wdct(TRIM(C128)),0)</f>
        <v>52</v>
      </c>
      <c r="E128" s="68">
        <f>COUNTIFS('Error Log'!$A:$A,$A128,'Error Log'!$J:$J,E$1)</f>
        <v>0</v>
      </c>
      <c r="F128" s="68">
        <f>COUNTIFS('Error Log'!$A:$A,$A128,'Error Log'!$J:$J,F$1)</f>
        <v>1</v>
      </c>
      <c r="G128" s="68">
        <f>COUNTIFS('Error Log'!$A:$A,$A128,'Error Log'!$J:$J,G$1)</f>
        <v>0</v>
      </c>
      <c r="H128" s="68">
        <f>COUNTIFS('Error Log'!$A:$A,$A128,'Error Log'!$F:$F,"Source")</f>
        <v>0</v>
      </c>
      <c r="I128" s="68">
        <f>COUNTIFS('Error Log'!$A:$A,$A128,'Error Log'!$F:$F,"Target")</f>
        <v>0</v>
      </c>
      <c r="J128" s="69">
        <f t="shared" si="1"/>
        <v>95.192307692307693</v>
      </c>
    </row>
    <row r="129" spans="1:10">
      <c r="A129" s="83" t="s">
        <v>922</v>
      </c>
      <c r="B129" s="68"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68" t="str">
        <f>IF(ISBLANK(A129),"",INDEX('Error Log'!$A:$J,MATCH('Scores per segment'!$A129,'Error Log'!$A:$A,0),MATCH('Scores per segment'!C$1,'Error Log'!$A$1:$J$1,0)))</f>
        <v>marcus and his nine-year-old sister aaliyah were trapped in a second-floor bedroom after the fire broke out on the first floor of their home in clinton .
a 13-year-old maryland boy provided firefighters with instructions during a 911 call and got himself and his little sister rescued after his family 's home caught fire on sunday morning ,
he also soothed his sister after she blurted out , ` we 're going to die ' , during the call and told her to ` stay low ' and reminded her to breathe .</v>
      </c>
      <c r="D129" s="68">
        <f>IF(H129=0,wdct(TRIM(C129)),0)</f>
        <v>84</v>
      </c>
      <c r="E129" s="68">
        <f>COUNTIFS('Error Log'!$A:$A,$A129,'Error Log'!$J:$J,E$1)</f>
        <v>1</v>
      </c>
      <c r="F129" s="68">
        <f>COUNTIFS('Error Log'!$A:$A,$A129,'Error Log'!$J:$J,F$1)</f>
        <v>1</v>
      </c>
      <c r="G129" s="68">
        <f>COUNTIFS('Error Log'!$A:$A,$A129,'Error Log'!$J:$J,G$1)</f>
        <v>0</v>
      </c>
      <c r="H129" s="68">
        <f>COUNTIFS('Error Log'!$A:$A,$A129,'Error Log'!$F:$F,"Source")</f>
        <v>0</v>
      </c>
      <c r="I129" s="68">
        <f>COUNTIFS('Error Log'!$A:$A,$A129,'Error Log'!$F:$F,"Target")</f>
        <v>0</v>
      </c>
      <c r="J129" s="69">
        <f t="shared" si="1"/>
        <v>91.071428571428569</v>
      </c>
    </row>
    <row r="130" spans="1:10">
      <c r="A130" s="83" t="s">
        <v>923</v>
      </c>
      <c r="B130" s="68"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68" t="str">
        <f>IF(ISBLANK(A130),"",INDEX('Error Log'!$A:$J,MATCH('Scores per segment'!$A130,'Error Log'!$A:$A,0),MATCH('Scores per segment'!C$1,'Error Log'!$A$1:$J$1,0)))</f>
        <v>jerusalem ( cnn ) a palestinian teenager 's name will be removed from an israeli memorial commemorating fallen soldiers and the victims of terrorism after his family and others complained .
abu khdeir , 16 , was beaten and burned alive by three israelis in july , according to prosecutors .
mohammed abu khdeir 's name appeared this week on the wall at jerusalem 's mount herzl , the site of the national cemetery , as the nation prepared to mark its memorial day on wednesday .</v>
      </c>
      <c r="D130" s="68">
        <f>IF(H130=0,wdct(TRIM(C130)),0)</f>
        <v>77</v>
      </c>
      <c r="E130" s="68">
        <f>COUNTIFS('Error Log'!$A:$A,$A130,'Error Log'!$J:$J,E$1)</f>
        <v>0</v>
      </c>
      <c r="F130" s="68">
        <f>COUNTIFS('Error Log'!$A:$A,$A130,'Error Log'!$J:$J,F$1)</f>
        <v>2</v>
      </c>
      <c r="G130" s="68">
        <f>COUNTIFS('Error Log'!$A:$A,$A130,'Error Log'!$J:$J,G$1)</f>
        <v>0</v>
      </c>
      <c r="H130" s="68">
        <f>COUNTIFS('Error Log'!$A:$A,$A130,'Error Log'!$F:$F,"Source")</f>
        <v>0</v>
      </c>
      <c r="I130" s="68">
        <f>COUNTIFS('Error Log'!$A:$A,$A130,'Error Log'!$F:$F,"Target")</f>
        <v>0</v>
      </c>
      <c r="J130" s="69">
        <f t="shared" ref="J130:J193" si="2">IF(I130=0,IFERROR((((1-((E130*10+F130*5+G130*1)/D130))*100)+100)/2,0),-150)</f>
        <v>93.506493506493513</v>
      </c>
    </row>
    <row r="131" spans="1:10">
      <c r="A131" s="83" t="s">
        <v>924</v>
      </c>
      <c r="B131" s="68"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68" t="str">
        <f>IF(ISBLANK(A131),"",INDEX('Error Log'!$A:$J,MATCH('Scores per segment'!$A131,'Error Log'!$A:$A,0),MATCH('Scores per segment'!C$1,'Error Log'!$A$1:$J$1,0)))</f>
        <v>the images were taken in jervis bay , the south coast of nsw , as the neon glow illuminated one of australia 's popular beaches .
photographer andy hutchinson described the sight as a ` beautiful supernatural scene ' caused by millions of plankton omitting light .
amazing pictures have emerged of blue fluorescent algae lighting up australia 's east coast .</v>
      </c>
      <c r="D131" s="68">
        <f>IF(H131=0,wdct(TRIM(C131)),0)</f>
        <v>55</v>
      </c>
      <c r="E131" s="68">
        <f>COUNTIFS('Error Log'!$A:$A,$A131,'Error Log'!$J:$J,E$1)</f>
        <v>2</v>
      </c>
      <c r="F131" s="68">
        <f>COUNTIFS('Error Log'!$A:$A,$A131,'Error Log'!$J:$J,F$1)</f>
        <v>1</v>
      </c>
      <c r="G131" s="68">
        <f>COUNTIFS('Error Log'!$A:$A,$A131,'Error Log'!$J:$J,G$1)</f>
        <v>0</v>
      </c>
      <c r="H131" s="68">
        <f>COUNTIFS('Error Log'!$A:$A,$A131,'Error Log'!$F:$F,"Source")</f>
        <v>0</v>
      </c>
      <c r="I131" s="68">
        <f>COUNTIFS('Error Log'!$A:$A,$A131,'Error Log'!$F:$F,"Target")</f>
        <v>0</v>
      </c>
      <c r="J131" s="69">
        <f t="shared" si="2"/>
        <v>77.272727272727266</v>
      </c>
    </row>
    <row r="132" spans="1:10">
      <c r="A132" s="83" t="s">
        <v>925</v>
      </c>
      <c r="B132" s="68"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68" t="str">
        <f>IF(ISBLANK(A132),"",INDEX('Error Log'!$A:$J,MATCH('Scores per segment'!$A132,'Error Log'!$A:$A,0),MATCH('Scores per segment'!C$1,'Error Log'!$A$1:$J$1,0)))</f>
        <v>khan ( left ) has announced his next fight will be against chris algieri at welterweight on may 30
bolton-born boxer amir khan enjoyed a day a safari park with his family in northern california
khan posed alongside , and also fed , a rare but dangerous white tiger as well posing with stunning giraffes and sea lions at six flags discovery kingdom .</v>
      </c>
      <c r="D132" s="68">
        <f>IF(H132=0,wdct(TRIM(C132)),0)</f>
        <v>59</v>
      </c>
      <c r="E132" s="68">
        <f>COUNTIFS('Error Log'!$A:$A,$A132,'Error Log'!$J:$J,E$1)</f>
        <v>0</v>
      </c>
      <c r="F132" s="68">
        <f>COUNTIFS('Error Log'!$A:$A,$A132,'Error Log'!$J:$J,F$1)</f>
        <v>1</v>
      </c>
      <c r="G132" s="68">
        <f>COUNTIFS('Error Log'!$A:$A,$A132,'Error Log'!$J:$J,G$1)</f>
        <v>0</v>
      </c>
      <c r="H132" s="68">
        <f>COUNTIFS('Error Log'!$A:$A,$A132,'Error Log'!$F:$F,"Source")</f>
        <v>0</v>
      </c>
      <c r="I132" s="68">
        <f>COUNTIFS('Error Log'!$A:$A,$A132,'Error Log'!$F:$F,"Target")</f>
        <v>0</v>
      </c>
      <c r="J132" s="69">
        <f t="shared" si="2"/>
        <v>95.762711864406782</v>
      </c>
    </row>
    <row r="133" spans="1:10">
      <c r="A133" s="83" t="s">
        <v>926</v>
      </c>
      <c r="B133" s="68"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68" t="str">
        <f>IF(ISBLANK(A133),"",INDEX('Error Log'!$A:$J,MATCH('Scores per segment'!$A133,'Error Log'!$A:$A,0),MATCH('Scores per segment'!C$1,'Error Log'!$A$1:$J$1,0)))</f>
        <v>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v>
      </c>
      <c r="D133" s="68">
        <f>IF(H133=0,wdct(TRIM(C133)),0)</f>
        <v>90</v>
      </c>
      <c r="E133" s="68">
        <f>COUNTIFS('Error Log'!$A:$A,$A133,'Error Log'!$J:$J,E$1)</f>
        <v>2</v>
      </c>
      <c r="F133" s="68">
        <f>COUNTIFS('Error Log'!$A:$A,$A133,'Error Log'!$J:$J,F$1)</f>
        <v>2</v>
      </c>
      <c r="G133" s="68">
        <f>COUNTIFS('Error Log'!$A:$A,$A133,'Error Log'!$J:$J,G$1)</f>
        <v>0</v>
      </c>
      <c r="H133" s="68">
        <f>COUNTIFS('Error Log'!$A:$A,$A133,'Error Log'!$F:$F,"Source")</f>
        <v>0</v>
      </c>
      <c r="I133" s="68">
        <f>COUNTIFS('Error Log'!$A:$A,$A133,'Error Log'!$F:$F,"Target")</f>
        <v>0</v>
      </c>
      <c r="J133" s="69">
        <f t="shared" si="2"/>
        <v>83.333333333333343</v>
      </c>
    </row>
    <row r="134" spans="1:10">
      <c r="A134" s="83" t="s">
        <v>927</v>
      </c>
      <c r="B134" s="68"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68" t="str">
        <f>IF(ISBLANK(A134),"",INDEX('Error Log'!$A:$J,MATCH('Scores per segment'!$A134,'Error Log'!$A:$A,0),MATCH('Scores per segment'!C$1,'Error Log'!$A$1:$J$1,0)))</f>
        <v>bondi 's icebergs club pool was drained on thursday to create a unique catwalk for mercedes-benz fashion week australia
the collection of ten is designed to be worn in 20 different ways , and are suitable for day to night wear .
ten pieces is headed up by icebergs restaurateur maurice terzini and his partner lucy hinckfuss .</v>
      </c>
      <c r="D134" s="68">
        <f>IF(H134=0,wdct(TRIM(C134)),0)</f>
        <v>55</v>
      </c>
      <c r="E134" s="68">
        <f>COUNTIFS('Error Log'!$A:$A,$A134,'Error Log'!$J:$J,E$1)</f>
        <v>1</v>
      </c>
      <c r="F134" s="68">
        <f>COUNTIFS('Error Log'!$A:$A,$A134,'Error Log'!$J:$J,F$1)</f>
        <v>1</v>
      </c>
      <c r="G134" s="68">
        <f>COUNTIFS('Error Log'!$A:$A,$A134,'Error Log'!$J:$J,G$1)</f>
        <v>0</v>
      </c>
      <c r="H134" s="68">
        <f>COUNTIFS('Error Log'!$A:$A,$A134,'Error Log'!$F:$F,"Source")</f>
        <v>0</v>
      </c>
      <c r="I134" s="68">
        <f>COUNTIFS('Error Log'!$A:$A,$A134,'Error Log'!$F:$F,"Target")</f>
        <v>0</v>
      </c>
      <c r="J134" s="69">
        <f t="shared" si="2"/>
        <v>86.363636363636374</v>
      </c>
    </row>
    <row r="135" spans="1:10">
      <c r="A135" s="83" t="s">
        <v>928</v>
      </c>
      <c r="B135" s="68"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68" t="str">
        <f>IF(ISBLANK(A135),"",INDEX('Error Log'!$A:$J,MATCH('Scores per segment'!$A135,'Error Log'!$A:$A,0),MATCH('Scores per segment'!C$1,'Error Log'!$A$1:$J$1,0)))</f>
        <v>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eighteen other ships - including hms dragon , hms enterprise and hms richmond - had emergency evacuations , data obtained by the sun showed .</v>
      </c>
      <c r="D135" s="68">
        <f>IF(H135=0,wdct(TRIM(C135)),0)</f>
        <v>68</v>
      </c>
      <c r="E135" s="68">
        <f>COUNTIFS('Error Log'!$A:$A,$A135,'Error Log'!$J:$J,E$1)</f>
        <v>1</v>
      </c>
      <c r="F135" s="68">
        <f>COUNTIFS('Error Log'!$A:$A,$A135,'Error Log'!$J:$J,F$1)</f>
        <v>1</v>
      </c>
      <c r="G135" s="68">
        <f>COUNTIFS('Error Log'!$A:$A,$A135,'Error Log'!$J:$J,G$1)</f>
        <v>0</v>
      </c>
      <c r="H135" s="68">
        <f>COUNTIFS('Error Log'!$A:$A,$A135,'Error Log'!$F:$F,"Source")</f>
        <v>0</v>
      </c>
      <c r="I135" s="68">
        <f>COUNTIFS('Error Log'!$A:$A,$A135,'Error Log'!$F:$F,"Target")</f>
        <v>0</v>
      </c>
      <c r="J135" s="69">
        <f t="shared" si="2"/>
        <v>88.970588235294116</v>
      </c>
    </row>
    <row r="136" spans="1:10">
      <c r="A136" s="83" t="s">
        <v>929</v>
      </c>
      <c r="B136" s="68"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68" t="str">
        <f>IF(ISBLANK(A136),"",INDEX('Error Log'!$A:$J,MATCH('Scores per segment'!$A136,'Error Log'!$A:$A,0),MATCH('Scores per segment'!C$1,'Error Log'!$A$1:$J$1,0)))</f>
        <v>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a leading member of the notorious paedophile information exchange , which campaigned to legalise child sex in the 1970s and 80s , has joined the supporters of the media pressure group hacked off .</v>
      </c>
      <c r="D136" s="68">
        <f>IF(H136=0,wdct(TRIM(C136)),0)</f>
        <v>94</v>
      </c>
      <c r="E136" s="68">
        <f>COUNTIFS('Error Log'!$A:$A,$A136,'Error Log'!$J:$J,E$1)</f>
        <v>2</v>
      </c>
      <c r="F136" s="68">
        <f>COUNTIFS('Error Log'!$A:$A,$A136,'Error Log'!$J:$J,F$1)</f>
        <v>1</v>
      </c>
      <c r="G136" s="68">
        <f>COUNTIFS('Error Log'!$A:$A,$A136,'Error Log'!$J:$J,G$1)</f>
        <v>0</v>
      </c>
      <c r="H136" s="68">
        <f>COUNTIFS('Error Log'!$A:$A,$A136,'Error Log'!$F:$F,"Source")</f>
        <v>0</v>
      </c>
      <c r="I136" s="68">
        <f>COUNTIFS('Error Log'!$A:$A,$A136,'Error Log'!$F:$F,"Target")</f>
        <v>0</v>
      </c>
      <c r="J136" s="69">
        <f t="shared" si="2"/>
        <v>86.702127659574472</v>
      </c>
    </row>
    <row r="137" spans="1:10">
      <c r="A137" s="83" t="s">
        <v>930</v>
      </c>
      <c r="B137" s="68"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68" t="str">
        <f>IF(ISBLANK(A137),"",INDEX('Error Log'!$A:$J,MATCH('Scores per segment'!$A137,'Error Log'!$A:$A,0),MATCH('Scores per segment'!C$1,'Error Log'!$A$1:$J$1,0)))</f>
        <v>a drone carrying traces of a radioactive material was found on the rooftop of japan 's equivalent to the white house on wednesday , police and government officials said .
prime minister shinzo abe 's push to restart the reactors is unpopular among many japanese , who view nuclear energy as too dangerous .
the discovery came on the same day a japanese court approved a government plan to restart two reactors at the sendai nuclear power plant in kagoshima prefecture , more than four years after the fukushima daiichi nuclear disaster .</v>
      </c>
      <c r="D137" s="68">
        <f>IF(H137=0,wdct(TRIM(C137)),0)</f>
        <v>87</v>
      </c>
      <c r="E137" s="68">
        <f>COUNTIFS('Error Log'!$A:$A,$A137,'Error Log'!$J:$J,E$1)</f>
        <v>1</v>
      </c>
      <c r="F137" s="68">
        <f>COUNTIFS('Error Log'!$A:$A,$A137,'Error Log'!$J:$J,F$1)</f>
        <v>1</v>
      </c>
      <c r="G137" s="68">
        <f>COUNTIFS('Error Log'!$A:$A,$A137,'Error Log'!$J:$J,G$1)</f>
        <v>0</v>
      </c>
      <c r="H137" s="68">
        <f>COUNTIFS('Error Log'!$A:$A,$A137,'Error Log'!$F:$F,"Source")</f>
        <v>0</v>
      </c>
      <c r="I137" s="68">
        <f>COUNTIFS('Error Log'!$A:$A,$A137,'Error Log'!$F:$F,"Target")</f>
        <v>0</v>
      </c>
      <c r="J137" s="69">
        <f t="shared" si="2"/>
        <v>91.379310344827587</v>
      </c>
    </row>
    <row r="138" spans="1:10">
      <c r="A138" s="83" t="s">
        <v>932</v>
      </c>
      <c r="B138" s="68"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68" t="str">
        <f>IF(ISBLANK(A138),"",INDEX('Error Log'!$A:$J,MATCH('Scores per segment'!$A138,'Error Log'!$A:$A,0),MATCH('Scores per segment'!C$1,'Error Log'!$A$1:$J$1,0)))</f>
        <v>the five-year-old child is called mai zizhuo and he has been shooting hoops since he was two and a half years old , reported the people 's daily online .
a viral video is making the rounds in china , which shows a small boy displaying a dazzling array of basketball skills that would put to shame many professional players .
his incredible skills have won him legions of fans across basketball-mad china .</v>
      </c>
      <c r="D138" s="68">
        <f>IF(H138=0,wdct(TRIM(C138)),0)</f>
        <v>69</v>
      </c>
      <c r="E138" s="68">
        <f>COUNTIFS('Error Log'!$A:$A,$A138,'Error Log'!$J:$J,E$1)</f>
        <v>0</v>
      </c>
      <c r="F138" s="68">
        <f>COUNTIFS('Error Log'!$A:$A,$A138,'Error Log'!$J:$J,F$1)</f>
        <v>0</v>
      </c>
      <c r="G138" s="68">
        <f>COUNTIFS('Error Log'!$A:$A,$A138,'Error Log'!$J:$J,G$1)</f>
        <v>0</v>
      </c>
      <c r="H138" s="68">
        <f>COUNTIFS('Error Log'!$A:$A,$A138,'Error Log'!$F:$F,"Source")</f>
        <v>0</v>
      </c>
      <c r="I138" s="68">
        <f>COUNTIFS('Error Log'!$A:$A,$A138,'Error Log'!$F:$F,"Target")</f>
        <v>0</v>
      </c>
      <c r="J138" s="69">
        <f t="shared" si="2"/>
        <v>100</v>
      </c>
    </row>
    <row r="139" spans="1:10">
      <c r="A139" s="83" t="s">
        <v>931</v>
      </c>
      <c r="B139" s="68"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68" t="str">
        <f>IF(ISBLANK(A139),"",INDEX('Error Log'!$A:$J,MATCH('Scores per segment'!$A139,'Error Log'!$A:$A,0),MATCH('Scores per segment'!C$1,'Error Log'!$A$1:$J$1,0)))</f>
        <v>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vulnerable : his elderly mother suffers from alzheimer 's and used to get lost when she was left alone</v>
      </c>
      <c r="D139" s="68">
        <f>IF(H139=0,wdct(TRIM(C139)),0)</f>
        <v>72</v>
      </c>
      <c r="E139" s="68">
        <f>COUNTIFS('Error Log'!$A:$A,$A139,'Error Log'!$J:$J,E$1)</f>
        <v>3</v>
      </c>
      <c r="F139" s="68">
        <f>COUNTIFS('Error Log'!$A:$A,$A139,'Error Log'!$J:$J,F$1)</f>
        <v>1</v>
      </c>
      <c r="G139" s="68">
        <f>COUNTIFS('Error Log'!$A:$A,$A139,'Error Log'!$J:$J,G$1)</f>
        <v>0</v>
      </c>
      <c r="H139" s="68">
        <f>COUNTIFS('Error Log'!$A:$A,$A139,'Error Log'!$F:$F,"Source")</f>
        <v>0</v>
      </c>
      <c r="I139" s="68">
        <f>COUNTIFS('Error Log'!$A:$A,$A139,'Error Log'!$F:$F,"Target")</f>
        <v>0</v>
      </c>
      <c r="J139" s="69">
        <f t="shared" si="2"/>
        <v>75.694444444444443</v>
      </c>
    </row>
    <row r="140" spans="1:10">
      <c r="A140" s="80" t="s">
        <v>933</v>
      </c>
      <c r="B140" s="68"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68" t="str">
        <f>IF(ISBLANK(A140),"",INDEX('Error Log'!$A:$J,MATCH('Scores per segment'!$A140,'Error Log'!$A:$A,0),MATCH('Scores per segment'!C$1,'Error Log'!$A$1:$J$1,0)))</f>
        <v>jamar nicholson , 15 , and his friends were hanging out in an alleyway in south l.a. before school on february 10 when two police officers working for the lapd 's criminal gang-homicide unit approached the boys with their guns drawn .
suing la for millions : jamar nicholson ( left ) and his friend jason huerta ( right ) , who stand solemnly in the alleyway where nicholson was shot , are suing the city of los angeles for $ 20 million
: one of the teens present at the shooting was holding this fake gun with an orange tip that lapd say they thought was real</v>
      </c>
      <c r="D140" s="68">
        <f>IF(H140=0,wdct(TRIM(C140)),0)</f>
        <v>97</v>
      </c>
      <c r="E140" s="68">
        <f>COUNTIFS('Error Log'!$A:$A,$A140,'Error Log'!$J:$J,E$1)</f>
        <v>2</v>
      </c>
      <c r="F140" s="68">
        <f>COUNTIFS('Error Log'!$A:$A,$A140,'Error Log'!$J:$J,F$1)</f>
        <v>5</v>
      </c>
      <c r="G140" s="68">
        <f>COUNTIFS('Error Log'!$A:$A,$A140,'Error Log'!$J:$J,G$1)</f>
        <v>0</v>
      </c>
      <c r="H140" s="68">
        <f>COUNTIFS('Error Log'!$A:$A,$A140,'Error Log'!$F:$F,"Source")</f>
        <v>0</v>
      </c>
      <c r="I140" s="68">
        <f>COUNTIFS('Error Log'!$A:$A,$A140,'Error Log'!$F:$F,"Target")</f>
        <v>0</v>
      </c>
      <c r="J140" s="69">
        <f t="shared" si="2"/>
        <v>76.80412371134021</v>
      </c>
    </row>
    <row r="141" spans="1:10" ht="15.6">
      <c r="A141" s="84" t="s">
        <v>941</v>
      </c>
      <c r="B141" s="68"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68" t="str">
        <f>IF(ISBLANK(A141),"",INDEX('Error Log'!$A:$J,MATCH('Scores per segment'!$A141,'Error Log'!$A:$A,0),MATCH('Scores per segment'!C$1,'Error Log'!$A$1:$J$1,0)))</f>
        <v>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increases are driven largely by women 's drinking habits as social norms change , researchers found .
in 2012 , 8 percent of americans were considered heavy drinkers and 18 percent were binge drinkers .</v>
      </c>
      <c r="D141" s="68">
        <f>IF(H141=0,wdct(TRIM(C141)),0)</f>
        <v>76</v>
      </c>
      <c r="E141" s="68">
        <f>COUNTIFS('Error Log'!$A:$A,$A141,'Error Log'!$J:$J,E$1)</f>
        <v>0</v>
      </c>
      <c r="F141" s="68">
        <f>COUNTIFS('Error Log'!$A:$A,$A141,'Error Log'!$J:$J,F$1)</f>
        <v>1</v>
      </c>
      <c r="G141" s="68">
        <f>COUNTIFS('Error Log'!$A:$A,$A141,'Error Log'!$J:$J,G$1)</f>
        <v>0</v>
      </c>
      <c r="H141" s="68">
        <f>COUNTIFS('Error Log'!$A:$A,$A141,'Error Log'!$F:$F,"Source")</f>
        <v>0</v>
      </c>
      <c r="I141" s="68">
        <f>COUNTIFS('Error Log'!$A:$A,$A141,'Error Log'!$F:$F,"Target")</f>
        <v>0</v>
      </c>
      <c r="J141" s="69">
        <f t="shared" si="2"/>
        <v>96.71052631578948</v>
      </c>
    </row>
    <row r="142" spans="1:10">
      <c r="A142" s="83" t="s">
        <v>945</v>
      </c>
      <c r="B142" s="68"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68" t="str">
        <f>IF(ISBLANK(A142),"",INDEX('Error Log'!$A:$J,MATCH('Scores per segment'!$A142,'Error Log'!$A:$A,0),MATCH('Scores per segment'!C$1,'Error Log'!$A$1:$J$1,0)))</f>
        <v>a passenger filmed the driver on a bus in auckland , new zealand , and sent the video to bus company ritchies coachlines along with a complaint .
ritchies coachlines boss andrew ritchie said he was embarrassed by the ` idiot ' driver 's actions . '
in the footage the driver can be seen flicking through pages of the newspaper while the bus is in motion .</v>
      </c>
      <c r="D142" s="68">
        <f>IF(H142=0,wdct(TRIM(C142)),0)</f>
        <v>60</v>
      </c>
      <c r="E142" s="68">
        <f>COUNTIFS('Error Log'!$A:$A,$A142,'Error Log'!$J:$J,E$1)</f>
        <v>0</v>
      </c>
      <c r="F142" s="68">
        <f>COUNTIFS('Error Log'!$A:$A,$A142,'Error Log'!$J:$J,F$1)</f>
        <v>0</v>
      </c>
      <c r="G142" s="68">
        <f>COUNTIFS('Error Log'!$A:$A,$A142,'Error Log'!$J:$J,G$1)</f>
        <v>0</v>
      </c>
      <c r="H142" s="68">
        <f>COUNTIFS('Error Log'!$A:$A,$A142,'Error Log'!$F:$F,"Source")</f>
        <v>0</v>
      </c>
      <c r="I142" s="68">
        <f>COUNTIFS('Error Log'!$A:$A,$A142,'Error Log'!$F:$F,"Target")</f>
        <v>0</v>
      </c>
      <c r="J142" s="69">
        <f t="shared" si="2"/>
        <v>100</v>
      </c>
    </row>
    <row r="143" spans="1:10">
      <c r="A143" s="85" t="s">
        <v>949</v>
      </c>
      <c r="B143" s="68"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68" t="str">
        <f>IF(ISBLANK(A143),"",INDEX('Error Log'!$A:$J,MATCH('Scores per segment'!$A143,'Error Log'!$A:$A,0),MATCH('Scores per segment'!C$1,'Error Log'!$A$1:$J$1,0)))</f>
        <v>they say the procedure should only be carried out when ` medically necessary ' because it can lead to infections and even death .
just over a quarter of women giving birth in england now have a caesarean and the rate has more than doubled since the early 1990s .
a planned caesarean costs the nhs an average of # 2,369 , compared to a natural birth at # 1,665 .</v>
      </c>
      <c r="D143" s="68">
        <f>IF(H143=0,wdct(TRIM(C143)),0)</f>
        <v>63</v>
      </c>
      <c r="E143" s="68">
        <f>COUNTIFS('Error Log'!$A:$A,$A143,'Error Log'!$J:$J,E$1)</f>
        <v>0</v>
      </c>
      <c r="F143" s="68">
        <f>COUNTIFS('Error Log'!$A:$A,$A143,'Error Log'!$J:$J,F$1)</f>
        <v>1</v>
      </c>
      <c r="G143" s="68">
        <f>COUNTIFS('Error Log'!$A:$A,$A143,'Error Log'!$J:$J,G$1)</f>
        <v>0</v>
      </c>
      <c r="H143" s="68">
        <f>COUNTIFS('Error Log'!$A:$A,$A143,'Error Log'!$F:$F,"Source")</f>
        <v>0</v>
      </c>
      <c r="I143" s="68">
        <f>COUNTIFS('Error Log'!$A:$A,$A143,'Error Log'!$F:$F,"Target")</f>
        <v>0</v>
      </c>
      <c r="J143" s="69">
        <f t="shared" si="2"/>
        <v>96.031746031746025</v>
      </c>
    </row>
    <row r="144" spans="1:10">
      <c r="A144" s="85" t="s">
        <v>953</v>
      </c>
      <c r="B144" s="68"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68" t="str">
        <f>IF(ISBLANK(A144),"",INDEX('Error Log'!$A:$J,MATCH('Scores per segment'!$A144,'Error Log'!$A:$A,0),MATCH('Scores per segment'!C$1,'Error Log'!$A$1:$J$1,0)))</f>
        <v>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robarge has served nearly two years behind bars which means he could be eligible for parole in about 28 years , according to valley news .</v>
      </c>
      <c r="D144" s="68">
        <f>IF(H144=0,wdct(TRIM(C144)),0)</f>
        <v>77</v>
      </c>
      <c r="E144" s="68">
        <f>COUNTIFS('Error Log'!$A:$A,$A144,'Error Log'!$J:$J,E$1)</f>
        <v>0</v>
      </c>
      <c r="F144" s="68">
        <f>COUNTIFS('Error Log'!$A:$A,$A144,'Error Log'!$J:$J,F$1)</f>
        <v>1</v>
      </c>
      <c r="G144" s="68">
        <f>COUNTIFS('Error Log'!$A:$A,$A144,'Error Log'!$J:$J,G$1)</f>
        <v>0</v>
      </c>
      <c r="H144" s="68">
        <f>COUNTIFS('Error Log'!$A:$A,$A144,'Error Log'!$F:$F,"Source")</f>
        <v>0</v>
      </c>
      <c r="I144" s="68">
        <f>COUNTIFS('Error Log'!$A:$A,$A144,'Error Log'!$F:$F,"Target")</f>
        <v>0</v>
      </c>
      <c r="J144" s="69">
        <f t="shared" si="2"/>
        <v>96.753246753246742</v>
      </c>
    </row>
    <row r="145" spans="1:10">
      <c r="A145" s="86" t="s">
        <v>957</v>
      </c>
      <c r="B145" s="68"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68" t="str">
        <f>IF(ISBLANK(A145),"",INDEX('Error Log'!$A:$J,MATCH('Scores per segment'!$A145,'Error Log'!$A:$A,0),MATCH('Scores per segment'!C$1,'Error Log'!$A$1:$J$1,0)))</f>
        <v>michelle filkins , 44 , of west wareham has been charged with breaking and entering , larceny over $ 250 , and malicious destruction of property .
she was discovered at the court street property in edgartown by owner mark conklin on april 17 .
a woman has been arrested after she allegedly broke into a home on martha 's vineyard , lived inside for at least a week and sold items belonging to the owners in a yard sale .</v>
      </c>
      <c r="D145" s="68">
        <f>IF(H145=0,wdct(TRIM(C145)),0)</f>
        <v>72</v>
      </c>
      <c r="E145" s="68">
        <f>COUNTIFS('Error Log'!$A:$A,$A145,'Error Log'!$J:$J,E$1)</f>
        <v>0</v>
      </c>
      <c r="F145" s="68">
        <f>COUNTIFS('Error Log'!$A:$A,$A145,'Error Log'!$J:$J,F$1)</f>
        <v>1</v>
      </c>
      <c r="G145" s="68">
        <f>COUNTIFS('Error Log'!$A:$A,$A145,'Error Log'!$J:$J,G$1)</f>
        <v>0</v>
      </c>
      <c r="H145" s="68">
        <f>COUNTIFS('Error Log'!$A:$A,$A145,'Error Log'!$F:$F,"Source")</f>
        <v>0</v>
      </c>
      <c r="I145" s="68">
        <f>COUNTIFS('Error Log'!$A:$A,$A145,'Error Log'!$F:$F,"Target")</f>
        <v>0</v>
      </c>
      <c r="J145" s="69">
        <f t="shared" si="2"/>
        <v>96.527777777777771</v>
      </c>
    </row>
    <row r="146" spans="1:10">
      <c r="A146" s="86" t="s">
        <v>961</v>
      </c>
      <c r="B146" s="68"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68" t="str">
        <f>IF(ISBLANK(A146),"",INDEX('Error Log'!$A:$J,MATCH('Scores per segment'!$A146,'Error Log'!$A:$A,0),MATCH('Scores per segment'!C$1,'Error Log'!$A$1:$J$1,0)))</f>
        <v>the drugs , whose value is estimated at more than $ 105 million , are the biggest cocaine seizure ever carried out by french authorities , said michael lachaux , director of customs operations in martinique .
( cnn ) french customs officers say they have seized more than 2 tons of cocaine aboard a sailboat that was falsely flying an american flag in the caribbean .
in november , french customs officials seized nearly 250 kilograms ( 550 pounds ) of cocaine on a vessel that was also off the coast of martinique , according to authorities .</v>
      </c>
      <c r="D146" s="68">
        <f>IF(H146=0,wdct(TRIM(C146)),0)</f>
        <v>85</v>
      </c>
      <c r="E146" s="68">
        <f>COUNTIFS('Error Log'!$A:$A,$A146,'Error Log'!$J:$J,E$1)</f>
        <v>1</v>
      </c>
      <c r="F146" s="68">
        <f>COUNTIFS('Error Log'!$A:$A,$A146,'Error Log'!$J:$J,F$1)</f>
        <v>4</v>
      </c>
      <c r="G146" s="68">
        <f>COUNTIFS('Error Log'!$A:$A,$A146,'Error Log'!$J:$J,G$1)</f>
        <v>0</v>
      </c>
      <c r="H146" s="68">
        <f>COUNTIFS('Error Log'!$A:$A,$A146,'Error Log'!$F:$F,"Source")</f>
        <v>0</v>
      </c>
      <c r="I146" s="68">
        <f>COUNTIFS('Error Log'!$A:$A,$A146,'Error Log'!$F:$F,"Target")</f>
        <v>0</v>
      </c>
      <c r="J146" s="69">
        <f t="shared" si="2"/>
        <v>82.35294117647058</v>
      </c>
    </row>
    <row r="147" spans="1:10">
      <c r="A147" s="86" t="s">
        <v>968</v>
      </c>
      <c r="B147" s="68"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68" t="str">
        <f>IF(ISBLANK(A147),"",INDEX('Error Log'!$A:$J,MATCH('Scores per segment'!$A147,'Error Log'!$A:$A,0),MATCH('Scores per segment'!C$1,'Error Log'!$A$1:$J$1,0)))</f>
        <v>the phone , which belonged to bella crooke from melbourne , was handed in to albury police station on the nsw-victoria border on sunday morning .
police officers on duty realised the phone was unlocked and used it to post selfies and puns on the woman 's facebook page , including this photo of the phone in a holding ` cell '
bella lost her phone at a friend 's birthday party the night before and dialled her number as soon as she realised . '</v>
      </c>
      <c r="D147" s="68">
        <f>IF(H147=0,wdct(TRIM(C147)),0)</f>
        <v>78</v>
      </c>
      <c r="E147" s="68">
        <f>COUNTIFS('Error Log'!$A:$A,$A147,'Error Log'!$J:$J,E$1)</f>
        <v>0</v>
      </c>
      <c r="F147" s="68">
        <f>COUNTIFS('Error Log'!$A:$A,$A147,'Error Log'!$J:$J,F$1)</f>
        <v>0</v>
      </c>
      <c r="G147" s="68">
        <f>COUNTIFS('Error Log'!$A:$A,$A147,'Error Log'!$J:$J,G$1)</f>
        <v>0</v>
      </c>
      <c r="H147" s="68">
        <f>COUNTIFS('Error Log'!$A:$A,$A147,'Error Log'!$F:$F,"Source")</f>
        <v>0</v>
      </c>
      <c r="I147" s="68">
        <f>COUNTIFS('Error Log'!$A:$A,$A147,'Error Log'!$F:$F,"Target")</f>
        <v>0</v>
      </c>
      <c r="J147" s="69">
        <f t="shared" si="2"/>
        <v>100</v>
      </c>
    </row>
    <row r="148" spans="1:10">
      <c r="A148" s="86" t="s">
        <v>971</v>
      </c>
      <c r="B148" s="68"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68" t="str">
        <f>IF(ISBLANK(A148),"",INDEX('Error Log'!$A:$J,MATCH('Scores per segment'!$A148,'Error Log'!$A:$A,0),MATCH('Scores per segment'!C$1,'Error Log'!$A$1:$J$1,0)))</f>
        <v>a baby girl was found in the bin inside the ladies ' toilet at a chinese burger bar
the woman , yuan yen , 34 , was found to have blood on her when she was approached .
workers who found the baby , who was wrapped in a shirt but was still attached to the umbilical cord and placenta , called the police and ambulance .</v>
      </c>
      <c r="D148" s="68">
        <f>IF(H148=0,wdct(TRIM(C148)),0)</f>
        <v>59</v>
      </c>
      <c r="E148" s="68">
        <f>COUNTIFS('Error Log'!$A:$A,$A148,'Error Log'!$J:$J,E$1)</f>
        <v>2</v>
      </c>
      <c r="F148" s="68">
        <f>COUNTIFS('Error Log'!$A:$A,$A148,'Error Log'!$J:$J,F$1)</f>
        <v>1</v>
      </c>
      <c r="G148" s="68">
        <f>COUNTIFS('Error Log'!$A:$A,$A148,'Error Log'!$J:$J,G$1)</f>
        <v>0</v>
      </c>
      <c r="H148" s="68">
        <f>COUNTIFS('Error Log'!$A:$A,$A148,'Error Log'!$F:$F,"Source")</f>
        <v>0</v>
      </c>
      <c r="I148" s="68">
        <f>COUNTIFS('Error Log'!$A:$A,$A148,'Error Log'!$F:$F,"Target")</f>
        <v>0</v>
      </c>
      <c r="J148" s="69">
        <f t="shared" si="2"/>
        <v>78.813559322033896</v>
      </c>
    </row>
    <row r="149" spans="1:10">
      <c r="A149" s="85" t="s">
        <v>977</v>
      </c>
      <c r="B149" s="68"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68" t="str">
        <f>IF(ISBLANK(A149),"",INDEX('Error Log'!$A:$J,MATCH('Scores per segment'!$A149,'Error Log'!$A:$A,0),MATCH('Scores per segment'!C$1,'Error Log'!$A$1:$J$1,0)))</f>
        <v>the calf 's mother watched in horror as the hippo was flung into the air before being dragged along the surface of the water in the isimangaliso wetland park , in eastern south africa .
rivals : the two male hippos had been fighting for some time and the mother of the calf thought it would be safer to remain with her herd
her decision proved fatal for the baby when one of the brawling adults grabbed the calf between its jaws .</v>
      </c>
      <c r="D149" s="68">
        <f>IF(H149=0,wdct(TRIM(C149)),0)</f>
        <v>79</v>
      </c>
      <c r="E149" s="68">
        <f>COUNTIFS('Error Log'!$A:$A,$A149,'Error Log'!$J:$J,E$1)</f>
        <v>1</v>
      </c>
      <c r="F149" s="68">
        <f>COUNTIFS('Error Log'!$A:$A,$A149,'Error Log'!$J:$J,F$1)</f>
        <v>1</v>
      </c>
      <c r="G149" s="68">
        <f>COUNTIFS('Error Log'!$A:$A,$A149,'Error Log'!$J:$J,G$1)</f>
        <v>0</v>
      </c>
      <c r="H149" s="68">
        <f>COUNTIFS('Error Log'!$A:$A,$A149,'Error Log'!$F:$F,"Source")</f>
        <v>0</v>
      </c>
      <c r="I149" s="68">
        <f>COUNTIFS('Error Log'!$A:$A,$A149,'Error Log'!$F:$F,"Target")</f>
        <v>0</v>
      </c>
      <c r="J149" s="69">
        <f t="shared" si="2"/>
        <v>90.506329113924053</v>
      </c>
    </row>
    <row r="150" spans="1:10">
      <c r="A150" s="85" t="s">
        <v>982</v>
      </c>
      <c r="B150" s="68"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68" t="str">
        <f>IF(ISBLANK(A150),"",INDEX('Error Log'!$A:$J,MATCH('Scores per segment'!$A150,'Error Log'!$A:$A,0),MATCH('Scores per segment'!C$1,'Error Log'!$A$1:$J$1,0)))</f>
        <v>ian rogers owns nine haunted dolls all of which he says contain their own personality
ian rogers , 36 , became hooked on all things paranormal as a child and took part in his first ghost hunt in the year 2000 .
since then he has spent hundreds of pounds on the creepy collection ... and he 's on the hunt for more to add .</v>
      </c>
      <c r="D150" s="68">
        <f>IF(H150=0,wdct(TRIM(C150)),0)</f>
        <v>61</v>
      </c>
      <c r="E150" s="68">
        <f>COUNTIFS('Error Log'!$A:$A,$A150,'Error Log'!$J:$J,E$1)</f>
        <v>1</v>
      </c>
      <c r="F150" s="68">
        <f>COUNTIFS('Error Log'!$A:$A,$A150,'Error Log'!$J:$J,F$1)</f>
        <v>1</v>
      </c>
      <c r="G150" s="68">
        <f>COUNTIFS('Error Log'!$A:$A,$A150,'Error Log'!$J:$J,G$1)</f>
        <v>0</v>
      </c>
      <c r="H150" s="68">
        <f>COUNTIFS('Error Log'!$A:$A,$A150,'Error Log'!$F:$F,"Source")</f>
        <v>0</v>
      </c>
      <c r="I150" s="68">
        <f>COUNTIFS('Error Log'!$A:$A,$A150,'Error Log'!$F:$F,"Target")</f>
        <v>0</v>
      </c>
      <c r="J150" s="69">
        <f t="shared" si="2"/>
        <v>87.704918032786878</v>
      </c>
    </row>
    <row r="151" spans="1:10">
      <c r="A151" s="85" t="s">
        <v>987</v>
      </c>
      <c r="B151" s="68"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68" t="str">
        <f>IF(ISBLANK(A151),"",INDEX('Error Log'!$A:$J,MATCH('Scores per segment'!$A151,'Error Log'!$A:$A,0),MATCH('Scores per segment'!C$1,'Error Log'!$A$1:$J$1,0)))</f>
        <v>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but if any buyer decides to extend the lease , the property could be worth upwards of # 6 million .</v>
      </c>
      <c r="D151" s="68">
        <f>IF(H151=0,wdct(TRIM(C151)),0)</f>
        <v>70</v>
      </c>
      <c r="E151" s="68">
        <f>COUNTIFS('Error Log'!$A:$A,$A151,'Error Log'!$J:$J,E$1)</f>
        <v>2</v>
      </c>
      <c r="F151" s="68">
        <f>COUNTIFS('Error Log'!$A:$A,$A151,'Error Log'!$J:$J,F$1)</f>
        <v>0</v>
      </c>
      <c r="G151" s="68">
        <f>COUNTIFS('Error Log'!$A:$A,$A151,'Error Log'!$J:$J,G$1)</f>
        <v>0</v>
      </c>
      <c r="H151" s="68">
        <f>COUNTIFS('Error Log'!$A:$A,$A151,'Error Log'!$F:$F,"Source")</f>
        <v>0</v>
      </c>
      <c r="I151" s="68">
        <f>COUNTIFS('Error Log'!$A:$A,$A151,'Error Log'!$F:$F,"Target")</f>
        <v>0</v>
      </c>
      <c r="J151" s="69">
        <f t="shared" si="2"/>
        <v>85.714285714285722</v>
      </c>
    </row>
    <row r="152" spans="1:10">
      <c r="A152" s="87"/>
      <c r="B152" s="68" t="str">
        <f>IF(ISBLANK(A152),"",INDEX('Error Log'!$A:$J,MATCH('Scores per segment'!$A152,'Error Log'!$A:$A,0),MATCH('Scores per segment'!B$1,'Error Log'!$A$1:$J$1,0)))</f>
        <v/>
      </c>
      <c r="C152" s="68" t="str">
        <f>IF(ISBLANK(A152),"",INDEX('Error Log'!$A:$J,MATCH('Scores per segment'!$A152,'Error Log'!$A:$A,0),MATCH('Scores per segment'!C$1,'Error Log'!$A$1:$J$1,0)))</f>
        <v/>
      </c>
      <c r="D152" s="68">
        <f>IF(H152=0,wdct(TRIM(C152)),0)</f>
        <v>0</v>
      </c>
      <c r="E152" s="68">
        <f>COUNTIFS('Error Log'!$A:$A,$A152,'Error Log'!$J:$J,E$1)</f>
        <v>0</v>
      </c>
      <c r="F152" s="68">
        <f>COUNTIFS('Error Log'!$A:$A,$A152,'Error Log'!$J:$J,F$1)</f>
        <v>0</v>
      </c>
      <c r="G152" s="68">
        <f>COUNTIFS('Error Log'!$A:$A,$A152,'Error Log'!$J:$J,G$1)</f>
        <v>0</v>
      </c>
      <c r="H152" s="68">
        <f>COUNTIFS('Error Log'!$A:$A,$A152,'Error Log'!$F:$F,"Source")</f>
        <v>0</v>
      </c>
      <c r="I152" s="68">
        <f>COUNTIFS('Error Log'!$A:$A,$A152,'Error Log'!$F:$F,"Target")</f>
        <v>0</v>
      </c>
      <c r="J152" s="69">
        <f t="shared" si="2"/>
        <v>0</v>
      </c>
    </row>
    <row r="153" spans="1:10">
      <c r="A153" s="87"/>
      <c r="B153" s="68" t="str">
        <f>IF(ISBLANK(A153),"",INDEX('Error Log'!$A:$J,MATCH('Scores per segment'!$A153,'Error Log'!$A:$A,0),MATCH('Scores per segment'!B$1,'Error Log'!$A$1:$J$1,0)))</f>
        <v/>
      </c>
      <c r="C153" s="68" t="str">
        <f>IF(ISBLANK(A153),"",INDEX('Error Log'!$A:$J,MATCH('Scores per segment'!$A153,'Error Log'!$A:$A,0),MATCH('Scores per segment'!C$1,'Error Log'!$A$1:$J$1,0)))</f>
        <v/>
      </c>
      <c r="D153" s="68">
        <f>IF(H153=0,wdct(TRIM(C153)),0)</f>
        <v>0</v>
      </c>
      <c r="E153" s="68">
        <f>COUNTIFS('Error Log'!$A:$A,$A153,'Error Log'!$J:$J,E$1)</f>
        <v>0</v>
      </c>
      <c r="F153" s="68">
        <f>COUNTIFS('Error Log'!$A:$A,$A153,'Error Log'!$J:$J,F$1)</f>
        <v>0</v>
      </c>
      <c r="G153" s="68">
        <f>COUNTIFS('Error Log'!$A:$A,$A153,'Error Log'!$J:$J,G$1)</f>
        <v>0</v>
      </c>
      <c r="H153" s="68">
        <f>COUNTIFS('Error Log'!$A:$A,$A153,'Error Log'!$F:$F,"Source")</f>
        <v>0</v>
      </c>
      <c r="I153" s="68">
        <f>COUNTIFS('Error Log'!$A:$A,$A153,'Error Log'!$F:$F,"Target")</f>
        <v>0</v>
      </c>
      <c r="J153" s="69">
        <f t="shared" si="2"/>
        <v>0</v>
      </c>
    </row>
    <row r="154" spans="1:10">
      <c r="A154" s="87"/>
      <c r="B154" s="68" t="str">
        <f>IF(ISBLANK(A154),"",INDEX('Error Log'!$A:$J,MATCH('Scores per segment'!$A154,'Error Log'!$A:$A,0),MATCH('Scores per segment'!B$1,'Error Log'!$A$1:$J$1,0)))</f>
        <v/>
      </c>
      <c r="C154" s="68" t="str">
        <f>IF(ISBLANK(A154),"",INDEX('Error Log'!$A:$J,MATCH('Scores per segment'!$A154,'Error Log'!$A:$A,0),MATCH('Scores per segment'!C$1,'Error Log'!$A$1:$J$1,0)))</f>
        <v/>
      </c>
      <c r="D154" s="68">
        <f>IF(H154=0,wdct(TRIM(C154)),0)</f>
        <v>0</v>
      </c>
      <c r="E154" s="68">
        <f>COUNTIFS('Error Log'!$A:$A,$A154,'Error Log'!$J:$J,E$1)</f>
        <v>0</v>
      </c>
      <c r="F154" s="68">
        <f>COUNTIFS('Error Log'!$A:$A,$A154,'Error Log'!$J:$J,F$1)</f>
        <v>0</v>
      </c>
      <c r="G154" s="68">
        <f>COUNTIFS('Error Log'!$A:$A,$A154,'Error Log'!$J:$J,G$1)</f>
        <v>0</v>
      </c>
      <c r="H154" s="68">
        <f>COUNTIFS('Error Log'!$A:$A,$A154,'Error Log'!$F:$F,"Source")</f>
        <v>0</v>
      </c>
      <c r="I154" s="68">
        <f>COUNTIFS('Error Log'!$A:$A,$A154,'Error Log'!$F:$F,"Target")</f>
        <v>0</v>
      </c>
      <c r="J154" s="69">
        <f t="shared" si="2"/>
        <v>0</v>
      </c>
    </row>
    <row r="155" spans="1:10">
      <c r="A155" s="87"/>
      <c r="B155" s="68" t="str">
        <f>IF(ISBLANK(A155),"",INDEX('Error Log'!$A:$J,MATCH('Scores per segment'!$A155,'Error Log'!$A:$A,0),MATCH('Scores per segment'!B$1,'Error Log'!$A$1:$J$1,0)))</f>
        <v/>
      </c>
      <c r="C155" s="68" t="str">
        <f>IF(ISBLANK(A155),"",INDEX('Error Log'!$A:$J,MATCH('Scores per segment'!$A155,'Error Log'!$A:$A,0),MATCH('Scores per segment'!C$1,'Error Log'!$A$1:$J$1,0)))</f>
        <v/>
      </c>
      <c r="D155" s="68">
        <f>IF(H155=0,wdct(TRIM(C155)),0)</f>
        <v>0</v>
      </c>
      <c r="E155" s="68">
        <f>COUNTIFS('Error Log'!$A:$A,$A155,'Error Log'!$J:$J,E$1)</f>
        <v>0</v>
      </c>
      <c r="F155" s="68">
        <f>COUNTIFS('Error Log'!$A:$A,$A155,'Error Log'!$J:$J,F$1)</f>
        <v>0</v>
      </c>
      <c r="G155" s="68">
        <f>COUNTIFS('Error Log'!$A:$A,$A155,'Error Log'!$J:$J,G$1)</f>
        <v>0</v>
      </c>
      <c r="H155" s="68">
        <f>COUNTIFS('Error Log'!$A:$A,$A155,'Error Log'!$F:$F,"Source")</f>
        <v>0</v>
      </c>
      <c r="I155" s="68">
        <f>COUNTIFS('Error Log'!$A:$A,$A155,'Error Log'!$F:$F,"Target")</f>
        <v>0</v>
      </c>
      <c r="J155" s="69">
        <f t="shared" si="2"/>
        <v>0</v>
      </c>
    </row>
    <row r="156" spans="1:10">
      <c r="A156" s="87"/>
      <c r="B156" s="68" t="str">
        <f>IF(ISBLANK(A156),"",INDEX('Error Log'!$A:$J,MATCH('Scores per segment'!$A156,'Error Log'!$A:$A,0),MATCH('Scores per segment'!B$1,'Error Log'!$A$1:$J$1,0)))</f>
        <v/>
      </c>
      <c r="C156" s="68" t="str">
        <f>IF(ISBLANK(A156),"",INDEX('Error Log'!$A:$J,MATCH('Scores per segment'!$A156,'Error Log'!$A:$A,0),MATCH('Scores per segment'!C$1,'Error Log'!$A$1:$J$1,0)))</f>
        <v/>
      </c>
      <c r="D156" s="68">
        <f>IF(H156=0,wdct(TRIM(C156)),0)</f>
        <v>0</v>
      </c>
      <c r="E156" s="68">
        <f>COUNTIFS('Error Log'!$A:$A,$A156,'Error Log'!$J:$J,E$1)</f>
        <v>0</v>
      </c>
      <c r="F156" s="68">
        <f>COUNTIFS('Error Log'!$A:$A,$A156,'Error Log'!$J:$J,F$1)</f>
        <v>0</v>
      </c>
      <c r="G156" s="68">
        <f>COUNTIFS('Error Log'!$A:$A,$A156,'Error Log'!$J:$J,G$1)</f>
        <v>0</v>
      </c>
      <c r="H156" s="68">
        <f>COUNTIFS('Error Log'!$A:$A,$A156,'Error Log'!$F:$F,"Source")</f>
        <v>0</v>
      </c>
      <c r="I156" s="68">
        <f>COUNTIFS('Error Log'!$A:$A,$A156,'Error Log'!$F:$F,"Target")</f>
        <v>0</v>
      </c>
      <c r="J156" s="69">
        <f t="shared" si="2"/>
        <v>0</v>
      </c>
    </row>
    <row r="157" spans="1:10">
      <c r="A157" s="87"/>
      <c r="B157" s="68" t="str">
        <f>IF(ISBLANK(A157),"",INDEX('Error Log'!$A:$J,MATCH('Scores per segment'!$A157,'Error Log'!$A:$A,0),MATCH('Scores per segment'!B$1,'Error Log'!$A$1:$J$1,0)))</f>
        <v/>
      </c>
      <c r="C157" s="68" t="str">
        <f>IF(ISBLANK(A157),"",INDEX('Error Log'!$A:$J,MATCH('Scores per segment'!$A157,'Error Log'!$A:$A,0),MATCH('Scores per segment'!C$1,'Error Log'!$A$1:$J$1,0)))</f>
        <v/>
      </c>
      <c r="D157" s="68">
        <f>IF(H157=0,wdct(TRIM(C157)),0)</f>
        <v>0</v>
      </c>
      <c r="E157" s="68">
        <f>COUNTIFS('Error Log'!$A:$A,$A157,'Error Log'!$J:$J,E$1)</f>
        <v>0</v>
      </c>
      <c r="F157" s="68">
        <f>COUNTIFS('Error Log'!$A:$A,$A157,'Error Log'!$J:$J,F$1)</f>
        <v>0</v>
      </c>
      <c r="G157" s="68">
        <f>COUNTIFS('Error Log'!$A:$A,$A157,'Error Log'!$J:$J,G$1)</f>
        <v>0</v>
      </c>
      <c r="H157" s="68">
        <f>COUNTIFS('Error Log'!$A:$A,$A157,'Error Log'!$F:$F,"Source")</f>
        <v>0</v>
      </c>
      <c r="I157" s="68">
        <f>COUNTIFS('Error Log'!$A:$A,$A157,'Error Log'!$F:$F,"Target")</f>
        <v>0</v>
      </c>
      <c r="J157" s="69">
        <f t="shared" si="2"/>
        <v>0</v>
      </c>
    </row>
    <row r="158" spans="1:10">
      <c r="A158" s="87"/>
      <c r="B158" s="68" t="str">
        <f>IF(ISBLANK(A158),"",INDEX('Error Log'!$A:$J,MATCH('Scores per segment'!$A158,'Error Log'!$A:$A,0),MATCH('Scores per segment'!B$1,'Error Log'!$A$1:$J$1,0)))</f>
        <v/>
      </c>
      <c r="C158" s="68" t="str">
        <f>IF(ISBLANK(A158),"",INDEX('Error Log'!$A:$J,MATCH('Scores per segment'!$A158,'Error Log'!$A:$A,0),MATCH('Scores per segment'!C$1,'Error Log'!$A$1:$J$1,0)))</f>
        <v/>
      </c>
      <c r="D158" s="68">
        <f>IF(H158=0,wdct(TRIM(C158)),0)</f>
        <v>0</v>
      </c>
      <c r="E158" s="68">
        <f>COUNTIFS('Error Log'!$A:$A,$A158,'Error Log'!$J:$J,E$1)</f>
        <v>0</v>
      </c>
      <c r="F158" s="68">
        <f>COUNTIFS('Error Log'!$A:$A,$A158,'Error Log'!$J:$J,F$1)</f>
        <v>0</v>
      </c>
      <c r="G158" s="68">
        <f>COUNTIFS('Error Log'!$A:$A,$A158,'Error Log'!$J:$J,G$1)</f>
        <v>0</v>
      </c>
      <c r="H158" s="68">
        <f>COUNTIFS('Error Log'!$A:$A,$A158,'Error Log'!$F:$F,"Source")</f>
        <v>0</v>
      </c>
      <c r="I158" s="68">
        <f>COUNTIFS('Error Log'!$A:$A,$A158,'Error Log'!$F:$F,"Target")</f>
        <v>0</v>
      </c>
      <c r="J158" s="69">
        <f t="shared" si="2"/>
        <v>0</v>
      </c>
    </row>
    <row r="159" spans="1:10">
      <c r="A159" s="87"/>
      <c r="B159" s="68" t="str">
        <f>IF(ISBLANK(A159),"",INDEX('Error Log'!$A:$J,MATCH('Scores per segment'!$A159,'Error Log'!$A:$A,0),MATCH('Scores per segment'!B$1,'Error Log'!$A$1:$J$1,0)))</f>
        <v/>
      </c>
      <c r="C159" s="68" t="str">
        <f>IF(ISBLANK(A159),"",INDEX('Error Log'!$A:$J,MATCH('Scores per segment'!$A159,'Error Log'!$A:$A,0),MATCH('Scores per segment'!C$1,'Error Log'!$A$1:$J$1,0)))</f>
        <v/>
      </c>
      <c r="D159" s="68">
        <f>IF(H159=0,wdct(TRIM(C159)),0)</f>
        <v>0</v>
      </c>
      <c r="E159" s="68">
        <f>COUNTIFS('Error Log'!$A:$A,$A159,'Error Log'!$J:$J,E$1)</f>
        <v>0</v>
      </c>
      <c r="F159" s="68">
        <f>COUNTIFS('Error Log'!$A:$A,$A159,'Error Log'!$J:$J,F$1)</f>
        <v>0</v>
      </c>
      <c r="G159" s="68">
        <f>COUNTIFS('Error Log'!$A:$A,$A159,'Error Log'!$J:$J,G$1)</f>
        <v>0</v>
      </c>
      <c r="H159" s="68">
        <f>COUNTIFS('Error Log'!$A:$A,$A159,'Error Log'!$F:$F,"Source")</f>
        <v>0</v>
      </c>
      <c r="I159" s="68">
        <f>COUNTIFS('Error Log'!$A:$A,$A159,'Error Log'!$F:$F,"Target")</f>
        <v>0</v>
      </c>
      <c r="J159" s="69">
        <f t="shared" si="2"/>
        <v>0</v>
      </c>
    </row>
    <row r="160" spans="1:10">
      <c r="A160" s="87"/>
      <c r="B160" s="68" t="str">
        <f>IF(ISBLANK(A160),"",INDEX('Error Log'!$A:$J,MATCH('Scores per segment'!$A160,'Error Log'!$A:$A,0),MATCH('Scores per segment'!B$1,'Error Log'!$A$1:$J$1,0)))</f>
        <v/>
      </c>
      <c r="C160" s="68" t="str">
        <f>IF(ISBLANK(A160),"",INDEX('Error Log'!$A:$J,MATCH('Scores per segment'!$A160,'Error Log'!$A:$A,0),MATCH('Scores per segment'!C$1,'Error Log'!$A$1:$J$1,0)))</f>
        <v/>
      </c>
      <c r="D160" s="68">
        <f>IF(H160=0,wdct(TRIM(C160)),0)</f>
        <v>0</v>
      </c>
      <c r="E160" s="68">
        <f>COUNTIFS('Error Log'!$A:$A,$A160,'Error Log'!$J:$J,E$1)</f>
        <v>0</v>
      </c>
      <c r="F160" s="68">
        <f>COUNTIFS('Error Log'!$A:$A,$A160,'Error Log'!$J:$J,F$1)</f>
        <v>0</v>
      </c>
      <c r="G160" s="68">
        <f>COUNTIFS('Error Log'!$A:$A,$A160,'Error Log'!$J:$J,G$1)</f>
        <v>0</v>
      </c>
      <c r="H160" s="68">
        <f>COUNTIFS('Error Log'!$A:$A,$A160,'Error Log'!$F:$F,"Source")</f>
        <v>0</v>
      </c>
      <c r="I160" s="68">
        <f>COUNTIFS('Error Log'!$A:$A,$A160,'Error Log'!$F:$F,"Target")</f>
        <v>0</v>
      </c>
      <c r="J160" s="69">
        <f t="shared" si="2"/>
        <v>0</v>
      </c>
    </row>
    <row r="161" spans="1:10">
      <c r="A161" s="87"/>
      <c r="B161" s="68" t="str">
        <f>IF(ISBLANK(A161),"",INDEX('Error Log'!$A:$J,MATCH('Scores per segment'!$A161,'Error Log'!$A:$A,0),MATCH('Scores per segment'!B$1,'Error Log'!$A$1:$J$1,0)))</f>
        <v/>
      </c>
      <c r="C161" s="68" t="str">
        <f>IF(ISBLANK(A161),"",INDEX('Error Log'!$A:$J,MATCH('Scores per segment'!$A161,'Error Log'!$A:$A,0),MATCH('Scores per segment'!C$1,'Error Log'!$A$1:$J$1,0)))</f>
        <v/>
      </c>
      <c r="D161" s="68">
        <f>IF(H161=0,wdct(TRIM(C161)),0)</f>
        <v>0</v>
      </c>
      <c r="E161" s="68">
        <f>COUNTIFS('Error Log'!$A:$A,$A161,'Error Log'!$J:$J,E$1)</f>
        <v>0</v>
      </c>
      <c r="F161" s="68">
        <f>COUNTIFS('Error Log'!$A:$A,$A161,'Error Log'!$J:$J,F$1)</f>
        <v>0</v>
      </c>
      <c r="G161" s="68">
        <f>COUNTIFS('Error Log'!$A:$A,$A161,'Error Log'!$J:$J,G$1)</f>
        <v>0</v>
      </c>
      <c r="H161" s="68">
        <f>COUNTIFS('Error Log'!$A:$A,$A161,'Error Log'!$F:$F,"Source")</f>
        <v>0</v>
      </c>
      <c r="I161" s="68">
        <f>COUNTIFS('Error Log'!$A:$A,$A161,'Error Log'!$F:$F,"Target")</f>
        <v>0</v>
      </c>
      <c r="J161" s="69">
        <f t="shared" si="2"/>
        <v>0</v>
      </c>
    </row>
    <row r="162" spans="1:10">
      <c r="A162" s="87"/>
      <c r="B162" s="68" t="str">
        <f>IF(ISBLANK(A162),"",INDEX('Error Log'!$A:$J,MATCH('Scores per segment'!$A162,'Error Log'!$A:$A,0),MATCH('Scores per segment'!B$1,'Error Log'!$A$1:$J$1,0)))</f>
        <v/>
      </c>
      <c r="C162" s="68" t="str">
        <f>IF(ISBLANK(A162),"",INDEX('Error Log'!$A:$J,MATCH('Scores per segment'!$A162,'Error Log'!$A:$A,0),MATCH('Scores per segment'!C$1,'Error Log'!$A$1:$J$1,0)))</f>
        <v/>
      </c>
      <c r="D162" s="68">
        <f>IF(H162=0,wdct(TRIM(C162)),0)</f>
        <v>0</v>
      </c>
      <c r="E162" s="68">
        <f>COUNTIFS('Error Log'!$A:$A,$A162,'Error Log'!$J:$J,E$1)</f>
        <v>0</v>
      </c>
      <c r="F162" s="68">
        <f>COUNTIFS('Error Log'!$A:$A,$A162,'Error Log'!$J:$J,F$1)</f>
        <v>0</v>
      </c>
      <c r="G162" s="68">
        <f>COUNTIFS('Error Log'!$A:$A,$A162,'Error Log'!$J:$J,G$1)</f>
        <v>0</v>
      </c>
      <c r="H162" s="68">
        <f>COUNTIFS('Error Log'!$A:$A,$A162,'Error Log'!$F:$F,"Source")</f>
        <v>0</v>
      </c>
      <c r="I162" s="68">
        <f>COUNTIFS('Error Log'!$A:$A,$A162,'Error Log'!$F:$F,"Target")</f>
        <v>0</v>
      </c>
      <c r="J162" s="69">
        <f t="shared" si="2"/>
        <v>0</v>
      </c>
    </row>
    <row r="163" spans="1:10">
      <c r="A163" s="87"/>
      <c r="B163" s="68" t="str">
        <f>IF(ISBLANK(A163),"",INDEX('Error Log'!$A:$J,MATCH('Scores per segment'!$A163,'Error Log'!$A:$A,0),MATCH('Scores per segment'!B$1,'Error Log'!$A$1:$J$1,0)))</f>
        <v/>
      </c>
      <c r="C163" s="68" t="str">
        <f>IF(ISBLANK(A163),"",INDEX('Error Log'!$A:$J,MATCH('Scores per segment'!$A163,'Error Log'!$A:$A,0),MATCH('Scores per segment'!C$1,'Error Log'!$A$1:$J$1,0)))</f>
        <v/>
      </c>
      <c r="D163" s="68">
        <f>IF(H163=0,wdct(TRIM(C163)),0)</f>
        <v>0</v>
      </c>
      <c r="E163" s="68">
        <f>COUNTIFS('Error Log'!$A:$A,$A163,'Error Log'!$J:$J,E$1)</f>
        <v>0</v>
      </c>
      <c r="F163" s="68">
        <f>COUNTIFS('Error Log'!$A:$A,$A163,'Error Log'!$J:$J,F$1)</f>
        <v>0</v>
      </c>
      <c r="G163" s="68">
        <f>COUNTIFS('Error Log'!$A:$A,$A163,'Error Log'!$J:$J,G$1)</f>
        <v>0</v>
      </c>
      <c r="H163" s="68">
        <f>COUNTIFS('Error Log'!$A:$A,$A163,'Error Log'!$F:$F,"Source")</f>
        <v>0</v>
      </c>
      <c r="I163" s="68">
        <f>COUNTIFS('Error Log'!$A:$A,$A163,'Error Log'!$F:$F,"Target")</f>
        <v>0</v>
      </c>
      <c r="J163" s="69">
        <f t="shared" si="2"/>
        <v>0</v>
      </c>
    </row>
    <row r="164" spans="1:10">
      <c r="A164" s="87"/>
      <c r="B164" s="68" t="str">
        <f>IF(ISBLANK(A164),"",INDEX('Error Log'!$A:$J,MATCH('Scores per segment'!$A164,'Error Log'!$A:$A,0),MATCH('Scores per segment'!B$1,'Error Log'!$A$1:$J$1,0)))</f>
        <v/>
      </c>
      <c r="C164" s="68" t="str">
        <f>IF(ISBLANK(A164),"",INDEX('Error Log'!$A:$J,MATCH('Scores per segment'!$A164,'Error Log'!$A:$A,0),MATCH('Scores per segment'!C$1,'Error Log'!$A$1:$J$1,0)))</f>
        <v/>
      </c>
      <c r="D164" s="68">
        <f>IF(H164=0,wdct(TRIM(C164)),0)</f>
        <v>0</v>
      </c>
      <c r="E164" s="68">
        <f>COUNTIFS('Error Log'!$A:$A,$A164,'Error Log'!$J:$J,E$1)</f>
        <v>0</v>
      </c>
      <c r="F164" s="68">
        <f>COUNTIFS('Error Log'!$A:$A,$A164,'Error Log'!$J:$J,F$1)</f>
        <v>0</v>
      </c>
      <c r="G164" s="68">
        <f>COUNTIFS('Error Log'!$A:$A,$A164,'Error Log'!$J:$J,G$1)</f>
        <v>0</v>
      </c>
      <c r="H164" s="68">
        <f>COUNTIFS('Error Log'!$A:$A,$A164,'Error Log'!$F:$F,"Source")</f>
        <v>0</v>
      </c>
      <c r="I164" s="68">
        <f>COUNTIFS('Error Log'!$A:$A,$A164,'Error Log'!$F:$F,"Target")</f>
        <v>0</v>
      </c>
      <c r="J164" s="69">
        <f t="shared" si="2"/>
        <v>0</v>
      </c>
    </row>
    <row r="165" spans="1:10">
      <c r="A165" s="87"/>
      <c r="B165" s="68" t="str">
        <f>IF(ISBLANK(A165),"",INDEX('Error Log'!$A:$J,MATCH('Scores per segment'!$A165,'Error Log'!$A:$A,0),MATCH('Scores per segment'!B$1,'Error Log'!$A$1:$J$1,0)))</f>
        <v/>
      </c>
      <c r="C165" s="68" t="str">
        <f>IF(ISBLANK(A165),"",INDEX('Error Log'!$A:$J,MATCH('Scores per segment'!$A165,'Error Log'!$A:$A,0),MATCH('Scores per segment'!C$1,'Error Log'!$A$1:$J$1,0)))</f>
        <v/>
      </c>
      <c r="D165" s="68">
        <f>IF(H165=0,wdct(TRIM(C165)),0)</f>
        <v>0</v>
      </c>
      <c r="E165" s="68">
        <f>COUNTIFS('Error Log'!$A:$A,$A165,'Error Log'!$J:$J,E$1)</f>
        <v>0</v>
      </c>
      <c r="F165" s="68">
        <f>COUNTIFS('Error Log'!$A:$A,$A165,'Error Log'!$J:$J,F$1)</f>
        <v>0</v>
      </c>
      <c r="G165" s="68">
        <f>COUNTIFS('Error Log'!$A:$A,$A165,'Error Log'!$J:$J,G$1)</f>
        <v>0</v>
      </c>
      <c r="H165" s="68">
        <f>COUNTIFS('Error Log'!$A:$A,$A165,'Error Log'!$F:$F,"Source")</f>
        <v>0</v>
      </c>
      <c r="I165" s="68">
        <f>COUNTIFS('Error Log'!$A:$A,$A165,'Error Log'!$F:$F,"Target")</f>
        <v>0</v>
      </c>
      <c r="J165" s="69">
        <f t="shared" si="2"/>
        <v>0</v>
      </c>
    </row>
    <row r="166" spans="1:10">
      <c r="A166" s="87"/>
      <c r="B166" s="68" t="str">
        <f>IF(ISBLANK(A166),"",INDEX('Error Log'!$A:$J,MATCH('Scores per segment'!$A166,'Error Log'!$A:$A,0),MATCH('Scores per segment'!B$1,'Error Log'!$A$1:$J$1,0)))</f>
        <v/>
      </c>
      <c r="C166" s="68" t="str">
        <f>IF(ISBLANK(A166),"",INDEX('Error Log'!$A:$J,MATCH('Scores per segment'!$A166,'Error Log'!$A:$A,0),MATCH('Scores per segment'!C$1,'Error Log'!$A$1:$J$1,0)))</f>
        <v/>
      </c>
      <c r="D166" s="68">
        <f>IF(H166=0,wdct(TRIM(C166)),0)</f>
        <v>0</v>
      </c>
      <c r="E166" s="68">
        <f>COUNTIFS('Error Log'!$A:$A,$A166,'Error Log'!$J:$J,E$1)</f>
        <v>0</v>
      </c>
      <c r="F166" s="68">
        <f>COUNTIFS('Error Log'!$A:$A,$A166,'Error Log'!$J:$J,F$1)</f>
        <v>0</v>
      </c>
      <c r="G166" s="68">
        <f>COUNTIFS('Error Log'!$A:$A,$A166,'Error Log'!$J:$J,G$1)</f>
        <v>0</v>
      </c>
      <c r="H166" s="68">
        <f>COUNTIFS('Error Log'!$A:$A,$A166,'Error Log'!$F:$F,"Source")</f>
        <v>0</v>
      </c>
      <c r="I166" s="68">
        <f>COUNTIFS('Error Log'!$A:$A,$A166,'Error Log'!$F:$F,"Target")</f>
        <v>0</v>
      </c>
      <c r="J166" s="69">
        <f t="shared" si="2"/>
        <v>0</v>
      </c>
    </row>
    <row r="167" spans="1:10">
      <c r="A167" s="87"/>
      <c r="B167" s="68" t="str">
        <f>IF(ISBLANK(A167),"",INDEX('Error Log'!$A:$J,MATCH('Scores per segment'!$A167,'Error Log'!$A:$A,0),MATCH('Scores per segment'!B$1,'Error Log'!$A$1:$J$1,0)))</f>
        <v/>
      </c>
      <c r="C167" s="68" t="str">
        <f>IF(ISBLANK(A167),"",INDEX('Error Log'!$A:$J,MATCH('Scores per segment'!$A167,'Error Log'!$A:$A,0),MATCH('Scores per segment'!C$1,'Error Log'!$A$1:$J$1,0)))</f>
        <v/>
      </c>
      <c r="D167" s="68">
        <f>IF(H167=0,wdct(TRIM(C167)),0)</f>
        <v>0</v>
      </c>
      <c r="E167" s="68">
        <f>COUNTIFS('Error Log'!$A:$A,$A167,'Error Log'!$J:$J,E$1)</f>
        <v>0</v>
      </c>
      <c r="F167" s="68">
        <f>COUNTIFS('Error Log'!$A:$A,$A167,'Error Log'!$J:$J,F$1)</f>
        <v>0</v>
      </c>
      <c r="G167" s="68">
        <f>COUNTIFS('Error Log'!$A:$A,$A167,'Error Log'!$J:$J,G$1)</f>
        <v>0</v>
      </c>
      <c r="H167" s="68">
        <f>COUNTIFS('Error Log'!$A:$A,$A167,'Error Log'!$F:$F,"Source")</f>
        <v>0</v>
      </c>
      <c r="I167" s="68">
        <f>COUNTIFS('Error Log'!$A:$A,$A167,'Error Log'!$F:$F,"Target")</f>
        <v>0</v>
      </c>
      <c r="J167" s="69">
        <f t="shared" si="2"/>
        <v>0</v>
      </c>
    </row>
    <row r="168" spans="1:10">
      <c r="A168" s="87"/>
      <c r="B168" s="68" t="str">
        <f>IF(ISBLANK(A168),"",INDEX('Error Log'!$A:$J,MATCH('Scores per segment'!$A168,'Error Log'!$A:$A,0),MATCH('Scores per segment'!B$1,'Error Log'!$A$1:$J$1,0)))</f>
        <v/>
      </c>
      <c r="C168" s="68" t="str">
        <f>IF(ISBLANK(A168),"",INDEX('Error Log'!$A:$J,MATCH('Scores per segment'!$A168,'Error Log'!$A:$A,0),MATCH('Scores per segment'!C$1,'Error Log'!$A$1:$J$1,0)))</f>
        <v/>
      </c>
      <c r="D168" s="68">
        <f>IF(H168=0,wdct(TRIM(C168)),0)</f>
        <v>0</v>
      </c>
      <c r="E168" s="68">
        <f>COUNTIFS('Error Log'!$A:$A,$A168,'Error Log'!$J:$J,E$1)</f>
        <v>0</v>
      </c>
      <c r="F168" s="68">
        <f>COUNTIFS('Error Log'!$A:$A,$A168,'Error Log'!$J:$J,F$1)</f>
        <v>0</v>
      </c>
      <c r="G168" s="68">
        <f>COUNTIFS('Error Log'!$A:$A,$A168,'Error Log'!$J:$J,G$1)</f>
        <v>0</v>
      </c>
      <c r="H168" s="68">
        <f>COUNTIFS('Error Log'!$A:$A,$A168,'Error Log'!$F:$F,"Source")</f>
        <v>0</v>
      </c>
      <c r="I168" s="68">
        <f>COUNTIFS('Error Log'!$A:$A,$A168,'Error Log'!$F:$F,"Target")</f>
        <v>0</v>
      </c>
      <c r="J168" s="69">
        <f t="shared" si="2"/>
        <v>0</v>
      </c>
    </row>
    <row r="169" spans="1:10">
      <c r="A169" s="87"/>
      <c r="B169" s="68" t="str">
        <f>IF(ISBLANK(A169),"",INDEX('Error Log'!$A:$J,MATCH('Scores per segment'!$A169,'Error Log'!$A:$A,0),MATCH('Scores per segment'!B$1,'Error Log'!$A$1:$J$1,0)))</f>
        <v/>
      </c>
      <c r="C169" s="68" t="str">
        <f>IF(ISBLANK(A169),"",INDEX('Error Log'!$A:$J,MATCH('Scores per segment'!$A169,'Error Log'!$A:$A,0),MATCH('Scores per segment'!C$1,'Error Log'!$A$1:$J$1,0)))</f>
        <v/>
      </c>
      <c r="D169" s="68">
        <f>IF(H169=0,wdct(TRIM(C169)),0)</f>
        <v>0</v>
      </c>
      <c r="E169" s="68">
        <f>COUNTIFS('Error Log'!$A:$A,$A169,'Error Log'!$J:$J,E$1)</f>
        <v>0</v>
      </c>
      <c r="F169" s="68">
        <f>COUNTIFS('Error Log'!$A:$A,$A169,'Error Log'!$J:$J,F$1)</f>
        <v>0</v>
      </c>
      <c r="G169" s="68">
        <f>COUNTIFS('Error Log'!$A:$A,$A169,'Error Log'!$J:$J,G$1)</f>
        <v>0</v>
      </c>
      <c r="H169" s="68">
        <f>COUNTIFS('Error Log'!$A:$A,$A169,'Error Log'!$F:$F,"Source")</f>
        <v>0</v>
      </c>
      <c r="I169" s="68">
        <f>COUNTIFS('Error Log'!$A:$A,$A169,'Error Log'!$F:$F,"Target")</f>
        <v>0</v>
      </c>
      <c r="J169" s="69">
        <f t="shared" si="2"/>
        <v>0</v>
      </c>
    </row>
    <row r="170" spans="1:10">
      <c r="A170" s="87"/>
      <c r="B170" s="68" t="str">
        <f>IF(ISBLANK(A170),"",INDEX('Error Log'!$A:$J,MATCH('Scores per segment'!$A170,'Error Log'!$A:$A,0),MATCH('Scores per segment'!B$1,'Error Log'!$A$1:$J$1,0)))</f>
        <v/>
      </c>
      <c r="C170" s="68" t="str">
        <f>IF(ISBLANK(A170),"",INDEX('Error Log'!$A:$J,MATCH('Scores per segment'!$A170,'Error Log'!$A:$A,0),MATCH('Scores per segment'!C$1,'Error Log'!$A$1:$J$1,0)))</f>
        <v/>
      </c>
      <c r="D170" s="68">
        <f>IF(H170=0,wdct(TRIM(C170)),0)</f>
        <v>0</v>
      </c>
      <c r="E170" s="68">
        <f>COUNTIFS('Error Log'!$A:$A,$A170,'Error Log'!$J:$J,E$1)</f>
        <v>0</v>
      </c>
      <c r="F170" s="68">
        <f>COUNTIFS('Error Log'!$A:$A,$A170,'Error Log'!$J:$J,F$1)</f>
        <v>0</v>
      </c>
      <c r="G170" s="68">
        <f>COUNTIFS('Error Log'!$A:$A,$A170,'Error Log'!$J:$J,G$1)</f>
        <v>0</v>
      </c>
      <c r="H170" s="68">
        <f>COUNTIFS('Error Log'!$A:$A,$A170,'Error Log'!$F:$F,"Source")</f>
        <v>0</v>
      </c>
      <c r="I170" s="68">
        <f>COUNTIFS('Error Log'!$A:$A,$A170,'Error Log'!$F:$F,"Target")</f>
        <v>0</v>
      </c>
      <c r="J170" s="69">
        <f t="shared" si="2"/>
        <v>0</v>
      </c>
    </row>
    <row r="171" spans="1:10">
      <c r="A171" s="87"/>
      <c r="B171" s="68" t="str">
        <f>IF(ISBLANK(A171),"",INDEX('Error Log'!$A:$J,MATCH('Scores per segment'!$A171,'Error Log'!$A:$A,0),MATCH('Scores per segment'!B$1,'Error Log'!$A$1:$J$1,0)))</f>
        <v/>
      </c>
      <c r="C171" s="68" t="str">
        <f>IF(ISBLANK(A171),"",INDEX('Error Log'!$A:$J,MATCH('Scores per segment'!$A171,'Error Log'!$A:$A,0),MATCH('Scores per segment'!C$1,'Error Log'!$A$1:$J$1,0)))</f>
        <v/>
      </c>
      <c r="D171" s="68">
        <f>IF(H171=0,wdct(TRIM(C171)),0)</f>
        <v>0</v>
      </c>
      <c r="E171" s="68">
        <f>COUNTIFS('Error Log'!$A:$A,$A171,'Error Log'!$J:$J,E$1)</f>
        <v>0</v>
      </c>
      <c r="F171" s="68">
        <f>COUNTIFS('Error Log'!$A:$A,$A171,'Error Log'!$J:$J,F$1)</f>
        <v>0</v>
      </c>
      <c r="G171" s="68">
        <f>COUNTIFS('Error Log'!$A:$A,$A171,'Error Log'!$J:$J,G$1)</f>
        <v>0</v>
      </c>
      <c r="H171" s="68">
        <f>COUNTIFS('Error Log'!$A:$A,$A171,'Error Log'!$F:$F,"Source")</f>
        <v>0</v>
      </c>
      <c r="I171" s="68">
        <f>COUNTIFS('Error Log'!$A:$A,$A171,'Error Log'!$F:$F,"Target")</f>
        <v>0</v>
      </c>
      <c r="J171" s="69">
        <f t="shared" si="2"/>
        <v>0</v>
      </c>
    </row>
    <row r="172" spans="1:10">
      <c r="A172" s="87"/>
      <c r="B172" s="68" t="str">
        <f>IF(ISBLANK(A172),"",INDEX('Error Log'!$A:$J,MATCH('Scores per segment'!$A172,'Error Log'!$A:$A,0),MATCH('Scores per segment'!B$1,'Error Log'!$A$1:$J$1,0)))</f>
        <v/>
      </c>
      <c r="C172" s="68" t="str">
        <f>IF(ISBLANK(A172),"",INDEX('Error Log'!$A:$J,MATCH('Scores per segment'!$A172,'Error Log'!$A:$A,0),MATCH('Scores per segment'!C$1,'Error Log'!$A$1:$J$1,0)))</f>
        <v/>
      </c>
      <c r="D172" s="68">
        <f>IF(H172=0,wdct(TRIM(C172)),0)</f>
        <v>0</v>
      </c>
      <c r="E172" s="68">
        <f>COUNTIFS('Error Log'!$A:$A,$A172,'Error Log'!$J:$J,E$1)</f>
        <v>0</v>
      </c>
      <c r="F172" s="68">
        <f>COUNTIFS('Error Log'!$A:$A,$A172,'Error Log'!$J:$J,F$1)</f>
        <v>0</v>
      </c>
      <c r="G172" s="68">
        <f>COUNTIFS('Error Log'!$A:$A,$A172,'Error Log'!$J:$J,G$1)</f>
        <v>0</v>
      </c>
      <c r="H172" s="68">
        <f>COUNTIFS('Error Log'!$A:$A,$A172,'Error Log'!$F:$F,"Source")</f>
        <v>0</v>
      </c>
      <c r="I172" s="68">
        <f>COUNTIFS('Error Log'!$A:$A,$A172,'Error Log'!$F:$F,"Target")</f>
        <v>0</v>
      </c>
      <c r="J172" s="69">
        <f t="shared" si="2"/>
        <v>0</v>
      </c>
    </row>
    <row r="173" spans="1:10">
      <c r="A173" s="87"/>
      <c r="B173" s="68" t="str">
        <f>IF(ISBLANK(A173),"",INDEX('Error Log'!$A:$J,MATCH('Scores per segment'!$A173,'Error Log'!$A:$A,0),MATCH('Scores per segment'!B$1,'Error Log'!$A$1:$J$1,0)))</f>
        <v/>
      </c>
      <c r="C173" s="68" t="str">
        <f>IF(ISBLANK(A173),"",INDEX('Error Log'!$A:$J,MATCH('Scores per segment'!$A173,'Error Log'!$A:$A,0),MATCH('Scores per segment'!C$1,'Error Log'!$A$1:$J$1,0)))</f>
        <v/>
      </c>
      <c r="D173" s="68">
        <f>IF(H173=0,wdct(TRIM(C173)),0)</f>
        <v>0</v>
      </c>
      <c r="E173" s="68">
        <f>COUNTIFS('Error Log'!$A:$A,$A173,'Error Log'!$J:$J,E$1)</f>
        <v>0</v>
      </c>
      <c r="F173" s="68">
        <f>COUNTIFS('Error Log'!$A:$A,$A173,'Error Log'!$J:$J,F$1)</f>
        <v>0</v>
      </c>
      <c r="G173" s="68">
        <f>COUNTIFS('Error Log'!$A:$A,$A173,'Error Log'!$J:$J,G$1)</f>
        <v>0</v>
      </c>
      <c r="H173" s="68">
        <f>COUNTIFS('Error Log'!$A:$A,$A173,'Error Log'!$F:$F,"Source")</f>
        <v>0</v>
      </c>
      <c r="I173" s="68">
        <f>COUNTIFS('Error Log'!$A:$A,$A173,'Error Log'!$F:$F,"Target")</f>
        <v>0</v>
      </c>
      <c r="J173" s="69">
        <f t="shared" si="2"/>
        <v>0</v>
      </c>
    </row>
    <row r="174" spans="1:10">
      <c r="A174" s="87"/>
      <c r="B174" s="68" t="str">
        <f>IF(ISBLANK(A174),"",INDEX('Error Log'!$A:$J,MATCH('Scores per segment'!$A174,'Error Log'!$A:$A,0),MATCH('Scores per segment'!B$1,'Error Log'!$A$1:$J$1,0)))</f>
        <v/>
      </c>
      <c r="C174" s="68" t="str">
        <f>IF(ISBLANK(A174),"",INDEX('Error Log'!$A:$J,MATCH('Scores per segment'!$A174,'Error Log'!$A:$A,0),MATCH('Scores per segment'!C$1,'Error Log'!$A$1:$J$1,0)))</f>
        <v/>
      </c>
      <c r="D174" s="68">
        <f>IF(H174=0,wdct(TRIM(C174)),0)</f>
        <v>0</v>
      </c>
      <c r="E174" s="68">
        <f>COUNTIFS('Error Log'!$A:$A,$A174,'Error Log'!$J:$J,E$1)</f>
        <v>0</v>
      </c>
      <c r="F174" s="68">
        <f>COUNTIFS('Error Log'!$A:$A,$A174,'Error Log'!$J:$J,F$1)</f>
        <v>0</v>
      </c>
      <c r="G174" s="68">
        <f>COUNTIFS('Error Log'!$A:$A,$A174,'Error Log'!$J:$J,G$1)</f>
        <v>0</v>
      </c>
      <c r="H174" s="68">
        <f>COUNTIFS('Error Log'!$A:$A,$A174,'Error Log'!$F:$F,"Source")</f>
        <v>0</v>
      </c>
      <c r="I174" s="68">
        <f>COUNTIFS('Error Log'!$A:$A,$A174,'Error Log'!$F:$F,"Target")</f>
        <v>0</v>
      </c>
      <c r="J174" s="69">
        <f t="shared" si="2"/>
        <v>0</v>
      </c>
    </row>
    <row r="175" spans="1:10">
      <c r="A175" s="87"/>
      <c r="B175" s="68" t="str">
        <f>IF(ISBLANK(A175),"",INDEX('Error Log'!$A:$J,MATCH('Scores per segment'!$A175,'Error Log'!$A:$A,0),MATCH('Scores per segment'!B$1,'Error Log'!$A$1:$J$1,0)))</f>
        <v/>
      </c>
      <c r="C175" s="68" t="str">
        <f>IF(ISBLANK(A175),"",INDEX('Error Log'!$A:$J,MATCH('Scores per segment'!$A175,'Error Log'!$A:$A,0),MATCH('Scores per segment'!C$1,'Error Log'!$A$1:$J$1,0)))</f>
        <v/>
      </c>
      <c r="D175" s="68">
        <f>IF(H175=0,wdct(TRIM(C175)),0)</f>
        <v>0</v>
      </c>
      <c r="E175" s="68">
        <f>COUNTIFS('Error Log'!$A:$A,$A175,'Error Log'!$J:$J,E$1)</f>
        <v>0</v>
      </c>
      <c r="F175" s="68">
        <f>COUNTIFS('Error Log'!$A:$A,$A175,'Error Log'!$J:$J,F$1)</f>
        <v>0</v>
      </c>
      <c r="G175" s="68">
        <f>COUNTIFS('Error Log'!$A:$A,$A175,'Error Log'!$J:$J,G$1)</f>
        <v>0</v>
      </c>
      <c r="H175" s="68">
        <f>COUNTIFS('Error Log'!$A:$A,$A175,'Error Log'!$F:$F,"Source")</f>
        <v>0</v>
      </c>
      <c r="I175" s="68">
        <f>COUNTIFS('Error Log'!$A:$A,$A175,'Error Log'!$F:$F,"Target")</f>
        <v>0</v>
      </c>
      <c r="J175" s="69">
        <f t="shared" si="2"/>
        <v>0</v>
      </c>
    </row>
    <row r="176" spans="1:10">
      <c r="A176" s="87"/>
      <c r="B176" s="68" t="str">
        <f>IF(ISBLANK(A176),"",INDEX('Error Log'!$A:$J,MATCH('Scores per segment'!$A176,'Error Log'!$A:$A,0),MATCH('Scores per segment'!B$1,'Error Log'!$A$1:$J$1,0)))</f>
        <v/>
      </c>
      <c r="C176" s="68" t="str">
        <f>IF(ISBLANK(A176),"",INDEX('Error Log'!$A:$J,MATCH('Scores per segment'!$A176,'Error Log'!$A:$A,0),MATCH('Scores per segment'!C$1,'Error Log'!$A$1:$J$1,0)))</f>
        <v/>
      </c>
      <c r="D176" s="68">
        <f>IF(H176=0,wdct(TRIM(C176)),0)</f>
        <v>0</v>
      </c>
      <c r="E176" s="68">
        <f>COUNTIFS('Error Log'!$A:$A,$A176,'Error Log'!$J:$J,E$1)</f>
        <v>0</v>
      </c>
      <c r="F176" s="68">
        <f>COUNTIFS('Error Log'!$A:$A,$A176,'Error Log'!$J:$J,F$1)</f>
        <v>0</v>
      </c>
      <c r="G176" s="68">
        <f>COUNTIFS('Error Log'!$A:$A,$A176,'Error Log'!$J:$J,G$1)</f>
        <v>0</v>
      </c>
      <c r="H176" s="68">
        <f>COUNTIFS('Error Log'!$A:$A,$A176,'Error Log'!$F:$F,"Source")</f>
        <v>0</v>
      </c>
      <c r="I176" s="68">
        <f>COUNTIFS('Error Log'!$A:$A,$A176,'Error Log'!$F:$F,"Target")</f>
        <v>0</v>
      </c>
      <c r="J176" s="69">
        <f t="shared" si="2"/>
        <v>0</v>
      </c>
    </row>
    <row r="177" spans="1:10">
      <c r="A177" s="87"/>
      <c r="B177" s="68" t="str">
        <f>IF(ISBLANK(A177),"",INDEX('Error Log'!$A:$J,MATCH('Scores per segment'!$A177,'Error Log'!$A:$A,0),MATCH('Scores per segment'!B$1,'Error Log'!$A$1:$J$1,0)))</f>
        <v/>
      </c>
      <c r="C177" s="68" t="str">
        <f>IF(ISBLANK(A177),"",INDEX('Error Log'!$A:$J,MATCH('Scores per segment'!$A177,'Error Log'!$A:$A,0),MATCH('Scores per segment'!C$1,'Error Log'!$A$1:$J$1,0)))</f>
        <v/>
      </c>
      <c r="D177" s="68">
        <f>IF(H177=0,wdct(TRIM(C177)),0)</f>
        <v>0</v>
      </c>
      <c r="E177" s="68">
        <f>COUNTIFS('Error Log'!$A:$A,$A177,'Error Log'!$J:$J,E$1)</f>
        <v>0</v>
      </c>
      <c r="F177" s="68">
        <f>COUNTIFS('Error Log'!$A:$A,$A177,'Error Log'!$J:$J,F$1)</f>
        <v>0</v>
      </c>
      <c r="G177" s="68">
        <f>COUNTIFS('Error Log'!$A:$A,$A177,'Error Log'!$J:$J,G$1)</f>
        <v>0</v>
      </c>
      <c r="H177" s="68">
        <f>COUNTIFS('Error Log'!$A:$A,$A177,'Error Log'!$F:$F,"Source")</f>
        <v>0</v>
      </c>
      <c r="I177" s="68">
        <f>COUNTIFS('Error Log'!$A:$A,$A177,'Error Log'!$F:$F,"Target")</f>
        <v>0</v>
      </c>
      <c r="J177" s="69">
        <f t="shared" si="2"/>
        <v>0</v>
      </c>
    </row>
    <row r="178" spans="1:10">
      <c r="A178" s="87"/>
      <c r="B178" s="68" t="str">
        <f>IF(ISBLANK(A178),"",INDEX('Error Log'!$A:$J,MATCH('Scores per segment'!$A178,'Error Log'!$A:$A,0),MATCH('Scores per segment'!B$1,'Error Log'!$A$1:$J$1,0)))</f>
        <v/>
      </c>
      <c r="C178" s="68" t="str">
        <f>IF(ISBLANK(A178),"",INDEX('Error Log'!$A:$J,MATCH('Scores per segment'!$A178,'Error Log'!$A:$A,0),MATCH('Scores per segment'!C$1,'Error Log'!$A$1:$J$1,0)))</f>
        <v/>
      </c>
      <c r="D178" s="68">
        <f>IF(H178=0,wdct(TRIM(C178)),0)</f>
        <v>0</v>
      </c>
      <c r="E178" s="68">
        <f>COUNTIFS('Error Log'!$A:$A,$A178,'Error Log'!$J:$J,E$1)</f>
        <v>0</v>
      </c>
      <c r="F178" s="68">
        <f>COUNTIFS('Error Log'!$A:$A,$A178,'Error Log'!$J:$J,F$1)</f>
        <v>0</v>
      </c>
      <c r="G178" s="68">
        <f>COUNTIFS('Error Log'!$A:$A,$A178,'Error Log'!$J:$J,G$1)</f>
        <v>0</v>
      </c>
      <c r="H178" s="68">
        <f>COUNTIFS('Error Log'!$A:$A,$A178,'Error Log'!$F:$F,"Source")</f>
        <v>0</v>
      </c>
      <c r="I178" s="68">
        <f>COUNTIFS('Error Log'!$A:$A,$A178,'Error Log'!$F:$F,"Target")</f>
        <v>0</v>
      </c>
      <c r="J178" s="69">
        <f t="shared" si="2"/>
        <v>0</v>
      </c>
    </row>
    <row r="179" spans="1:10">
      <c r="A179" s="87"/>
      <c r="B179" s="68" t="str">
        <f>IF(ISBLANK(A179),"",INDEX('Error Log'!$A:$J,MATCH('Scores per segment'!$A179,'Error Log'!$A:$A,0),MATCH('Scores per segment'!B$1,'Error Log'!$A$1:$J$1,0)))</f>
        <v/>
      </c>
      <c r="C179" s="68" t="str">
        <f>IF(ISBLANK(A179),"",INDEX('Error Log'!$A:$J,MATCH('Scores per segment'!$A179,'Error Log'!$A:$A,0),MATCH('Scores per segment'!C$1,'Error Log'!$A$1:$J$1,0)))</f>
        <v/>
      </c>
      <c r="D179" s="68">
        <f>IF(H179=0,wdct(TRIM(C179)),0)</f>
        <v>0</v>
      </c>
      <c r="E179" s="68">
        <f>COUNTIFS('Error Log'!$A:$A,$A179,'Error Log'!$J:$J,E$1)</f>
        <v>0</v>
      </c>
      <c r="F179" s="68">
        <f>COUNTIFS('Error Log'!$A:$A,$A179,'Error Log'!$J:$J,F$1)</f>
        <v>0</v>
      </c>
      <c r="G179" s="68">
        <f>COUNTIFS('Error Log'!$A:$A,$A179,'Error Log'!$J:$J,G$1)</f>
        <v>0</v>
      </c>
      <c r="H179" s="68">
        <f>COUNTIFS('Error Log'!$A:$A,$A179,'Error Log'!$F:$F,"Source")</f>
        <v>0</v>
      </c>
      <c r="I179" s="68">
        <f>COUNTIFS('Error Log'!$A:$A,$A179,'Error Log'!$F:$F,"Target")</f>
        <v>0</v>
      </c>
      <c r="J179" s="69">
        <f t="shared" si="2"/>
        <v>0</v>
      </c>
    </row>
    <row r="180" spans="1:10">
      <c r="A180" s="87"/>
      <c r="B180" s="68" t="str">
        <f>IF(ISBLANK(A180),"",INDEX('Error Log'!$A:$J,MATCH('Scores per segment'!$A180,'Error Log'!$A:$A,0),MATCH('Scores per segment'!B$1,'Error Log'!$A$1:$J$1,0)))</f>
        <v/>
      </c>
      <c r="C180" s="68" t="str">
        <f>IF(ISBLANK(A180),"",INDEX('Error Log'!$A:$J,MATCH('Scores per segment'!$A180,'Error Log'!$A:$A,0),MATCH('Scores per segment'!C$1,'Error Log'!$A$1:$J$1,0)))</f>
        <v/>
      </c>
      <c r="D180" s="68">
        <f>IF(H180=0,wdct(TRIM(C180)),0)</f>
        <v>0</v>
      </c>
      <c r="E180" s="68">
        <f>COUNTIFS('Error Log'!$A:$A,$A180,'Error Log'!$J:$J,E$1)</f>
        <v>0</v>
      </c>
      <c r="F180" s="68">
        <f>COUNTIFS('Error Log'!$A:$A,$A180,'Error Log'!$J:$J,F$1)</f>
        <v>0</v>
      </c>
      <c r="G180" s="68">
        <f>COUNTIFS('Error Log'!$A:$A,$A180,'Error Log'!$J:$J,G$1)</f>
        <v>0</v>
      </c>
      <c r="H180" s="68">
        <f>COUNTIFS('Error Log'!$A:$A,$A180,'Error Log'!$F:$F,"Source")</f>
        <v>0</v>
      </c>
      <c r="I180" s="68">
        <f>COUNTIFS('Error Log'!$A:$A,$A180,'Error Log'!$F:$F,"Target")</f>
        <v>0</v>
      </c>
      <c r="J180" s="69">
        <f t="shared" si="2"/>
        <v>0</v>
      </c>
    </row>
    <row r="181" spans="1:10">
      <c r="A181" s="87"/>
      <c r="B181" s="68" t="str">
        <f>IF(ISBLANK(A181),"",INDEX('Error Log'!$A:$J,MATCH('Scores per segment'!$A181,'Error Log'!$A:$A,0),MATCH('Scores per segment'!B$1,'Error Log'!$A$1:$J$1,0)))</f>
        <v/>
      </c>
      <c r="C181" s="68" t="str">
        <f>IF(ISBLANK(A181),"",INDEX('Error Log'!$A:$J,MATCH('Scores per segment'!$A181,'Error Log'!$A:$A,0),MATCH('Scores per segment'!C$1,'Error Log'!$A$1:$J$1,0)))</f>
        <v/>
      </c>
      <c r="D181" s="68">
        <f>IF(H181=0,wdct(TRIM(C181)),0)</f>
        <v>0</v>
      </c>
      <c r="E181" s="68">
        <f>COUNTIFS('Error Log'!$A:$A,$A181,'Error Log'!$J:$J,E$1)</f>
        <v>0</v>
      </c>
      <c r="F181" s="68">
        <f>COUNTIFS('Error Log'!$A:$A,$A181,'Error Log'!$J:$J,F$1)</f>
        <v>0</v>
      </c>
      <c r="G181" s="68">
        <f>COUNTIFS('Error Log'!$A:$A,$A181,'Error Log'!$J:$J,G$1)</f>
        <v>0</v>
      </c>
      <c r="H181" s="68">
        <f>COUNTIFS('Error Log'!$A:$A,$A181,'Error Log'!$F:$F,"Source")</f>
        <v>0</v>
      </c>
      <c r="I181" s="68">
        <f>COUNTIFS('Error Log'!$A:$A,$A181,'Error Log'!$F:$F,"Target")</f>
        <v>0</v>
      </c>
      <c r="J181" s="69">
        <f t="shared" si="2"/>
        <v>0</v>
      </c>
    </row>
    <row r="182" spans="1:10">
      <c r="A182" s="87"/>
      <c r="B182" s="68" t="str">
        <f>IF(ISBLANK(A182),"",INDEX('Error Log'!$A:$J,MATCH('Scores per segment'!$A182,'Error Log'!$A:$A,0),MATCH('Scores per segment'!B$1,'Error Log'!$A$1:$J$1,0)))</f>
        <v/>
      </c>
      <c r="C182" s="68" t="str">
        <f>IF(ISBLANK(A182),"",INDEX('Error Log'!$A:$J,MATCH('Scores per segment'!$A182,'Error Log'!$A:$A,0),MATCH('Scores per segment'!C$1,'Error Log'!$A$1:$J$1,0)))</f>
        <v/>
      </c>
      <c r="D182" s="68">
        <f>IF(H182=0,wdct(TRIM(C182)),0)</f>
        <v>0</v>
      </c>
      <c r="E182" s="68">
        <f>COUNTIFS('Error Log'!$A:$A,$A182,'Error Log'!$J:$J,E$1)</f>
        <v>0</v>
      </c>
      <c r="F182" s="68">
        <f>COUNTIFS('Error Log'!$A:$A,$A182,'Error Log'!$J:$J,F$1)</f>
        <v>0</v>
      </c>
      <c r="G182" s="68">
        <f>COUNTIFS('Error Log'!$A:$A,$A182,'Error Log'!$J:$J,G$1)</f>
        <v>0</v>
      </c>
      <c r="H182" s="68">
        <f>COUNTIFS('Error Log'!$A:$A,$A182,'Error Log'!$F:$F,"Source")</f>
        <v>0</v>
      </c>
      <c r="I182" s="68">
        <f>COUNTIFS('Error Log'!$A:$A,$A182,'Error Log'!$F:$F,"Target")</f>
        <v>0</v>
      </c>
      <c r="J182" s="69">
        <f t="shared" si="2"/>
        <v>0</v>
      </c>
    </row>
    <row r="183" spans="1:10">
      <c r="A183" s="87"/>
      <c r="B183" s="68" t="str">
        <f>IF(ISBLANK(A183),"",INDEX('Error Log'!$A:$J,MATCH('Scores per segment'!$A183,'Error Log'!$A:$A,0),MATCH('Scores per segment'!B$1,'Error Log'!$A$1:$J$1,0)))</f>
        <v/>
      </c>
      <c r="C183" s="68" t="str">
        <f>IF(ISBLANK(A183),"",INDEX('Error Log'!$A:$J,MATCH('Scores per segment'!$A183,'Error Log'!$A:$A,0),MATCH('Scores per segment'!C$1,'Error Log'!$A$1:$J$1,0)))</f>
        <v/>
      </c>
      <c r="D183" s="68">
        <f>IF(H183=0,wdct(TRIM(C183)),0)</f>
        <v>0</v>
      </c>
      <c r="E183" s="68">
        <f>COUNTIFS('Error Log'!$A:$A,$A183,'Error Log'!$J:$J,E$1)</f>
        <v>0</v>
      </c>
      <c r="F183" s="68">
        <f>COUNTIFS('Error Log'!$A:$A,$A183,'Error Log'!$J:$J,F$1)</f>
        <v>0</v>
      </c>
      <c r="G183" s="68">
        <f>COUNTIFS('Error Log'!$A:$A,$A183,'Error Log'!$J:$J,G$1)</f>
        <v>0</v>
      </c>
      <c r="H183" s="68">
        <f>COUNTIFS('Error Log'!$A:$A,$A183,'Error Log'!$F:$F,"Source")</f>
        <v>0</v>
      </c>
      <c r="I183" s="68">
        <f>COUNTIFS('Error Log'!$A:$A,$A183,'Error Log'!$F:$F,"Target")</f>
        <v>0</v>
      </c>
      <c r="J183" s="69">
        <f t="shared" si="2"/>
        <v>0</v>
      </c>
    </row>
    <row r="184" spans="1:10">
      <c r="A184" s="87"/>
      <c r="B184" s="68" t="str">
        <f>IF(ISBLANK(A184),"",INDEX('Error Log'!$A:$J,MATCH('Scores per segment'!$A184,'Error Log'!$A:$A,0),MATCH('Scores per segment'!B$1,'Error Log'!$A$1:$J$1,0)))</f>
        <v/>
      </c>
      <c r="C184" s="68" t="str">
        <f>IF(ISBLANK(A184),"",INDEX('Error Log'!$A:$J,MATCH('Scores per segment'!$A184,'Error Log'!$A:$A,0),MATCH('Scores per segment'!C$1,'Error Log'!$A$1:$J$1,0)))</f>
        <v/>
      </c>
      <c r="D184" s="68">
        <f>IF(H184=0,wdct(TRIM(C184)),0)</f>
        <v>0</v>
      </c>
      <c r="E184" s="68">
        <f>COUNTIFS('Error Log'!$A:$A,$A184,'Error Log'!$J:$J,E$1)</f>
        <v>0</v>
      </c>
      <c r="F184" s="68">
        <f>COUNTIFS('Error Log'!$A:$A,$A184,'Error Log'!$J:$J,F$1)</f>
        <v>0</v>
      </c>
      <c r="G184" s="68">
        <f>COUNTIFS('Error Log'!$A:$A,$A184,'Error Log'!$J:$J,G$1)</f>
        <v>0</v>
      </c>
      <c r="H184" s="68">
        <f>COUNTIFS('Error Log'!$A:$A,$A184,'Error Log'!$F:$F,"Source")</f>
        <v>0</v>
      </c>
      <c r="I184" s="68">
        <f>COUNTIFS('Error Log'!$A:$A,$A184,'Error Log'!$F:$F,"Target")</f>
        <v>0</v>
      </c>
      <c r="J184" s="69">
        <f t="shared" si="2"/>
        <v>0</v>
      </c>
    </row>
    <row r="185" spans="1:10">
      <c r="A185" s="87"/>
      <c r="B185" s="68" t="str">
        <f>IF(ISBLANK(A185),"",INDEX('Error Log'!$A:$J,MATCH('Scores per segment'!$A185,'Error Log'!$A:$A,0),MATCH('Scores per segment'!B$1,'Error Log'!$A$1:$J$1,0)))</f>
        <v/>
      </c>
      <c r="C185" s="68" t="str">
        <f>IF(ISBLANK(A185),"",INDEX('Error Log'!$A:$J,MATCH('Scores per segment'!$A185,'Error Log'!$A:$A,0),MATCH('Scores per segment'!C$1,'Error Log'!$A$1:$J$1,0)))</f>
        <v/>
      </c>
      <c r="D185" s="68">
        <f>IF(H185=0,wdct(TRIM(C185)),0)</f>
        <v>0</v>
      </c>
      <c r="E185" s="68">
        <f>COUNTIFS('Error Log'!$A:$A,$A185,'Error Log'!$J:$J,E$1)</f>
        <v>0</v>
      </c>
      <c r="F185" s="68">
        <f>COUNTIFS('Error Log'!$A:$A,$A185,'Error Log'!$J:$J,F$1)</f>
        <v>0</v>
      </c>
      <c r="G185" s="68">
        <f>COUNTIFS('Error Log'!$A:$A,$A185,'Error Log'!$J:$J,G$1)</f>
        <v>0</v>
      </c>
      <c r="H185" s="68">
        <f>COUNTIFS('Error Log'!$A:$A,$A185,'Error Log'!$F:$F,"Source")</f>
        <v>0</v>
      </c>
      <c r="I185" s="68">
        <f>COUNTIFS('Error Log'!$A:$A,$A185,'Error Log'!$F:$F,"Target")</f>
        <v>0</v>
      </c>
      <c r="J185" s="69">
        <f t="shared" si="2"/>
        <v>0</v>
      </c>
    </row>
    <row r="186" spans="1:10">
      <c r="A186" s="87"/>
      <c r="B186" s="68" t="str">
        <f>IF(ISBLANK(A186),"",INDEX('Error Log'!$A:$J,MATCH('Scores per segment'!$A186,'Error Log'!$A:$A,0),MATCH('Scores per segment'!B$1,'Error Log'!$A$1:$J$1,0)))</f>
        <v/>
      </c>
      <c r="C186" s="68" t="str">
        <f>IF(ISBLANK(A186),"",INDEX('Error Log'!$A:$J,MATCH('Scores per segment'!$A186,'Error Log'!$A:$A,0),MATCH('Scores per segment'!C$1,'Error Log'!$A$1:$J$1,0)))</f>
        <v/>
      </c>
      <c r="D186" s="68">
        <f>IF(H186=0,wdct(TRIM(C186)),0)</f>
        <v>0</v>
      </c>
      <c r="E186" s="68">
        <f>COUNTIFS('Error Log'!$A:$A,$A186,'Error Log'!$J:$J,E$1)</f>
        <v>0</v>
      </c>
      <c r="F186" s="68">
        <f>COUNTIFS('Error Log'!$A:$A,$A186,'Error Log'!$J:$J,F$1)</f>
        <v>0</v>
      </c>
      <c r="G186" s="68">
        <f>COUNTIFS('Error Log'!$A:$A,$A186,'Error Log'!$J:$J,G$1)</f>
        <v>0</v>
      </c>
      <c r="H186" s="68">
        <f>COUNTIFS('Error Log'!$A:$A,$A186,'Error Log'!$F:$F,"Source")</f>
        <v>0</v>
      </c>
      <c r="I186" s="68">
        <f>COUNTIFS('Error Log'!$A:$A,$A186,'Error Log'!$F:$F,"Target")</f>
        <v>0</v>
      </c>
      <c r="J186" s="69">
        <f t="shared" si="2"/>
        <v>0</v>
      </c>
    </row>
    <row r="187" spans="1:10">
      <c r="A187" s="87"/>
      <c r="B187" s="68" t="str">
        <f>IF(ISBLANK(A187),"",INDEX('Error Log'!$A:$J,MATCH('Scores per segment'!$A187,'Error Log'!$A:$A,0),MATCH('Scores per segment'!B$1,'Error Log'!$A$1:$J$1,0)))</f>
        <v/>
      </c>
      <c r="C187" s="68" t="str">
        <f>IF(ISBLANK(A187),"",INDEX('Error Log'!$A:$J,MATCH('Scores per segment'!$A187,'Error Log'!$A:$A,0),MATCH('Scores per segment'!C$1,'Error Log'!$A$1:$J$1,0)))</f>
        <v/>
      </c>
      <c r="D187" s="68">
        <f>IF(H187=0,wdct(TRIM(C187)),0)</f>
        <v>0</v>
      </c>
      <c r="E187" s="68">
        <f>COUNTIFS('Error Log'!$A:$A,$A187,'Error Log'!$J:$J,E$1)</f>
        <v>0</v>
      </c>
      <c r="F187" s="68">
        <f>COUNTIFS('Error Log'!$A:$A,$A187,'Error Log'!$J:$J,F$1)</f>
        <v>0</v>
      </c>
      <c r="G187" s="68">
        <f>COUNTIFS('Error Log'!$A:$A,$A187,'Error Log'!$J:$J,G$1)</f>
        <v>0</v>
      </c>
      <c r="H187" s="68">
        <f>COUNTIFS('Error Log'!$A:$A,$A187,'Error Log'!$F:$F,"Source")</f>
        <v>0</v>
      </c>
      <c r="I187" s="68">
        <f>COUNTIFS('Error Log'!$A:$A,$A187,'Error Log'!$F:$F,"Target")</f>
        <v>0</v>
      </c>
      <c r="J187" s="69">
        <f t="shared" si="2"/>
        <v>0</v>
      </c>
    </row>
    <row r="188" spans="1:10">
      <c r="A188" s="87"/>
      <c r="B188" s="68" t="str">
        <f>IF(ISBLANK(A188),"",INDEX('Error Log'!$A:$J,MATCH('Scores per segment'!$A188,'Error Log'!$A:$A,0),MATCH('Scores per segment'!B$1,'Error Log'!$A$1:$J$1,0)))</f>
        <v/>
      </c>
      <c r="C188" s="68" t="str">
        <f>IF(ISBLANK(A188),"",INDEX('Error Log'!$A:$J,MATCH('Scores per segment'!$A188,'Error Log'!$A:$A,0),MATCH('Scores per segment'!C$1,'Error Log'!$A$1:$J$1,0)))</f>
        <v/>
      </c>
      <c r="D188" s="68">
        <f>IF(H188=0,wdct(TRIM(C188)),0)</f>
        <v>0</v>
      </c>
      <c r="E188" s="68">
        <f>COUNTIFS('Error Log'!$A:$A,$A188,'Error Log'!$J:$J,E$1)</f>
        <v>0</v>
      </c>
      <c r="F188" s="68">
        <f>COUNTIFS('Error Log'!$A:$A,$A188,'Error Log'!$J:$J,F$1)</f>
        <v>0</v>
      </c>
      <c r="G188" s="68">
        <f>COUNTIFS('Error Log'!$A:$A,$A188,'Error Log'!$J:$J,G$1)</f>
        <v>0</v>
      </c>
      <c r="H188" s="68">
        <f>COUNTIFS('Error Log'!$A:$A,$A188,'Error Log'!$F:$F,"Source")</f>
        <v>0</v>
      </c>
      <c r="I188" s="68">
        <f>COUNTIFS('Error Log'!$A:$A,$A188,'Error Log'!$F:$F,"Target")</f>
        <v>0</v>
      </c>
      <c r="J188" s="69">
        <f t="shared" si="2"/>
        <v>0</v>
      </c>
    </row>
    <row r="189" spans="1:10">
      <c r="A189" s="87"/>
      <c r="B189" s="68" t="str">
        <f>IF(ISBLANK(A189),"",INDEX('Error Log'!$A:$J,MATCH('Scores per segment'!$A189,'Error Log'!$A:$A,0),MATCH('Scores per segment'!B$1,'Error Log'!$A$1:$J$1,0)))</f>
        <v/>
      </c>
      <c r="C189" s="68" t="str">
        <f>IF(ISBLANK(A189),"",INDEX('Error Log'!$A:$J,MATCH('Scores per segment'!$A189,'Error Log'!$A:$A,0),MATCH('Scores per segment'!C$1,'Error Log'!$A$1:$J$1,0)))</f>
        <v/>
      </c>
      <c r="D189" s="68">
        <f>IF(H189=0,wdct(TRIM(C189)),0)</f>
        <v>0</v>
      </c>
      <c r="E189" s="68">
        <f>COUNTIFS('Error Log'!$A:$A,$A189,'Error Log'!$J:$J,E$1)</f>
        <v>0</v>
      </c>
      <c r="F189" s="68">
        <f>COUNTIFS('Error Log'!$A:$A,$A189,'Error Log'!$J:$J,F$1)</f>
        <v>0</v>
      </c>
      <c r="G189" s="68">
        <f>COUNTIFS('Error Log'!$A:$A,$A189,'Error Log'!$J:$J,G$1)</f>
        <v>0</v>
      </c>
      <c r="H189" s="68">
        <f>COUNTIFS('Error Log'!$A:$A,$A189,'Error Log'!$F:$F,"Source")</f>
        <v>0</v>
      </c>
      <c r="I189" s="68">
        <f>COUNTIFS('Error Log'!$A:$A,$A189,'Error Log'!$F:$F,"Target")</f>
        <v>0</v>
      </c>
      <c r="J189" s="69">
        <f t="shared" si="2"/>
        <v>0</v>
      </c>
    </row>
    <row r="190" spans="1:10">
      <c r="A190" s="87"/>
      <c r="B190" s="68" t="str">
        <f>IF(ISBLANK(A190),"",INDEX('Error Log'!$A:$J,MATCH('Scores per segment'!$A190,'Error Log'!$A:$A,0),MATCH('Scores per segment'!B$1,'Error Log'!$A$1:$J$1,0)))</f>
        <v/>
      </c>
      <c r="C190" s="68" t="str">
        <f>IF(ISBLANK(A190),"",INDEX('Error Log'!$A:$J,MATCH('Scores per segment'!$A190,'Error Log'!$A:$A,0),MATCH('Scores per segment'!C$1,'Error Log'!$A$1:$J$1,0)))</f>
        <v/>
      </c>
      <c r="D190" s="68">
        <f>IF(H190=0,wdct(TRIM(C190)),0)</f>
        <v>0</v>
      </c>
      <c r="E190" s="68">
        <f>COUNTIFS('Error Log'!$A:$A,$A190,'Error Log'!$J:$J,E$1)</f>
        <v>0</v>
      </c>
      <c r="F190" s="68">
        <f>COUNTIFS('Error Log'!$A:$A,$A190,'Error Log'!$J:$J,F$1)</f>
        <v>0</v>
      </c>
      <c r="G190" s="68">
        <f>COUNTIFS('Error Log'!$A:$A,$A190,'Error Log'!$J:$J,G$1)</f>
        <v>0</v>
      </c>
      <c r="H190" s="68">
        <f>COUNTIFS('Error Log'!$A:$A,$A190,'Error Log'!$F:$F,"Source")</f>
        <v>0</v>
      </c>
      <c r="I190" s="68">
        <f>COUNTIFS('Error Log'!$A:$A,$A190,'Error Log'!$F:$F,"Target")</f>
        <v>0</v>
      </c>
      <c r="J190" s="69">
        <f t="shared" si="2"/>
        <v>0</v>
      </c>
    </row>
    <row r="191" spans="1:10">
      <c r="A191" s="87"/>
      <c r="B191" s="68" t="str">
        <f>IF(ISBLANK(A191),"",INDEX('Error Log'!$A:$J,MATCH('Scores per segment'!$A191,'Error Log'!$A:$A,0),MATCH('Scores per segment'!B$1,'Error Log'!$A$1:$J$1,0)))</f>
        <v/>
      </c>
      <c r="C191" s="68" t="str">
        <f>IF(ISBLANK(A191),"",INDEX('Error Log'!$A:$J,MATCH('Scores per segment'!$A191,'Error Log'!$A:$A,0),MATCH('Scores per segment'!C$1,'Error Log'!$A$1:$J$1,0)))</f>
        <v/>
      </c>
      <c r="D191" s="68">
        <f>IF(H191=0,wdct(TRIM(C191)),0)</f>
        <v>0</v>
      </c>
      <c r="E191" s="68">
        <f>COUNTIFS('Error Log'!$A:$A,$A191,'Error Log'!$J:$J,E$1)</f>
        <v>0</v>
      </c>
      <c r="F191" s="68">
        <f>COUNTIFS('Error Log'!$A:$A,$A191,'Error Log'!$J:$J,F$1)</f>
        <v>0</v>
      </c>
      <c r="G191" s="68">
        <f>COUNTIFS('Error Log'!$A:$A,$A191,'Error Log'!$J:$J,G$1)</f>
        <v>0</v>
      </c>
      <c r="H191" s="68">
        <f>COUNTIFS('Error Log'!$A:$A,$A191,'Error Log'!$F:$F,"Source")</f>
        <v>0</v>
      </c>
      <c r="I191" s="68">
        <f>COUNTIFS('Error Log'!$A:$A,$A191,'Error Log'!$F:$F,"Target")</f>
        <v>0</v>
      </c>
      <c r="J191" s="69">
        <f t="shared" si="2"/>
        <v>0</v>
      </c>
    </row>
    <row r="192" spans="1:10">
      <c r="A192" s="87"/>
      <c r="B192" s="68" t="str">
        <f>IF(ISBLANK(A192),"",INDEX('Error Log'!$A:$J,MATCH('Scores per segment'!$A192,'Error Log'!$A:$A,0),MATCH('Scores per segment'!B$1,'Error Log'!$A$1:$J$1,0)))</f>
        <v/>
      </c>
      <c r="C192" s="68" t="str">
        <f>IF(ISBLANK(A192),"",INDEX('Error Log'!$A:$J,MATCH('Scores per segment'!$A192,'Error Log'!$A:$A,0),MATCH('Scores per segment'!C$1,'Error Log'!$A$1:$J$1,0)))</f>
        <v/>
      </c>
      <c r="D192" s="68">
        <f>IF(H192=0,wdct(TRIM(C192)),0)</f>
        <v>0</v>
      </c>
      <c r="E192" s="68">
        <f>COUNTIFS('Error Log'!$A:$A,$A192,'Error Log'!$J:$J,E$1)</f>
        <v>0</v>
      </c>
      <c r="F192" s="68">
        <f>COUNTIFS('Error Log'!$A:$A,$A192,'Error Log'!$J:$J,F$1)</f>
        <v>0</v>
      </c>
      <c r="G192" s="68">
        <f>COUNTIFS('Error Log'!$A:$A,$A192,'Error Log'!$J:$J,G$1)</f>
        <v>0</v>
      </c>
      <c r="H192" s="68">
        <f>COUNTIFS('Error Log'!$A:$A,$A192,'Error Log'!$F:$F,"Source")</f>
        <v>0</v>
      </c>
      <c r="I192" s="68">
        <f>COUNTIFS('Error Log'!$A:$A,$A192,'Error Log'!$F:$F,"Target")</f>
        <v>0</v>
      </c>
      <c r="J192" s="69">
        <f t="shared" si="2"/>
        <v>0</v>
      </c>
    </row>
    <row r="193" spans="1:10">
      <c r="A193" s="87"/>
      <c r="B193" s="68" t="str">
        <f>IF(ISBLANK(A193),"",INDEX('Error Log'!$A:$J,MATCH('Scores per segment'!$A193,'Error Log'!$A:$A,0),MATCH('Scores per segment'!B$1,'Error Log'!$A$1:$J$1,0)))</f>
        <v/>
      </c>
      <c r="C193" s="68" t="str">
        <f>IF(ISBLANK(A193),"",INDEX('Error Log'!$A:$J,MATCH('Scores per segment'!$A193,'Error Log'!$A:$A,0),MATCH('Scores per segment'!C$1,'Error Log'!$A$1:$J$1,0)))</f>
        <v/>
      </c>
      <c r="D193" s="68">
        <f>IF(H193=0,wdct(TRIM(C193)),0)</f>
        <v>0</v>
      </c>
      <c r="E193" s="68">
        <f>COUNTIFS('Error Log'!$A:$A,$A193,'Error Log'!$J:$J,E$1)</f>
        <v>0</v>
      </c>
      <c r="F193" s="68">
        <f>COUNTIFS('Error Log'!$A:$A,$A193,'Error Log'!$J:$J,F$1)</f>
        <v>0</v>
      </c>
      <c r="G193" s="68">
        <f>COUNTIFS('Error Log'!$A:$A,$A193,'Error Log'!$J:$J,G$1)</f>
        <v>0</v>
      </c>
      <c r="H193" s="68">
        <f>COUNTIFS('Error Log'!$A:$A,$A193,'Error Log'!$F:$F,"Source")</f>
        <v>0</v>
      </c>
      <c r="I193" s="68">
        <f>COUNTIFS('Error Log'!$A:$A,$A193,'Error Log'!$F:$F,"Target")</f>
        <v>0</v>
      </c>
      <c r="J193" s="69">
        <f t="shared" si="2"/>
        <v>0</v>
      </c>
    </row>
    <row r="194" spans="1:10">
      <c r="A194" s="87"/>
      <c r="B194" s="68" t="str">
        <f>IF(ISBLANK(A194),"",INDEX('Error Log'!$A:$J,MATCH('Scores per segment'!$A194,'Error Log'!$A:$A,0),MATCH('Scores per segment'!B$1,'Error Log'!$A$1:$J$1,0)))</f>
        <v/>
      </c>
      <c r="C194" s="68" t="str">
        <f>IF(ISBLANK(A194),"",INDEX('Error Log'!$A:$J,MATCH('Scores per segment'!$A194,'Error Log'!$A:$A,0),MATCH('Scores per segment'!C$1,'Error Log'!$A$1:$J$1,0)))</f>
        <v/>
      </c>
      <c r="D194" s="68">
        <f>IF(H194=0,wdct(TRIM(C194)),0)</f>
        <v>0</v>
      </c>
      <c r="E194" s="68">
        <f>COUNTIFS('Error Log'!$A:$A,$A194,'Error Log'!$J:$J,E$1)</f>
        <v>0</v>
      </c>
      <c r="F194" s="68">
        <f>COUNTIFS('Error Log'!$A:$A,$A194,'Error Log'!$J:$J,F$1)</f>
        <v>0</v>
      </c>
      <c r="G194" s="68">
        <f>COUNTIFS('Error Log'!$A:$A,$A194,'Error Log'!$J:$J,G$1)</f>
        <v>0</v>
      </c>
      <c r="H194" s="68">
        <f>COUNTIFS('Error Log'!$A:$A,$A194,'Error Log'!$F:$F,"Source")</f>
        <v>0</v>
      </c>
      <c r="I194" s="68">
        <f>COUNTIFS('Error Log'!$A:$A,$A194,'Error Log'!$F:$F,"Target")</f>
        <v>0</v>
      </c>
      <c r="J194" s="69">
        <f t="shared" ref="J194:J257" si="3">IF(I194=0,IFERROR((((1-((E194*10+F194*5+G194*1)/D194))*100)+100)/2,0),-150)</f>
        <v>0</v>
      </c>
    </row>
    <row r="195" spans="1:10">
      <c r="A195" s="87"/>
      <c r="B195" s="68" t="str">
        <f>IF(ISBLANK(A195),"",INDEX('Error Log'!$A:$J,MATCH('Scores per segment'!$A195,'Error Log'!$A:$A,0),MATCH('Scores per segment'!B$1,'Error Log'!$A$1:$J$1,0)))</f>
        <v/>
      </c>
      <c r="C195" s="68" t="str">
        <f>IF(ISBLANK(A195),"",INDEX('Error Log'!$A:$J,MATCH('Scores per segment'!$A195,'Error Log'!$A:$A,0),MATCH('Scores per segment'!C$1,'Error Log'!$A$1:$J$1,0)))</f>
        <v/>
      </c>
      <c r="D195" s="68">
        <f>IF(H195=0,wdct(TRIM(C195)),0)</f>
        <v>0</v>
      </c>
      <c r="E195" s="68">
        <f>COUNTIFS('Error Log'!$A:$A,$A195,'Error Log'!$J:$J,E$1)</f>
        <v>0</v>
      </c>
      <c r="F195" s="68">
        <f>COUNTIFS('Error Log'!$A:$A,$A195,'Error Log'!$J:$J,F$1)</f>
        <v>0</v>
      </c>
      <c r="G195" s="68">
        <f>COUNTIFS('Error Log'!$A:$A,$A195,'Error Log'!$J:$J,G$1)</f>
        <v>0</v>
      </c>
      <c r="H195" s="68">
        <f>COUNTIFS('Error Log'!$A:$A,$A195,'Error Log'!$F:$F,"Source")</f>
        <v>0</v>
      </c>
      <c r="I195" s="68">
        <f>COUNTIFS('Error Log'!$A:$A,$A195,'Error Log'!$F:$F,"Target")</f>
        <v>0</v>
      </c>
      <c r="J195" s="69">
        <f t="shared" si="3"/>
        <v>0</v>
      </c>
    </row>
    <row r="196" spans="1:10">
      <c r="A196" s="87"/>
      <c r="B196" s="68" t="str">
        <f>IF(ISBLANK(A196),"",INDEX('Error Log'!$A:$J,MATCH('Scores per segment'!$A196,'Error Log'!$A:$A,0),MATCH('Scores per segment'!B$1,'Error Log'!$A$1:$J$1,0)))</f>
        <v/>
      </c>
      <c r="C196" s="68" t="str">
        <f>IF(ISBLANK(A196),"",INDEX('Error Log'!$A:$J,MATCH('Scores per segment'!$A196,'Error Log'!$A:$A,0),MATCH('Scores per segment'!C$1,'Error Log'!$A$1:$J$1,0)))</f>
        <v/>
      </c>
      <c r="D196" s="68">
        <f>IF(H196=0,wdct(TRIM(C196)),0)</f>
        <v>0</v>
      </c>
      <c r="E196" s="68">
        <f>COUNTIFS('Error Log'!$A:$A,$A196,'Error Log'!$J:$J,E$1)</f>
        <v>0</v>
      </c>
      <c r="F196" s="68">
        <f>COUNTIFS('Error Log'!$A:$A,$A196,'Error Log'!$J:$J,F$1)</f>
        <v>0</v>
      </c>
      <c r="G196" s="68">
        <f>COUNTIFS('Error Log'!$A:$A,$A196,'Error Log'!$J:$J,G$1)</f>
        <v>0</v>
      </c>
      <c r="H196" s="68">
        <f>COUNTIFS('Error Log'!$A:$A,$A196,'Error Log'!$F:$F,"Source")</f>
        <v>0</v>
      </c>
      <c r="I196" s="68">
        <f>COUNTIFS('Error Log'!$A:$A,$A196,'Error Log'!$F:$F,"Target")</f>
        <v>0</v>
      </c>
      <c r="J196" s="69">
        <f t="shared" si="3"/>
        <v>0</v>
      </c>
    </row>
    <row r="197" spans="1:10">
      <c r="A197" s="87"/>
      <c r="B197" s="68" t="str">
        <f>IF(ISBLANK(A197),"",INDEX('Error Log'!$A:$J,MATCH('Scores per segment'!$A197,'Error Log'!$A:$A,0),MATCH('Scores per segment'!B$1,'Error Log'!$A$1:$J$1,0)))</f>
        <v/>
      </c>
      <c r="C197" s="68" t="str">
        <f>IF(ISBLANK(A197),"",INDEX('Error Log'!$A:$J,MATCH('Scores per segment'!$A197,'Error Log'!$A:$A,0),MATCH('Scores per segment'!C$1,'Error Log'!$A$1:$J$1,0)))</f>
        <v/>
      </c>
      <c r="D197" s="68">
        <f>IF(H197=0,wdct(TRIM(C197)),0)</f>
        <v>0</v>
      </c>
      <c r="E197" s="68">
        <f>COUNTIFS('Error Log'!$A:$A,$A197,'Error Log'!$J:$J,E$1)</f>
        <v>0</v>
      </c>
      <c r="F197" s="68">
        <f>COUNTIFS('Error Log'!$A:$A,$A197,'Error Log'!$J:$J,F$1)</f>
        <v>0</v>
      </c>
      <c r="G197" s="68">
        <f>COUNTIFS('Error Log'!$A:$A,$A197,'Error Log'!$J:$J,G$1)</f>
        <v>0</v>
      </c>
      <c r="H197" s="68">
        <f>COUNTIFS('Error Log'!$A:$A,$A197,'Error Log'!$F:$F,"Source")</f>
        <v>0</v>
      </c>
      <c r="I197" s="68">
        <f>COUNTIFS('Error Log'!$A:$A,$A197,'Error Log'!$F:$F,"Target")</f>
        <v>0</v>
      </c>
      <c r="J197" s="69">
        <f t="shared" si="3"/>
        <v>0</v>
      </c>
    </row>
    <row r="198" spans="1:10">
      <c r="A198" s="87"/>
      <c r="B198" s="68" t="str">
        <f>IF(ISBLANK(A198),"",INDEX('Error Log'!$A:$J,MATCH('Scores per segment'!$A198,'Error Log'!$A:$A,0),MATCH('Scores per segment'!B$1,'Error Log'!$A$1:$J$1,0)))</f>
        <v/>
      </c>
      <c r="C198" s="68" t="str">
        <f>IF(ISBLANK(A198),"",INDEX('Error Log'!$A:$J,MATCH('Scores per segment'!$A198,'Error Log'!$A:$A,0),MATCH('Scores per segment'!C$1,'Error Log'!$A$1:$J$1,0)))</f>
        <v/>
      </c>
      <c r="D198" s="68">
        <f>IF(H198=0,wdct(TRIM(C198)),0)</f>
        <v>0</v>
      </c>
      <c r="E198" s="68">
        <f>COUNTIFS('Error Log'!$A:$A,$A198,'Error Log'!$J:$J,E$1)</f>
        <v>0</v>
      </c>
      <c r="F198" s="68">
        <f>COUNTIFS('Error Log'!$A:$A,$A198,'Error Log'!$J:$J,F$1)</f>
        <v>0</v>
      </c>
      <c r="G198" s="68">
        <f>COUNTIFS('Error Log'!$A:$A,$A198,'Error Log'!$J:$J,G$1)</f>
        <v>0</v>
      </c>
      <c r="H198" s="68">
        <f>COUNTIFS('Error Log'!$A:$A,$A198,'Error Log'!$F:$F,"Source")</f>
        <v>0</v>
      </c>
      <c r="I198" s="68">
        <f>COUNTIFS('Error Log'!$A:$A,$A198,'Error Log'!$F:$F,"Target")</f>
        <v>0</v>
      </c>
      <c r="J198" s="69">
        <f t="shared" si="3"/>
        <v>0</v>
      </c>
    </row>
    <row r="199" spans="1:10">
      <c r="A199" s="87"/>
      <c r="B199" s="68" t="str">
        <f>IF(ISBLANK(A199),"",INDEX('Error Log'!$A:$J,MATCH('Scores per segment'!$A199,'Error Log'!$A:$A,0),MATCH('Scores per segment'!B$1,'Error Log'!$A$1:$J$1,0)))</f>
        <v/>
      </c>
      <c r="C199" s="68" t="str">
        <f>IF(ISBLANK(A199),"",INDEX('Error Log'!$A:$J,MATCH('Scores per segment'!$A199,'Error Log'!$A:$A,0),MATCH('Scores per segment'!C$1,'Error Log'!$A$1:$J$1,0)))</f>
        <v/>
      </c>
      <c r="D199" s="68">
        <f>IF(H199=0,wdct(TRIM(C199)),0)</f>
        <v>0</v>
      </c>
      <c r="E199" s="68">
        <f>COUNTIFS('Error Log'!$A:$A,$A199,'Error Log'!$J:$J,E$1)</f>
        <v>0</v>
      </c>
      <c r="F199" s="68">
        <f>COUNTIFS('Error Log'!$A:$A,$A199,'Error Log'!$J:$J,F$1)</f>
        <v>0</v>
      </c>
      <c r="G199" s="68">
        <f>COUNTIFS('Error Log'!$A:$A,$A199,'Error Log'!$J:$J,G$1)</f>
        <v>0</v>
      </c>
      <c r="H199" s="68">
        <f>COUNTIFS('Error Log'!$A:$A,$A199,'Error Log'!$F:$F,"Source")</f>
        <v>0</v>
      </c>
      <c r="I199" s="68">
        <f>COUNTIFS('Error Log'!$A:$A,$A199,'Error Log'!$F:$F,"Target")</f>
        <v>0</v>
      </c>
      <c r="J199" s="69">
        <f t="shared" si="3"/>
        <v>0</v>
      </c>
    </row>
    <row r="200" spans="1:10">
      <c r="A200" s="87"/>
      <c r="B200" s="68" t="str">
        <f>IF(ISBLANK(A200),"",INDEX('Error Log'!$A:$J,MATCH('Scores per segment'!$A200,'Error Log'!$A:$A,0),MATCH('Scores per segment'!B$1,'Error Log'!$A$1:$J$1,0)))</f>
        <v/>
      </c>
      <c r="C200" s="68" t="str">
        <f>IF(ISBLANK(A200),"",INDEX('Error Log'!$A:$J,MATCH('Scores per segment'!$A200,'Error Log'!$A:$A,0),MATCH('Scores per segment'!C$1,'Error Log'!$A$1:$J$1,0)))</f>
        <v/>
      </c>
      <c r="D200" s="68">
        <f>IF(H200=0,wdct(TRIM(C200)),0)</f>
        <v>0</v>
      </c>
      <c r="E200" s="68">
        <f>COUNTIFS('Error Log'!$A:$A,$A200,'Error Log'!$J:$J,E$1)</f>
        <v>0</v>
      </c>
      <c r="F200" s="68">
        <f>COUNTIFS('Error Log'!$A:$A,$A200,'Error Log'!$J:$J,F$1)</f>
        <v>0</v>
      </c>
      <c r="G200" s="68">
        <f>COUNTIFS('Error Log'!$A:$A,$A200,'Error Log'!$J:$J,G$1)</f>
        <v>0</v>
      </c>
      <c r="H200" s="68">
        <f>COUNTIFS('Error Log'!$A:$A,$A200,'Error Log'!$F:$F,"Source")</f>
        <v>0</v>
      </c>
      <c r="I200" s="68">
        <f>COUNTIFS('Error Log'!$A:$A,$A200,'Error Log'!$F:$F,"Target")</f>
        <v>0</v>
      </c>
      <c r="J200" s="69">
        <f t="shared" si="3"/>
        <v>0</v>
      </c>
    </row>
    <row r="201" spans="1:10">
      <c r="A201" s="87"/>
      <c r="B201" s="68" t="str">
        <f>IF(ISBLANK(A201),"",INDEX('Error Log'!$A:$J,MATCH('Scores per segment'!$A201,'Error Log'!$A:$A,0),MATCH('Scores per segment'!B$1,'Error Log'!$A$1:$J$1,0)))</f>
        <v/>
      </c>
      <c r="C201" s="68" t="str">
        <f>IF(ISBLANK(A201),"",INDEX('Error Log'!$A:$J,MATCH('Scores per segment'!$A201,'Error Log'!$A:$A,0),MATCH('Scores per segment'!C$1,'Error Log'!$A$1:$J$1,0)))</f>
        <v/>
      </c>
      <c r="D201" s="68">
        <f>IF(H201=0,wdct(TRIM(C201)),0)</f>
        <v>0</v>
      </c>
      <c r="E201" s="68">
        <f>COUNTIFS('Error Log'!$A:$A,$A201,'Error Log'!$J:$J,E$1)</f>
        <v>0</v>
      </c>
      <c r="F201" s="68">
        <f>COUNTIFS('Error Log'!$A:$A,$A201,'Error Log'!$J:$J,F$1)</f>
        <v>0</v>
      </c>
      <c r="G201" s="68">
        <f>COUNTIFS('Error Log'!$A:$A,$A201,'Error Log'!$J:$J,G$1)</f>
        <v>0</v>
      </c>
      <c r="H201" s="68">
        <f>COUNTIFS('Error Log'!$A:$A,$A201,'Error Log'!$F:$F,"Source")</f>
        <v>0</v>
      </c>
      <c r="I201" s="68">
        <f>COUNTIFS('Error Log'!$A:$A,$A201,'Error Log'!$F:$F,"Target")</f>
        <v>0</v>
      </c>
      <c r="J201" s="69">
        <f t="shared" si="3"/>
        <v>0</v>
      </c>
    </row>
    <row r="202" spans="1:10">
      <c r="A202" s="87"/>
      <c r="B202" s="68" t="str">
        <f>IF(ISBLANK(A202),"",INDEX('Error Log'!$A:$J,MATCH('Scores per segment'!$A202,'Error Log'!$A:$A,0),MATCH('Scores per segment'!B$1,'Error Log'!$A$1:$J$1,0)))</f>
        <v/>
      </c>
      <c r="C202" s="68" t="str">
        <f>IF(ISBLANK(A202),"",INDEX('Error Log'!$A:$J,MATCH('Scores per segment'!$A202,'Error Log'!$A:$A,0),MATCH('Scores per segment'!C$1,'Error Log'!$A$1:$J$1,0)))</f>
        <v/>
      </c>
      <c r="D202" s="68">
        <f>IF(H202=0,wdct(TRIM(C202)),0)</f>
        <v>0</v>
      </c>
      <c r="E202" s="68">
        <f>COUNTIFS('Error Log'!$A:$A,$A202,'Error Log'!$J:$J,E$1)</f>
        <v>0</v>
      </c>
      <c r="F202" s="68">
        <f>COUNTIFS('Error Log'!$A:$A,$A202,'Error Log'!$J:$J,F$1)</f>
        <v>0</v>
      </c>
      <c r="G202" s="68">
        <f>COUNTIFS('Error Log'!$A:$A,$A202,'Error Log'!$J:$J,G$1)</f>
        <v>0</v>
      </c>
      <c r="H202" s="68">
        <f>COUNTIFS('Error Log'!$A:$A,$A202,'Error Log'!$F:$F,"Source")</f>
        <v>0</v>
      </c>
      <c r="I202" s="68">
        <f>COUNTIFS('Error Log'!$A:$A,$A202,'Error Log'!$F:$F,"Target")</f>
        <v>0</v>
      </c>
      <c r="J202" s="69">
        <f t="shared" si="3"/>
        <v>0</v>
      </c>
    </row>
    <row r="203" spans="1:10">
      <c r="A203" s="87"/>
      <c r="B203" s="68" t="str">
        <f>IF(ISBLANK(A203),"",INDEX('Error Log'!$A:$J,MATCH('Scores per segment'!$A203,'Error Log'!$A:$A,0),MATCH('Scores per segment'!B$1,'Error Log'!$A$1:$J$1,0)))</f>
        <v/>
      </c>
      <c r="C203" s="68" t="str">
        <f>IF(ISBLANK(A203),"",INDEX('Error Log'!$A:$J,MATCH('Scores per segment'!$A203,'Error Log'!$A:$A,0),MATCH('Scores per segment'!C$1,'Error Log'!$A$1:$J$1,0)))</f>
        <v/>
      </c>
      <c r="D203" s="68">
        <f>IF(H203=0,wdct(TRIM(C203)),0)</f>
        <v>0</v>
      </c>
      <c r="E203" s="68">
        <f>COUNTIFS('Error Log'!$A:$A,$A203,'Error Log'!$J:$J,E$1)</f>
        <v>0</v>
      </c>
      <c r="F203" s="68">
        <f>COUNTIFS('Error Log'!$A:$A,$A203,'Error Log'!$J:$J,F$1)</f>
        <v>0</v>
      </c>
      <c r="G203" s="68">
        <f>COUNTIFS('Error Log'!$A:$A,$A203,'Error Log'!$J:$J,G$1)</f>
        <v>0</v>
      </c>
      <c r="H203" s="68">
        <f>COUNTIFS('Error Log'!$A:$A,$A203,'Error Log'!$F:$F,"Source")</f>
        <v>0</v>
      </c>
      <c r="I203" s="68">
        <f>COUNTIFS('Error Log'!$A:$A,$A203,'Error Log'!$F:$F,"Target")</f>
        <v>0</v>
      </c>
      <c r="J203" s="69">
        <f t="shared" si="3"/>
        <v>0</v>
      </c>
    </row>
    <row r="204" spans="1:10">
      <c r="A204" s="87"/>
      <c r="B204" s="68" t="str">
        <f>IF(ISBLANK(A204),"",INDEX('Error Log'!$A:$J,MATCH('Scores per segment'!$A204,'Error Log'!$A:$A,0),MATCH('Scores per segment'!B$1,'Error Log'!$A$1:$J$1,0)))</f>
        <v/>
      </c>
      <c r="C204" s="68" t="str">
        <f>IF(ISBLANK(A204),"",INDEX('Error Log'!$A:$J,MATCH('Scores per segment'!$A204,'Error Log'!$A:$A,0),MATCH('Scores per segment'!C$1,'Error Log'!$A$1:$J$1,0)))</f>
        <v/>
      </c>
      <c r="D204" s="68">
        <f>IF(H204=0,wdct(TRIM(C204)),0)</f>
        <v>0</v>
      </c>
      <c r="E204" s="68">
        <f>COUNTIFS('Error Log'!$A:$A,$A204,'Error Log'!$J:$J,E$1)</f>
        <v>0</v>
      </c>
      <c r="F204" s="68">
        <f>COUNTIFS('Error Log'!$A:$A,$A204,'Error Log'!$J:$J,F$1)</f>
        <v>0</v>
      </c>
      <c r="G204" s="68">
        <f>COUNTIFS('Error Log'!$A:$A,$A204,'Error Log'!$J:$J,G$1)</f>
        <v>0</v>
      </c>
      <c r="H204" s="68">
        <f>COUNTIFS('Error Log'!$A:$A,$A204,'Error Log'!$F:$F,"Source")</f>
        <v>0</v>
      </c>
      <c r="I204" s="68">
        <f>COUNTIFS('Error Log'!$A:$A,$A204,'Error Log'!$F:$F,"Target")</f>
        <v>0</v>
      </c>
      <c r="J204" s="69">
        <f t="shared" si="3"/>
        <v>0</v>
      </c>
    </row>
    <row r="205" spans="1:10">
      <c r="A205" s="87"/>
      <c r="B205" s="68" t="str">
        <f>IF(ISBLANK(A205),"",INDEX('Error Log'!$A:$J,MATCH('Scores per segment'!$A205,'Error Log'!$A:$A,0),MATCH('Scores per segment'!B$1,'Error Log'!$A$1:$J$1,0)))</f>
        <v/>
      </c>
      <c r="C205" s="68" t="str">
        <f>IF(ISBLANK(A205),"",INDEX('Error Log'!$A:$J,MATCH('Scores per segment'!$A205,'Error Log'!$A:$A,0),MATCH('Scores per segment'!C$1,'Error Log'!$A$1:$J$1,0)))</f>
        <v/>
      </c>
      <c r="D205" s="68">
        <f>IF(H205=0,wdct(TRIM(C205)),0)</f>
        <v>0</v>
      </c>
      <c r="E205" s="68">
        <f>COUNTIFS('Error Log'!$A:$A,$A205,'Error Log'!$J:$J,E$1)</f>
        <v>0</v>
      </c>
      <c r="F205" s="68">
        <f>COUNTIFS('Error Log'!$A:$A,$A205,'Error Log'!$J:$J,F$1)</f>
        <v>0</v>
      </c>
      <c r="G205" s="68">
        <f>COUNTIFS('Error Log'!$A:$A,$A205,'Error Log'!$J:$J,G$1)</f>
        <v>0</v>
      </c>
      <c r="H205" s="68">
        <f>COUNTIFS('Error Log'!$A:$A,$A205,'Error Log'!$F:$F,"Source")</f>
        <v>0</v>
      </c>
      <c r="I205" s="68">
        <f>COUNTIFS('Error Log'!$A:$A,$A205,'Error Log'!$F:$F,"Target")</f>
        <v>0</v>
      </c>
      <c r="J205" s="69">
        <f t="shared" si="3"/>
        <v>0</v>
      </c>
    </row>
    <row r="206" spans="1:10">
      <c r="A206" s="87"/>
      <c r="B206" s="68" t="str">
        <f>IF(ISBLANK(A206),"",INDEX('Error Log'!$A:$J,MATCH('Scores per segment'!$A206,'Error Log'!$A:$A,0),MATCH('Scores per segment'!B$1,'Error Log'!$A$1:$J$1,0)))</f>
        <v/>
      </c>
      <c r="C206" s="68" t="str">
        <f>IF(ISBLANK(A206),"",INDEX('Error Log'!$A:$J,MATCH('Scores per segment'!$A206,'Error Log'!$A:$A,0),MATCH('Scores per segment'!C$1,'Error Log'!$A$1:$J$1,0)))</f>
        <v/>
      </c>
      <c r="D206" s="68">
        <f>IF(H206=0,wdct(TRIM(C206)),0)</f>
        <v>0</v>
      </c>
      <c r="E206" s="68">
        <f>COUNTIFS('Error Log'!$A:$A,$A206,'Error Log'!$J:$J,E$1)</f>
        <v>0</v>
      </c>
      <c r="F206" s="68">
        <f>COUNTIFS('Error Log'!$A:$A,$A206,'Error Log'!$J:$J,F$1)</f>
        <v>0</v>
      </c>
      <c r="G206" s="68">
        <f>COUNTIFS('Error Log'!$A:$A,$A206,'Error Log'!$J:$J,G$1)</f>
        <v>0</v>
      </c>
      <c r="H206" s="68">
        <f>COUNTIFS('Error Log'!$A:$A,$A206,'Error Log'!$F:$F,"Source")</f>
        <v>0</v>
      </c>
      <c r="I206" s="68">
        <f>COUNTIFS('Error Log'!$A:$A,$A206,'Error Log'!$F:$F,"Target")</f>
        <v>0</v>
      </c>
      <c r="J206" s="69">
        <f t="shared" si="3"/>
        <v>0</v>
      </c>
    </row>
    <row r="207" spans="1:10">
      <c r="A207" s="87"/>
      <c r="B207" s="68" t="str">
        <f>IF(ISBLANK(A207),"",INDEX('Error Log'!$A:$J,MATCH('Scores per segment'!$A207,'Error Log'!$A:$A,0),MATCH('Scores per segment'!B$1,'Error Log'!$A$1:$J$1,0)))</f>
        <v/>
      </c>
      <c r="C207" s="68" t="str">
        <f>IF(ISBLANK(A207),"",INDEX('Error Log'!$A:$J,MATCH('Scores per segment'!$A207,'Error Log'!$A:$A,0),MATCH('Scores per segment'!C$1,'Error Log'!$A$1:$J$1,0)))</f>
        <v/>
      </c>
      <c r="D207" s="68">
        <f>IF(H207=0,wdct(TRIM(C207)),0)</f>
        <v>0</v>
      </c>
      <c r="E207" s="68">
        <f>COUNTIFS('Error Log'!$A:$A,$A207,'Error Log'!$J:$J,E$1)</f>
        <v>0</v>
      </c>
      <c r="F207" s="68">
        <f>COUNTIFS('Error Log'!$A:$A,$A207,'Error Log'!$J:$J,F$1)</f>
        <v>0</v>
      </c>
      <c r="G207" s="68">
        <f>COUNTIFS('Error Log'!$A:$A,$A207,'Error Log'!$J:$J,G$1)</f>
        <v>0</v>
      </c>
      <c r="H207" s="68">
        <f>COUNTIFS('Error Log'!$A:$A,$A207,'Error Log'!$F:$F,"Source")</f>
        <v>0</v>
      </c>
      <c r="I207" s="68">
        <f>COUNTIFS('Error Log'!$A:$A,$A207,'Error Log'!$F:$F,"Target")</f>
        <v>0</v>
      </c>
      <c r="J207" s="69">
        <f t="shared" si="3"/>
        <v>0</v>
      </c>
    </row>
    <row r="208" spans="1:10">
      <c r="A208" s="87"/>
      <c r="B208" s="68" t="str">
        <f>IF(ISBLANK(A208),"",INDEX('Error Log'!$A:$J,MATCH('Scores per segment'!$A208,'Error Log'!$A:$A,0),MATCH('Scores per segment'!B$1,'Error Log'!$A$1:$J$1,0)))</f>
        <v/>
      </c>
      <c r="C208" s="68" t="str">
        <f>IF(ISBLANK(A208),"",INDEX('Error Log'!$A:$J,MATCH('Scores per segment'!$A208,'Error Log'!$A:$A,0),MATCH('Scores per segment'!C$1,'Error Log'!$A$1:$J$1,0)))</f>
        <v/>
      </c>
      <c r="D208" s="68">
        <f>IF(H208=0,wdct(TRIM(C208)),0)</f>
        <v>0</v>
      </c>
      <c r="E208" s="68">
        <f>COUNTIFS('Error Log'!$A:$A,$A208,'Error Log'!$J:$J,E$1)</f>
        <v>0</v>
      </c>
      <c r="F208" s="68">
        <f>COUNTIFS('Error Log'!$A:$A,$A208,'Error Log'!$J:$J,F$1)</f>
        <v>0</v>
      </c>
      <c r="G208" s="68">
        <f>COUNTIFS('Error Log'!$A:$A,$A208,'Error Log'!$J:$J,G$1)</f>
        <v>0</v>
      </c>
      <c r="H208" s="68">
        <f>COUNTIFS('Error Log'!$A:$A,$A208,'Error Log'!$F:$F,"Source")</f>
        <v>0</v>
      </c>
      <c r="I208" s="68">
        <f>COUNTIFS('Error Log'!$A:$A,$A208,'Error Log'!$F:$F,"Target")</f>
        <v>0</v>
      </c>
      <c r="J208" s="69">
        <f t="shared" si="3"/>
        <v>0</v>
      </c>
    </row>
    <row r="209" spans="1:10">
      <c r="A209" s="87"/>
      <c r="B209" s="68" t="str">
        <f>IF(ISBLANK(A209),"",INDEX('Error Log'!$A:$J,MATCH('Scores per segment'!$A209,'Error Log'!$A:$A,0),MATCH('Scores per segment'!B$1,'Error Log'!$A$1:$J$1,0)))</f>
        <v/>
      </c>
      <c r="C209" s="68" t="str">
        <f>IF(ISBLANK(A209),"",INDEX('Error Log'!$A:$J,MATCH('Scores per segment'!$A209,'Error Log'!$A:$A,0),MATCH('Scores per segment'!C$1,'Error Log'!$A$1:$J$1,0)))</f>
        <v/>
      </c>
      <c r="D209" s="68">
        <f>IF(H209=0,wdct(TRIM(C209)),0)</f>
        <v>0</v>
      </c>
      <c r="E209" s="68">
        <f>COUNTIFS('Error Log'!$A:$A,$A209,'Error Log'!$J:$J,E$1)</f>
        <v>0</v>
      </c>
      <c r="F209" s="68">
        <f>COUNTIFS('Error Log'!$A:$A,$A209,'Error Log'!$J:$J,F$1)</f>
        <v>0</v>
      </c>
      <c r="G209" s="68">
        <f>COUNTIFS('Error Log'!$A:$A,$A209,'Error Log'!$J:$J,G$1)</f>
        <v>0</v>
      </c>
      <c r="H209" s="68">
        <f>COUNTIFS('Error Log'!$A:$A,$A209,'Error Log'!$F:$F,"Source")</f>
        <v>0</v>
      </c>
      <c r="I209" s="68">
        <f>COUNTIFS('Error Log'!$A:$A,$A209,'Error Log'!$F:$F,"Target")</f>
        <v>0</v>
      </c>
      <c r="J209" s="69">
        <f t="shared" si="3"/>
        <v>0</v>
      </c>
    </row>
    <row r="210" spans="1:10">
      <c r="A210" s="87"/>
      <c r="B210" s="68" t="str">
        <f>IF(ISBLANK(A210),"",INDEX('Error Log'!$A:$J,MATCH('Scores per segment'!$A210,'Error Log'!$A:$A,0),MATCH('Scores per segment'!B$1,'Error Log'!$A$1:$J$1,0)))</f>
        <v/>
      </c>
      <c r="C210" s="68" t="str">
        <f>IF(ISBLANK(A210),"",INDEX('Error Log'!$A:$J,MATCH('Scores per segment'!$A210,'Error Log'!$A:$A,0),MATCH('Scores per segment'!C$1,'Error Log'!$A$1:$J$1,0)))</f>
        <v/>
      </c>
      <c r="D210" s="68">
        <f>IF(H210=0,wdct(TRIM(C210)),0)</f>
        <v>0</v>
      </c>
      <c r="E210" s="68">
        <f>COUNTIFS('Error Log'!$A:$A,$A210,'Error Log'!$J:$J,E$1)</f>
        <v>0</v>
      </c>
      <c r="F210" s="68">
        <f>COUNTIFS('Error Log'!$A:$A,$A210,'Error Log'!$J:$J,F$1)</f>
        <v>0</v>
      </c>
      <c r="G210" s="68">
        <f>COUNTIFS('Error Log'!$A:$A,$A210,'Error Log'!$J:$J,G$1)</f>
        <v>0</v>
      </c>
      <c r="H210" s="68">
        <f>COUNTIFS('Error Log'!$A:$A,$A210,'Error Log'!$F:$F,"Source")</f>
        <v>0</v>
      </c>
      <c r="I210" s="68">
        <f>COUNTIFS('Error Log'!$A:$A,$A210,'Error Log'!$F:$F,"Target")</f>
        <v>0</v>
      </c>
      <c r="J210" s="69">
        <f t="shared" si="3"/>
        <v>0</v>
      </c>
    </row>
    <row r="211" spans="1:10">
      <c r="A211" s="87"/>
      <c r="B211" s="68" t="str">
        <f>IF(ISBLANK(A211),"",INDEX('Error Log'!$A:$J,MATCH('Scores per segment'!$A211,'Error Log'!$A:$A,0),MATCH('Scores per segment'!B$1,'Error Log'!$A$1:$J$1,0)))</f>
        <v/>
      </c>
      <c r="C211" s="68" t="str">
        <f>IF(ISBLANK(A211),"",INDEX('Error Log'!$A:$J,MATCH('Scores per segment'!$A211,'Error Log'!$A:$A,0),MATCH('Scores per segment'!C$1,'Error Log'!$A$1:$J$1,0)))</f>
        <v/>
      </c>
      <c r="D211" s="68">
        <f>IF(H211=0,wdct(TRIM(C211)),0)</f>
        <v>0</v>
      </c>
      <c r="E211" s="68">
        <f>COUNTIFS('Error Log'!$A:$A,$A211,'Error Log'!$J:$J,E$1)</f>
        <v>0</v>
      </c>
      <c r="F211" s="68">
        <f>COUNTIFS('Error Log'!$A:$A,$A211,'Error Log'!$J:$J,F$1)</f>
        <v>0</v>
      </c>
      <c r="G211" s="68">
        <f>COUNTIFS('Error Log'!$A:$A,$A211,'Error Log'!$J:$J,G$1)</f>
        <v>0</v>
      </c>
      <c r="H211" s="68">
        <f>COUNTIFS('Error Log'!$A:$A,$A211,'Error Log'!$F:$F,"Source")</f>
        <v>0</v>
      </c>
      <c r="I211" s="68">
        <f>COUNTIFS('Error Log'!$A:$A,$A211,'Error Log'!$F:$F,"Target")</f>
        <v>0</v>
      </c>
      <c r="J211" s="69">
        <f t="shared" si="3"/>
        <v>0</v>
      </c>
    </row>
    <row r="212" spans="1:10">
      <c r="A212" s="87"/>
      <c r="B212" s="68" t="str">
        <f>IF(ISBLANK(A212),"",INDEX('Error Log'!$A:$J,MATCH('Scores per segment'!$A212,'Error Log'!$A:$A,0),MATCH('Scores per segment'!B$1,'Error Log'!$A$1:$J$1,0)))</f>
        <v/>
      </c>
      <c r="C212" s="68" t="str">
        <f>IF(ISBLANK(A212),"",INDEX('Error Log'!$A:$J,MATCH('Scores per segment'!$A212,'Error Log'!$A:$A,0),MATCH('Scores per segment'!C$1,'Error Log'!$A$1:$J$1,0)))</f>
        <v/>
      </c>
      <c r="D212" s="68">
        <f>IF(H212=0,wdct(TRIM(C212)),0)</f>
        <v>0</v>
      </c>
      <c r="E212" s="68">
        <f>COUNTIFS('Error Log'!$A:$A,$A212,'Error Log'!$J:$J,E$1)</f>
        <v>0</v>
      </c>
      <c r="F212" s="68">
        <f>COUNTIFS('Error Log'!$A:$A,$A212,'Error Log'!$J:$J,F$1)</f>
        <v>0</v>
      </c>
      <c r="G212" s="68">
        <f>COUNTIFS('Error Log'!$A:$A,$A212,'Error Log'!$J:$J,G$1)</f>
        <v>0</v>
      </c>
      <c r="H212" s="68">
        <f>COUNTIFS('Error Log'!$A:$A,$A212,'Error Log'!$F:$F,"Source")</f>
        <v>0</v>
      </c>
      <c r="I212" s="68">
        <f>COUNTIFS('Error Log'!$A:$A,$A212,'Error Log'!$F:$F,"Target")</f>
        <v>0</v>
      </c>
      <c r="J212" s="69">
        <f t="shared" si="3"/>
        <v>0</v>
      </c>
    </row>
    <row r="213" spans="1:10">
      <c r="A213" s="87"/>
      <c r="B213" s="68" t="str">
        <f>IF(ISBLANK(A213),"",INDEX('Error Log'!$A:$J,MATCH('Scores per segment'!$A213,'Error Log'!$A:$A,0),MATCH('Scores per segment'!B$1,'Error Log'!$A$1:$J$1,0)))</f>
        <v/>
      </c>
      <c r="C213" s="68" t="str">
        <f>IF(ISBLANK(A213),"",INDEX('Error Log'!$A:$J,MATCH('Scores per segment'!$A213,'Error Log'!$A:$A,0),MATCH('Scores per segment'!C$1,'Error Log'!$A$1:$J$1,0)))</f>
        <v/>
      </c>
      <c r="D213" s="68">
        <f>IF(H213=0,wdct(TRIM(C213)),0)</f>
        <v>0</v>
      </c>
      <c r="E213" s="68">
        <f>COUNTIFS('Error Log'!$A:$A,$A213,'Error Log'!$J:$J,E$1)</f>
        <v>0</v>
      </c>
      <c r="F213" s="68">
        <f>COUNTIFS('Error Log'!$A:$A,$A213,'Error Log'!$J:$J,F$1)</f>
        <v>0</v>
      </c>
      <c r="G213" s="68">
        <f>COUNTIFS('Error Log'!$A:$A,$A213,'Error Log'!$J:$J,G$1)</f>
        <v>0</v>
      </c>
      <c r="H213" s="68">
        <f>COUNTIFS('Error Log'!$A:$A,$A213,'Error Log'!$F:$F,"Source")</f>
        <v>0</v>
      </c>
      <c r="I213" s="68">
        <f>COUNTIFS('Error Log'!$A:$A,$A213,'Error Log'!$F:$F,"Target")</f>
        <v>0</v>
      </c>
      <c r="J213" s="69">
        <f t="shared" si="3"/>
        <v>0</v>
      </c>
    </row>
    <row r="214" spans="1:10">
      <c r="A214" s="87"/>
      <c r="B214" s="68" t="str">
        <f>IF(ISBLANK(A214),"",INDEX('Error Log'!$A:$J,MATCH('Scores per segment'!$A214,'Error Log'!$A:$A,0),MATCH('Scores per segment'!B$1,'Error Log'!$A$1:$J$1,0)))</f>
        <v/>
      </c>
      <c r="C214" s="68" t="str">
        <f>IF(ISBLANK(A214),"",INDEX('Error Log'!$A:$J,MATCH('Scores per segment'!$A214,'Error Log'!$A:$A,0),MATCH('Scores per segment'!C$1,'Error Log'!$A$1:$J$1,0)))</f>
        <v/>
      </c>
      <c r="D214" s="68">
        <f>IF(H214=0,wdct(TRIM(C214)),0)</f>
        <v>0</v>
      </c>
      <c r="E214" s="68">
        <f>COUNTIFS('Error Log'!$A:$A,$A214,'Error Log'!$J:$J,E$1)</f>
        <v>0</v>
      </c>
      <c r="F214" s="68">
        <f>COUNTIFS('Error Log'!$A:$A,$A214,'Error Log'!$J:$J,F$1)</f>
        <v>0</v>
      </c>
      <c r="G214" s="68">
        <f>COUNTIFS('Error Log'!$A:$A,$A214,'Error Log'!$J:$J,G$1)</f>
        <v>0</v>
      </c>
      <c r="H214" s="68">
        <f>COUNTIFS('Error Log'!$A:$A,$A214,'Error Log'!$F:$F,"Source")</f>
        <v>0</v>
      </c>
      <c r="I214" s="68">
        <f>COUNTIFS('Error Log'!$A:$A,$A214,'Error Log'!$F:$F,"Target")</f>
        <v>0</v>
      </c>
      <c r="J214" s="69">
        <f t="shared" si="3"/>
        <v>0</v>
      </c>
    </row>
    <row r="215" spans="1:10">
      <c r="A215" s="87"/>
      <c r="B215" s="68" t="str">
        <f>IF(ISBLANK(A215),"",INDEX('Error Log'!$A:$J,MATCH('Scores per segment'!$A215,'Error Log'!$A:$A,0),MATCH('Scores per segment'!B$1,'Error Log'!$A$1:$J$1,0)))</f>
        <v/>
      </c>
      <c r="C215" s="68" t="str">
        <f>IF(ISBLANK(A215),"",INDEX('Error Log'!$A:$J,MATCH('Scores per segment'!$A215,'Error Log'!$A:$A,0),MATCH('Scores per segment'!C$1,'Error Log'!$A$1:$J$1,0)))</f>
        <v/>
      </c>
      <c r="D215" s="68">
        <f>IF(H215=0,wdct(TRIM(C215)),0)</f>
        <v>0</v>
      </c>
      <c r="E215" s="68">
        <f>COUNTIFS('Error Log'!$A:$A,$A215,'Error Log'!$J:$J,E$1)</f>
        <v>0</v>
      </c>
      <c r="F215" s="68">
        <f>COUNTIFS('Error Log'!$A:$A,$A215,'Error Log'!$J:$J,F$1)</f>
        <v>0</v>
      </c>
      <c r="G215" s="68">
        <f>COUNTIFS('Error Log'!$A:$A,$A215,'Error Log'!$J:$J,G$1)</f>
        <v>0</v>
      </c>
      <c r="H215" s="68">
        <f>COUNTIFS('Error Log'!$A:$A,$A215,'Error Log'!$F:$F,"Source")</f>
        <v>0</v>
      </c>
      <c r="I215" s="68">
        <f>COUNTIFS('Error Log'!$A:$A,$A215,'Error Log'!$F:$F,"Target")</f>
        <v>0</v>
      </c>
      <c r="J215" s="69">
        <f t="shared" si="3"/>
        <v>0</v>
      </c>
    </row>
    <row r="216" spans="1:10">
      <c r="A216" s="87"/>
      <c r="B216" s="68" t="str">
        <f>IF(ISBLANK(A216),"",INDEX('Error Log'!$A:$J,MATCH('Scores per segment'!$A216,'Error Log'!$A:$A,0),MATCH('Scores per segment'!B$1,'Error Log'!$A$1:$J$1,0)))</f>
        <v/>
      </c>
      <c r="C216" s="68" t="str">
        <f>IF(ISBLANK(A216),"",INDEX('Error Log'!$A:$J,MATCH('Scores per segment'!$A216,'Error Log'!$A:$A,0),MATCH('Scores per segment'!C$1,'Error Log'!$A$1:$J$1,0)))</f>
        <v/>
      </c>
      <c r="D216" s="68">
        <f>IF(H216=0,wdct(TRIM(C216)),0)</f>
        <v>0</v>
      </c>
      <c r="E216" s="68">
        <f>COUNTIFS('Error Log'!$A:$A,$A216,'Error Log'!$J:$J,E$1)</f>
        <v>0</v>
      </c>
      <c r="F216" s="68">
        <f>COUNTIFS('Error Log'!$A:$A,$A216,'Error Log'!$J:$J,F$1)</f>
        <v>0</v>
      </c>
      <c r="G216" s="68">
        <f>COUNTIFS('Error Log'!$A:$A,$A216,'Error Log'!$J:$J,G$1)</f>
        <v>0</v>
      </c>
      <c r="H216" s="68">
        <f>COUNTIFS('Error Log'!$A:$A,$A216,'Error Log'!$F:$F,"Source")</f>
        <v>0</v>
      </c>
      <c r="I216" s="68">
        <f>COUNTIFS('Error Log'!$A:$A,$A216,'Error Log'!$F:$F,"Target")</f>
        <v>0</v>
      </c>
      <c r="J216" s="69">
        <f t="shared" si="3"/>
        <v>0</v>
      </c>
    </row>
    <row r="217" spans="1:10">
      <c r="A217" s="87"/>
      <c r="B217" s="68" t="str">
        <f>IF(ISBLANK(A217),"",INDEX('Error Log'!$A:$J,MATCH('Scores per segment'!$A217,'Error Log'!$A:$A,0),MATCH('Scores per segment'!B$1,'Error Log'!$A$1:$J$1,0)))</f>
        <v/>
      </c>
      <c r="C217" s="68" t="str">
        <f>IF(ISBLANK(A217),"",INDEX('Error Log'!$A:$J,MATCH('Scores per segment'!$A217,'Error Log'!$A:$A,0),MATCH('Scores per segment'!C$1,'Error Log'!$A$1:$J$1,0)))</f>
        <v/>
      </c>
      <c r="D217" s="68">
        <f>IF(H217=0,wdct(TRIM(C217)),0)</f>
        <v>0</v>
      </c>
      <c r="E217" s="68">
        <f>COUNTIFS('Error Log'!$A:$A,$A217,'Error Log'!$J:$J,E$1)</f>
        <v>0</v>
      </c>
      <c r="F217" s="68">
        <f>COUNTIFS('Error Log'!$A:$A,$A217,'Error Log'!$J:$J,F$1)</f>
        <v>0</v>
      </c>
      <c r="G217" s="68">
        <f>COUNTIFS('Error Log'!$A:$A,$A217,'Error Log'!$J:$J,G$1)</f>
        <v>0</v>
      </c>
      <c r="H217" s="68">
        <f>COUNTIFS('Error Log'!$A:$A,$A217,'Error Log'!$F:$F,"Source")</f>
        <v>0</v>
      </c>
      <c r="I217" s="68">
        <f>COUNTIFS('Error Log'!$A:$A,$A217,'Error Log'!$F:$F,"Target")</f>
        <v>0</v>
      </c>
      <c r="J217" s="69">
        <f t="shared" si="3"/>
        <v>0</v>
      </c>
    </row>
    <row r="218" spans="1:10">
      <c r="A218" s="87"/>
      <c r="B218" s="68" t="str">
        <f>IF(ISBLANK(A218),"",INDEX('Error Log'!$A:$J,MATCH('Scores per segment'!$A218,'Error Log'!$A:$A,0),MATCH('Scores per segment'!B$1,'Error Log'!$A$1:$J$1,0)))</f>
        <v/>
      </c>
      <c r="C218" s="68" t="str">
        <f>IF(ISBLANK(A218),"",INDEX('Error Log'!$A:$J,MATCH('Scores per segment'!$A218,'Error Log'!$A:$A,0),MATCH('Scores per segment'!C$1,'Error Log'!$A$1:$J$1,0)))</f>
        <v/>
      </c>
      <c r="D218" s="68">
        <f>IF(H218=0,wdct(TRIM(C218)),0)</f>
        <v>0</v>
      </c>
      <c r="E218" s="68">
        <f>COUNTIFS('Error Log'!$A:$A,$A218,'Error Log'!$J:$J,E$1)</f>
        <v>0</v>
      </c>
      <c r="F218" s="68">
        <f>COUNTIFS('Error Log'!$A:$A,$A218,'Error Log'!$J:$J,F$1)</f>
        <v>0</v>
      </c>
      <c r="G218" s="68">
        <f>COUNTIFS('Error Log'!$A:$A,$A218,'Error Log'!$J:$J,G$1)</f>
        <v>0</v>
      </c>
      <c r="H218" s="68">
        <f>COUNTIFS('Error Log'!$A:$A,$A218,'Error Log'!$F:$F,"Source")</f>
        <v>0</v>
      </c>
      <c r="I218" s="68">
        <f>COUNTIFS('Error Log'!$A:$A,$A218,'Error Log'!$F:$F,"Target")</f>
        <v>0</v>
      </c>
      <c r="J218" s="69">
        <f t="shared" si="3"/>
        <v>0</v>
      </c>
    </row>
    <row r="219" spans="1:10">
      <c r="A219" s="87"/>
      <c r="B219" s="68" t="str">
        <f>IF(ISBLANK(A219),"",INDEX('Error Log'!$A:$J,MATCH('Scores per segment'!$A219,'Error Log'!$A:$A,0),MATCH('Scores per segment'!B$1,'Error Log'!$A$1:$J$1,0)))</f>
        <v/>
      </c>
      <c r="C219" s="68" t="str">
        <f>IF(ISBLANK(A219),"",INDEX('Error Log'!$A:$J,MATCH('Scores per segment'!$A219,'Error Log'!$A:$A,0),MATCH('Scores per segment'!C$1,'Error Log'!$A$1:$J$1,0)))</f>
        <v/>
      </c>
      <c r="D219" s="68">
        <f>IF(H219=0,wdct(TRIM(C219)),0)</f>
        <v>0</v>
      </c>
      <c r="E219" s="68">
        <f>COUNTIFS('Error Log'!$A:$A,$A219,'Error Log'!$J:$J,E$1)</f>
        <v>0</v>
      </c>
      <c r="F219" s="68">
        <f>COUNTIFS('Error Log'!$A:$A,$A219,'Error Log'!$J:$J,F$1)</f>
        <v>0</v>
      </c>
      <c r="G219" s="68">
        <f>COUNTIFS('Error Log'!$A:$A,$A219,'Error Log'!$J:$J,G$1)</f>
        <v>0</v>
      </c>
      <c r="H219" s="68">
        <f>COUNTIFS('Error Log'!$A:$A,$A219,'Error Log'!$F:$F,"Source")</f>
        <v>0</v>
      </c>
      <c r="I219" s="68">
        <f>COUNTIFS('Error Log'!$A:$A,$A219,'Error Log'!$F:$F,"Target")</f>
        <v>0</v>
      </c>
      <c r="J219" s="69">
        <f t="shared" si="3"/>
        <v>0</v>
      </c>
    </row>
    <row r="220" spans="1:10">
      <c r="A220" s="87"/>
      <c r="B220" s="68" t="str">
        <f>IF(ISBLANK(A220),"",INDEX('Error Log'!$A:$J,MATCH('Scores per segment'!$A220,'Error Log'!$A:$A,0),MATCH('Scores per segment'!B$1,'Error Log'!$A$1:$J$1,0)))</f>
        <v/>
      </c>
      <c r="C220" s="68" t="str">
        <f>IF(ISBLANK(A220),"",INDEX('Error Log'!$A:$J,MATCH('Scores per segment'!$A220,'Error Log'!$A:$A,0),MATCH('Scores per segment'!C$1,'Error Log'!$A$1:$J$1,0)))</f>
        <v/>
      </c>
      <c r="D220" s="68">
        <f>IF(H220=0,wdct(TRIM(C220)),0)</f>
        <v>0</v>
      </c>
      <c r="E220" s="68">
        <f>COUNTIFS('Error Log'!$A:$A,$A220,'Error Log'!$J:$J,E$1)</f>
        <v>0</v>
      </c>
      <c r="F220" s="68">
        <f>COUNTIFS('Error Log'!$A:$A,$A220,'Error Log'!$J:$J,F$1)</f>
        <v>0</v>
      </c>
      <c r="G220" s="68">
        <f>COUNTIFS('Error Log'!$A:$A,$A220,'Error Log'!$J:$J,G$1)</f>
        <v>0</v>
      </c>
      <c r="H220" s="68">
        <f>COUNTIFS('Error Log'!$A:$A,$A220,'Error Log'!$F:$F,"Source")</f>
        <v>0</v>
      </c>
      <c r="I220" s="68">
        <f>COUNTIFS('Error Log'!$A:$A,$A220,'Error Log'!$F:$F,"Target")</f>
        <v>0</v>
      </c>
      <c r="J220" s="69">
        <f t="shared" si="3"/>
        <v>0</v>
      </c>
    </row>
    <row r="221" spans="1:10">
      <c r="A221" s="87"/>
      <c r="B221" s="68" t="str">
        <f>IF(ISBLANK(A221),"",INDEX('Error Log'!$A:$J,MATCH('Scores per segment'!$A221,'Error Log'!$A:$A,0),MATCH('Scores per segment'!B$1,'Error Log'!$A$1:$J$1,0)))</f>
        <v/>
      </c>
      <c r="C221" s="68" t="str">
        <f>IF(ISBLANK(A221),"",INDEX('Error Log'!$A:$J,MATCH('Scores per segment'!$A221,'Error Log'!$A:$A,0),MATCH('Scores per segment'!C$1,'Error Log'!$A$1:$J$1,0)))</f>
        <v/>
      </c>
      <c r="D221" s="68">
        <f>IF(H221=0,wdct(TRIM(C221)),0)</f>
        <v>0</v>
      </c>
      <c r="E221" s="68">
        <f>COUNTIFS('Error Log'!$A:$A,$A221,'Error Log'!$J:$J,E$1)</f>
        <v>0</v>
      </c>
      <c r="F221" s="68">
        <f>COUNTIFS('Error Log'!$A:$A,$A221,'Error Log'!$J:$J,F$1)</f>
        <v>0</v>
      </c>
      <c r="G221" s="68">
        <f>COUNTIFS('Error Log'!$A:$A,$A221,'Error Log'!$J:$J,G$1)</f>
        <v>0</v>
      </c>
      <c r="H221" s="68">
        <f>COUNTIFS('Error Log'!$A:$A,$A221,'Error Log'!$F:$F,"Source")</f>
        <v>0</v>
      </c>
      <c r="I221" s="68">
        <f>COUNTIFS('Error Log'!$A:$A,$A221,'Error Log'!$F:$F,"Target")</f>
        <v>0</v>
      </c>
      <c r="J221" s="69">
        <f t="shared" si="3"/>
        <v>0</v>
      </c>
    </row>
    <row r="222" spans="1:10">
      <c r="A222" s="87"/>
      <c r="B222" s="68" t="str">
        <f>IF(ISBLANK(A222),"",INDEX('Error Log'!$A:$J,MATCH('Scores per segment'!$A222,'Error Log'!$A:$A,0),MATCH('Scores per segment'!B$1,'Error Log'!$A$1:$J$1,0)))</f>
        <v/>
      </c>
      <c r="C222" s="68" t="str">
        <f>IF(ISBLANK(A222),"",INDEX('Error Log'!$A:$J,MATCH('Scores per segment'!$A222,'Error Log'!$A:$A,0),MATCH('Scores per segment'!C$1,'Error Log'!$A$1:$J$1,0)))</f>
        <v/>
      </c>
      <c r="D222" s="68">
        <f>IF(H222=0,wdct(TRIM(C222)),0)</f>
        <v>0</v>
      </c>
      <c r="E222" s="68">
        <f>COUNTIFS('Error Log'!$A:$A,$A222,'Error Log'!$J:$J,E$1)</f>
        <v>0</v>
      </c>
      <c r="F222" s="68">
        <f>COUNTIFS('Error Log'!$A:$A,$A222,'Error Log'!$J:$J,F$1)</f>
        <v>0</v>
      </c>
      <c r="G222" s="68">
        <f>COUNTIFS('Error Log'!$A:$A,$A222,'Error Log'!$J:$J,G$1)</f>
        <v>0</v>
      </c>
      <c r="H222" s="68">
        <f>COUNTIFS('Error Log'!$A:$A,$A222,'Error Log'!$F:$F,"Source")</f>
        <v>0</v>
      </c>
      <c r="I222" s="68">
        <f>COUNTIFS('Error Log'!$A:$A,$A222,'Error Log'!$F:$F,"Target")</f>
        <v>0</v>
      </c>
      <c r="J222" s="69">
        <f t="shared" si="3"/>
        <v>0</v>
      </c>
    </row>
    <row r="223" spans="1:10">
      <c r="A223" s="87"/>
      <c r="B223" s="68" t="str">
        <f>IF(ISBLANK(A223),"",INDEX('Error Log'!$A:$J,MATCH('Scores per segment'!$A223,'Error Log'!$A:$A,0),MATCH('Scores per segment'!B$1,'Error Log'!$A$1:$J$1,0)))</f>
        <v/>
      </c>
      <c r="C223" s="68" t="str">
        <f>IF(ISBLANK(A223),"",INDEX('Error Log'!$A:$J,MATCH('Scores per segment'!$A223,'Error Log'!$A:$A,0),MATCH('Scores per segment'!C$1,'Error Log'!$A$1:$J$1,0)))</f>
        <v/>
      </c>
      <c r="D223" s="68">
        <f>IF(H223=0,wdct(TRIM(C223)),0)</f>
        <v>0</v>
      </c>
      <c r="E223" s="68">
        <f>COUNTIFS('Error Log'!$A:$A,$A223,'Error Log'!$J:$J,E$1)</f>
        <v>0</v>
      </c>
      <c r="F223" s="68">
        <f>COUNTIFS('Error Log'!$A:$A,$A223,'Error Log'!$J:$J,F$1)</f>
        <v>0</v>
      </c>
      <c r="G223" s="68">
        <f>COUNTIFS('Error Log'!$A:$A,$A223,'Error Log'!$J:$J,G$1)</f>
        <v>0</v>
      </c>
      <c r="H223" s="68">
        <f>COUNTIFS('Error Log'!$A:$A,$A223,'Error Log'!$F:$F,"Source")</f>
        <v>0</v>
      </c>
      <c r="I223" s="68">
        <f>COUNTIFS('Error Log'!$A:$A,$A223,'Error Log'!$F:$F,"Target")</f>
        <v>0</v>
      </c>
      <c r="J223" s="69">
        <f t="shared" si="3"/>
        <v>0</v>
      </c>
    </row>
    <row r="224" spans="1:10">
      <c r="A224" s="87"/>
      <c r="B224" s="68" t="str">
        <f>IF(ISBLANK(A224),"",INDEX('Error Log'!$A:$J,MATCH('Scores per segment'!$A224,'Error Log'!$A:$A,0),MATCH('Scores per segment'!B$1,'Error Log'!$A$1:$J$1,0)))</f>
        <v/>
      </c>
      <c r="C224" s="68" t="str">
        <f>IF(ISBLANK(A224),"",INDEX('Error Log'!$A:$J,MATCH('Scores per segment'!$A224,'Error Log'!$A:$A,0),MATCH('Scores per segment'!C$1,'Error Log'!$A$1:$J$1,0)))</f>
        <v/>
      </c>
      <c r="D224" s="68">
        <f>IF(H224=0,wdct(TRIM(C224)),0)</f>
        <v>0</v>
      </c>
      <c r="E224" s="68">
        <f>COUNTIFS('Error Log'!$A:$A,$A224,'Error Log'!$J:$J,E$1)</f>
        <v>0</v>
      </c>
      <c r="F224" s="68">
        <f>COUNTIFS('Error Log'!$A:$A,$A224,'Error Log'!$J:$J,F$1)</f>
        <v>0</v>
      </c>
      <c r="G224" s="68">
        <f>COUNTIFS('Error Log'!$A:$A,$A224,'Error Log'!$J:$J,G$1)</f>
        <v>0</v>
      </c>
      <c r="H224" s="68">
        <f>COUNTIFS('Error Log'!$A:$A,$A224,'Error Log'!$F:$F,"Source")</f>
        <v>0</v>
      </c>
      <c r="I224" s="68">
        <f>COUNTIFS('Error Log'!$A:$A,$A224,'Error Log'!$F:$F,"Target")</f>
        <v>0</v>
      </c>
      <c r="J224" s="69">
        <f t="shared" si="3"/>
        <v>0</v>
      </c>
    </row>
    <row r="225" spans="1:10">
      <c r="A225" s="87"/>
      <c r="B225" s="68" t="str">
        <f>IF(ISBLANK(A225),"",INDEX('Error Log'!$A:$J,MATCH('Scores per segment'!$A225,'Error Log'!$A:$A,0),MATCH('Scores per segment'!B$1,'Error Log'!$A$1:$J$1,0)))</f>
        <v/>
      </c>
      <c r="C225" s="68" t="str">
        <f>IF(ISBLANK(A225),"",INDEX('Error Log'!$A:$J,MATCH('Scores per segment'!$A225,'Error Log'!$A:$A,0),MATCH('Scores per segment'!C$1,'Error Log'!$A$1:$J$1,0)))</f>
        <v/>
      </c>
      <c r="D225" s="68">
        <f>IF(H225=0,wdct(TRIM(C225)),0)</f>
        <v>0</v>
      </c>
      <c r="E225" s="68">
        <f>COUNTIFS('Error Log'!$A:$A,$A225,'Error Log'!$J:$J,E$1)</f>
        <v>0</v>
      </c>
      <c r="F225" s="68">
        <f>COUNTIFS('Error Log'!$A:$A,$A225,'Error Log'!$J:$J,F$1)</f>
        <v>0</v>
      </c>
      <c r="G225" s="68">
        <f>COUNTIFS('Error Log'!$A:$A,$A225,'Error Log'!$J:$J,G$1)</f>
        <v>0</v>
      </c>
      <c r="H225" s="68">
        <f>COUNTIFS('Error Log'!$A:$A,$A225,'Error Log'!$F:$F,"Source")</f>
        <v>0</v>
      </c>
      <c r="I225" s="68">
        <f>COUNTIFS('Error Log'!$A:$A,$A225,'Error Log'!$F:$F,"Target")</f>
        <v>0</v>
      </c>
      <c r="J225" s="69">
        <f t="shared" si="3"/>
        <v>0</v>
      </c>
    </row>
    <row r="226" spans="1:10">
      <c r="A226" s="87"/>
      <c r="B226" s="68" t="str">
        <f>IF(ISBLANK(A226),"",INDEX('Error Log'!$A:$J,MATCH('Scores per segment'!$A226,'Error Log'!$A:$A,0),MATCH('Scores per segment'!B$1,'Error Log'!$A$1:$J$1,0)))</f>
        <v/>
      </c>
      <c r="C226" s="68" t="str">
        <f>IF(ISBLANK(A226),"",INDEX('Error Log'!$A:$J,MATCH('Scores per segment'!$A226,'Error Log'!$A:$A,0),MATCH('Scores per segment'!C$1,'Error Log'!$A$1:$J$1,0)))</f>
        <v/>
      </c>
      <c r="D226" s="68">
        <f>IF(H226=0,wdct(TRIM(C226)),0)</f>
        <v>0</v>
      </c>
      <c r="E226" s="68">
        <f>COUNTIFS('Error Log'!$A:$A,$A226,'Error Log'!$J:$J,E$1)</f>
        <v>0</v>
      </c>
      <c r="F226" s="68">
        <f>COUNTIFS('Error Log'!$A:$A,$A226,'Error Log'!$J:$J,F$1)</f>
        <v>0</v>
      </c>
      <c r="G226" s="68">
        <f>COUNTIFS('Error Log'!$A:$A,$A226,'Error Log'!$J:$J,G$1)</f>
        <v>0</v>
      </c>
      <c r="H226" s="68">
        <f>COUNTIFS('Error Log'!$A:$A,$A226,'Error Log'!$F:$F,"Source")</f>
        <v>0</v>
      </c>
      <c r="I226" s="68">
        <f>COUNTIFS('Error Log'!$A:$A,$A226,'Error Log'!$F:$F,"Target")</f>
        <v>0</v>
      </c>
      <c r="J226" s="69">
        <f t="shared" si="3"/>
        <v>0</v>
      </c>
    </row>
    <row r="227" spans="1:10">
      <c r="A227" s="87"/>
      <c r="B227" s="68" t="str">
        <f>IF(ISBLANK(A227),"",INDEX('Error Log'!$A:$J,MATCH('Scores per segment'!$A227,'Error Log'!$A:$A,0),MATCH('Scores per segment'!B$1,'Error Log'!$A$1:$J$1,0)))</f>
        <v/>
      </c>
      <c r="C227" s="68" t="str">
        <f>IF(ISBLANK(A227),"",INDEX('Error Log'!$A:$J,MATCH('Scores per segment'!$A227,'Error Log'!$A:$A,0),MATCH('Scores per segment'!C$1,'Error Log'!$A$1:$J$1,0)))</f>
        <v/>
      </c>
      <c r="D227" s="68">
        <f>IF(H227=0,wdct(TRIM(C227)),0)</f>
        <v>0</v>
      </c>
      <c r="E227" s="68">
        <f>COUNTIFS('Error Log'!$A:$A,$A227,'Error Log'!$J:$J,E$1)</f>
        <v>0</v>
      </c>
      <c r="F227" s="68">
        <f>COUNTIFS('Error Log'!$A:$A,$A227,'Error Log'!$J:$J,F$1)</f>
        <v>0</v>
      </c>
      <c r="G227" s="68">
        <f>COUNTIFS('Error Log'!$A:$A,$A227,'Error Log'!$J:$J,G$1)</f>
        <v>0</v>
      </c>
      <c r="H227" s="68">
        <f>COUNTIFS('Error Log'!$A:$A,$A227,'Error Log'!$F:$F,"Source")</f>
        <v>0</v>
      </c>
      <c r="I227" s="68">
        <f>COUNTIFS('Error Log'!$A:$A,$A227,'Error Log'!$F:$F,"Target")</f>
        <v>0</v>
      </c>
      <c r="J227" s="69">
        <f t="shared" si="3"/>
        <v>0</v>
      </c>
    </row>
    <row r="228" spans="1:10">
      <c r="A228" s="87"/>
      <c r="B228" s="68" t="str">
        <f>IF(ISBLANK(A228),"",INDEX('Error Log'!$A:$J,MATCH('Scores per segment'!$A228,'Error Log'!$A:$A,0),MATCH('Scores per segment'!B$1,'Error Log'!$A$1:$J$1,0)))</f>
        <v/>
      </c>
      <c r="C228" s="68" t="str">
        <f>IF(ISBLANK(A228),"",INDEX('Error Log'!$A:$J,MATCH('Scores per segment'!$A228,'Error Log'!$A:$A,0),MATCH('Scores per segment'!C$1,'Error Log'!$A$1:$J$1,0)))</f>
        <v/>
      </c>
      <c r="D228" s="68">
        <f>IF(H228=0,wdct(TRIM(C228)),0)</f>
        <v>0</v>
      </c>
      <c r="E228" s="68">
        <f>COUNTIFS('Error Log'!$A:$A,$A228,'Error Log'!$J:$J,E$1)</f>
        <v>0</v>
      </c>
      <c r="F228" s="68">
        <f>COUNTIFS('Error Log'!$A:$A,$A228,'Error Log'!$J:$J,F$1)</f>
        <v>0</v>
      </c>
      <c r="G228" s="68">
        <f>COUNTIFS('Error Log'!$A:$A,$A228,'Error Log'!$J:$J,G$1)</f>
        <v>0</v>
      </c>
      <c r="H228" s="68">
        <f>COUNTIFS('Error Log'!$A:$A,$A228,'Error Log'!$F:$F,"Source")</f>
        <v>0</v>
      </c>
      <c r="I228" s="68">
        <f>COUNTIFS('Error Log'!$A:$A,$A228,'Error Log'!$F:$F,"Target")</f>
        <v>0</v>
      </c>
      <c r="J228" s="69">
        <f t="shared" si="3"/>
        <v>0</v>
      </c>
    </row>
    <row r="229" spans="1:10">
      <c r="A229" s="87"/>
      <c r="B229" s="68" t="str">
        <f>IF(ISBLANK(A229),"",INDEX('Error Log'!$A:$J,MATCH('Scores per segment'!$A229,'Error Log'!$A:$A,0),MATCH('Scores per segment'!B$1,'Error Log'!$A$1:$J$1,0)))</f>
        <v/>
      </c>
      <c r="C229" s="68" t="str">
        <f>IF(ISBLANK(A229),"",INDEX('Error Log'!$A:$J,MATCH('Scores per segment'!$A229,'Error Log'!$A:$A,0),MATCH('Scores per segment'!C$1,'Error Log'!$A$1:$J$1,0)))</f>
        <v/>
      </c>
      <c r="D229" s="68">
        <f>IF(H229=0,wdct(TRIM(C229)),0)</f>
        <v>0</v>
      </c>
      <c r="E229" s="68">
        <f>COUNTIFS('Error Log'!$A:$A,$A229,'Error Log'!$J:$J,E$1)</f>
        <v>0</v>
      </c>
      <c r="F229" s="68">
        <f>COUNTIFS('Error Log'!$A:$A,$A229,'Error Log'!$J:$J,F$1)</f>
        <v>0</v>
      </c>
      <c r="G229" s="68">
        <f>COUNTIFS('Error Log'!$A:$A,$A229,'Error Log'!$J:$J,G$1)</f>
        <v>0</v>
      </c>
      <c r="H229" s="68">
        <f>COUNTIFS('Error Log'!$A:$A,$A229,'Error Log'!$F:$F,"Source")</f>
        <v>0</v>
      </c>
      <c r="I229" s="68">
        <f>COUNTIFS('Error Log'!$A:$A,$A229,'Error Log'!$F:$F,"Target")</f>
        <v>0</v>
      </c>
      <c r="J229" s="69">
        <f t="shared" si="3"/>
        <v>0</v>
      </c>
    </row>
    <row r="230" spans="1:10">
      <c r="A230" s="87"/>
      <c r="B230" s="68" t="str">
        <f>IF(ISBLANK(A230),"",INDEX('Error Log'!$A:$J,MATCH('Scores per segment'!$A230,'Error Log'!$A:$A,0),MATCH('Scores per segment'!B$1,'Error Log'!$A$1:$J$1,0)))</f>
        <v/>
      </c>
      <c r="C230" s="68" t="str">
        <f>IF(ISBLANK(A230),"",INDEX('Error Log'!$A:$J,MATCH('Scores per segment'!$A230,'Error Log'!$A:$A,0),MATCH('Scores per segment'!C$1,'Error Log'!$A$1:$J$1,0)))</f>
        <v/>
      </c>
      <c r="D230" s="68">
        <f>IF(H230=0,wdct(TRIM(C230)),0)</f>
        <v>0</v>
      </c>
      <c r="E230" s="68">
        <f>COUNTIFS('Error Log'!$A:$A,$A230,'Error Log'!$J:$J,E$1)</f>
        <v>0</v>
      </c>
      <c r="F230" s="68">
        <f>COUNTIFS('Error Log'!$A:$A,$A230,'Error Log'!$J:$J,F$1)</f>
        <v>0</v>
      </c>
      <c r="G230" s="68">
        <f>COUNTIFS('Error Log'!$A:$A,$A230,'Error Log'!$J:$J,G$1)</f>
        <v>0</v>
      </c>
      <c r="H230" s="68">
        <f>COUNTIFS('Error Log'!$A:$A,$A230,'Error Log'!$F:$F,"Source")</f>
        <v>0</v>
      </c>
      <c r="I230" s="68">
        <f>COUNTIFS('Error Log'!$A:$A,$A230,'Error Log'!$F:$F,"Target")</f>
        <v>0</v>
      </c>
      <c r="J230" s="69">
        <f t="shared" si="3"/>
        <v>0</v>
      </c>
    </row>
    <row r="231" spans="1:10">
      <c r="A231" s="87"/>
      <c r="B231" s="68" t="str">
        <f>IF(ISBLANK(A231),"",INDEX('Error Log'!$A:$J,MATCH('Scores per segment'!$A231,'Error Log'!$A:$A,0),MATCH('Scores per segment'!B$1,'Error Log'!$A$1:$J$1,0)))</f>
        <v/>
      </c>
      <c r="C231" s="68" t="str">
        <f>IF(ISBLANK(A231),"",INDEX('Error Log'!$A:$J,MATCH('Scores per segment'!$A231,'Error Log'!$A:$A,0),MATCH('Scores per segment'!C$1,'Error Log'!$A$1:$J$1,0)))</f>
        <v/>
      </c>
      <c r="D231" s="68">
        <f>IF(H231=0,wdct(TRIM(C231)),0)</f>
        <v>0</v>
      </c>
      <c r="E231" s="68">
        <f>COUNTIFS('Error Log'!$A:$A,$A231,'Error Log'!$J:$J,E$1)</f>
        <v>0</v>
      </c>
      <c r="F231" s="68">
        <f>COUNTIFS('Error Log'!$A:$A,$A231,'Error Log'!$J:$J,F$1)</f>
        <v>0</v>
      </c>
      <c r="G231" s="68">
        <f>COUNTIFS('Error Log'!$A:$A,$A231,'Error Log'!$J:$J,G$1)</f>
        <v>0</v>
      </c>
      <c r="H231" s="68">
        <f>COUNTIFS('Error Log'!$A:$A,$A231,'Error Log'!$F:$F,"Source")</f>
        <v>0</v>
      </c>
      <c r="I231" s="68">
        <f>COUNTIFS('Error Log'!$A:$A,$A231,'Error Log'!$F:$F,"Target")</f>
        <v>0</v>
      </c>
      <c r="J231" s="69">
        <f t="shared" si="3"/>
        <v>0</v>
      </c>
    </row>
    <row r="232" spans="1:10">
      <c r="A232" s="87"/>
      <c r="B232" s="68" t="str">
        <f>IF(ISBLANK(A232),"",INDEX('Error Log'!$A:$J,MATCH('Scores per segment'!$A232,'Error Log'!$A:$A,0),MATCH('Scores per segment'!B$1,'Error Log'!$A$1:$J$1,0)))</f>
        <v/>
      </c>
      <c r="C232" s="68" t="str">
        <f>IF(ISBLANK(A232),"",INDEX('Error Log'!$A:$J,MATCH('Scores per segment'!$A232,'Error Log'!$A:$A,0),MATCH('Scores per segment'!C$1,'Error Log'!$A$1:$J$1,0)))</f>
        <v/>
      </c>
      <c r="D232" s="68">
        <f>IF(H232=0,wdct(TRIM(C232)),0)</f>
        <v>0</v>
      </c>
      <c r="E232" s="68">
        <f>COUNTIFS('Error Log'!$A:$A,$A232,'Error Log'!$J:$J,E$1)</f>
        <v>0</v>
      </c>
      <c r="F232" s="68">
        <f>COUNTIFS('Error Log'!$A:$A,$A232,'Error Log'!$J:$J,F$1)</f>
        <v>0</v>
      </c>
      <c r="G232" s="68">
        <f>COUNTIFS('Error Log'!$A:$A,$A232,'Error Log'!$J:$J,G$1)</f>
        <v>0</v>
      </c>
      <c r="H232" s="68">
        <f>COUNTIFS('Error Log'!$A:$A,$A232,'Error Log'!$F:$F,"Source")</f>
        <v>0</v>
      </c>
      <c r="I232" s="68">
        <f>COUNTIFS('Error Log'!$A:$A,$A232,'Error Log'!$F:$F,"Target")</f>
        <v>0</v>
      </c>
      <c r="J232" s="69">
        <f t="shared" si="3"/>
        <v>0</v>
      </c>
    </row>
    <row r="233" spans="1:10">
      <c r="A233" s="87"/>
      <c r="B233" s="68" t="str">
        <f>IF(ISBLANK(A233),"",INDEX('Error Log'!$A:$J,MATCH('Scores per segment'!$A233,'Error Log'!$A:$A,0),MATCH('Scores per segment'!B$1,'Error Log'!$A$1:$J$1,0)))</f>
        <v/>
      </c>
      <c r="C233" s="68" t="str">
        <f>IF(ISBLANK(A233),"",INDEX('Error Log'!$A:$J,MATCH('Scores per segment'!$A233,'Error Log'!$A:$A,0),MATCH('Scores per segment'!C$1,'Error Log'!$A$1:$J$1,0)))</f>
        <v/>
      </c>
      <c r="D233" s="68">
        <f>IF(H233=0,wdct(TRIM(C233)),0)</f>
        <v>0</v>
      </c>
      <c r="E233" s="68">
        <f>COUNTIFS('Error Log'!$A:$A,$A233,'Error Log'!$J:$J,E$1)</f>
        <v>0</v>
      </c>
      <c r="F233" s="68">
        <f>COUNTIFS('Error Log'!$A:$A,$A233,'Error Log'!$J:$J,F$1)</f>
        <v>0</v>
      </c>
      <c r="G233" s="68">
        <f>COUNTIFS('Error Log'!$A:$A,$A233,'Error Log'!$J:$J,G$1)</f>
        <v>0</v>
      </c>
      <c r="H233" s="68">
        <f>COUNTIFS('Error Log'!$A:$A,$A233,'Error Log'!$F:$F,"Source")</f>
        <v>0</v>
      </c>
      <c r="I233" s="68">
        <f>COUNTIFS('Error Log'!$A:$A,$A233,'Error Log'!$F:$F,"Target")</f>
        <v>0</v>
      </c>
      <c r="J233" s="69">
        <f t="shared" si="3"/>
        <v>0</v>
      </c>
    </row>
    <row r="234" spans="1:10">
      <c r="A234" s="87"/>
      <c r="B234" s="68" t="str">
        <f>IF(ISBLANK(A234),"",INDEX('Error Log'!$A:$J,MATCH('Scores per segment'!$A234,'Error Log'!$A:$A,0),MATCH('Scores per segment'!B$1,'Error Log'!$A$1:$J$1,0)))</f>
        <v/>
      </c>
      <c r="C234" s="68" t="str">
        <f>IF(ISBLANK(A234),"",INDEX('Error Log'!$A:$J,MATCH('Scores per segment'!$A234,'Error Log'!$A:$A,0),MATCH('Scores per segment'!C$1,'Error Log'!$A$1:$J$1,0)))</f>
        <v/>
      </c>
      <c r="D234" s="68">
        <f>IF(H234=0,wdct(TRIM(C234)),0)</f>
        <v>0</v>
      </c>
      <c r="E234" s="68">
        <f>COUNTIFS('Error Log'!$A:$A,$A234,'Error Log'!$J:$J,E$1)</f>
        <v>0</v>
      </c>
      <c r="F234" s="68">
        <f>COUNTIFS('Error Log'!$A:$A,$A234,'Error Log'!$J:$J,F$1)</f>
        <v>0</v>
      </c>
      <c r="G234" s="68">
        <f>COUNTIFS('Error Log'!$A:$A,$A234,'Error Log'!$J:$J,G$1)</f>
        <v>0</v>
      </c>
      <c r="H234" s="68">
        <f>COUNTIFS('Error Log'!$A:$A,$A234,'Error Log'!$F:$F,"Source")</f>
        <v>0</v>
      </c>
      <c r="I234" s="68">
        <f>COUNTIFS('Error Log'!$A:$A,$A234,'Error Log'!$F:$F,"Target")</f>
        <v>0</v>
      </c>
      <c r="J234" s="69">
        <f t="shared" si="3"/>
        <v>0</v>
      </c>
    </row>
    <row r="235" spans="1:10">
      <c r="A235" s="87"/>
      <c r="B235" s="68" t="str">
        <f>IF(ISBLANK(A235),"",INDEX('Error Log'!$A:$J,MATCH('Scores per segment'!$A235,'Error Log'!$A:$A,0),MATCH('Scores per segment'!B$1,'Error Log'!$A$1:$J$1,0)))</f>
        <v/>
      </c>
      <c r="C235" s="68" t="str">
        <f>IF(ISBLANK(A235),"",INDEX('Error Log'!$A:$J,MATCH('Scores per segment'!$A235,'Error Log'!$A:$A,0),MATCH('Scores per segment'!C$1,'Error Log'!$A$1:$J$1,0)))</f>
        <v/>
      </c>
      <c r="D235" s="68">
        <f>IF(H235=0,wdct(TRIM(C235)),0)</f>
        <v>0</v>
      </c>
      <c r="E235" s="68">
        <f>COUNTIFS('Error Log'!$A:$A,$A235,'Error Log'!$J:$J,E$1)</f>
        <v>0</v>
      </c>
      <c r="F235" s="68">
        <f>COUNTIFS('Error Log'!$A:$A,$A235,'Error Log'!$J:$J,F$1)</f>
        <v>0</v>
      </c>
      <c r="G235" s="68">
        <f>COUNTIFS('Error Log'!$A:$A,$A235,'Error Log'!$J:$J,G$1)</f>
        <v>0</v>
      </c>
      <c r="H235" s="68">
        <f>COUNTIFS('Error Log'!$A:$A,$A235,'Error Log'!$F:$F,"Source")</f>
        <v>0</v>
      </c>
      <c r="I235" s="68">
        <f>COUNTIFS('Error Log'!$A:$A,$A235,'Error Log'!$F:$F,"Target")</f>
        <v>0</v>
      </c>
      <c r="J235" s="69">
        <f t="shared" si="3"/>
        <v>0</v>
      </c>
    </row>
    <row r="236" spans="1:10">
      <c r="A236" s="87"/>
      <c r="B236" s="68" t="str">
        <f>IF(ISBLANK(A236),"",INDEX('Error Log'!$A:$J,MATCH('Scores per segment'!$A236,'Error Log'!$A:$A,0),MATCH('Scores per segment'!B$1,'Error Log'!$A$1:$J$1,0)))</f>
        <v/>
      </c>
      <c r="C236" s="68" t="str">
        <f>IF(ISBLANK(A236),"",INDEX('Error Log'!$A:$J,MATCH('Scores per segment'!$A236,'Error Log'!$A:$A,0),MATCH('Scores per segment'!C$1,'Error Log'!$A$1:$J$1,0)))</f>
        <v/>
      </c>
      <c r="D236" s="68">
        <f>IF(H236=0,wdct(TRIM(C236)),0)</f>
        <v>0</v>
      </c>
      <c r="E236" s="68">
        <f>COUNTIFS('Error Log'!$A:$A,$A236,'Error Log'!$J:$J,E$1)</f>
        <v>0</v>
      </c>
      <c r="F236" s="68">
        <f>COUNTIFS('Error Log'!$A:$A,$A236,'Error Log'!$J:$J,F$1)</f>
        <v>0</v>
      </c>
      <c r="G236" s="68">
        <f>COUNTIFS('Error Log'!$A:$A,$A236,'Error Log'!$J:$J,G$1)</f>
        <v>0</v>
      </c>
      <c r="H236" s="68">
        <f>COUNTIFS('Error Log'!$A:$A,$A236,'Error Log'!$F:$F,"Source")</f>
        <v>0</v>
      </c>
      <c r="I236" s="68">
        <f>COUNTIFS('Error Log'!$A:$A,$A236,'Error Log'!$F:$F,"Target")</f>
        <v>0</v>
      </c>
      <c r="J236" s="69">
        <f t="shared" si="3"/>
        <v>0</v>
      </c>
    </row>
    <row r="237" spans="1:10">
      <c r="A237" s="87"/>
      <c r="B237" s="68" t="str">
        <f>IF(ISBLANK(A237),"",INDEX('Error Log'!$A:$J,MATCH('Scores per segment'!$A237,'Error Log'!$A:$A,0),MATCH('Scores per segment'!B$1,'Error Log'!$A$1:$J$1,0)))</f>
        <v/>
      </c>
      <c r="C237" s="68" t="str">
        <f>IF(ISBLANK(A237),"",INDEX('Error Log'!$A:$J,MATCH('Scores per segment'!$A237,'Error Log'!$A:$A,0),MATCH('Scores per segment'!C$1,'Error Log'!$A$1:$J$1,0)))</f>
        <v/>
      </c>
      <c r="D237" s="68">
        <f>IF(H237=0,wdct(TRIM(C237)),0)</f>
        <v>0</v>
      </c>
      <c r="E237" s="68">
        <f>COUNTIFS('Error Log'!$A:$A,$A237,'Error Log'!$J:$J,E$1)</f>
        <v>0</v>
      </c>
      <c r="F237" s="68">
        <f>COUNTIFS('Error Log'!$A:$A,$A237,'Error Log'!$J:$J,F$1)</f>
        <v>0</v>
      </c>
      <c r="G237" s="68">
        <f>COUNTIFS('Error Log'!$A:$A,$A237,'Error Log'!$J:$J,G$1)</f>
        <v>0</v>
      </c>
      <c r="H237" s="68">
        <f>COUNTIFS('Error Log'!$A:$A,$A237,'Error Log'!$F:$F,"Source")</f>
        <v>0</v>
      </c>
      <c r="I237" s="68">
        <f>COUNTIFS('Error Log'!$A:$A,$A237,'Error Log'!$F:$F,"Target")</f>
        <v>0</v>
      </c>
      <c r="J237" s="69">
        <f t="shared" si="3"/>
        <v>0</v>
      </c>
    </row>
    <row r="238" spans="1:10">
      <c r="A238" s="87"/>
      <c r="B238" s="68" t="str">
        <f>IF(ISBLANK(A238),"",INDEX('Error Log'!$A:$J,MATCH('Scores per segment'!$A238,'Error Log'!$A:$A,0),MATCH('Scores per segment'!B$1,'Error Log'!$A$1:$J$1,0)))</f>
        <v/>
      </c>
      <c r="C238" s="68" t="str">
        <f>IF(ISBLANK(A238),"",INDEX('Error Log'!$A:$J,MATCH('Scores per segment'!$A238,'Error Log'!$A:$A,0),MATCH('Scores per segment'!C$1,'Error Log'!$A$1:$J$1,0)))</f>
        <v/>
      </c>
      <c r="D238" s="68">
        <f>IF(H238=0,wdct(TRIM(C238)),0)</f>
        <v>0</v>
      </c>
      <c r="E238" s="68">
        <f>COUNTIFS('Error Log'!$A:$A,$A238,'Error Log'!$J:$J,E$1)</f>
        <v>0</v>
      </c>
      <c r="F238" s="68">
        <f>COUNTIFS('Error Log'!$A:$A,$A238,'Error Log'!$J:$J,F$1)</f>
        <v>0</v>
      </c>
      <c r="G238" s="68">
        <f>COUNTIFS('Error Log'!$A:$A,$A238,'Error Log'!$J:$J,G$1)</f>
        <v>0</v>
      </c>
      <c r="H238" s="68">
        <f>COUNTIFS('Error Log'!$A:$A,$A238,'Error Log'!$F:$F,"Source")</f>
        <v>0</v>
      </c>
      <c r="I238" s="68">
        <f>COUNTIFS('Error Log'!$A:$A,$A238,'Error Log'!$F:$F,"Target")</f>
        <v>0</v>
      </c>
      <c r="J238" s="69">
        <f t="shared" si="3"/>
        <v>0</v>
      </c>
    </row>
    <row r="239" spans="1:10">
      <c r="A239" s="87"/>
      <c r="B239" s="68" t="str">
        <f>IF(ISBLANK(A239),"",INDEX('Error Log'!$A:$J,MATCH('Scores per segment'!$A239,'Error Log'!$A:$A,0),MATCH('Scores per segment'!B$1,'Error Log'!$A$1:$J$1,0)))</f>
        <v/>
      </c>
      <c r="C239" s="68" t="str">
        <f>IF(ISBLANK(A239),"",INDEX('Error Log'!$A:$J,MATCH('Scores per segment'!$A239,'Error Log'!$A:$A,0),MATCH('Scores per segment'!C$1,'Error Log'!$A$1:$J$1,0)))</f>
        <v/>
      </c>
      <c r="D239" s="68">
        <f>IF(H239=0,wdct(TRIM(C239)),0)</f>
        <v>0</v>
      </c>
      <c r="E239" s="68">
        <f>COUNTIFS('Error Log'!$A:$A,$A239,'Error Log'!$J:$J,E$1)</f>
        <v>0</v>
      </c>
      <c r="F239" s="68">
        <f>COUNTIFS('Error Log'!$A:$A,$A239,'Error Log'!$J:$J,F$1)</f>
        <v>0</v>
      </c>
      <c r="G239" s="68">
        <f>COUNTIFS('Error Log'!$A:$A,$A239,'Error Log'!$J:$J,G$1)</f>
        <v>0</v>
      </c>
      <c r="H239" s="68">
        <f>COUNTIFS('Error Log'!$A:$A,$A239,'Error Log'!$F:$F,"Source")</f>
        <v>0</v>
      </c>
      <c r="I239" s="68">
        <f>COUNTIFS('Error Log'!$A:$A,$A239,'Error Log'!$F:$F,"Target")</f>
        <v>0</v>
      </c>
      <c r="J239" s="69">
        <f t="shared" si="3"/>
        <v>0</v>
      </c>
    </row>
    <row r="240" spans="1:10">
      <c r="A240" s="87"/>
      <c r="B240" s="68" t="str">
        <f>IF(ISBLANK(A240),"",INDEX('Error Log'!$A:$J,MATCH('Scores per segment'!$A240,'Error Log'!$A:$A,0),MATCH('Scores per segment'!B$1,'Error Log'!$A$1:$J$1,0)))</f>
        <v/>
      </c>
      <c r="C240" s="68" t="str">
        <f>IF(ISBLANK(A240),"",INDEX('Error Log'!$A:$J,MATCH('Scores per segment'!$A240,'Error Log'!$A:$A,0),MATCH('Scores per segment'!C$1,'Error Log'!$A$1:$J$1,0)))</f>
        <v/>
      </c>
      <c r="D240" s="68">
        <f>IF(H240=0,wdct(TRIM(C240)),0)</f>
        <v>0</v>
      </c>
      <c r="E240" s="68">
        <f>COUNTIFS('Error Log'!$A:$A,$A240,'Error Log'!$J:$J,E$1)</f>
        <v>0</v>
      </c>
      <c r="F240" s="68">
        <f>COUNTIFS('Error Log'!$A:$A,$A240,'Error Log'!$J:$J,F$1)</f>
        <v>0</v>
      </c>
      <c r="G240" s="68">
        <f>COUNTIFS('Error Log'!$A:$A,$A240,'Error Log'!$J:$J,G$1)</f>
        <v>0</v>
      </c>
      <c r="H240" s="68">
        <f>COUNTIFS('Error Log'!$A:$A,$A240,'Error Log'!$F:$F,"Source")</f>
        <v>0</v>
      </c>
      <c r="I240" s="68">
        <f>COUNTIFS('Error Log'!$A:$A,$A240,'Error Log'!$F:$F,"Target")</f>
        <v>0</v>
      </c>
      <c r="J240" s="69">
        <f t="shared" si="3"/>
        <v>0</v>
      </c>
    </row>
    <row r="241" spans="1:10">
      <c r="A241" s="87"/>
      <c r="B241" s="68" t="str">
        <f>IF(ISBLANK(A241),"",INDEX('Error Log'!$A:$J,MATCH('Scores per segment'!$A241,'Error Log'!$A:$A,0),MATCH('Scores per segment'!B$1,'Error Log'!$A$1:$J$1,0)))</f>
        <v/>
      </c>
      <c r="C241" s="68" t="str">
        <f>IF(ISBLANK(A241),"",INDEX('Error Log'!$A:$J,MATCH('Scores per segment'!$A241,'Error Log'!$A:$A,0),MATCH('Scores per segment'!C$1,'Error Log'!$A$1:$J$1,0)))</f>
        <v/>
      </c>
      <c r="D241" s="68">
        <f>IF(H241=0,wdct(TRIM(C241)),0)</f>
        <v>0</v>
      </c>
      <c r="E241" s="68">
        <f>COUNTIFS('Error Log'!$A:$A,$A241,'Error Log'!$J:$J,E$1)</f>
        <v>0</v>
      </c>
      <c r="F241" s="68">
        <f>COUNTIFS('Error Log'!$A:$A,$A241,'Error Log'!$J:$J,F$1)</f>
        <v>0</v>
      </c>
      <c r="G241" s="68">
        <f>COUNTIFS('Error Log'!$A:$A,$A241,'Error Log'!$J:$J,G$1)</f>
        <v>0</v>
      </c>
      <c r="H241" s="68">
        <f>COUNTIFS('Error Log'!$A:$A,$A241,'Error Log'!$F:$F,"Source")</f>
        <v>0</v>
      </c>
      <c r="I241" s="68">
        <f>COUNTIFS('Error Log'!$A:$A,$A241,'Error Log'!$F:$F,"Target")</f>
        <v>0</v>
      </c>
      <c r="J241" s="69">
        <f t="shared" si="3"/>
        <v>0</v>
      </c>
    </row>
    <row r="242" spans="1:10">
      <c r="A242" s="87"/>
      <c r="B242" s="68" t="str">
        <f>IF(ISBLANK(A242),"",INDEX('Error Log'!$A:$J,MATCH('Scores per segment'!$A242,'Error Log'!$A:$A,0),MATCH('Scores per segment'!B$1,'Error Log'!$A$1:$J$1,0)))</f>
        <v/>
      </c>
      <c r="C242" s="68" t="str">
        <f>IF(ISBLANK(A242),"",INDEX('Error Log'!$A:$J,MATCH('Scores per segment'!$A242,'Error Log'!$A:$A,0),MATCH('Scores per segment'!C$1,'Error Log'!$A$1:$J$1,0)))</f>
        <v/>
      </c>
      <c r="D242" s="68">
        <f>IF(H242=0,wdct(TRIM(C242)),0)</f>
        <v>0</v>
      </c>
      <c r="E242" s="68">
        <f>COUNTIFS('Error Log'!$A:$A,$A242,'Error Log'!$J:$J,E$1)</f>
        <v>0</v>
      </c>
      <c r="F242" s="68">
        <f>COUNTIFS('Error Log'!$A:$A,$A242,'Error Log'!$J:$J,F$1)</f>
        <v>0</v>
      </c>
      <c r="G242" s="68">
        <f>COUNTIFS('Error Log'!$A:$A,$A242,'Error Log'!$J:$J,G$1)</f>
        <v>0</v>
      </c>
      <c r="H242" s="68">
        <f>COUNTIFS('Error Log'!$A:$A,$A242,'Error Log'!$F:$F,"Source")</f>
        <v>0</v>
      </c>
      <c r="I242" s="68">
        <f>COUNTIFS('Error Log'!$A:$A,$A242,'Error Log'!$F:$F,"Target")</f>
        <v>0</v>
      </c>
      <c r="J242" s="69">
        <f t="shared" si="3"/>
        <v>0</v>
      </c>
    </row>
    <row r="243" spans="1:10">
      <c r="A243" s="87"/>
      <c r="B243" s="68" t="str">
        <f>IF(ISBLANK(A243),"",INDEX('Error Log'!$A:$J,MATCH('Scores per segment'!$A243,'Error Log'!$A:$A,0),MATCH('Scores per segment'!B$1,'Error Log'!$A$1:$J$1,0)))</f>
        <v/>
      </c>
      <c r="C243" s="68" t="str">
        <f>IF(ISBLANK(A243),"",INDEX('Error Log'!$A:$J,MATCH('Scores per segment'!$A243,'Error Log'!$A:$A,0),MATCH('Scores per segment'!C$1,'Error Log'!$A$1:$J$1,0)))</f>
        <v/>
      </c>
      <c r="D243" s="68">
        <f>IF(H243=0,wdct(TRIM(C243)),0)</f>
        <v>0</v>
      </c>
      <c r="E243" s="68">
        <f>COUNTIFS('Error Log'!$A:$A,$A243,'Error Log'!$J:$J,E$1)</f>
        <v>0</v>
      </c>
      <c r="F243" s="68">
        <f>COUNTIFS('Error Log'!$A:$A,$A243,'Error Log'!$J:$J,F$1)</f>
        <v>0</v>
      </c>
      <c r="G243" s="68">
        <f>COUNTIFS('Error Log'!$A:$A,$A243,'Error Log'!$J:$J,G$1)</f>
        <v>0</v>
      </c>
      <c r="H243" s="68">
        <f>COUNTIFS('Error Log'!$A:$A,$A243,'Error Log'!$F:$F,"Source")</f>
        <v>0</v>
      </c>
      <c r="I243" s="68">
        <f>COUNTIFS('Error Log'!$A:$A,$A243,'Error Log'!$F:$F,"Target")</f>
        <v>0</v>
      </c>
      <c r="J243" s="69">
        <f t="shared" si="3"/>
        <v>0</v>
      </c>
    </row>
    <row r="244" spans="1:10">
      <c r="A244" s="87"/>
      <c r="B244" s="68" t="str">
        <f>IF(ISBLANK(A244),"",INDEX('Error Log'!$A:$J,MATCH('Scores per segment'!$A244,'Error Log'!$A:$A,0),MATCH('Scores per segment'!B$1,'Error Log'!$A$1:$J$1,0)))</f>
        <v/>
      </c>
      <c r="C244" s="68" t="str">
        <f>IF(ISBLANK(A244),"",INDEX('Error Log'!$A:$J,MATCH('Scores per segment'!$A244,'Error Log'!$A:$A,0),MATCH('Scores per segment'!C$1,'Error Log'!$A$1:$J$1,0)))</f>
        <v/>
      </c>
      <c r="D244" s="68">
        <f>IF(H244=0,wdct(TRIM(C244)),0)</f>
        <v>0</v>
      </c>
      <c r="E244" s="68">
        <f>COUNTIFS('Error Log'!$A:$A,$A244,'Error Log'!$J:$J,E$1)</f>
        <v>0</v>
      </c>
      <c r="F244" s="68">
        <f>COUNTIFS('Error Log'!$A:$A,$A244,'Error Log'!$J:$J,F$1)</f>
        <v>0</v>
      </c>
      <c r="G244" s="68">
        <f>COUNTIFS('Error Log'!$A:$A,$A244,'Error Log'!$J:$J,G$1)</f>
        <v>0</v>
      </c>
      <c r="H244" s="68">
        <f>COUNTIFS('Error Log'!$A:$A,$A244,'Error Log'!$F:$F,"Source")</f>
        <v>0</v>
      </c>
      <c r="I244" s="68">
        <f>COUNTIFS('Error Log'!$A:$A,$A244,'Error Log'!$F:$F,"Target")</f>
        <v>0</v>
      </c>
      <c r="J244" s="69">
        <f t="shared" si="3"/>
        <v>0</v>
      </c>
    </row>
    <row r="245" spans="1:10">
      <c r="A245" s="87"/>
      <c r="B245" s="68" t="str">
        <f>IF(ISBLANK(A245),"",INDEX('Error Log'!$A:$J,MATCH('Scores per segment'!$A245,'Error Log'!$A:$A,0),MATCH('Scores per segment'!B$1,'Error Log'!$A$1:$J$1,0)))</f>
        <v/>
      </c>
      <c r="C245" s="68" t="str">
        <f>IF(ISBLANK(A245),"",INDEX('Error Log'!$A:$J,MATCH('Scores per segment'!$A245,'Error Log'!$A:$A,0),MATCH('Scores per segment'!C$1,'Error Log'!$A$1:$J$1,0)))</f>
        <v/>
      </c>
      <c r="D245" s="68">
        <f>IF(H245=0,wdct(TRIM(C245)),0)</f>
        <v>0</v>
      </c>
      <c r="E245" s="68">
        <f>COUNTIFS('Error Log'!$A:$A,$A245,'Error Log'!$J:$J,E$1)</f>
        <v>0</v>
      </c>
      <c r="F245" s="68">
        <f>COUNTIFS('Error Log'!$A:$A,$A245,'Error Log'!$J:$J,F$1)</f>
        <v>0</v>
      </c>
      <c r="G245" s="68">
        <f>COUNTIFS('Error Log'!$A:$A,$A245,'Error Log'!$J:$J,G$1)</f>
        <v>0</v>
      </c>
      <c r="H245" s="68">
        <f>COUNTIFS('Error Log'!$A:$A,$A245,'Error Log'!$F:$F,"Source")</f>
        <v>0</v>
      </c>
      <c r="I245" s="68">
        <f>COUNTIFS('Error Log'!$A:$A,$A245,'Error Log'!$F:$F,"Target")</f>
        <v>0</v>
      </c>
      <c r="J245" s="69">
        <f t="shared" si="3"/>
        <v>0</v>
      </c>
    </row>
    <row r="246" spans="1:10">
      <c r="A246" s="87"/>
      <c r="B246" s="68" t="str">
        <f>IF(ISBLANK(A246),"",INDEX('Error Log'!$A:$J,MATCH('Scores per segment'!$A246,'Error Log'!$A:$A,0),MATCH('Scores per segment'!B$1,'Error Log'!$A$1:$J$1,0)))</f>
        <v/>
      </c>
      <c r="C246" s="68" t="str">
        <f>IF(ISBLANK(A246),"",INDEX('Error Log'!$A:$J,MATCH('Scores per segment'!$A246,'Error Log'!$A:$A,0),MATCH('Scores per segment'!C$1,'Error Log'!$A$1:$J$1,0)))</f>
        <v/>
      </c>
      <c r="D246" s="68">
        <f>IF(H246=0,wdct(TRIM(C246)),0)</f>
        <v>0</v>
      </c>
      <c r="E246" s="68">
        <f>COUNTIFS('Error Log'!$A:$A,$A246,'Error Log'!$J:$J,E$1)</f>
        <v>0</v>
      </c>
      <c r="F246" s="68">
        <f>COUNTIFS('Error Log'!$A:$A,$A246,'Error Log'!$J:$J,F$1)</f>
        <v>0</v>
      </c>
      <c r="G246" s="68">
        <f>COUNTIFS('Error Log'!$A:$A,$A246,'Error Log'!$J:$J,G$1)</f>
        <v>0</v>
      </c>
      <c r="H246" s="68">
        <f>COUNTIFS('Error Log'!$A:$A,$A246,'Error Log'!$F:$F,"Source")</f>
        <v>0</v>
      </c>
      <c r="I246" s="68">
        <f>COUNTIFS('Error Log'!$A:$A,$A246,'Error Log'!$F:$F,"Target")</f>
        <v>0</v>
      </c>
      <c r="J246" s="69">
        <f t="shared" si="3"/>
        <v>0</v>
      </c>
    </row>
    <row r="247" spans="1:10">
      <c r="A247" s="87"/>
      <c r="B247" s="68" t="str">
        <f>IF(ISBLANK(A247),"",INDEX('Error Log'!$A:$J,MATCH('Scores per segment'!$A247,'Error Log'!$A:$A,0),MATCH('Scores per segment'!B$1,'Error Log'!$A$1:$J$1,0)))</f>
        <v/>
      </c>
      <c r="C247" s="68" t="str">
        <f>IF(ISBLANK(A247),"",INDEX('Error Log'!$A:$J,MATCH('Scores per segment'!$A247,'Error Log'!$A:$A,0),MATCH('Scores per segment'!C$1,'Error Log'!$A$1:$J$1,0)))</f>
        <v/>
      </c>
      <c r="D247" s="68">
        <f>IF(H247=0,wdct(TRIM(C247)),0)</f>
        <v>0</v>
      </c>
      <c r="E247" s="68">
        <f>COUNTIFS('Error Log'!$A:$A,$A247,'Error Log'!$J:$J,E$1)</f>
        <v>0</v>
      </c>
      <c r="F247" s="68">
        <f>COUNTIFS('Error Log'!$A:$A,$A247,'Error Log'!$J:$J,F$1)</f>
        <v>0</v>
      </c>
      <c r="G247" s="68">
        <f>COUNTIFS('Error Log'!$A:$A,$A247,'Error Log'!$J:$J,G$1)</f>
        <v>0</v>
      </c>
      <c r="H247" s="68">
        <f>COUNTIFS('Error Log'!$A:$A,$A247,'Error Log'!$F:$F,"Source")</f>
        <v>0</v>
      </c>
      <c r="I247" s="68">
        <f>COUNTIFS('Error Log'!$A:$A,$A247,'Error Log'!$F:$F,"Target")</f>
        <v>0</v>
      </c>
      <c r="J247" s="69">
        <f t="shared" si="3"/>
        <v>0</v>
      </c>
    </row>
    <row r="248" spans="1:10">
      <c r="A248" s="87"/>
      <c r="B248" s="68" t="str">
        <f>IF(ISBLANK(A248),"",INDEX('Error Log'!$A:$J,MATCH('Scores per segment'!$A248,'Error Log'!$A:$A,0),MATCH('Scores per segment'!B$1,'Error Log'!$A$1:$J$1,0)))</f>
        <v/>
      </c>
      <c r="C248" s="68" t="str">
        <f>IF(ISBLANK(A248),"",INDEX('Error Log'!$A:$J,MATCH('Scores per segment'!$A248,'Error Log'!$A:$A,0),MATCH('Scores per segment'!C$1,'Error Log'!$A$1:$J$1,0)))</f>
        <v/>
      </c>
      <c r="D248" s="68">
        <f>IF(H248=0,wdct(TRIM(C248)),0)</f>
        <v>0</v>
      </c>
      <c r="E248" s="68">
        <f>COUNTIFS('Error Log'!$A:$A,$A248,'Error Log'!$J:$J,E$1)</f>
        <v>0</v>
      </c>
      <c r="F248" s="68">
        <f>COUNTIFS('Error Log'!$A:$A,$A248,'Error Log'!$J:$J,F$1)</f>
        <v>0</v>
      </c>
      <c r="G248" s="68">
        <f>COUNTIFS('Error Log'!$A:$A,$A248,'Error Log'!$J:$J,G$1)</f>
        <v>0</v>
      </c>
      <c r="H248" s="68">
        <f>COUNTIFS('Error Log'!$A:$A,$A248,'Error Log'!$F:$F,"Source")</f>
        <v>0</v>
      </c>
      <c r="I248" s="68">
        <f>COUNTIFS('Error Log'!$A:$A,$A248,'Error Log'!$F:$F,"Target")</f>
        <v>0</v>
      </c>
      <c r="J248" s="69">
        <f t="shared" si="3"/>
        <v>0</v>
      </c>
    </row>
    <row r="249" spans="1:10">
      <c r="A249" s="87"/>
      <c r="B249" s="68" t="str">
        <f>IF(ISBLANK(A249),"",INDEX('Error Log'!$A:$J,MATCH('Scores per segment'!$A249,'Error Log'!$A:$A,0),MATCH('Scores per segment'!B$1,'Error Log'!$A$1:$J$1,0)))</f>
        <v/>
      </c>
      <c r="C249" s="68" t="str">
        <f>IF(ISBLANK(A249),"",INDEX('Error Log'!$A:$J,MATCH('Scores per segment'!$A249,'Error Log'!$A:$A,0),MATCH('Scores per segment'!C$1,'Error Log'!$A$1:$J$1,0)))</f>
        <v/>
      </c>
      <c r="D249" s="68">
        <f>IF(H249=0,wdct(TRIM(C249)),0)</f>
        <v>0</v>
      </c>
      <c r="E249" s="68">
        <f>COUNTIFS('Error Log'!$A:$A,$A249,'Error Log'!$J:$J,E$1)</f>
        <v>0</v>
      </c>
      <c r="F249" s="68">
        <f>COUNTIFS('Error Log'!$A:$A,$A249,'Error Log'!$J:$J,F$1)</f>
        <v>0</v>
      </c>
      <c r="G249" s="68">
        <f>COUNTIFS('Error Log'!$A:$A,$A249,'Error Log'!$J:$J,G$1)</f>
        <v>0</v>
      </c>
      <c r="H249" s="68">
        <f>COUNTIFS('Error Log'!$A:$A,$A249,'Error Log'!$F:$F,"Source")</f>
        <v>0</v>
      </c>
      <c r="I249" s="68">
        <f>COUNTIFS('Error Log'!$A:$A,$A249,'Error Log'!$F:$F,"Target")</f>
        <v>0</v>
      </c>
      <c r="J249" s="69">
        <f t="shared" si="3"/>
        <v>0</v>
      </c>
    </row>
    <row r="250" spans="1:10">
      <c r="A250" s="87"/>
      <c r="B250" s="68" t="str">
        <f>IF(ISBLANK(A250),"",INDEX('Error Log'!$A:$J,MATCH('Scores per segment'!$A250,'Error Log'!$A:$A,0),MATCH('Scores per segment'!B$1,'Error Log'!$A$1:$J$1,0)))</f>
        <v/>
      </c>
      <c r="C250" s="68" t="str">
        <f>IF(ISBLANK(A250),"",INDEX('Error Log'!$A:$J,MATCH('Scores per segment'!$A250,'Error Log'!$A:$A,0),MATCH('Scores per segment'!C$1,'Error Log'!$A$1:$J$1,0)))</f>
        <v/>
      </c>
      <c r="D250" s="68">
        <f>IF(H250=0,wdct(TRIM(C250)),0)</f>
        <v>0</v>
      </c>
      <c r="E250" s="68">
        <f>COUNTIFS('Error Log'!$A:$A,$A250,'Error Log'!$J:$J,E$1)</f>
        <v>0</v>
      </c>
      <c r="F250" s="68">
        <f>COUNTIFS('Error Log'!$A:$A,$A250,'Error Log'!$J:$J,F$1)</f>
        <v>0</v>
      </c>
      <c r="G250" s="68">
        <f>COUNTIFS('Error Log'!$A:$A,$A250,'Error Log'!$J:$J,G$1)</f>
        <v>0</v>
      </c>
      <c r="H250" s="68">
        <f>COUNTIFS('Error Log'!$A:$A,$A250,'Error Log'!$F:$F,"Source")</f>
        <v>0</v>
      </c>
      <c r="I250" s="68">
        <f>COUNTIFS('Error Log'!$A:$A,$A250,'Error Log'!$F:$F,"Target")</f>
        <v>0</v>
      </c>
      <c r="J250" s="69">
        <f t="shared" si="3"/>
        <v>0</v>
      </c>
    </row>
    <row r="251" spans="1:10">
      <c r="A251" s="87"/>
      <c r="B251" s="68" t="str">
        <f>IF(ISBLANK(A251),"",INDEX('Error Log'!$A:$J,MATCH('Scores per segment'!$A251,'Error Log'!$A:$A,0),MATCH('Scores per segment'!B$1,'Error Log'!$A$1:$J$1,0)))</f>
        <v/>
      </c>
      <c r="C251" s="68" t="str">
        <f>IF(ISBLANK(A251),"",INDEX('Error Log'!$A:$J,MATCH('Scores per segment'!$A251,'Error Log'!$A:$A,0),MATCH('Scores per segment'!C$1,'Error Log'!$A$1:$J$1,0)))</f>
        <v/>
      </c>
      <c r="D251" s="68">
        <f>IF(H251=0,wdct(TRIM(C251)),0)</f>
        <v>0</v>
      </c>
      <c r="E251" s="68">
        <f>COUNTIFS('Error Log'!$A:$A,$A251,'Error Log'!$J:$J,E$1)</f>
        <v>0</v>
      </c>
      <c r="F251" s="68">
        <f>COUNTIFS('Error Log'!$A:$A,$A251,'Error Log'!$J:$J,F$1)</f>
        <v>0</v>
      </c>
      <c r="G251" s="68">
        <f>COUNTIFS('Error Log'!$A:$A,$A251,'Error Log'!$J:$J,G$1)</f>
        <v>0</v>
      </c>
      <c r="H251" s="68">
        <f>COUNTIFS('Error Log'!$A:$A,$A251,'Error Log'!$F:$F,"Source")</f>
        <v>0</v>
      </c>
      <c r="I251" s="68">
        <f>COUNTIFS('Error Log'!$A:$A,$A251,'Error Log'!$F:$F,"Target")</f>
        <v>0</v>
      </c>
      <c r="J251" s="69">
        <f t="shared" si="3"/>
        <v>0</v>
      </c>
    </row>
    <row r="252" spans="1:10">
      <c r="A252" s="87"/>
      <c r="B252" s="68" t="str">
        <f>IF(ISBLANK(A252),"",INDEX('Error Log'!$A:$J,MATCH('Scores per segment'!$A252,'Error Log'!$A:$A,0),MATCH('Scores per segment'!B$1,'Error Log'!$A$1:$J$1,0)))</f>
        <v/>
      </c>
      <c r="C252" s="68" t="str">
        <f>IF(ISBLANK(A252),"",INDEX('Error Log'!$A:$J,MATCH('Scores per segment'!$A252,'Error Log'!$A:$A,0),MATCH('Scores per segment'!C$1,'Error Log'!$A$1:$J$1,0)))</f>
        <v/>
      </c>
      <c r="D252" s="68">
        <f>IF(H252=0,wdct(TRIM(C252)),0)</f>
        <v>0</v>
      </c>
      <c r="E252" s="68">
        <f>COUNTIFS('Error Log'!$A:$A,$A252,'Error Log'!$J:$J,E$1)</f>
        <v>0</v>
      </c>
      <c r="F252" s="68">
        <f>COUNTIFS('Error Log'!$A:$A,$A252,'Error Log'!$J:$J,F$1)</f>
        <v>0</v>
      </c>
      <c r="G252" s="68">
        <f>COUNTIFS('Error Log'!$A:$A,$A252,'Error Log'!$J:$J,G$1)</f>
        <v>0</v>
      </c>
      <c r="H252" s="68">
        <f>COUNTIFS('Error Log'!$A:$A,$A252,'Error Log'!$F:$F,"Source")</f>
        <v>0</v>
      </c>
      <c r="I252" s="68">
        <f>COUNTIFS('Error Log'!$A:$A,$A252,'Error Log'!$F:$F,"Target")</f>
        <v>0</v>
      </c>
      <c r="J252" s="69">
        <f t="shared" si="3"/>
        <v>0</v>
      </c>
    </row>
    <row r="253" spans="1:10">
      <c r="A253" s="87"/>
      <c r="B253" s="68" t="str">
        <f>IF(ISBLANK(A253),"",INDEX('Error Log'!$A:$J,MATCH('Scores per segment'!$A253,'Error Log'!$A:$A,0),MATCH('Scores per segment'!B$1,'Error Log'!$A$1:$J$1,0)))</f>
        <v/>
      </c>
      <c r="C253" s="68" t="str">
        <f>IF(ISBLANK(A253),"",INDEX('Error Log'!$A:$J,MATCH('Scores per segment'!$A253,'Error Log'!$A:$A,0),MATCH('Scores per segment'!C$1,'Error Log'!$A$1:$J$1,0)))</f>
        <v/>
      </c>
      <c r="D253" s="68">
        <f>IF(H253=0,wdct(TRIM(C253)),0)</f>
        <v>0</v>
      </c>
      <c r="E253" s="68">
        <f>COUNTIFS('Error Log'!$A:$A,$A253,'Error Log'!$J:$J,E$1)</f>
        <v>0</v>
      </c>
      <c r="F253" s="68">
        <f>COUNTIFS('Error Log'!$A:$A,$A253,'Error Log'!$J:$J,F$1)</f>
        <v>0</v>
      </c>
      <c r="G253" s="68">
        <f>COUNTIFS('Error Log'!$A:$A,$A253,'Error Log'!$J:$J,G$1)</f>
        <v>0</v>
      </c>
      <c r="H253" s="68">
        <f>COUNTIFS('Error Log'!$A:$A,$A253,'Error Log'!$F:$F,"Source")</f>
        <v>0</v>
      </c>
      <c r="I253" s="68">
        <f>COUNTIFS('Error Log'!$A:$A,$A253,'Error Log'!$F:$F,"Target")</f>
        <v>0</v>
      </c>
      <c r="J253" s="69">
        <f t="shared" si="3"/>
        <v>0</v>
      </c>
    </row>
    <row r="254" spans="1:10">
      <c r="A254" s="87"/>
      <c r="B254" s="68" t="str">
        <f>IF(ISBLANK(A254),"",INDEX('Error Log'!$A:$J,MATCH('Scores per segment'!$A254,'Error Log'!$A:$A,0),MATCH('Scores per segment'!B$1,'Error Log'!$A$1:$J$1,0)))</f>
        <v/>
      </c>
      <c r="C254" s="68" t="str">
        <f>IF(ISBLANK(A254),"",INDEX('Error Log'!$A:$J,MATCH('Scores per segment'!$A254,'Error Log'!$A:$A,0),MATCH('Scores per segment'!C$1,'Error Log'!$A$1:$J$1,0)))</f>
        <v/>
      </c>
      <c r="D254" s="68">
        <f>IF(H254=0,wdct(TRIM(C254)),0)</f>
        <v>0</v>
      </c>
      <c r="E254" s="68">
        <f>COUNTIFS('Error Log'!$A:$A,$A254,'Error Log'!$J:$J,E$1)</f>
        <v>0</v>
      </c>
      <c r="F254" s="68">
        <f>COUNTIFS('Error Log'!$A:$A,$A254,'Error Log'!$J:$J,F$1)</f>
        <v>0</v>
      </c>
      <c r="G254" s="68">
        <f>COUNTIFS('Error Log'!$A:$A,$A254,'Error Log'!$J:$J,G$1)</f>
        <v>0</v>
      </c>
      <c r="H254" s="68">
        <f>COUNTIFS('Error Log'!$A:$A,$A254,'Error Log'!$F:$F,"Source")</f>
        <v>0</v>
      </c>
      <c r="I254" s="68">
        <f>COUNTIFS('Error Log'!$A:$A,$A254,'Error Log'!$F:$F,"Target")</f>
        <v>0</v>
      </c>
      <c r="J254" s="69">
        <f t="shared" si="3"/>
        <v>0</v>
      </c>
    </row>
    <row r="255" spans="1:10">
      <c r="A255" s="87"/>
      <c r="B255" s="68" t="str">
        <f>IF(ISBLANK(A255),"",INDEX('Error Log'!$A:$J,MATCH('Scores per segment'!$A255,'Error Log'!$A:$A,0),MATCH('Scores per segment'!B$1,'Error Log'!$A$1:$J$1,0)))</f>
        <v/>
      </c>
      <c r="C255" s="68" t="str">
        <f>IF(ISBLANK(A255),"",INDEX('Error Log'!$A:$J,MATCH('Scores per segment'!$A255,'Error Log'!$A:$A,0),MATCH('Scores per segment'!C$1,'Error Log'!$A$1:$J$1,0)))</f>
        <v/>
      </c>
      <c r="D255" s="68">
        <f>IF(H255=0,wdct(TRIM(C255)),0)</f>
        <v>0</v>
      </c>
      <c r="E255" s="68">
        <f>COUNTIFS('Error Log'!$A:$A,$A255,'Error Log'!$J:$J,E$1)</f>
        <v>0</v>
      </c>
      <c r="F255" s="68">
        <f>COUNTIFS('Error Log'!$A:$A,$A255,'Error Log'!$J:$J,F$1)</f>
        <v>0</v>
      </c>
      <c r="G255" s="68">
        <f>COUNTIFS('Error Log'!$A:$A,$A255,'Error Log'!$J:$J,G$1)</f>
        <v>0</v>
      </c>
      <c r="H255" s="68">
        <f>COUNTIFS('Error Log'!$A:$A,$A255,'Error Log'!$F:$F,"Source")</f>
        <v>0</v>
      </c>
      <c r="I255" s="68">
        <f>COUNTIFS('Error Log'!$A:$A,$A255,'Error Log'!$F:$F,"Target")</f>
        <v>0</v>
      </c>
      <c r="J255" s="69">
        <f t="shared" si="3"/>
        <v>0</v>
      </c>
    </row>
    <row r="256" spans="1:10">
      <c r="A256" s="87"/>
      <c r="B256" s="68" t="str">
        <f>IF(ISBLANK(A256),"",INDEX('Error Log'!$A:$J,MATCH('Scores per segment'!$A256,'Error Log'!$A:$A,0),MATCH('Scores per segment'!B$1,'Error Log'!$A$1:$J$1,0)))</f>
        <v/>
      </c>
      <c r="C256" s="68" t="str">
        <f>IF(ISBLANK(A256),"",INDEX('Error Log'!$A:$J,MATCH('Scores per segment'!$A256,'Error Log'!$A:$A,0),MATCH('Scores per segment'!C$1,'Error Log'!$A$1:$J$1,0)))</f>
        <v/>
      </c>
      <c r="D256" s="68">
        <f>IF(H256=0,wdct(TRIM(C256)),0)</f>
        <v>0</v>
      </c>
      <c r="E256" s="68">
        <f>COUNTIFS('Error Log'!$A:$A,$A256,'Error Log'!$J:$J,E$1)</f>
        <v>0</v>
      </c>
      <c r="F256" s="68">
        <f>COUNTIFS('Error Log'!$A:$A,$A256,'Error Log'!$J:$J,F$1)</f>
        <v>0</v>
      </c>
      <c r="G256" s="68">
        <f>COUNTIFS('Error Log'!$A:$A,$A256,'Error Log'!$J:$J,G$1)</f>
        <v>0</v>
      </c>
      <c r="H256" s="68">
        <f>COUNTIFS('Error Log'!$A:$A,$A256,'Error Log'!$F:$F,"Source")</f>
        <v>0</v>
      </c>
      <c r="I256" s="68">
        <f>COUNTIFS('Error Log'!$A:$A,$A256,'Error Log'!$F:$F,"Target")</f>
        <v>0</v>
      </c>
      <c r="J256" s="69">
        <f t="shared" si="3"/>
        <v>0</v>
      </c>
    </row>
    <row r="257" spans="1:10">
      <c r="A257" s="87"/>
      <c r="B257" s="68" t="str">
        <f>IF(ISBLANK(A257),"",INDEX('Error Log'!$A:$J,MATCH('Scores per segment'!$A257,'Error Log'!$A:$A,0),MATCH('Scores per segment'!B$1,'Error Log'!$A$1:$J$1,0)))</f>
        <v/>
      </c>
      <c r="C257" s="68" t="str">
        <f>IF(ISBLANK(A257),"",INDEX('Error Log'!$A:$J,MATCH('Scores per segment'!$A257,'Error Log'!$A:$A,0),MATCH('Scores per segment'!C$1,'Error Log'!$A$1:$J$1,0)))</f>
        <v/>
      </c>
      <c r="D257" s="68">
        <f>IF(H257=0,wdct(TRIM(C257)),0)</f>
        <v>0</v>
      </c>
      <c r="E257" s="68">
        <f>COUNTIFS('Error Log'!$A:$A,$A257,'Error Log'!$J:$J,E$1)</f>
        <v>0</v>
      </c>
      <c r="F257" s="68">
        <f>COUNTIFS('Error Log'!$A:$A,$A257,'Error Log'!$J:$J,F$1)</f>
        <v>0</v>
      </c>
      <c r="G257" s="68">
        <f>COUNTIFS('Error Log'!$A:$A,$A257,'Error Log'!$J:$J,G$1)</f>
        <v>0</v>
      </c>
      <c r="H257" s="68">
        <f>COUNTIFS('Error Log'!$A:$A,$A257,'Error Log'!$F:$F,"Source")</f>
        <v>0</v>
      </c>
      <c r="I257" s="68">
        <f>COUNTIFS('Error Log'!$A:$A,$A257,'Error Log'!$F:$F,"Target")</f>
        <v>0</v>
      </c>
      <c r="J257" s="69">
        <f t="shared" si="3"/>
        <v>0</v>
      </c>
    </row>
    <row r="258" spans="1:10">
      <c r="A258" s="87"/>
      <c r="B258" s="68" t="str">
        <f>IF(ISBLANK(A258),"",INDEX('Error Log'!$A:$J,MATCH('Scores per segment'!$A258,'Error Log'!$A:$A,0),MATCH('Scores per segment'!B$1,'Error Log'!$A$1:$J$1,0)))</f>
        <v/>
      </c>
      <c r="C258" s="68" t="str">
        <f>IF(ISBLANK(A258),"",INDEX('Error Log'!$A:$J,MATCH('Scores per segment'!$A258,'Error Log'!$A:$A,0),MATCH('Scores per segment'!C$1,'Error Log'!$A$1:$J$1,0)))</f>
        <v/>
      </c>
      <c r="D258" s="68">
        <f>IF(H258=0,wdct(TRIM(C258)),0)</f>
        <v>0</v>
      </c>
      <c r="E258" s="68">
        <f>COUNTIFS('Error Log'!$A:$A,$A258,'Error Log'!$J:$J,E$1)</f>
        <v>0</v>
      </c>
      <c r="F258" s="68">
        <f>COUNTIFS('Error Log'!$A:$A,$A258,'Error Log'!$J:$J,F$1)</f>
        <v>0</v>
      </c>
      <c r="G258" s="68">
        <f>COUNTIFS('Error Log'!$A:$A,$A258,'Error Log'!$J:$J,G$1)</f>
        <v>0</v>
      </c>
      <c r="H258" s="68">
        <f>COUNTIFS('Error Log'!$A:$A,$A258,'Error Log'!$F:$F,"Source")</f>
        <v>0</v>
      </c>
      <c r="I258" s="68">
        <f>COUNTIFS('Error Log'!$A:$A,$A258,'Error Log'!$F:$F,"Target")</f>
        <v>0</v>
      </c>
      <c r="J258" s="69">
        <f t="shared" ref="J258:J321" si="4">IF(I258=0,IFERROR((((1-((E258*10+F258*5+G258*1)/D258))*100)+100)/2,0),-150)</f>
        <v>0</v>
      </c>
    </row>
    <row r="259" spans="1:10">
      <c r="A259" s="87"/>
      <c r="B259" s="68" t="str">
        <f>IF(ISBLANK(A259),"",INDEX('Error Log'!$A:$J,MATCH('Scores per segment'!$A259,'Error Log'!$A:$A,0),MATCH('Scores per segment'!B$1,'Error Log'!$A$1:$J$1,0)))</f>
        <v/>
      </c>
      <c r="C259" s="68" t="str">
        <f>IF(ISBLANK(A259),"",INDEX('Error Log'!$A:$J,MATCH('Scores per segment'!$A259,'Error Log'!$A:$A,0),MATCH('Scores per segment'!C$1,'Error Log'!$A$1:$J$1,0)))</f>
        <v/>
      </c>
      <c r="D259" s="68">
        <f>IF(H259=0,wdct(TRIM(C259)),0)</f>
        <v>0</v>
      </c>
      <c r="E259" s="68">
        <f>COUNTIFS('Error Log'!$A:$A,$A259,'Error Log'!$J:$J,E$1)</f>
        <v>0</v>
      </c>
      <c r="F259" s="68">
        <f>COUNTIFS('Error Log'!$A:$A,$A259,'Error Log'!$J:$J,F$1)</f>
        <v>0</v>
      </c>
      <c r="G259" s="68">
        <f>COUNTIFS('Error Log'!$A:$A,$A259,'Error Log'!$J:$J,G$1)</f>
        <v>0</v>
      </c>
      <c r="H259" s="68">
        <f>COUNTIFS('Error Log'!$A:$A,$A259,'Error Log'!$F:$F,"Source")</f>
        <v>0</v>
      </c>
      <c r="I259" s="68">
        <f>COUNTIFS('Error Log'!$A:$A,$A259,'Error Log'!$F:$F,"Target")</f>
        <v>0</v>
      </c>
      <c r="J259" s="69">
        <f t="shared" si="4"/>
        <v>0</v>
      </c>
    </row>
    <row r="260" spans="1:10">
      <c r="A260" s="87"/>
      <c r="B260" s="68" t="str">
        <f>IF(ISBLANK(A260),"",INDEX('Error Log'!$A:$J,MATCH('Scores per segment'!$A260,'Error Log'!$A:$A,0),MATCH('Scores per segment'!B$1,'Error Log'!$A$1:$J$1,0)))</f>
        <v/>
      </c>
      <c r="C260" s="68" t="str">
        <f>IF(ISBLANK(A260),"",INDEX('Error Log'!$A:$J,MATCH('Scores per segment'!$A260,'Error Log'!$A:$A,0),MATCH('Scores per segment'!C$1,'Error Log'!$A$1:$J$1,0)))</f>
        <v/>
      </c>
      <c r="D260" s="68">
        <f>IF(H260=0,wdct(TRIM(C260)),0)</f>
        <v>0</v>
      </c>
      <c r="E260" s="68">
        <f>COUNTIFS('Error Log'!$A:$A,$A260,'Error Log'!$J:$J,E$1)</f>
        <v>0</v>
      </c>
      <c r="F260" s="68">
        <f>COUNTIFS('Error Log'!$A:$A,$A260,'Error Log'!$J:$J,F$1)</f>
        <v>0</v>
      </c>
      <c r="G260" s="68">
        <f>COUNTIFS('Error Log'!$A:$A,$A260,'Error Log'!$J:$J,G$1)</f>
        <v>0</v>
      </c>
      <c r="H260" s="68">
        <f>COUNTIFS('Error Log'!$A:$A,$A260,'Error Log'!$F:$F,"Source")</f>
        <v>0</v>
      </c>
      <c r="I260" s="68">
        <f>COUNTIFS('Error Log'!$A:$A,$A260,'Error Log'!$F:$F,"Target")</f>
        <v>0</v>
      </c>
      <c r="J260" s="69">
        <f t="shared" si="4"/>
        <v>0</v>
      </c>
    </row>
    <row r="261" spans="1:10">
      <c r="A261" s="87"/>
      <c r="B261" s="68" t="str">
        <f>IF(ISBLANK(A261),"",INDEX('Error Log'!$A:$J,MATCH('Scores per segment'!$A261,'Error Log'!$A:$A,0),MATCH('Scores per segment'!B$1,'Error Log'!$A$1:$J$1,0)))</f>
        <v/>
      </c>
      <c r="C261" s="68" t="str">
        <f>IF(ISBLANK(A261),"",INDEX('Error Log'!$A:$J,MATCH('Scores per segment'!$A261,'Error Log'!$A:$A,0),MATCH('Scores per segment'!C$1,'Error Log'!$A$1:$J$1,0)))</f>
        <v/>
      </c>
      <c r="D261" s="68">
        <f>IF(H261=0,wdct(TRIM(C261)),0)</f>
        <v>0</v>
      </c>
      <c r="E261" s="68">
        <f>COUNTIFS('Error Log'!$A:$A,$A261,'Error Log'!$J:$J,E$1)</f>
        <v>0</v>
      </c>
      <c r="F261" s="68">
        <f>COUNTIFS('Error Log'!$A:$A,$A261,'Error Log'!$J:$J,F$1)</f>
        <v>0</v>
      </c>
      <c r="G261" s="68">
        <f>COUNTIFS('Error Log'!$A:$A,$A261,'Error Log'!$J:$J,G$1)</f>
        <v>0</v>
      </c>
      <c r="H261" s="68">
        <f>COUNTIFS('Error Log'!$A:$A,$A261,'Error Log'!$F:$F,"Source")</f>
        <v>0</v>
      </c>
      <c r="I261" s="68">
        <f>COUNTIFS('Error Log'!$A:$A,$A261,'Error Log'!$F:$F,"Target")</f>
        <v>0</v>
      </c>
      <c r="J261" s="69">
        <f t="shared" si="4"/>
        <v>0</v>
      </c>
    </row>
    <row r="262" spans="1:10">
      <c r="A262" s="87"/>
      <c r="B262" s="68" t="str">
        <f>IF(ISBLANK(A262),"",INDEX('Error Log'!$A:$J,MATCH('Scores per segment'!$A262,'Error Log'!$A:$A,0),MATCH('Scores per segment'!B$1,'Error Log'!$A$1:$J$1,0)))</f>
        <v/>
      </c>
      <c r="C262" s="68" t="str">
        <f>IF(ISBLANK(A262),"",INDEX('Error Log'!$A:$J,MATCH('Scores per segment'!$A262,'Error Log'!$A:$A,0),MATCH('Scores per segment'!C$1,'Error Log'!$A$1:$J$1,0)))</f>
        <v/>
      </c>
      <c r="D262" s="68">
        <f>IF(H262=0,wdct(TRIM(C262)),0)</f>
        <v>0</v>
      </c>
      <c r="E262" s="68">
        <f>COUNTIFS('Error Log'!$A:$A,$A262,'Error Log'!$J:$J,E$1)</f>
        <v>0</v>
      </c>
      <c r="F262" s="68">
        <f>COUNTIFS('Error Log'!$A:$A,$A262,'Error Log'!$J:$J,F$1)</f>
        <v>0</v>
      </c>
      <c r="G262" s="68">
        <f>COUNTIFS('Error Log'!$A:$A,$A262,'Error Log'!$J:$J,G$1)</f>
        <v>0</v>
      </c>
      <c r="H262" s="68">
        <f>COUNTIFS('Error Log'!$A:$A,$A262,'Error Log'!$F:$F,"Source")</f>
        <v>0</v>
      </c>
      <c r="I262" s="68">
        <f>COUNTIFS('Error Log'!$A:$A,$A262,'Error Log'!$F:$F,"Target")</f>
        <v>0</v>
      </c>
      <c r="J262" s="69">
        <f t="shared" si="4"/>
        <v>0</v>
      </c>
    </row>
    <row r="263" spans="1:10">
      <c r="A263" s="87"/>
      <c r="B263" s="68" t="str">
        <f>IF(ISBLANK(A263),"",INDEX('Error Log'!$A:$J,MATCH('Scores per segment'!$A263,'Error Log'!$A:$A,0),MATCH('Scores per segment'!B$1,'Error Log'!$A$1:$J$1,0)))</f>
        <v/>
      </c>
      <c r="C263" s="68" t="str">
        <f>IF(ISBLANK(A263),"",INDEX('Error Log'!$A:$J,MATCH('Scores per segment'!$A263,'Error Log'!$A:$A,0),MATCH('Scores per segment'!C$1,'Error Log'!$A$1:$J$1,0)))</f>
        <v/>
      </c>
      <c r="D263" s="68">
        <f>IF(H263=0,wdct(TRIM(C263)),0)</f>
        <v>0</v>
      </c>
      <c r="E263" s="68">
        <f>COUNTIFS('Error Log'!$A:$A,$A263,'Error Log'!$J:$J,E$1)</f>
        <v>0</v>
      </c>
      <c r="F263" s="68">
        <f>COUNTIFS('Error Log'!$A:$A,$A263,'Error Log'!$J:$J,F$1)</f>
        <v>0</v>
      </c>
      <c r="G263" s="68">
        <f>COUNTIFS('Error Log'!$A:$A,$A263,'Error Log'!$J:$J,G$1)</f>
        <v>0</v>
      </c>
      <c r="H263" s="68">
        <f>COUNTIFS('Error Log'!$A:$A,$A263,'Error Log'!$F:$F,"Source")</f>
        <v>0</v>
      </c>
      <c r="I263" s="68">
        <f>COUNTIFS('Error Log'!$A:$A,$A263,'Error Log'!$F:$F,"Target")</f>
        <v>0</v>
      </c>
      <c r="J263" s="69">
        <f t="shared" si="4"/>
        <v>0</v>
      </c>
    </row>
    <row r="264" spans="1:10">
      <c r="A264" s="87"/>
      <c r="B264" s="68" t="str">
        <f>IF(ISBLANK(A264),"",INDEX('Error Log'!$A:$J,MATCH('Scores per segment'!$A264,'Error Log'!$A:$A,0),MATCH('Scores per segment'!B$1,'Error Log'!$A$1:$J$1,0)))</f>
        <v/>
      </c>
      <c r="C264" s="68" t="str">
        <f>IF(ISBLANK(A264),"",INDEX('Error Log'!$A:$J,MATCH('Scores per segment'!$A264,'Error Log'!$A:$A,0),MATCH('Scores per segment'!C$1,'Error Log'!$A$1:$J$1,0)))</f>
        <v/>
      </c>
      <c r="D264" s="68">
        <f>IF(H264=0,wdct(TRIM(C264)),0)</f>
        <v>0</v>
      </c>
      <c r="E264" s="68">
        <f>COUNTIFS('Error Log'!$A:$A,$A264,'Error Log'!$J:$J,E$1)</f>
        <v>0</v>
      </c>
      <c r="F264" s="68">
        <f>COUNTIFS('Error Log'!$A:$A,$A264,'Error Log'!$J:$J,F$1)</f>
        <v>0</v>
      </c>
      <c r="G264" s="68">
        <f>COUNTIFS('Error Log'!$A:$A,$A264,'Error Log'!$J:$J,G$1)</f>
        <v>0</v>
      </c>
      <c r="H264" s="68">
        <f>COUNTIFS('Error Log'!$A:$A,$A264,'Error Log'!$F:$F,"Source")</f>
        <v>0</v>
      </c>
      <c r="I264" s="68">
        <f>COUNTIFS('Error Log'!$A:$A,$A264,'Error Log'!$F:$F,"Target")</f>
        <v>0</v>
      </c>
      <c r="J264" s="69">
        <f t="shared" si="4"/>
        <v>0</v>
      </c>
    </row>
    <row r="265" spans="1:10">
      <c r="A265" s="87"/>
      <c r="B265" s="68" t="str">
        <f>IF(ISBLANK(A265),"",INDEX('Error Log'!$A:$J,MATCH('Scores per segment'!$A265,'Error Log'!$A:$A,0),MATCH('Scores per segment'!B$1,'Error Log'!$A$1:$J$1,0)))</f>
        <v/>
      </c>
      <c r="C265" s="68" t="str">
        <f>IF(ISBLANK(A265),"",INDEX('Error Log'!$A:$J,MATCH('Scores per segment'!$A265,'Error Log'!$A:$A,0),MATCH('Scores per segment'!C$1,'Error Log'!$A$1:$J$1,0)))</f>
        <v/>
      </c>
      <c r="D265" s="68">
        <f>IF(H265=0,wdct(TRIM(C265)),0)</f>
        <v>0</v>
      </c>
      <c r="E265" s="68">
        <f>COUNTIFS('Error Log'!$A:$A,$A265,'Error Log'!$J:$J,E$1)</f>
        <v>0</v>
      </c>
      <c r="F265" s="68">
        <f>COUNTIFS('Error Log'!$A:$A,$A265,'Error Log'!$J:$J,F$1)</f>
        <v>0</v>
      </c>
      <c r="G265" s="68">
        <f>COUNTIFS('Error Log'!$A:$A,$A265,'Error Log'!$J:$J,G$1)</f>
        <v>0</v>
      </c>
      <c r="H265" s="68">
        <f>COUNTIFS('Error Log'!$A:$A,$A265,'Error Log'!$F:$F,"Source")</f>
        <v>0</v>
      </c>
      <c r="I265" s="68">
        <f>COUNTIFS('Error Log'!$A:$A,$A265,'Error Log'!$F:$F,"Target")</f>
        <v>0</v>
      </c>
      <c r="J265" s="69">
        <f t="shared" si="4"/>
        <v>0</v>
      </c>
    </row>
    <row r="266" spans="1:10">
      <c r="A266" s="87"/>
      <c r="B266" s="68" t="str">
        <f>IF(ISBLANK(A266),"",INDEX('Error Log'!$A:$J,MATCH('Scores per segment'!$A266,'Error Log'!$A:$A,0),MATCH('Scores per segment'!B$1,'Error Log'!$A$1:$J$1,0)))</f>
        <v/>
      </c>
      <c r="C266" s="68" t="str">
        <f>IF(ISBLANK(A266),"",INDEX('Error Log'!$A:$J,MATCH('Scores per segment'!$A266,'Error Log'!$A:$A,0),MATCH('Scores per segment'!C$1,'Error Log'!$A$1:$J$1,0)))</f>
        <v/>
      </c>
      <c r="D266" s="68">
        <f>IF(H266=0,wdct(TRIM(C266)),0)</f>
        <v>0</v>
      </c>
      <c r="E266" s="68">
        <f>COUNTIFS('Error Log'!$A:$A,$A266,'Error Log'!$J:$J,E$1)</f>
        <v>0</v>
      </c>
      <c r="F266" s="68">
        <f>COUNTIFS('Error Log'!$A:$A,$A266,'Error Log'!$J:$J,F$1)</f>
        <v>0</v>
      </c>
      <c r="G266" s="68">
        <f>COUNTIFS('Error Log'!$A:$A,$A266,'Error Log'!$J:$J,G$1)</f>
        <v>0</v>
      </c>
      <c r="H266" s="68">
        <f>COUNTIFS('Error Log'!$A:$A,$A266,'Error Log'!$F:$F,"Source")</f>
        <v>0</v>
      </c>
      <c r="I266" s="68">
        <f>COUNTIFS('Error Log'!$A:$A,$A266,'Error Log'!$F:$F,"Target")</f>
        <v>0</v>
      </c>
      <c r="J266" s="69">
        <f t="shared" si="4"/>
        <v>0</v>
      </c>
    </row>
    <row r="267" spans="1:10">
      <c r="A267" s="87"/>
      <c r="B267" s="68" t="str">
        <f>IF(ISBLANK(A267),"",INDEX('Error Log'!$A:$J,MATCH('Scores per segment'!$A267,'Error Log'!$A:$A,0),MATCH('Scores per segment'!B$1,'Error Log'!$A$1:$J$1,0)))</f>
        <v/>
      </c>
      <c r="C267" s="68" t="str">
        <f>IF(ISBLANK(A267),"",INDEX('Error Log'!$A:$J,MATCH('Scores per segment'!$A267,'Error Log'!$A:$A,0),MATCH('Scores per segment'!C$1,'Error Log'!$A$1:$J$1,0)))</f>
        <v/>
      </c>
      <c r="D267" s="68">
        <f>IF(H267=0,wdct(TRIM(C267)),0)</f>
        <v>0</v>
      </c>
      <c r="E267" s="68">
        <f>COUNTIFS('Error Log'!$A:$A,$A267,'Error Log'!$J:$J,E$1)</f>
        <v>0</v>
      </c>
      <c r="F267" s="68">
        <f>COUNTIFS('Error Log'!$A:$A,$A267,'Error Log'!$J:$J,F$1)</f>
        <v>0</v>
      </c>
      <c r="G267" s="68">
        <f>COUNTIFS('Error Log'!$A:$A,$A267,'Error Log'!$J:$J,G$1)</f>
        <v>0</v>
      </c>
      <c r="H267" s="68">
        <f>COUNTIFS('Error Log'!$A:$A,$A267,'Error Log'!$F:$F,"Source")</f>
        <v>0</v>
      </c>
      <c r="I267" s="68">
        <f>COUNTIFS('Error Log'!$A:$A,$A267,'Error Log'!$F:$F,"Target")</f>
        <v>0</v>
      </c>
      <c r="J267" s="69">
        <f t="shared" si="4"/>
        <v>0</v>
      </c>
    </row>
    <row r="268" spans="1:10">
      <c r="A268" s="87"/>
      <c r="B268" s="68" t="str">
        <f>IF(ISBLANK(A268),"",INDEX('Error Log'!$A:$J,MATCH('Scores per segment'!$A268,'Error Log'!$A:$A,0),MATCH('Scores per segment'!B$1,'Error Log'!$A$1:$J$1,0)))</f>
        <v/>
      </c>
      <c r="C268" s="68" t="str">
        <f>IF(ISBLANK(A268),"",INDEX('Error Log'!$A:$J,MATCH('Scores per segment'!$A268,'Error Log'!$A:$A,0),MATCH('Scores per segment'!C$1,'Error Log'!$A$1:$J$1,0)))</f>
        <v/>
      </c>
      <c r="D268" s="68">
        <f>IF(H268=0,wdct(TRIM(C268)),0)</f>
        <v>0</v>
      </c>
      <c r="E268" s="68">
        <f>COUNTIFS('Error Log'!$A:$A,$A268,'Error Log'!$J:$J,E$1)</f>
        <v>0</v>
      </c>
      <c r="F268" s="68">
        <f>COUNTIFS('Error Log'!$A:$A,$A268,'Error Log'!$J:$J,F$1)</f>
        <v>0</v>
      </c>
      <c r="G268" s="68">
        <f>COUNTIFS('Error Log'!$A:$A,$A268,'Error Log'!$J:$J,G$1)</f>
        <v>0</v>
      </c>
      <c r="H268" s="68">
        <f>COUNTIFS('Error Log'!$A:$A,$A268,'Error Log'!$F:$F,"Source")</f>
        <v>0</v>
      </c>
      <c r="I268" s="68">
        <f>COUNTIFS('Error Log'!$A:$A,$A268,'Error Log'!$F:$F,"Target")</f>
        <v>0</v>
      </c>
      <c r="J268" s="69">
        <f t="shared" si="4"/>
        <v>0</v>
      </c>
    </row>
    <row r="269" spans="1:10">
      <c r="A269" s="87"/>
      <c r="B269" s="68" t="str">
        <f>IF(ISBLANK(A269),"",INDEX('Error Log'!$A:$J,MATCH('Scores per segment'!$A269,'Error Log'!$A:$A,0),MATCH('Scores per segment'!B$1,'Error Log'!$A$1:$J$1,0)))</f>
        <v/>
      </c>
      <c r="C269" s="68" t="str">
        <f>IF(ISBLANK(A269),"",INDEX('Error Log'!$A:$J,MATCH('Scores per segment'!$A269,'Error Log'!$A:$A,0),MATCH('Scores per segment'!C$1,'Error Log'!$A$1:$J$1,0)))</f>
        <v/>
      </c>
      <c r="D269" s="68">
        <f>IF(H269=0,wdct(TRIM(C269)),0)</f>
        <v>0</v>
      </c>
      <c r="E269" s="68">
        <f>COUNTIFS('Error Log'!$A:$A,$A269,'Error Log'!$J:$J,E$1)</f>
        <v>0</v>
      </c>
      <c r="F269" s="68">
        <f>COUNTIFS('Error Log'!$A:$A,$A269,'Error Log'!$J:$J,F$1)</f>
        <v>0</v>
      </c>
      <c r="G269" s="68">
        <f>COUNTIFS('Error Log'!$A:$A,$A269,'Error Log'!$J:$J,G$1)</f>
        <v>0</v>
      </c>
      <c r="H269" s="68">
        <f>COUNTIFS('Error Log'!$A:$A,$A269,'Error Log'!$F:$F,"Source")</f>
        <v>0</v>
      </c>
      <c r="I269" s="68">
        <f>COUNTIFS('Error Log'!$A:$A,$A269,'Error Log'!$F:$F,"Target")</f>
        <v>0</v>
      </c>
      <c r="J269" s="69">
        <f t="shared" si="4"/>
        <v>0</v>
      </c>
    </row>
    <row r="270" spans="1:10">
      <c r="A270" s="87"/>
      <c r="B270" s="68" t="str">
        <f>IF(ISBLANK(A270),"",INDEX('Error Log'!$A:$J,MATCH('Scores per segment'!$A270,'Error Log'!$A:$A,0),MATCH('Scores per segment'!B$1,'Error Log'!$A$1:$J$1,0)))</f>
        <v/>
      </c>
      <c r="C270" s="68" t="str">
        <f>IF(ISBLANK(A270),"",INDEX('Error Log'!$A:$J,MATCH('Scores per segment'!$A270,'Error Log'!$A:$A,0),MATCH('Scores per segment'!C$1,'Error Log'!$A$1:$J$1,0)))</f>
        <v/>
      </c>
      <c r="D270" s="68">
        <f>IF(H270=0,wdct(TRIM(C270)),0)</f>
        <v>0</v>
      </c>
      <c r="E270" s="68">
        <f>COUNTIFS('Error Log'!$A:$A,$A270,'Error Log'!$J:$J,E$1)</f>
        <v>0</v>
      </c>
      <c r="F270" s="68">
        <f>COUNTIFS('Error Log'!$A:$A,$A270,'Error Log'!$J:$J,F$1)</f>
        <v>0</v>
      </c>
      <c r="G270" s="68">
        <f>COUNTIFS('Error Log'!$A:$A,$A270,'Error Log'!$J:$J,G$1)</f>
        <v>0</v>
      </c>
      <c r="H270" s="68">
        <f>COUNTIFS('Error Log'!$A:$A,$A270,'Error Log'!$F:$F,"Source")</f>
        <v>0</v>
      </c>
      <c r="I270" s="68">
        <f>COUNTIFS('Error Log'!$A:$A,$A270,'Error Log'!$F:$F,"Target")</f>
        <v>0</v>
      </c>
      <c r="J270" s="69">
        <f t="shared" si="4"/>
        <v>0</v>
      </c>
    </row>
    <row r="271" spans="1:10">
      <c r="A271" s="87"/>
      <c r="B271" s="68" t="str">
        <f>IF(ISBLANK(A271),"",INDEX('Error Log'!$A:$J,MATCH('Scores per segment'!$A271,'Error Log'!$A:$A,0),MATCH('Scores per segment'!B$1,'Error Log'!$A$1:$J$1,0)))</f>
        <v/>
      </c>
      <c r="C271" s="68" t="str">
        <f>IF(ISBLANK(A271),"",INDEX('Error Log'!$A:$J,MATCH('Scores per segment'!$A271,'Error Log'!$A:$A,0),MATCH('Scores per segment'!C$1,'Error Log'!$A$1:$J$1,0)))</f>
        <v/>
      </c>
      <c r="D271" s="68">
        <f>IF(H271=0,wdct(TRIM(C271)),0)</f>
        <v>0</v>
      </c>
      <c r="E271" s="68">
        <f>COUNTIFS('Error Log'!$A:$A,$A271,'Error Log'!$J:$J,E$1)</f>
        <v>0</v>
      </c>
      <c r="F271" s="68">
        <f>COUNTIFS('Error Log'!$A:$A,$A271,'Error Log'!$J:$J,F$1)</f>
        <v>0</v>
      </c>
      <c r="G271" s="68">
        <f>COUNTIFS('Error Log'!$A:$A,$A271,'Error Log'!$J:$J,G$1)</f>
        <v>0</v>
      </c>
      <c r="H271" s="68">
        <f>COUNTIFS('Error Log'!$A:$A,$A271,'Error Log'!$F:$F,"Source")</f>
        <v>0</v>
      </c>
      <c r="I271" s="68">
        <f>COUNTIFS('Error Log'!$A:$A,$A271,'Error Log'!$F:$F,"Target")</f>
        <v>0</v>
      </c>
      <c r="J271" s="69">
        <f t="shared" si="4"/>
        <v>0</v>
      </c>
    </row>
    <row r="272" spans="1:10">
      <c r="A272" s="87"/>
      <c r="B272" s="68" t="str">
        <f>IF(ISBLANK(A272),"",INDEX('Error Log'!$A:$J,MATCH('Scores per segment'!$A272,'Error Log'!$A:$A,0),MATCH('Scores per segment'!B$1,'Error Log'!$A$1:$J$1,0)))</f>
        <v/>
      </c>
      <c r="C272" s="68" t="str">
        <f>IF(ISBLANK(A272),"",INDEX('Error Log'!$A:$J,MATCH('Scores per segment'!$A272,'Error Log'!$A:$A,0),MATCH('Scores per segment'!C$1,'Error Log'!$A$1:$J$1,0)))</f>
        <v/>
      </c>
      <c r="D272" s="68">
        <f>IF(H272=0,wdct(TRIM(C272)),0)</f>
        <v>0</v>
      </c>
      <c r="E272" s="68">
        <f>COUNTIFS('Error Log'!$A:$A,$A272,'Error Log'!$J:$J,E$1)</f>
        <v>0</v>
      </c>
      <c r="F272" s="68">
        <f>COUNTIFS('Error Log'!$A:$A,$A272,'Error Log'!$J:$J,F$1)</f>
        <v>0</v>
      </c>
      <c r="G272" s="68">
        <f>COUNTIFS('Error Log'!$A:$A,$A272,'Error Log'!$J:$J,G$1)</f>
        <v>0</v>
      </c>
      <c r="H272" s="68">
        <f>COUNTIFS('Error Log'!$A:$A,$A272,'Error Log'!$F:$F,"Source")</f>
        <v>0</v>
      </c>
      <c r="I272" s="68">
        <f>COUNTIFS('Error Log'!$A:$A,$A272,'Error Log'!$F:$F,"Target")</f>
        <v>0</v>
      </c>
      <c r="J272" s="69">
        <f t="shared" si="4"/>
        <v>0</v>
      </c>
    </row>
    <row r="273" spans="1:10">
      <c r="A273" s="87"/>
      <c r="B273" s="68" t="str">
        <f>IF(ISBLANK(A273),"",INDEX('Error Log'!$A:$J,MATCH('Scores per segment'!$A273,'Error Log'!$A:$A,0),MATCH('Scores per segment'!B$1,'Error Log'!$A$1:$J$1,0)))</f>
        <v/>
      </c>
      <c r="C273" s="68" t="str">
        <f>IF(ISBLANK(A273),"",INDEX('Error Log'!$A:$J,MATCH('Scores per segment'!$A273,'Error Log'!$A:$A,0),MATCH('Scores per segment'!C$1,'Error Log'!$A$1:$J$1,0)))</f>
        <v/>
      </c>
      <c r="D273" s="68">
        <f>IF(H273=0,wdct(TRIM(C273)),0)</f>
        <v>0</v>
      </c>
      <c r="E273" s="68">
        <f>COUNTIFS('Error Log'!$A:$A,$A273,'Error Log'!$J:$J,E$1)</f>
        <v>0</v>
      </c>
      <c r="F273" s="68">
        <f>COUNTIFS('Error Log'!$A:$A,$A273,'Error Log'!$J:$J,F$1)</f>
        <v>0</v>
      </c>
      <c r="G273" s="68">
        <f>COUNTIFS('Error Log'!$A:$A,$A273,'Error Log'!$J:$J,G$1)</f>
        <v>0</v>
      </c>
      <c r="H273" s="68">
        <f>COUNTIFS('Error Log'!$A:$A,$A273,'Error Log'!$F:$F,"Source")</f>
        <v>0</v>
      </c>
      <c r="I273" s="68">
        <f>COUNTIFS('Error Log'!$A:$A,$A273,'Error Log'!$F:$F,"Target")</f>
        <v>0</v>
      </c>
      <c r="J273" s="69">
        <f t="shared" si="4"/>
        <v>0</v>
      </c>
    </row>
    <row r="274" spans="1:10">
      <c r="A274" s="87"/>
      <c r="B274" s="68" t="str">
        <f>IF(ISBLANK(A274),"",INDEX('Error Log'!$A:$J,MATCH('Scores per segment'!$A274,'Error Log'!$A:$A,0),MATCH('Scores per segment'!B$1,'Error Log'!$A$1:$J$1,0)))</f>
        <v/>
      </c>
      <c r="C274" s="68" t="str">
        <f>IF(ISBLANK(A274),"",INDEX('Error Log'!$A:$J,MATCH('Scores per segment'!$A274,'Error Log'!$A:$A,0),MATCH('Scores per segment'!C$1,'Error Log'!$A$1:$J$1,0)))</f>
        <v/>
      </c>
      <c r="D274" s="68">
        <f>IF(H274=0,wdct(TRIM(C274)),0)</f>
        <v>0</v>
      </c>
      <c r="E274" s="68">
        <f>COUNTIFS('Error Log'!$A:$A,$A274,'Error Log'!$J:$J,E$1)</f>
        <v>0</v>
      </c>
      <c r="F274" s="68">
        <f>COUNTIFS('Error Log'!$A:$A,$A274,'Error Log'!$J:$J,F$1)</f>
        <v>0</v>
      </c>
      <c r="G274" s="68">
        <f>COUNTIFS('Error Log'!$A:$A,$A274,'Error Log'!$J:$J,G$1)</f>
        <v>0</v>
      </c>
      <c r="H274" s="68">
        <f>COUNTIFS('Error Log'!$A:$A,$A274,'Error Log'!$F:$F,"Source")</f>
        <v>0</v>
      </c>
      <c r="I274" s="68">
        <f>COUNTIFS('Error Log'!$A:$A,$A274,'Error Log'!$F:$F,"Target")</f>
        <v>0</v>
      </c>
      <c r="J274" s="69">
        <f t="shared" si="4"/>
        <v>0</v>
      </c>
    </row>
    <row r="275" spans="1:10">
      <c r="A275" s="87"/>
      <c r="B275" s="68" t="str">
        <f>IF(ISBLANK(A275),"",INDEX('Error Log'!$A:$J,MATCH('Scores per segment'!$A275,'Error Log'!$A:$A,0),MATCH('Scores per segment'!B$1,'Error Log'!$A$1:$J$1,0)))</f>
        <v/>
      </c>
      <c r="C275" s="68" t="str">
        <f>IF(ISBLANK(A275),"",INDEX('Error Log'!$A:$J,MATCH('Scores per segment'!$A275,'Error Log'!$A:$A,0),MATCH('Scores per segment'!C$1,'Error Log'!$A$1:$J$1,0)))</f>
        <v/>
      </c>
      <c r="D275" s="68">
        <f>IF(H275=0,wdct(TRIM(C275)),0)</f>
        <v>0</v>
      </c>
      <c r="E275" s="68">
        <f>COUNTIFS('Error Log'!$A:$A,$A275,'Error Log'!$J:$J,E$1)</f>
        <v>0</v>
      </c>
      <c r="F275" s="68">
        <f>COUNTIFS('Error Log'!$A:$A,$A275,'Error Log'!$J:$J,F$1)</f>
        <v>0</v>
      </c>
      <c r="G275" s="68">
        <f>COUNTIFS('Error Log'!$A:$A,$A275,'Error Log'!$J:$J,G$1)</f>
        <v>0</v>
      </c>
      <c r="H275" s="68">
        <f>COUNTIFS('Error Log'!$A:$A,$A275,'Error Log'!$F:$F,"Source")</f>
        <v>0</v>
      </c>
      <c r="I275" s="68">
        <f>COUNTIFS('Error Log'!$A:$A,$A275,'Error Log'!$F:$F,"Target")</f>
        <v>0</v>
      </c>
      <c r="J275" s="69">
        <f t="shared" si="4"/>
        <v>0</v>
      </c>
    </row>
    <row r="276" spans="1:10">
      <c r="A276" s="87"/>
      <c r="B276" s="68" t="str">
        <f>IF(ISBLANK(A276),"",INDEX('Error Log'!$A:$J,MATCH('Scores per segment'!$A276,'Error Log'!$A:$A,0),MATCH('Scores per segment'!B$1,'Error Log'!$A$1:$J$1,0)))</f>
        <v/>
      </c>
      <c r="C276" s="68" t="str">
        <f>IF(ISBLANK(A276),"",INDEX('Error Log'!$A:$J,MATCH('Scores per segment'!$A276,'Error Log'!$A:$A,0),MATCH('Scores per segment'!C$1,'Error Log'!$A$1:$J$1,0)))</f>
        <v/>
      </c>
      <c r="D276" s="68">
        <f>IF(H276=0,wdct(TRIM(C276)),0)</f>
        <v>0</v>
      </c>
      <c r="E276" s="68">
        <f>COUNTIFS('Error Log'!$A:$A,$A276,'Error Log'!$J:$J,E$1)</f>
        <v>0</v>
      </c>
      <c r="F276" s="68">
        <f>COUNTIFS('Error Log'!$A:$A,$A276,'Error Log'!$J:$J,F$1)</f>
        <v>0</v>
      </c>
      <c r="G276" s="68">
        <f>COUNTIFS('Error Log'!$A:$A,$A276,'Error Log'!$J:$J,G$1)</f>
        <v>0</v>
      </c>
      <c r="H276" s="68">
        <f>COUNTIFS('Error Log'!$A:$A,$A276,'Error Log'!$F:$F,"Source")</f>
        <v>0</v>
      </c>
      <c r="I276" s="68">
        <f>COUNTIFS('Error Log'!$A:$A,$A276,'Error Log'!$F:$F,"Target")</f>
        <v>0</v>
      </c>
      <c r="J276" s="69">
        <f t="shared" si="4"/>
        <v>0</v>
      </c>
    </row>
    <row r="277" spans="1:10">
      <c r="A277" s="87"/>
      <c r="B277" s="68" t="str">
        <f>IF(ISBLANK(A277),"",INDEX('Error Log'!$A:$J,MATCH('Scores per segment'!$A277,'Error Log'!$A:$A,0),MATCH('Scores per segment'!B$1,'Error Log'!$A$1:$J$1,0)))</f>
        <v/>
      </c>
      <c r="C277" s="68" t="str">
        <f>IF(ISBLANK(A277),"",INDEX('Error Log'!$A:$J,MATCH('Scores per segment'!$A277,'Error Log'!$A:$A,0),MATCH('Scores per segment'!C$1,'Error Log'!$A$1:$J$1,0)))</f>
        <v/>
      </c>
      <c r="D277" s="68">
        <f>IF(H277=0,wdct(TRIM(C277)),0)</f>
        <v>0</v>
      </c>
      <c r="E277" s="68">
        <f>COUNTIFS('Error Log'!$A:$A,$A277,'Error Log'!$J:$J,E$1)</f>
        <v>0</v>
      </c>
      <c r="F277" s="68">
        <f>COUNTIFS('Error Log'!$A:$A,$A277,'Error Log'!$J:$J,F$1)</f>
        <v>0</v>
      </c>
      <c r="G277" s="68">
        <f>COUNTIFS('Error Log'!$A:$A,$A277,'Error Log'!$J:$J,G$1)</f>
        <v>0</v>
      </c>
      <c r="H277" s="68">
        <f>COUNTIFS('Error Log'!$A:$A,$A277,'Error Log'!$F:$F,"Source")</f>
        <v>0</v>
      </c>
      <c r="I277" s="68">
        <f>COUNTIFS('Error Log'!$A:$A,$A277,'Error Log'!$F:$F,"Target")</f>
        <v>0</v>
      </c>
      <c r="J277" s="69">
        <f t="shared" si="4"/>
        <v>0</v>
      </c>
    </row>
    <row r="278" spans="1:10">
      <c r="A278" s="87"/>
      <c r="B278" s="68" t="str">
        <f>IF(ISBLANK(A278),"",INDEX('Error Log'!$A:$J,MATCH('Scores per segment'!$A278,'Error Log'!$A:$A,0),MATCH('Scores per segment'!B$1,'Error Log'!$A$1:$J$1,0)))</f>
        <v/>
      </c>
      <c r="C278" s="68" t="str">
        <f>IF(ISBLANK(A278),"",INDEX('Error Log'!$A:$J,MATCH('Scores per segment'!$A278,'Error Log'!$A:$A,0),MATCH('Scores per segment'!C$1,'Error Log'!$A$1:$J$1,0)))</f>
        <v/>
      </c>
      <c r="D278" s="68">
        <f>IF(H278=0,wdct(TRIM(C278)),0)</f>
        <v>0</v>
      </c>
      <c r="E278" s="68">
        <f>COUNTIFS('Error Log'!$A:$A,$A278,'Error Log'!$J:$J,E$1)</f>
        <v>0</v>
      </c>
      <c r="F278" s="68">
        <f>COUNTIFS('Error Log'!$A:$A,$A278,'Error Log'!$J:$J,F$1)</f>
        <v>0</v>
      </c>
      <c r="G278" s="68">
        <f>COUNTIFS('Error Log'!$A:$A,$A278,'Error Log'!$J:$J,G$1)</f>
        <v>0</v>
      </c>
      <c r="H278" s="68">
        <f>COUNTIFS('Error Log'!$A:$A,$A278,'Error Log'!$F:$F,"Source")</f>
        <v>0</v>
      </c>
      <c r="I278" s="68">
        <f>COUNTIFS('Error Log'!$A:$A,$A278,'Error Log'!$F:$F,"Target")</f>
        <v>0</v>
      </c>
      <c r="J278" s="69">
        <f t="shared" si="4"/>
        <v>0</v>
      </c>
    </row>
    <row r="279" spans="1:10">
      <c r="A279" s="87"/>
      <c r="B279" s="68" t="str">
        <f>IF(ISBLANK(A279),"",INDEX('Error Log'!$A:$J,MATCH('Scores per segment'!$A279,'Error Log'!$A:$A,0),MATCH('Scores per segment'!B$1,'Error Log'!$A$1:$J$1,0)))</f>
        <v/>
      </c>
      <c r="C279" s="68" t="str">
        <f>IF(ISBLANK(A279),"",INDEX('Error Log'!$A:$J,MATCH('Scores per segment'!$A279,'Error Log'!$A:$A,0),MATCH('Scores per segment'!C$1,'Error Log'!$A$1:$J$1,0)))</f>
        <v/>
      </c>
      <c r="D279" s="68">
        <f>IF(H279=0,wdct(TRIM(C279)),0)</f>
        <v>0</v>
      </c>
      <c r="E279" s="68">
        <f>COUNTIFS('Error Log'!$A:$A,$A279,'Error Log'!$J:$J,E$1)</f>
        <v>0</v>
      </c>
      <c r="F279" s="68">
        <f>COUNTIFS('Error Log'!$A:$A,$A279,'Error Log'!$J:$J,F$1)</f>
        <v>0</v>
      </c>
      <c r="G279" s="68">
        <f>COUNTIFS('Error Log'!$A:$A,$A279,'Error Log'!$J:$J,G$1)</f>
        <v>0</v>
      </c>
      <c r="H279" s="68">
        <f>COUNTIFS('Error Log'!$A:$A,$A279,'Error Log'!$F:$F,"Source")</f>
        <v>0</v>
      </c>
      <c r="I279" s="68">
        <f>COUNTIFS('Error Log'!$A:$A,$A279,'Error Log'!$F:$F,"Target")</f>
        <v>0</v>
      </c>
      <c r="J279" s="69">
        <f t="shared" si="4"/>
        <v>0</v>
      </c>
    </row>
    <row r="280" spans="1:10">
      <c r="A280" s="87"/>
      <c r="B280" s="68" t="str">
        <f>IF(ISBLANK(A280),"",INDEX('Error Log'!$A:$J,MATCH('Scores per segment'!$A280,'Error Log'!$A:$A,0),MATCH('Scores per segment'!B$1,'Error Log'!$A$1:$J$1,0)))</f>
        <v/>
      </c>
      <c r="C280" s="68" t="str">
        <f>IF(ISBLANK(A280),"",INDEX('Error Log'!$A:$J,MATCH('Scores per segment'!$A280,'Error Log'!$A:$A,0),MATCH('Scores per segment'!C$1,'Error Log'!$A$1:$J$1,0)))</f>
        <v/>
      </c>
      <c r="D280" s="68">
        <f>IF(H280=0,wdct(TRIM(C280)),0)</f>
        <v>0</v>
      </c>
      <c r="E280" s="68">
        <f>COUNTIFS('Error Log'!$A:$A,$A280,'Error Log'!$J:$J,E$1)</f>
        <v>0</v>
      </c>
      <c r="F280" s="68">
        <f>COUNTIFS('Error Log'!$A:$A,$A280,'Error Log'!$J:$J,F$1)</f>
        <v>0</v>
      </c>
      <c r="G280" s="68">
        <f>COUNTIFS('Error Log'!$A:$A,$A280,'Error Log'!$J:$J,G$1)</f>
        <v>0</v>
      </c>
      <c r="H280" s="68">
        <f>COUNTIFS('Error Log'!$A:$A,$A280,'Error Log'!$F:$F,"Source")</f>
        <v>0</v>
      </c>
      <c r="I280" s="68">
        <f>COUNTIFS('Error Log'!$A:$A,$A280,'Error Log'!$F:$F,"Target")</f>
        <v>0</v>
      </c>
      <c r="J280" s="69">
        <f t="shared" si="4"/>
        <v>0</v>
      </c>
    </row>
    <row r="281" spans="1:10">
      <c r="A281" s="87"/>
      <c r="B281" s="68" t="str">
        <f>IF(ISBLANK(A281),"",INDEX('Error Log'!$A:$J,MATCH('Scores per segment'!$A281,'Error Log'!$A:$A,0),MATCH('Scores per segment'!B$1,'Error Log'!$A$1:$J$1,0)))</f>
        <v/>
      </c>
      <c r="C281" s="68" t="str">
        <f>IF(ISBLANK(A281),"",INDEX('Error Log'!$A:$J,MATCH('Scores per segment'!$A281,'Error Log'!$A:$A,0),MATCH('Scores per segment'!C$1,'Error Log'!$A$1:$J$1,0)))</f>
        <v/>
      </c>
      <c r="D281" s="68">
        <f>IF(H281=0,wdct(TRIM(C281)),0)</f>
        <v>0</v>
      </c>
      <c r="E281" s="68">
        <f>COUNTIFS('Error Log'!$A:$A,$A281,'Error Log'!$J:$J,E$1)</f>
        <v>0</v>
      </c>
      <c r="F281" s="68">
        <f>COUNTIFS('Error Log'!$A:$A,$A281,'Error Log'!$J:$J,F$1)</f>
        <v>0</v>
      </c>
      <c r="G281" s="68">
        <f>COUNTIFS('Error Log'!$A:$A,$A281,'Error Log'!$J:$J,G$1)</f>
        <v>0</v>
      </c>
      <c r="H281" s="68">
        <f>COUNTIFS('Error Log'!$A:$A,$A281,'Error Log'!$F:$F,"Source")</f>
        <v>0</v>
      </c>
      <c r="I281" s="68">
        <f>COUNTIFS('Error Log'!$A:$A,$A281,'Error Log'!$F:$F,"Target")</f>
        <v>0</v>
      </c>
      <c r="J281" s="69">
        <f t="shared" si="4"/>
        <v>0</v>
      </c>
    </row>
    <row r="282" spans="1:10">
      <c r="A282" s="87"/>
      <c r="B282" s="68" t="str">
        <f>IF(ISBLANK(A282),"",INDEX('Error Log'!$A:$J,MATCH('Scores per segment'!$A282,'Error Log'!$A:$A,0),MATCH('Scores per segment'!B$1,'Error Log'!$A$1:$J$1,0)))</f>
        <v/>
      </c>
      <c r="C282" s="68" t="str">
        <f>IF(ISBLANK(A282),"",INDEX('Error Log'!$A:$J,MATCH('Scores per segment'!$A282,'Error Log'!$A:$A,0),MATCH('Scores per segment'!C$1,'Error Log'!$A$1:$J$1,0)))</f>
        <v/>
      </c>
      <c r="D282" s="68">
        <f>IF(H282=0,wdct(TRIM(C282)),0)</f>
        <v>0</v>
      </c>
      <c r="E282" s="68">
        <f>COUNTIFS('Error Log'!$A:$A,$A282,'Error Log'!$J:$J,E$1)</f>
        <v>0</v>
      </c>
      <c r="F282" s="68">
        <f>COUNTIFS('Error Log'!$A:$A,$A282,'Error Log'!$J:$J,F$1)</f>
        <v>0</v>
      </c>
      <c r="G282" s="68">
        <f>COUNTIFS('Error Log'!$A:$A,$A282,'Error Log'!$J:$J,G$1)</f>
        <v>0</v>
      </c>
      <c r="H282" s="68">
        <f>COUNTIFS('Error Log'!$A:$A,$A282,'Error Log'!$F:$F,"Source")</f>
        <v>0</v>
      </c>
      <c r="I282" s="68">
        <f>COUNTIFS('Error Log'!$A:$A,$A282,'Error Log'!$F:$F,"Target")</f>
        <v>0</v>
      </c>
      <c r="J282" s="69">
        <f t="shared" si="4"/>
        <v>0</v>
      </c>
    </row>
    <row r="283" spans="1:10">
      <c r="A283" s="87"/>
      <c r="B283" s="68" t="str">
        <f>IF(ISBLANK(A283),"",INDEX('Error Log'!$A:$J,MATCH('Scores per segment'!$A283,'Error Log'!$A:$A,0),MATCH('Scores per segment'!B$1,'Error Log'!$A$1:$J$1,0)))</f>
        <v/>
      </c>
      <c r="C283" s="68" t="str">
        <f>IF(ISBLANK(A283),"",INDEX('Error Log'!$A:$J,MATCH('Scores per segment'!$A283,'Error Log'!$A:$A,0),MATCH('Scores per segment'!C$1,'Error Log'!$A$1:$J$1,0)))</f>
        <v/>
      </c>
      <c r="D283" s="68">
        <f>IF(H283=0,wdct(TRIM(C283)),0)</f>
        <v>0</v>
      </c>
      <c r="E283" s="68">
        <f>COUNTIFS('Error Log'!$A:$A,$A283,'Error Log'!$J:$J,E$1)</f>
        <v>0</v>
      </c>
      <c r="F283" s="68">
        <f>COUNTIFS('Error Log'!$A:$A,$A283,'Error Log'!$J:$J,F$1)</f>
        <v>0</v>
      </c>
      <c r="G283" s="68">
        <f>COUNTIFS('Error Log'!$A:$A,$A283,'Error Log'!$J:$J,G$1)</f>
        <v>0</v>
      </c>
      <c r="H283" s="68">
        <f>COUNTIFS('Error Log'!$A:$A,$A283,'Error Log'!$F:$F,"Source")</f>
        <v>0</v>
      </c>
      <c r="I283" s="68">
        <f>COUNTIFS('Error Log'!$A:$A,$A283,'Error Log'!$F:$F,"Target")</f>
        <v>0</v>
      </c>
      <c r="J283" s="69">
        <f t="shared" si="4"/>
        <v>0</v>
      </c>
    </row>
    <row r="284" spans="1:10">
      <c r="A284" s="87"/>
      <c r="B284" s="68" t="str">
        <f>IF(ISBLANK(A284),"",INDEX('Error Log'!$A:$J,MATCH('Scores per segment'!$A284,'Error Log'!$A:$A,0),MATCH('Scores per segment'!B$1,'Error Log'!$A$1:$J$1,0)))</f>
        <v/>
      </c>
      <c r="C284" s="68" t="str">
        <f>IF(ISBLANK(A284),"",INDEX('Error Log'!$A:$J,MATCH('Scores per segment'!$A284,'Error Log'!$A:$A,0),MATCH('Scores per segment'!C$1,'Error Log'!$A$1:$J$1,0)))</f>
        <v/>
      </c>
      <c r="D284" s="68">
        <f>IF(H284=0,wdct(TRIM(C284)),0)</f>
        <v>0</v>
      </c>
      <c r="E284" s="68">
        <f>COUNTIFS('Error Log'!$A:$A,$A284,'Error Log'!$J:$J,E$1)</f>
        <v>0</v>
      </c>
      <c r="F284" s="68">
        <f>COUNTIFS('Error Log'!$A:$A,$A284,'Error Log'!$J:$J,F$1)</f>
        <v>0</v>
      </c>
      <c r="G284" s="68">
        <f>COUNTIFS('Error Log'!$A:$A,$A284,'Error Log'!$J:$J,G$1)</f>
        <v>0</v>
      </c>
      <c r="H284" s="68">
        <f>COUNTIFS('Error Log'!$A:$A,$A284,'Error Log'!$F:$F,"Source")</f>
        <v>0</v>
      </c>
      <c r="I284" s="68">
        <f>COUNTIFS('Error Log'!$A:$A,$A284,'Error Log'!$F:$F,"Target")</f>
        <v>0</v>
      </c>
      <c r="J284" s="69">
        <f t="shared" si="4"/>
        <v>0</v>
      </c>
    </row>
    <row r="285" spans="1:10">
      <c r="A285" s="87"/>
      <c r="B285" s="68" t="str">
        <f>IF(ISBLANK(A285),"",INDEX('Error Log'!$A:$J,MATCH('Scores per segment'!$A285,'Error Log'!$A:$A,0),MATCH('Scores per segment'!B$1,'Error Log'!$A$1:$J$1,0)))</f>
        <v/>
      </c>
      <c r="C285" s="68" t="str">
        <f>IF(ISBLANK(A285),"",INDEX('Error Log'!$A:$J,MATCH('Scores per segment'!$A285,'Error Log'!$A:$A,0),MATCH('Scores per segment'!C$1,'Error Log'!$A$1:$J$1,0)))</f>
        <v/>
      </c>
      <c r="D285" s="68">
        <f>IF(H285=0,wdct(TRIM(C285)),0)</f>
        <v>0</v>
      </c>
      <c r="E285" s="68">
        <f>COUNTIFS('Error Log'!$A:$A,$A285,'Error Log'!$J:$J,E$1)</f>
        <v>0</v>
      </c>
      <c r="F285" s="68">
        <f>COUNTIFS('Error Log'!$A:$A,$A285,'Error Log'!$J:$J,F$1)</f>
        <v>0</v>
      </c>
      <c r="G285" s="68">
        <f>COUNTIFS('Error Log'!$A:$A,$A285,'Error Log'!$J:$J,G$1)</f>
        <v>0</v>
      </c>
      <c r="H285" s="68">
        <f>COUNTIFS('Error Log'!$A:$A,$A285,'Error Log'!$F:$F,"Source")</f>
        <v>0</v>
      </c>
      <c r="I285" s="68">
        <f>COUNTIFS('Error Log'!$A:$A,$A285,'Error Log'!$F:$F,"Target")</f>
        <v>0</v>
      </c>
      <c r="J285" s="69">
        <f t="shared" si="4"/>
        <v>0</v>
      </c>
    </row>
    <row r="286" spans="1:10">
      <c r="A286" s="87"/>
      <c r="B286" s="68" t="str">
        <f>IF(ISBLANK(A286),"",INDEX('Error Log'!$A:$J,MATCH('Scores per segment'!$A286,'Error Log'!$A:$A,0),MATCH('Scores per segment'!B$1,'Error Log'!$A$1:$J$1,0)))</f>
        <v/>
      </c>
      <c r="C286" s="68" t="str">
        <f>IF(ISBLANK(A286),"",INDEX('Error Log'!$A:$J,MATCH('Scores per segment'!$A286,'Error Log'!$A:$A,0),MATCH('Scores per segment'!C$1,'Error Log'!$A$1:$J$1,0)))</f>
        <v/>
      </c>
      <c r="D286" s="68">
        <f>IF(H286=0,wdct(TRIM(C286)),0)</f>
        <v>0</v>
      </c>
      <c r="E286" s="68">
        <f>COUNTIFS('Error Log'!$A:$A,$A286,'Error Log'!$J:$J,E$1)</f>
        <v>0</v>
      </c>
      <c r="F286" s="68">
        <f>COUNTIFS('Error Log'!$A:$A,$A286,'Error Log'!$J:$J,F$1)</f>
        <v>0</v>
      </c>
      <c r="G286" s="68">
        <f>COUNTIFS('Error Log'!$A:$A,$A286,'Error Log'!$J:$J,G$1)</f>
        <v>0</v>
      </c>
      <c r="H286" s="68">
        <f>COUNTIFS('Error Log'!$A:$A,$A286,'Error Log'!$F:$F,"Source")</f>
        <v>0</v>
      </c>
      <c r="I286" s="68">
        <f>COUNTIFS('Error Log'!$A:$A,$A286,'Error Log'!$F:$F,"Target")</f>
        <v>0</v>
      </c>
      <c r="J286" s="69">
        <f t="shared" si="4"/>
        <v>0</v>
      </c>
    </row>
    <row r="287" spans="1:10">
      <c r="A287" s="87"/>
      <c r="B287" s="68" t="str">
        <f>IF(ISBLANK(A287),"",INDEX('Error Log'!$A:$J,MATCH('Scores per segment'!$A287,'Error Log'!$A:$A,0),MATCH('Scores per segment'!B$1,'Error Log'!$A$1:$J$1,0)))</f>
        <v/>
      </c>
      <c r="C287" s="68" t="str">
        <f>IF(ISBLANK(A287),"",INDEX('Error Log'!$A:$J,MATCH('Scores per segment'!$A287,'Error Log'!$A:$A,0),MATCH('Scores per segment'!C$1,'Error Log'!$A$1:$J$1,0)))</f>
        <v/>
      </c>
      <c r="D287" s="68">
        <f>IF(H287=0,wdct(TRIM(C287)),0)</f>
        <v>0</v>
      </c>
      <c r="E287" s="68">
        <f>COUNTIFS('Error Log'!$A:$A,$A287,'Error Log'!$J:$J,E$1)</f>
        <v>0</v>
      </c>
      <c r="F287" s="68">
        <f>COUNTIFS('Error Log'!$A:$A,$A287,'Error Log'!$J:$J,F$1)</f>
        <v>0</v>
      </c>
      <c r="G287" s="68">
        <f>COUNTIFS('Error Log'!$A:$A,$A287,'Error Log'!$J:$J,G$1)</f>
        <v>0</v>
      </c>
      <c r="H287" s="68">
        <f>COUNTIFS('Error Log'!$A:$A,$A287,'Error Log'!$F:$F,"Source")</f>
        <v>0</v>
      </c>
      <c r="I287" s="68">
        <f>COUNTIFS('Error Log'!$A:$A,$A287,'Error Log'!$F:$F,"Target")</f>
        <v>0</v>
      </c>
      <c r="J287" s="69">
        <f t="shared" si="4"/>
        <v>0</v>
      </c>
    </row>
    <row r="288" spans="1:10">
      <c r="A288" s="87"/>
      <c r="B288" s="68" t="str">
        <f>IF(ISBLANK(A288),"",INDEX('Error Log'!$A:$J,MATCH('Scores per segment'!$A288,'Error Log'!$A:$A,0),MATCH('Scores per segment'!B$1,'Error Log'!$A$1:$J$1,0)))</f>
        <v/>
      </c>
      <c r="C288" s="68" t="str">
        <f>IF(ISBLANK(A288),"",INDEX('Error Log'!$A:$J,MATCH('Scores per segment'!$A288,'Error Log'!$A:$A,0),MATCH('Scores per segment'!C$1,'Error Log'!$A$1:$J$1,0)))</f>
        <v/>
      </c>
      <c r="D288" s="68">
        <f>IF(H288=0,wdct(TRIM(C288)),0)</f>
        <v>0</v>
      </c>
      <c r="E288" s="68">
        <f>COUNTIFS('Error Log'!$A:$A,$A288,'Error Log'!$J:$J,E$1)</f>
        <v>0</v>
      </c>
      <c r="F288" s="68">
        <f>COUNTIFS('Error Log'!$A:$A,$A288,'Error Log'!$J:$J,F$1)</f>
        <v>0</v>
      </c>
      <c r="G288" s="68">
        <f>COUNTIFS('Error Log'!$A:$A,$A288,'Error Log'!$J:$J,G$1)</f>
        <v>0</v>
      </c>
      <c r="H288" s="68">
        <f>COUNTIFS('Error Log'!$A:$A,$A288,'Error Log'!$F:$F,"Source")</f>
        <v>0</v>
      </c>
      <c r="I288" s="68">
        <f>COUNTIFS('Error Log'!$A:$A,$A288,'Error Log'!$F:$F,"Target")</f>
        <v>0</v>
      </c>
      <c r="J288" s="69">
        <f t="shared" si="4"/>
        <v>0</v>
      </c>
    </row>
    <row r="289" spans="1:10">
      <c r="A289" s="87"/>
      <c r="B289" s="68" t="str">
        <f>IF(ISBLANK(A289),"",INDEX('Error Log'!$A:$J,MATCH('Scores per segment'!$A289,'Error Log'!$A:$A,0),MATCH('Scores per segment'!B$1,'Error Log'!$A$1:$J$1,0)))</f>
        <v/>
      </c>
      <c r="C289" s="68" t="str">
        <f>IF(ISBLANK(A289),"",INDEX('Error Log'!$A:$J,MATCH('Scores per segment'!$A289,'Error Log'!$A:$A,0),MATCH('Scores per segment'!C$1,'Error Log'!$A$1:$J$1,0)))</f>
        <v/>
      </c>
      <c r="D289" s="68">
        <f>IF(H289=0,wdct(TRIM(C289)),0)</f>
        <v>0</v>
      </c>
      <c r="E289" s="68">
        <f>COUNTIFS('Error Log'!$A:$A,$A289,'Error Log'!$J:$J,E$1)</f>
        <v>0</v>
      </c>
      <c r="F289" s="68">
        <f>COUNTIFS('Error Log'!$A:$A,$A289,'Error Log'!$J:$J,F$1)</f>
        <v>0</v>
      </c>
      <c r="G289" s="68">
        <f>COUNTIFS('Error Log'!$A:$A,$A289,'Error Log'!$J:$J,G$1)</f>
        <v>0</v>
      </c>
      <c r="H289" s="68">
        <f>COUNTIFS('Error Log'!$A:$A,$A289,'Error Log'!$F:$F,"Source")</f>
        <v>0</v>
      </c>
      <c r="I289" s="68">
        <f>COUNTIFS('Error Log'!$A:$A,$A289,'Error Log'!$F:$F,"Target")</f>
        <v>0</v>
      </c>
      <c r="J289" s="69">
        <f t="shared" si="4"/>
        <v>0</v>
      </c>
    </row>
    <row r="290" spans="1:10">
      <c r="A290" s="87"/>
      <c r="B290" s="68" t="str">
        <f>IF(ISBLANK(A290),"",INDEX('Error Log'!$A:$J,MATCH('Scores per segment'!$A290,'Error Log'!$A:$A,0),MATCH('Scores per segment'!B$1,'Error Log'!$A$1:$J$1,0)))</f>
        <v/>
      </c>
      <c r="C290" s="68" t="str">
        <f>IF(ISBLANK(A290),"",INDEX('Error Log'!$A:$J,MATCH('Scores per segment'!$A290,'Error Log'!$A:$A,0),MATCH('Scores per segment'!C$1,'Error Log'!$A$1:$J$1,0)))</f>
        <v/>
      </c>
      <c r="D290" s="68">
        <f>IF(H290=0,wdct(TRIM(C290)),0)</f>
        <v>0</v>
      </c>
      <c r="E290" s="68">
        <f>COUNTIFS('Error Log'!$A:$A,$A290,'Error Log'!$J:$J,E$1)</f>
        <v>0</v>
      </c>
      <c r="F290" s="68">
        <f>COUNTIFS('Error Log'!$A:$A,$A290,'Error Log'!$J:$J,F$1)</f>
        <v>0</v>
      </c>
      <c r="G290" s="68">
        <f>COUNTIFS('Error Log'!$A:$A,$A290,'Error Log'!$J:$J,G$1)</f>
        <v>0</v>
      </c>
      <c r="H290" s="68">
        <f>COUNTIFS('Error Log'!$A:$A,$A290,'Error Log'!$F:$F,"Source")</f>
        <v>0</v>
      </c>
      <c r="I290" s="68">
        <f>COUNTIFS('Error Log'!$A:$A,$A290,'Error Log'!$F:$F,"Target")</f>
        <v>0</v>
      </c>
      <c r="J290" s="69">
        <f t="shared" si="4"/>
        <v>0</v>
      </c>
    </row>
    <row r="291" spans="1:10">
      <c r="A291" s="87"/>
      <c r="B291" s="68" t="str">
        <f>IF(ISBLANK(A291),"",INDEX('Error Log'!$A:$J,MATCH('Scores per segment'!$A291,'Error Log'!$A:$A,0),MATCH('Scores per segment'!B$1,'Error Log'!$A$1:$J$1,0)))</f>
        <v/>
      </c>
      <c r="C291" s="68" t="str">
        <f>IF(ISBLANK(A291),"",INDEX('Error Log'!$A:$J,MATCH('Scores per segment'!$A291,'Error Log'!$A:$A,0),MATCH('Scores per segment'!C$1,'Error Log'!$A$1:$J$1,0)))</f>
        <v/>
      </c>
      <c r="D291" s="68">
        <f>IF(H291=0,wdct(TRIM(C291)),0)</f>
        <v>0</v>
      </c>
      <c r="E291" s="68">
        <f>COUNTIFS('Error Log'!$A:$A,$A291,'Error Log'!$J:$J,E$1)</f>
        <v>0</v>
      </c>
      <c r="F291" s="68">
        <f>COUNTIFS('Error Log'!$A:$A,$A291,'Error Log'!$J:$J,F$1)</f>
        <v>0</v>
      </c>
      <c r="G291" s="68">
        <f>COUNTIFS('Error Log'!$A:$A,$A291,'Error Log'!$J:$J,G$1)</f>
        <v>0</v>
      </c>
      <c r="H291" s="68">
        <f>COUNTIFS('Error Log'!$A:$A,$A291,'Error Log'!$F:$F,"Source")</f>
        <v>0</v>
      </c>
      <c r="I291" s="68">
        <f>COUNTIFS('Error Log'!$A:$A,$A291,'Error Log'!$F:$F,"Target")</f>
        <v>0</v>
      </c>
      <c r="J291" s="69">
        <f t="shared" si="4"/>
        <v>0</v>
      </c>
    </row>
    <row r="292" spans="1:10">
      <c r="A292" s="87"/>
      <c r="B292" s="68" t="str">
        <f>IF(ISBLANK(A292),"",INDEX('Error Log'!$A:$J,MATCH('Scores per segment'!$A292,'Error Log'!$A:$A,0),MATCH('Scores per segment'!B$1,'Error Log'!$A$1:$J$1,0)))</f>
        <v/>
      </c>
      <c r="C292" s="68" t="str">
        <f>IF(ISBLANK(A292),"",INDEX('Error Log'!$A:$J,MATCH('Scores per segment'!$A292,'Error Log'!$A:$A,0),MATCH('Scores per segment'!C$1,'Error Log'!$A$1:$J$1,0)))</f>
        <v/>
      </c>
      <c r="D292" s="68">
        <f>IF(H292=0,wdct(TRIM(C292)),0)</f>
        <v>0</v>
      </c>
      <c r="E292" s="68">
        <f>COUNTIFS('Error Log'!$A:$A,$A292,'Error Log'!$J:$J,E$1)</f>
        <v>0</v>
      </c>
      <c r="F292" s="68">
        <f>COUNTIFS('Error Log'!$A:$A,$A292,'Error Log'!$J:$J,F$1)</f>
        <v>0</v>
      </c>
      <c r="G292" s="68">
        <f>COUNTIFS('Error Log'!$A:$A,$A292,'Error Log'!$J:$J,G$1)</f>
        <v>0</v>
      </c>
      <c r="H292" s="68">
        <f>COUNTIFS('Error Log'!$A:$A,$A292,'Error Log'!$F:$F,"Source")</f>
        <v>0</v>
      </c>
      <c r="I292" s="68">
        <f>COUNTIFS('Error Log'!$A:$A,$A292,'Error Log'!$F:$F,"Target")</f>
        <v>0</v>
      </c>
      <c r="J292" s="69">
        <f t="shared" si="4"/>
        <v>0</v>
      </c>
    </row>
    <row r="293" spans="1:10">
      <c r="A293" s="87"/>
      <c r="B293" s="68" t="str">
        <f>IF(ISBLANK(A293),"",INDEX('Error Log'!$A:$J,MATCH('Scores per segment'!$A293,'Error Log'!$A:$A,0),MATCH('Scores per segment'!B$1,'Error Log'!$A$1:$J$1,0)))</f>
        <v/>
      </c>
      <c r="C293" s="68" t="str">
        <f>IF(ISBLANK(A293),"",INDEX('Error Log'!$A:$J,MATCH('Scores per segment'!$A293,'Error Log'!$A:$A,0),MATCH('Scores per segment'!C$1,'Error Log'!$A$1:$J$1,0)))</f>
        <v/>
      </c>
      <c r="D293" s="68">
        <f>IF(H293=0,wdct(TRIM(C293)),0)</f>
        <v>0</v>
      </c>
      <c r="E293" s="68">
        <f>COUNTIFS('Error Log'!$A:$A,$A293,'Error Log'!$J:$J,E$1)</f>
        <v>0</v>
      </c>
      <c r="F293" s="68">
        <f>COUNTIFS('Error Log'!$A:$A,$A293,'Error Log'!$J:$J,F$1)</f>
        <v>0</v>
      </c>
      <c r="G293" s="68">
        <f>COUNTIFS('Error Log'!$A:$A,$A293,'Error Log'!$J:$J,G$1)</f>
        <v>0</v>
      </c>
      <c r="H293" s="68">
        <f>COUNTIFS('Error Log'!$A:$A,$A293,'Error Log'!$F:$F,"Source")</f>
        <v>0</v>
      </c>
      <c r="I293" s="68">
        <f>COUNTIFS('Error Log'!$A:$A,$A293,'Error Log'!$F:$F,"Target")</f>
        <v>0</v>
      </c>
      <c r="J293" s="69">
        <f t="shared" si="4"/>
        <v>0</v>
      </c>
    </row>
    <row r="294" spans="1:10">
      <c r="A294" s="87"/>
      <c r="B294" s="68" t="str">
        <f>IF(ISBLANK(A294),"",INDEX('Error Log'!$A:$J,MATCH('Scores per segment'!$A294,'Error Log'!$A:$A,0),MATCH('Scores per segment'!B$1,'Error Log'!$A$1:$J$1,0)))</f>
        <v/>
      </c>
      <c r="C294" s="68" t="str">
        <f>IF(ISBLANK(A294),"",INDEX('Error Log'!$A:$J,MATCH('Scores per segment'!$A294,'Error Log'!$A:$A,0),MATCH('Scores per segment'!C$1,'Error Log'!$A$1:$J$1,0)))</f>
        <v/>
      </c>
      <c r="D294" s="68">
        <f>IF(H294=0,wdct(TRIM(C294)),0)</f>
        <v>0</v>
      </c>
      <c r="E294" s="68">
        <f>COUNTIFS('Error Log'!$A:$A,$A294,'Error Log'!$J:$J,E$1)</f>
        <v>0</v>
      </c>
      <c r="F294" s="68">
        <f>COUNTIFS('Error Log'!$A:$A,$A294,'Error Log'!$J:$J,F$1)</f>
        <v>0</v>
      </c>
      <c r="G294" s="68">
        <f>COUNTIFS('Error Log'!$A:$A,$A294,'Error Log'!$J:$J,G$1)</f>
        <v>0</v>
      </c>
      <c r="H294" s="68">
        <f>COUNTIFS('Error Log'!$A:$A,$A294,'Error Log'!$F:$F,"Source")</f>
        <v>0</v>
      </c>
      <c r="I294" s="68">
        <f>COUNTIFS('Error Log'!$A:$A,$A294,'Error Log'!$F:$F,"Target")</f>
        <v>0</v>
      </c>
      <c r="J294" s="69">
        <f t="shared" si="4"/>
        <v>0</v>
      </c>
    </row>
    <row r="295" spans="1:10">
      <c r="A295" s="87"/>
      <c r="B295" s="68" t="str">
        <f>IF(ISBLANK(A295),"",INDEX('Error Log'!$A:$J,MATCH('Scores per segment'!$A295,'Error Log'!$A:$A,0),MATCH('Scores per segment'!B$1,'Error Log'!$A$1:$J$1,0)))</f>
        <v/>
      </c>
      <c r="C295" s="68" t="str">
        <f>IF(ISBLANK(A295),"",INDEX('Error Log'!$A:$J,MATCH('Scores per segment'!$A295,'Error Log'!$A:$A,0),MATCH('Scores per segment'!C$1,'Error Log'!$A$1:$J$1,0)))</f>
        <v/>
      </c>
      <c r="D295" s="68">
        <f>IF(H295=0,wdct(TRIM(C295)),0)</f>
        <v>0</v>
      </c>
      <c r="E295" s="68">
        <f>COUNTIFS('Error Log'!$A:$A,$A295,'Error Log'!$J:$J,E$1)</f>
        <v>0</v>
      </c>
      <c r="F295" s="68">
        <f>COUNTIFS('Error Log'!$A:$A,$A295,'Error Log'!$J:$J,F$1)</f>
        <v>0</v>
      </c>
      <c r="G295" s="68">
        <f>COUNTIFS('Error Log'!$A:$A,$A295,'Error Log'!$J:$J,G$1)</f>
        <v>0</v>
      </c>
      <c r="H295" s="68">
        <f>COUNTIFS('Error Log'!$A:$A,$A295,'Error Log'!$F:$F,"Source")</f>
        <v>0</v>
      </c>
      <c r="I295" s="68">
        <f>COUNTIFS('Error Log'!$A:$A,$A295,'Error Log'!$F:$F,"Target")</f>
        <v>0</v>
      </c>
      <c r="J295" s="69">
        <f t="shared" si="4"/>
        <v>0</v>
      </c>
    </row>
    <row r="296" spans="1:10">
      <c r="A296" s="87"/>
      <c r="B296" s="68" t="str">
        <f>IF(ISBLANK(A296),"",INDEX('Error Log'!$A:$J,MATCH('Scores per segment'!$A296,'Error Log'!$A:$A,0),MATCH('Scores per segment'!B$1,'Error Log'!$A$1:$J$1,0)))</f>
        <v/>
      </c>
      <c r="C296" s="68" t="str">
        <f>IF(ISBLANK(A296),"",INDEX('Error Log'!$A:$J,MATCH('Scores per segment'!$A296,'Error Log'!$A:$A,0),MATCH('Scores per segment'!C$1,'Error Log'!$A$1:$J$1,0)))</f>
        <v/>
      </c>
      <c r="D296" s="68">
        <f>IF(H296=0,wdct(TRIM(C296)),0)</f>
        <v>0</v>
      </c>
      <c r="E296" s="68">
        <f>COUNTIFS('Error Log'!$A:$A,$A296,'Error Log'!$J:$J,E$1)</f>
        <v>0</v>
      </c>
      <c r="F296" s="68">
        <f>COUNTIFS('Error Log'!$A:$A,$A296,'Error Log'!$J:$J,F$1)</f>
        <v>0</v>
      </c>
      <c r="G296" s="68">
        <f>COUNTIFS('Error Log'!$A:$A,$A296,'Error Log'!$J:$J,G$1)</f>
        <v>0</v>
      </c>
      <c r="H296" s="68">
        <f>COUNTIFS('Error Log'!$A:$A,$A296,'Error Log'!$F:$F,"Source")</f>
        <v>0</v>
      </c>
      <c r="I296" s="68">
        <f>COUNTIFS('Error Log'!$A:$A,$A296,'Error Log'!$F:$F,"Target")</f>
        <v>0</v>
      </c>
      <c r="J296" s="69">
        <f t="shared" si="4"/>
        <v>0</v>
      </c>
    </row>
    <row r="297" spans="1:10">
      <c r="A297" s="87"/>
      <c r="B297" s="68" t="str">
        <f>IF(ISBLANK(A297),"",INDEX('Error Log'!$A:$J,MATCH('Scores per segment'!$A297,'Error Log'!$A:$A,0),MATCH('Scores per segment'!B$1,'Error Log'!$A$1:$J$1,0)))</f>
        <v/>
      </c>
      <c r="C297" s="68" t="str">
        <f>IF(ISBLANK(A297),"",INDEX('Error Log'!$A:$J,MATCH('Scores per segment'!$A297,'Error Log'!$A:$A,0),MATCH('Scores per segment'!C$1,'Error Log'!$A$1:$J$1,0)))</f>
        <v/>
      </c>
      <c r="D297" s="68">
        <f>IF(H297=0,wdct(TRIM(C297)),0)</f>
        <v>0</v>
      </c>
      <c r="E297" s="68">
        <f>COUNTIFS('Error Log'!$A:$A,$A297,'Error Log'!$J:$J,E$1)</f>
        <v>0</v>
      </c>
      <c r="F297" s="68">
        <f>COUNTIFS('Error Log'!$A:$A,$A297,'Error Log'!$J:$J,F$1)</f>
        <v>0</v>
      </c>
      <c r="G297" s="68">
        <f>COUNTIFS('Error Log'!$A:$A,$A297,'Error Log'!$J:$J,G$1)</f>
        <v>0</v>
      </c>
      <c r="H297" s="68">
        <f>COUNTIFS('Error Log'!$A:$A,$A297,'Error Log'!$F:$F,"Source")</f>
        <v>0</v>
      </c>
      <c r="I297" s="68">
        <f>COUNTIFS('Error Log'!$A:$A,$A297,'Error Log'!$F:$F,"Target")</f>
        <v>0</v>
      </c>
      <c r="J297" s="69">
        <f t="shared" si="4"/>
        <v>0</v>
      </c>
    </row>
    <row r="298" spans="1:10">
      <c r="A298" s="87"/>
      <c r="B298" s="68" t="str">
        <f>IF(ISBLANK(A298),"",INDEX('Error Log'!$A:$J,MATCH('Scores per segment'!$A298,'Error Log'!$A:$A,0),MATCH('Scores per segment'!B$1,'Error Log'!$A$1:$J$1,0)))</f>
        <v/>
      </c>
      <c r="C298" s="68" t="str">
        <f>IF(ISBLANK(A298),"",INDEX('Error Log'!$A:$J,MATCH('Scores per segment'!$A298,'Error Log'!$A:$A,0),MATCH('Scores per segment'!C$1,'Error Log'!$A$1:$J$1,0)))</f>
        <v/>
      </c>
      <c r="D298" s="68">
        <f>IF(H298=0,wdct(TRIM(C298)),0)</f>
        <v>0</v>
      </c>
      <c r="E298" s="68">
        <f>COUNTIFS('Error Log'!$A:$A,$A298,'Error Log'!$J:$J,E$1)</f>
        <v>0</v>
      </c>
      <c r="F298" s="68">
        <f>COUNTIFS('Error Log'!$A:$A,$A298,'Error Log'!$J:$J,F$1)</f>
        <v>0</v>
      </c>
      <c r="G298" s="68">
        <f>COUNTIFS('Error Log'!$A:$A,$A298,'Error Log'!$J:$J,G$1)</f>
        <v>0</v>
      </c>
      <c r="H298" s="68">
        <f>COUNTIFS('Error Log'!$A:$A,$A298,'Error Log'!$F:$F,"Source")</f>
        <v>0</v>
      </c>
      <c r="I298" s="68">
        <f>COUNTIFS('Error Log'!$A:$A,$A298,'Error Log'!$F:$F,"Target")</f>
        <v>0</v>
      </c>
      <c r="J298" s="69">
        <f t="shared" si="4"/>
        <v>0</v>
      </c>
    </row>
    <row r="299" spans="1:10">
      <c r="A299" s="87"/>
      <c r="B299" s="68" t="str">
        <f>IF(ISBLANK(A299),"",INDEX('Error Log'!$A:$J,MATCH('Scores per segment'!$A299,'Error Log'!$A:$A,0),MATCH('Scores per segment'!B$1,'Error Log'!$A$1:$J$1,0)))</f>
        <v/>
      </c>
      <c r="C299" s="68" t="str">
        <f>IF(ISBLANK(A299),"",INDEX('Error Log'!$A:$J,MATCH('Scores per segment'!$A299,'Error Log'!$A:$A,0),MATCH('Scores per segment'!C$1,'Error Log'!$A$1:$J$1,0)))</f>
        <v/>
      </c>
      <c r="D299" s="68">
        <f>IF(H299=0,wdct(TRIM(C299)),0)</f>
        <v>0</v>
      </c>
      <c r="E299" s="68">
        <f>COUNTIFS('Error Log'!$A:$A,$A299,'Error Log'!$J:$J,E$1)</f>
        <v>0</v>
      </c>
      <c r="F299" s="68">
        <f>COUNTIFS('Error Log'!$A:$A,$A299,'Error Log'!$J:$J,F$1)</f>
        <v>0</v>
      </c>
      <c r="G299" s="68">
        <f>COUNTIFS('Error Log'!$A:$A,$A299,'Error Log'!$J:$J,G$1)</f>
        <v>0</v>
      </c>
      <c r="H299" s="68">
        <f>COUNTIFS('Error Log'!$A:$A,$A299,'Error Log'!$F:$F,"Source")</f>
        <v>0</v>
      </c>
      <c r="I299" s="68">
        <f>COUNTIFS('Error Log'!$A:$A,$A299,'Error Log'!$F:$F,"Target")</f>
        <v>0</v>
      </c>
      <c r="J299" s="69">
        <f t="shared" si="4"/>
        <v>0</v>
      </c>
    </row>
    <row r="300" spans="1:10">
      <c r="A300" s="87"/>
      <c r="B300" s="68" t="str">
        <f>IF(ISBLANK(A300),"",INDEX('Error Log'!$A:$J,MATCH('Scores per segment'!$A300,'Error Log'!$A:$A,0),MATCH('Scores per segment'!B$1,'Error Log'!$A$1:$J$1,0)))</f>
        <v/>
      </c>
      <c r="C300" s="68" t="str">
        <f>IF(ISBLANK(A300),"",INDEX('Error Log'!$A:$J,MATCH('Scores per segment'!$A300,'Error Log'!$A:$A,0),MATCH('Scores per segment'!C$1,'Error Log'!$A$1:$J$1,0)))</f>
        <v/>
      </c>
      <c r="D300" s="68">
        <f>IF(H300=0,wdct(TRIM(C300)),0)</f>
        <v>0</v>
      </c>
      <c r="E300" s="68">
        <f>COUNTIFS('Error Log'!$A:$A,$A300,'Error Log'!$J:$J,E$1)</f>
        <v>0</v>
      </c>
      <c r="F300" s="68">
        <f>COUNTIFS('Error Log'!$A:$A,$A300,'Error Log'!$J:$J,F$1)</f>
        <v>0</v>
      </c>
      <c r="G300" s="68">
        <f>COUNTIFS('Error Log'!$A:$A,$A300,'Error Log'!$J:$J,G$1)</f>
        <v>0</v>
      </c>
      <c r="H300" s="68">
        <f>COUNTIFS('Error Log'!$A:$A,$A300,'Error Log'!$F:$F,"Source")</f>
        <v>0</v>
      </c>
      <c r="I300" s="68">
        <f>COUNTIFS('Error Log'!$A:$A,$A300,'Error Log'!$F:$F,"Target")</f>
        <v>0</v>
      </c>
      <c r="J300" s="69">
        <f t="shared" si="4"/>
        <v>0</v>
      </c>
    </row>
    <row r="301" spans="1:10">
      <c r="A301" s="87"/>
      <c r="B301" s="68" t="str">
        <f>IF(ISBLANK(A301),"",INDEX('Error Log'!$A:$J,MATCH('Scores per segment'!$A301,'Error Log'!$A:$A,0),MATCH('Scores per segment'!B$1,'Error Log'!$A$1:$J$1,0)))</f>
        <v/>
      </c>
      <c r="C301" s="68" t="str">
        <f>IF(ISBLANK(A301),"",INDEX('Error Log'!$A:$J,MATCH('Scores per segment'!$A301,'Error Log'!$A:$A,0),MATCH('Scores per segment'!C$1,'Error Log'!$A$1:$J$1,0)))</f>
        <v/>
      </c>
      <c r="D301" s="68">
        <f>IF(H301=0,wdct(TRIM(C301)),0)</f>
        <v>0</v>
      </c>
      <c r="E301" s="68">
        <f>COUNTIFS('Error Log'!$A:$A,$A301,'Error Log'!$J:$J,E$1)</f>
        <v>0</v>
      </c>
      <c r="F301" s="68">
        <f>COUNTIFS('Error Log'!$A:$A,$A301,'Error Log'!$J:$J,F$1)</f>
        <v>0</v>
      </c>
      <c r="G301" s="68">
        <f>COUNTIFS('Error Log'!$A:$A,$A301,'Error Log'!$J:$J,G$1)</f>
        <v>0</v>
      </c>
      <c r="H301" s="68">
        <f>COUNTIFS('Error Log'!$A:$A,$A301,'Error Log'!$F:$F,"Source")</f>
        <v>0</v>
      </c>
      <c r="I301" s="68">
        <f>COUNTIFS('Error Log'!$A:$A,$A301,'Error Log'!$F:$F,"Target")</f>
        <v>0</v>
      </c>
      <c r="J301" s="69">
        <f t="shared" si="4"/>
        <v>0</v>
      </c>
    </row>
    <row r="302" spans="1:10">
      <c r="A302" s="87"/>
      <c r="B302" s="68" t="str">
        <f>IF(ISBLANK(A302),"",INDEX('Error Log'!$A:$J,MATCH('Scores per segment'!$A302,'Error Log'!$A:$A,0),MATCH('Scores per segment'!B$1,'Error Log'!$A$1:$J$1,0)))</f>
        <v/>
      </c>
      <c r="C302" s="68" t="str">
        <f>IF(ISBLANK(A302),"",INDEX('Error Log'!$A:$J,MATCH('Scores per segment'!$A302,'Error Log'!$A:$A,0),MATCH('Scores per segment'!C$1,'Error Log'!$A$1:$J$1,0)))</f>
        <v/>
      </c>
      <c r="D302" s="68">
        <f>IF(H302=0,wdct(TRIM(C302)),0)</f>
        <v>0</v>
      </c>
      <c r="E302" s="68">
        <f>COUNTIFS('Error Log'!$A:$A,$A302,'Error Log'!$J:$J,E$1)</f>
        <v>0</v>
      </c>
      <c r="F302" s="68">
        <f>COUNTIFS('Error Log'!$A:$A,$A302,'Error Log'!$J:$J,F$1)</f>
        <v>0</v>
      </c>
      <c r="G302" s="68">
        <f>COUNTIFS('Error Log'!$A:$A,$A302,'Error Log'!$J:$J,G$1)</f>
        <v>0</v>
      </c>
      <c r="H302" s="68">
        <f>COUNTIFS('Error Log'!$A:$A,$A302,'Error Log'!$F:$F,"Source")</f>
        <v>0</v>
      </c>
      <c r="I302" s="68">
        <f>COUNTIFS('Error Log'!$A:$A,$A302,'Error Log'!$F:$F,"Target")</f>
        <v>0</v>
      </c>
      <c r="J302" s="69">
        <f t="shared" si="4"/>
        <v>0</v>
      </c>
    </row>
    <row r="303" spans="1:10">
      <c r="A303" s="87"/>
      <c r="B303" s="68" t="str">
        <f>IF(ISBLANK(A303),"",INDEX('Error Log'!$A:$J,MATCH('Scores per segment'!$A303,'Error Log'!$A:$A,0),MATCH('Scores per segment'!B$1,'Error Log'!$A$1:$J$1,0)))</f>
        <v/>
      </c>
      <c r="C303" s="68" t="str">
        <f>IF(ISBLANK(A303),"",INDEX('Error Log'!$A:$J,MATCH('Scores per segment'!$A303,'Error Log'!$A:$A,0),MATCH('Scores per segment'!C$1,'Error Log'!$A$1:$J$1,0)))</f>
        <v/>
      </c>
      <c r="D303" s="68">
        <f>IF(H303=0,wdct(TRIM(C303)),0)</f>
        <v>0</v>
      </c>
      <c r="E303" s="68">
        <f>COUNTIFS('Error Log'!$A:$A,$A303,'Error Log'!$J:$J,E$1)</f>
        <v>0</v>
      </c>
      <c r="F303" s="68">
        <f>COUNTIFS('Error Log'!$A:$A,$A303,'Error Log'!$J:$J,F$1)</f>
        <v>0</v>
      </c>
      <c r="G303" s="68">
        <f>COUNTIFS('Error Log'!$A:$A,$A303,'Error Log'!$J:$J,G$1)</f>
        <v>0</v>
      </c>
      <c r="H303" s="68">
        <f>COUNTIFS('Error Log'!$A:$A,$A303,'Error Log'!$F:$F,"Source")</f>
        <v>0</v>
      </c>
      <c r="I303" s="68">
        <f>COUNTIFS('Error Log'!$A:$A,$A303,'Error Log'!$F:$F,"Target")</f>
        <v>0</v>
      </c>
      <c r="J303" s="69">
        <f t="shared" si="4"/>
        <v>0</v>
      </c>
    </row>
    <row r="304" spans="1:10">
      <c r="A304" s="87"/>
      <c r="B304" s="68" t="str">
        <f>IF(ISBLANK(A304),"",INDEX('Error Log'!$A:$J,MATCH('Scores per segment'!$A304,'Error Log'!$A:$A,0),MATCH('Scores per segment'!B$1,'Error Log'!$A$1:$J$1,0)))</f>
        <v/>
      </c>
      <c r="C304" s="68" t="str">
        <f>IF(ISBLANK(A304),"",INDEX('Error Log'!$A:$J,MATCH('Scores per segment'!$A304,'Error Log'!$A:$A,0),MATCH('Scores per segment'!C$1,'Error Log'!$A$1:$J$1,0)))</f>
        <v/>
      </c>
      <c r="D304" s="68">
        <f>IF(H304=0,wdct(TRIM(C304)),0)</f>
        <v>0</v>
      </c>
      <c r="E304" s="68">
        <f>COUNTIFS('Error Log'!$A:$A,$A304,'Error Log'!$J:$J,E$1)</f>
        <v>0</v>
      </c>
      <c r="F304" s="68">
        <f>COUNTIFS('Error Log'!$A:$A,$A304,'Error Log'!$J:$J,F$1)</f>
        <v>0</v>
      </c>
      <c r="G304" s="68">
        <f>COUNTIFS('Error Log'!$A:$A,$A304,'Error Log'!$J:$J,G$1)</f>
        <v>0</v>
      </c>
      <c r="H304" s="68">
        <f>COUNTIFS('Error Log'!$A:$A,$A304,'Error Log'!$F:$F,"Source")</f>
        <v>0</v>
      </c>
      <c r="I304" s="68">
        <f>COUNTIFS('Error Log'!$A:$A,$A304,'Error Log'!$F:$F,"Target")</f>
        <v>0</v>
      </c>
      <c r="J304" s="69">
        <f t="shared" si="4"/>
        <v>0</v>
      </c>
    </row>
    <row r="305" spans="1:10">
      <c r="A305" s="87"/>
      <c r="B305" s="68" t="str">
        <f>IF(ISBLANK(A305),"",INDEX('Error Log'!$A:$J,MATCH('Scores per segment'!$A305,'Error Log'!$A:$A,0),MATCH('Scores per segment'!B$1,'Error Log'!$A$1:$J$1,0)))</f>
        <v/>
      </c>
      <c r="C305" s="68" t="str">
        <f>IF(ISBLANK(A305),"",INDEX('Error Log'!$A:$J,MATCH('Scores per segment'!$A305,'Error Log'!$A:$A,0),MATCH('Scores per segment'!C$1,'Error Log'!$A$1:$J$1,0)))</f>
        <v/>
      </c>
      <c r="D305" s="68">
        <f>IF(H305=0,wdct(TRIM(C305)),0)</f>
        <v>0</v>
      </c>
      <c r="E305" s="68">
        <f>COUNTIFS('Error Log'!$A:$A,$A305,'Error Log'!$J:$J,E$1)</f>
        <v>0</v>
      </c>
      <c r="F305" s="68">
        <f>COUNTIFS('Error Log'!$A:$A,$A305,'Error Log'!$J:$J,F$1)</f>
        <v>0</v>
      </c>
      <c r="G305" s="68">
        <f>COUNTIFS('Error Log'!$A:$A,$A305,'Error Log'!$J:$J,G$1)</f>
        <v>0</v>
      </c>
      <c r="H305" s="68">
        <f>COUNTIFS('Error Log'!$A:$A,$A305,'Error Log'!$F:$F,"Source")</f>
        <v>0</v>
      </c>
      <c r="I305" s="68">
        <f>COUNTIFS('Error Log'!$A:$A,$A305,'Error Log'!$F:$F,"Target")</f>
        <v>0</v>
      </c>
      <c r="J305" s="69">
        <f t="shared" si="4"/>
        <v>0</v>
      </c>
    </row>
    <row r="306" spans="1:10">
      <c r="A306" s="87"/>
      <c r="B306" s="68" t="str">
        <f>IF(ISBLANK(A306),"",INDEX('Error Log'!$A:$J,MATCH('Scores per segment'!$A306,'Error Log'!$A:$A,0),MATCH('Scores per segment'!B$1,'Error Log'!$A$1:$J$1,0)))</f>
        <v/>
      </c>
      <c r="C306" s="68" t="str">
        <f>IF(ISBLANK(A306),"",INDEX('Error Log'!$A:$J,MATCH('Scores per segment'!$A306,'Error Log'!$A:$A,0),MATCH('Scores per segment'!C$1,'Error Log'!$A$1:$J$1,0)))</f>
        <v/>
      </c>
      <c r="D306" s="68">
        <f>IF(H306=0,wdct(TRIM(C306)),0)</f>
        <v>0</v>
      </c>
      <c r="E306" s="68">
        <f>COUNTIFS('Error Log'!$A:$A,$A306,'Error Log'!$J:$J,E$1)</f>
        <v>0</v>
      </c>
      <c r="F306" s="68">
        <f>COUNTIFS('Error Log'!$A:$A,$A306,'Error Log'!$J:$J,F$1)</f>
        <v>0</v>
      </c>
      <c r="G306" s="68">
        <f>COUNTIFS('Error Log'!$A:$A,$A306,'Error Log'!$J:$J,G$1)</f>
        <v>0</v>
      </c>
      <c r="H306" s="68">
        <f>COUNTIFS('Error Log'!$A:$A,$A306,'Error Log'!$F:$F,"Source")</f>
        <v>0</v>
      </c>
      <c r="I306" s="68">
        <f>COUNTIFS('Error Log'!$A:$A,$A306,'Error Log'!$F:$F,"Target")</f>
        <v>0</v>
      </c>
      <c r="J306" s="69">
        <f t="shared" si="4"/>
        <v>0</v>
      </c>
    </row>
    <row r="307" spans="1:10">
      <c r="A307" s="87"/>
      <c r="B307" s="68" t="str">
        <f>IF(ISBLANK(A307),"",INDEX('Error Log'!$A:$J,MATCH('Scores per segment'!$A307,'Error Log'!$A:$A,0),MATCH('Scores per segment'!B$1,'Error Log'!$A$1:$J$1,0)))</f>
        <v/>
      </c>
      <c r="C307" s="68" t="str">
        <f>IF(ISBLANK(A307),"",INDEX('Error Log'!$A:$J,MATCH('Scores per segment'!$A307,'Error Log'!$A:$A,0),MATCH('Scores per segment'!C$1,'Error Log'!$A$1:$J$1,0)))</f>
        <v/>
      </c>
      <c r="D307" s="68">
        <f>IF(H307=0,wdct(TRIM(C307)),0)</f>
        <v>0</v>
      </c>
      <c r="E307" s="68">
        <f>COUNTIFS('Error Log'!$A:$A,$A307,'Error Log'!$J:$J,E$1)</f>
        <v>0</v>
      </c>
      <c r="F307" s="68">
        <f>COUNTIFS('Error Log'!$A:$A,$A307,'Error Log'!$J:$J,F$1)</f>
        <v>0</v>
      </c>
      <c r="G307" s="68">
        <f>COUNTIFS('Error Log'!$A:$A,$A307,'Error Log'!$J:$J,G$1)</f>
        <v>0</v>
      </c>
      <c r="H307" s="68">
        <f>COUNTIFS('Error Log'!$A:$A,$A307,'Error Log'!$F:$F,"Source")</f>
        <v>0</v>
      </c>
      <c r="I307" s="68">
        <f>COUNTIFS('Error Log'!$A:$A,$A307,'Error Log'!$F:$F,"Target")</f>
        <v>0</v>
      </c>
      <c r="J307" s="69">
        <f t="shared" si="4"/>
        <v>0</v>
      </c>
    </row>
    <row r="308" spans="1:10">
      <c r="A308" s="87"/>
      <c r="B308" s="68" t="str">
        <f>IF(ISBLANK(A308),"",INDEX('Error Log'!$A:$J,MATCH('Scores per segment'!$A308,'Error Log'!$A:$A,0),MATCH('Scores per segment'!B$1,'Error Log'!$A$1:$J$1,0)))</f>
        <v/>
      </c>
      <c r="C308" s="68" t="str">
        <f>IF(ISBLANK(A308),"",INDEX('Error Log'!$A:$J,MATCH('Scores per segment'!$A308,'Error Log'!$A:$A,0),MATCH('Scores per segment'!C$1,'Error Log'!$A$1:$J$1,0)))</f>
        <v/>
      </c>
      <c r="D308" s="68">
        <f>IF(H308=0,wdct(TRIM(C308)),0)</f>
        <v>0</v>
      </c>
      <c r="E308" s="68">
        <f>COUNTIFS('Error Log'!$A:$A,$A308,'Error Log'!$J:$J,E$1)</f>
        <v>0</v>
      </c>
      <c r="F308" s="68">
        <f>COUNTIFS('Error Log'!$A:$A,$A308,'Error Log'!$J:$J,F$1)</f>
        <v>0</v>
      </c>
      <c r="G308" s="68">
        <f>COUNTIFS('Error Log'!$A:$A,$A308,'Error Log'!$J:$J,G$1)</f>
        <v>0</v>
      </c>
      <c r="H308" s="68">
        <f>COUNTIFS('Error Log'!$A:$A,$A308,'Error Log'!$F:$F,"Source")</f>
        <v>0</v>
      </c>
      <c r="I308" s="68">
        <f>COUNTIFS('Error Log'!$A:$A,$A308,'Error Log'!$F:$F,"Target")</f>
        <v>0</v>
      </c>
      <c r="J308" s="69">
        <f t="shared" si="4"/>
        <v>0</v>
      </c>
    </row>
    <row r="309" spans="1:10">
      <c r="A309" s="87"/>
      <c r="B309" s="68" t="str">
        <f>IF(ISBLANK(A309),"",INDEX('Error Log'!$A:$J,MATCH('Scores per segment'!$A309,'Error Log'!$A:$A,0),MATCH('Scores per segment'!B$1,'Error Log'!$A$1:$J$1,0)))</f>
        <v/>
      </c>
      <c r="C309" s="68" t="str">
        <f>IF(ISBLANK(A309),"",INDEX('Error Log'!$A:$J,MATCH('Scores per segment'!$A309,'Error Log'!$A:$A,0),MATCH('Scores per segment'!C$1,'Error Log'!$A$1:$J$1,0)))</f>
        <v/>
      </c>
      <c r="D309" s="68">
        <f>IF(H309=0,wdct(TRIM(C309)),0)</f>
        <v>0</v>
      </c>
      <c r="E309" s="68">
        <f>COUNTIFS('Error Log'!$A:$A,$A309,'Error Log'!$J:$J,E$1)</f>
        <v>0</v>
      </c>
      <c r="F309" s="68">
        <f>COUNTIFS('Error Log'!$A:$A,$A309,'Error Log'!$J:$J,F$1)</f>
        <v>0</v>
      </c>
      <c r="G309" s="68">
        <f>COUNTIFS('Error Log'!$A:$A,$A309,'Error Log'!$J:$J,G$1)</f>
        <v>0</v>
      </c>
      <c r="H309" s="68">
        <f>COUNTIFS('Error Log'!$A:$A,$A309,'Error Log'!$F:$F,"Source")</f>
        <v>0</v>
      </c>
      <c r="I309" s="68">
        <f>COUNTIFS('Error Log'!$A:$A,$A309,'Error Log'!$F:$F,"Target")</f>
        <v>0</v>
      </c>
      <c r="J309" s="69">
        <f t="shared" si="4"/>
        <v>0</v>
      </c>
    </row>
    <row r="310" spans="1:10">
      <c r="A310" s="87"/>
      <c r="B310" s="68" t="str">
        <f>IF(ISBLANK(A310),"",INDEX('Error Log'!$A:$J,MATCH('Scores per segment'!$A310,'Error Log'!$A:$A,0),MATCH('Scores per segment'!B$1,'Error Log'!$A$1:$J$1,0)))</f>
        <v/>
      </c>
      <c r="C310" s="68" t="str">
        <f>IF(ISBLANK(A310),"",INDEX('Error Log'!$A:$J,MATCH('Scores per segment'!$A310,'Error Log'!$A:$A,0),MATCH('Scores per segment'!C$1,'Error Log'!$A$1:$J$1,0)))</f>
        <v/>
      </c>
      <c r="D310" s="68">
        <f>IF(H310=0,wdct(TRIM(C310)),0)</f>
        <v>0</v>
      </c>
      <c r="E310" s="68">
        <f>COUNTIFS('Error Log'!$A:$A,$A310,'Error Log'!$J:$J,E$1)</f>
        <v>0</v>
      </c>
      <c r="F310" s="68">
        <f>COUNTIFS('Error Log'!$A:$A,$A310,'Error Log'!$J:$J,F$1)</f>
        <v>0</v>
      </c>
      <c r="G310" s="68">
        <f>COUNTIFS('Error Log'!$A:$A,$A310,'Error Log'!$J:$J,G$1)</f>
        <v>0</v>
      </c>
      <c r="H310" s="68">
        <f>COUNTIFS('Error Log'!$A:$A,$A310,'Error Log'!$F:$F,"Source")</f>
        <v>0</v>
      </c>
      <c r="I310" s="68">
        <f>COUNTIFS('Error Log'!$A:$A,$A310,'Error Log'!$F:$F,"Target")</f>
        <v>0</v>
      </c>
      <c r="J310" s="69">
        <f t="shared" si="4"/>
        <v>0</v>
      </c>
    </row>
    <row r="311" spans="1:10">
      <c r="A311" s="87"/>
      <c r="B311" s="68" t="str">
        <f>IF(ISBLANK(A311),"",INDEX('Error Log'!$A:$J,MATCH('Scores per segment'!$A311,'Error Log'!$A:$A,0),MATCH('Scores per segment'!B$1,'Error Log'!$A$1:$J$1,0)))</f>
        <v/>
      </c>
      <c r="C311" s="68" t="str">
        <f>IF(ISBLANK(A311),"",INDEX('Error Log'!$A:$J,MATCH('Scores per segment'!$A311,'Error Log'!$A:$A,0),MATCH('Scores per segment'!C$1,'Error Log'!$A$1:$J$1,0)))</f>
        <v/>
      </c>
      <c r="D311" s="68">
        <f>IF(H311=0,wdct(TRIM(C311)),0)</f>
        <v>0</v>
      </c>
      <c r="E311" s="68">
        <f>COUNTIFS('Error Log'!$A:$A,$A311,'Error Log'!$J:$J,E$1)</f>
        <v>0</v>
      </c>
      <c r="F311" s="68">
        <f>COUNTIFS('Error Log'!$A:$A,$A311,'Error Log'!$J:$J,F$1)</f>
        <v>0</v>
      </c>
      <c r="G311" s="68">
        <f>COUNTIFS('Error Log'!$A:$A,$A311,'Error Log'!$J:$J,G$1)</f>
        <v>0</v>
      </c>
      <c r="H311" s="68">
        <f>COUNTIFS('Error Log'!$A:$A,$A311,'Error Log'!$F:$F,"Source")</f>
        <v>0</v>
      </c>
      <c r="I311" s="68">
        <f>COUNTIFS('Error Log'!$A:$A,$A311,'Error Log'!$F:$F,"Target")</f>
        <v>0</v>
      </c>
      <c r="J311" s="69">
        <f t="shared" si="4"/>
        <v>0</v>
      </c>
    </row>
    <row r="312" spans="1:10">
      <c r="A312" s="87"/>
      <c r="B312" s="68" t="str">
        <f>IF(ISBLANK(A312),"",INDEX('Error Log'!$A:$J,MATCH('Scores per segment'!$A312,'Error Log'!$A:$A,0),MATCH('Scores per segment'!B$1,'Error Log'!$A$1:$J$1,0)))</f>
        <v/>
      </c>
      <c r="C312" s="68" t="str">
        <f>IF(ISBLANK(A312),"",INDEX('Error Log'!$A:$J,MATCH('Scores per segment'!$A312,'Error Log'!$A:$A,0),MATCH('Scores per segment'!C$1,'Error Log'!$A$1:$J$1,0)))</f>
        <v/>
      </c>
      <c r="D312" s="68">
        <f>IF(H312=0,wdct(TRIM(C312)),0)</f>
        <v>0</v>
      </c>
      <c r="E312" s="68">
        <f>COUNTIFS('Error Log'!$A:$A,$A312,'Error Log'!$J:$J,E$1)</f>
        <v>0</v>
      </c>
      <c r="F312" s="68">
        <f>COUNTIFS('Error Log'!$A:$A,$A312,'Error Log'!$J:$J,F$1)</f>
        <v>0</v>
      </c>
      <c r="G312" s="68">
        <f>COUNTIFS('Error Log'!$A:$A,$A312,'Error Log'!$J:$J,G$1)</f>
        <v>0</v>
      </c>
      <c r="H312" s="68">
        <f>COUNTIFS('Error Log'!$A:$A,$A312,'Error Log'!$F:$F,"Source")</f>
        <v>0</v>
      </c>
      <c r="I312" s="68">
        <f>COUNTIFS('Error Log'!$A:$A,$A312,'Error Log'!$F:$F,"Target")</f>
        <v>0</v>
      </c>
      <c r="J312" s="69">
        <f t="shared" si="4"/>
        <v>0</v>
      </c>
    </row>
    <row r="313" spans="1:10">
      <c r="A313" s="87"/>
      <c r="B313" s="68" t="str">
        <f>IF(ISBLANK(A313),"",INDEX('Error Log'!$A:$J,MATCH('Scores per segment'!$A313,'Error Log'!$A:$A,0),MATCH('Scores per segment'!B$1,'Error Log'!$A$1:$J$1,0)))</f>
        <v/>
      </c>
      <c r="C313" s="68" t="str">
        <f>IF(ISBLANK(A313),"",INDEX('Error Log'!$A:$J,MATCH('Scores per segment'!$A313,'Error Log'!$A:$A,0),MATCH('Scores per segment'!C$1,'Error Log'!$A$1:$J$1,0)))</f>
        <v/>
      </c>
      <c r="D313" s="68">
        <f>IF(H313=0,wdct(TRIM(C313)),0)</f>
        <v>0</v>
      </c>
      <c r="E313" s="68">
        <f>COUNTIFS('Error Log'!$A:$A,$A313,'Error Log'!$J:$J,E$1)</f>
        <v>0</v>
      </c>
      <c r="F313" s="68">
        <f>COUNTIFS('Error Log'!$A:$A,$A313,'Error Log'!$J:$J,F$1)</f>
        <v>0</v>
      </c>
      <c r="G313" s="68">
        <f>COUNTIFS('Error Log'!$A:$A,$A313,'Error Log'!$J:$J,G$1)</f>
        <v>0</v>
      </c>
      <c r="H313" s="68">
        <f>COUNTIFS('Error Log'!$A:$A,$A313,'Error Log'!$F:$F,"Source")</f>
        <v>0</v>
      </c>
      <c r="I313" s="68">
        <f>COUNTIFS('Error Log'!$A:$A,$A313,'Error Log'!$F:$F,"Target")</f>
        <v>0</v>
      </c>
      <c r="J313" s="69">
        <f t="shared" si="4"/>
        <v>0</v>
      </c>
    </row>
    <row r="314" spans="1:10">
      <c r="A314" s="87"/>
      <c r="B314" s="68" t="str">
        <f>IF(ISBLANK(A314),"",INDEX('Error Log'!$A:$J,MATCH('Scores per segment'!$A314,'Error Log'!$A:$A,0),MATCH('Scores per segment'!B$1,'Error Log'!$A$1:$J$1,0)))</f>
        <v/>
      </c>
      <c r="C314" s="68" t="str">
        <f>IF(ISBLANK(A314),"",INDEX('Error Log'!$A:$J,MATCH('Scores per segment'!$A314,'Error Log'!$A:$A,0),MATCH('Scores per segment'!C$1,'Error Log'!$A$1:$J$1,0)))</f>
        <v/>
      </c>
      <c r="D314" s="68">
        <f>IF(H314=0,wdct(TRIM(C314)),0)</f>
        <v>0</v>
      </c>
      <c r="E314" s="68">
        <f>COUNTIFS('Error Log'!$A:$A,$A314,'Error Log'!$J:$J,E$1)</f>
        <v>0</v>
      </c>
      <c r="F314" s="68">
        <f>COUNTIFS('Error Log'!$A:$A,$A314,'Error Log'!$J:$J,F$1)</f>
        <v>0</v>
      </c>
      <c r="G314" s="68">
        <f>COUNTIFS('Error Log'!$A:$A,$A314,'Error Log'!$J:$J,G$1)</f>
        <v>0</v>
      </c>
      <c r="H314" s="68">
        <f>COUNTIFS('Error Log'!$A:$A,$A314,'Error Log'!$F:$F,"Source")</f>
        <v>0</v>
      </c>
      <c r="I314" s="68">
        <f>COUNTIFS('Error Log'!$A:$A,$A314,'Error Log'!$F:$F,"Target")</f>
        <v>0</v>
      </c>
      <c r="J314" s="69">
        <f t="shared" si="4"/>
        <v>0</v>
      </c>
    </row>
    <row r="315" spans="1:10">
      <c r="A315" s="87"/>
      <c r="B315" s="68" t="str">
        <f>IF(ISBLANK(A315),"",INDEX('Error Log'!$A:$J,MATCH('Scores per segment'!$A315,'Error Log'!$A:$A,0),MATCH('Scores per segment'!B$1,'Error Log'!$A$1:$J$1,0)))</f>
        <v/>
      </c>
      <c r="C315" s="68" t="str">
        <f>IF(ISBLANK(A315),"",INDEX('Error Log'!$A:$J,MATCH('Scores per segment'!$A315,'Error Log'!$A:$A,0),MATCH('Scores per segment'!C$1,'Error Log'!$A$1:$J$1,0)))</f>
        <v/>
      </c>
      <c r="D315" s="68">
        <f>IF(H315=0,wdct(TRIM(C315)),0)</f>
        <v>0</v>
      </c>
      <c r="E315" s="68">
        <f>COUNTIFS('Error Log'!$A:$A,$A315,'Error Log'!$J:$J,E$1)</f>
        <v>0</v>
      </c>
      <c r="F315" s="68">
        <f>COUNTIFS('Error Log'!$A:$A,$A315,'Error Log'!$J:$J,F$1)</f>
        <v>0</v>
      </c>
      <c r="G315" s="68">
        <f>COUNTIFS('Error Log'!$A:$A,$A315,'Error Log'!$J:$J,G$1)</f>
        <v>0</v>
      </c>
      <c r="H315" s="68">
        <f>COUNTIFS('Error Log'!$A:$A,$A315,'Error Log'!$F:$F,"Source")</f>
        <v>0</v>
      </c>
      <c r="I315" s="68">
        <f>COUNTIFS('Error Log'!$A:$A,$A315,'Error Log'!$F:$F,"Target")</f>
        <v>0</v>
      </c>
      <c r="J315" s="69">
        <f t="shared" si="4"/>
        <v>0</v>
      </c>
    </row>
    <row r="316" spans="1:10">
      <c r="A316" s="87"/>
      <c r="B316" s="68" t="str">
        <f>IF(ISBLANK(A316),"",INDEX('Error Log'!$A:$J,MATCH('Scores per segment'!$A316,'Error Log'!$A:$A,0),MATCH('Scores per segment'!B$1,'Error Log'!$A$1:$J$1,0)))</f>
        <v/>
      </c>
      <c r="C316" s="68" t="str">
        <f>IF(ISBLANK(A316),"",INDEX('Error Log'!$A:$J,MATCH('Scores per segment'!$A316,'Error Log'!$A:$A,0),MATCH('Scores per segment'!C$1,'Error Log'!$A$1:$J$1,0)))</f>
        <v/>
      </c>
      <c r="D316" s="68">
        <f>IF(H316=0,wdct(TRIM(C316)),0)</f>
        <v>0</v>
      </c>
      <c r="E316" s="68">
        <f>COUNTIFS('Error Log'!$A:$A,$A316,'Error Log'!$J:$J,E$1)</f>
        <v>0</v>
      </c>
      <c r="F316" s="68">
        <f>COUNTIFS('Error Log'!$A:$A,$A316,'Error Log'!$J:$J,F$1)</f>
        <v>0</v>
      </c>
      <c r="G316" s="68">
        <f>COUNTIFS('Error Log'!$A:$A,$A316,'Error Log'!$J:$J,G$1)</f>
        <v>0</v>
      </c>
      <c r="H316" s="68">
        <f>COUNTIFS('Error Log'!$A:$A,$A316,'Error Log'!$F:$F,"Source")</f>
        <v>0</v>
      </c>
      <c r="I316" s="68">
        <f>COUNTIFS('Error Log'!$A:$A,$A316,'Error Log'!$F:$F,"Target")</f>
        <v>0</v>
      </c>
      <c r="J316" s="69">
        <f t="shared" si="4"/>
        <v>0</v>
      </c>
    </row>
    <row r="317" spans="1:10">
      <c r="A317" s="87"/>
      <c r="B317" s="68" t="str">
        <f>IF(ISBLANK(A317),"",INDEX('Error Log'!$A:$J,MATCH('Scores per segment'!$A317,'Error Log'!$A:$A,0),MATCH('Scores per segment'!B$1,'Error Log'!$A$1:$J$1,0)))</f>
        <v/>
      </c>
      <c r="C317" s="68" t="str">
        <f>IF(ISBLANK(A317),"",INDEX('Error Log'!$A:$J,MATCH('Scores per segment'!$A317,'Error Log'!$A:$A,0),MATCH('Scores per segment'!C$1,'Error Log'!$A$1:$J$1,0)))</f>
        <v/>
      </c>
      <c r="D317" s="68">
        <f>IF(H317=0,wdct(TRIM(C317)),0)</f>
        <v>0</v>
      </c>
      <c r="E317" s="68">
        <f>COUNTIFS('Error Log'!$A:$A,$A317,'Error Log'!$J:$J,E$1)</f>
        <v>0</v>
      </c>
      <c r="F317" s="68">
        <f>COUNTIFS('Error Log'!$A:$A,$A317,'Error Log'!$J:$J,F$1)</f>
        <v>0</v>
      </c>
      <c r="G317" s="68">
        <f>COUNTIFS('Error Log'!$A:$A,$A317,'Error Log'!$J:$J,G$1)</f>
        <v>0</v>
      </c>
      <c r="H317" s="68">
        <f>COUNTIFS('Error Log'!$A:$A,$A317,'Error Log'!$F:$F,"Source")</f>
        <v>0</v>
      </c>
      <c r="I317" s="68">
        <f>COUNTIFS('Error Log'!$A:$A,$A317,'Error Log'!$F:$F,"Target")</f>
        <v>0</v>
      </c>
      <c r="J317" s="69">
        <f t="shared" si="4"/>
        <v>0</v>
      </c>
    </row>
    <row r="318" spans="1:10">
      <c r="A318" s="87"/>
      <c r="B318" s="68" t="str">
        <f>IF(ISBLANK(A318),"",INDEX('Error Log'!$A:$J,MATCH('Scores per segment'!$A318,'Error Log'!$A:$A,0),MATCH('Scores per segment'!B$1,'Error Log'!$A$1:$J$1,0)))</f>
        <v/>
      </c>
      <c r="C318" s="68" t="str">
        <f>IF(ISBLANK(A318),"",INDEX('Error Log'!$A:$J,MATCH('Scores per segment'!$A318,'Error Log'!$A:$A,0),MATCH('Scores per segment'!C$1,'Error Log'!$A$1:$J$1,0)))</f>
        <v/>
      </c>
      <c r="D318" s="68">
        <f>IF(H318=0,wdct(TRIM(C318)),0)</f>
        <v>0</v>
      </c>
      <c r="E318" s="68">
        <f>COUNTIFS('Error Log'!$A:$A,$A318,'Error Log'!$J:$J,E$1)</f>
        <v>0</v>
      </c>
      <c r="F318" s="68">
        <f>COUNTIFS('Error Log'!$A:$A,$A318,'Error Log'!$J:$J,F$1)</f>
        <v>0</v>
      </c>
      <c r="G318" s="68">
        <f>COUNTIFS('Error Log'!$A:$A,$A318,'Error Log'!$J:$J,G$1)</f>
        <v>0</v>
      </c>
      <c r="H318" s="68">
        <f>COUNTIFS('Error Log'!$A:$A,$A318,'Error Log'!$F:$F,"Source")</f>
        <v>0</v>
      </c>
      <c r="I318" s="68">
        <f>COUNTIFS('Error Log'!$A:$A,$A318,'Error Log'!$F:$F,"Target")</f>
        <v>0</v>
      </c>
      <c r="J318" s="69">
        <f t="shared" si="4"/>
        <v>0</v>
      </c>
    </row>
    <row r="319" spans="1:10">
      <c r="A319" s="87"/>
      <c r="B319" s="68" t="str">
        <f>IF(ISBLANK(A319),"",INDEX('Error Log'!$A:$J,MATCH('Scores per segment'!$A319,'Error Log'!$A:$A,0),MATCH('Scores per segment'!B$1,'Error Log'!$A$1:$J$1,0)))</f>
        <v/>
      </c>
      <c r="C319" s="68" t="str">
        <f>IF(ISBLANK(A319),"",INDEX('Error Log'!$A:$J,MATCH('Scores per segment'!$A319,'Error Log'!$A:$A,0),MATCH('Scores per segment'!C$1,'Error Log'!$A$1:$J$1,0)))</f>
        <v/>
      </c>
      <c r="D319" s="68">
        <f>IF(H319=0,wdct(TRIM(C319)),0)</f>
        <v>0</v>
      </c>
      <c r="E319" s="68">
        <f>COUNTIFS('Error Log'!$A:$A,$A319,'Error Log'!$J:$J,E$1)</f>
        <v>0</v>
      </c>
      <c r="F319" s="68">
        <f>COUNTIFS('Error Log'!$A:$A,$A319,'Error Log'!$J:$J,F$1)</f>
        <v>0</v>
      </c>
      <c r="G319" s="68">
        <f>COUNTIFS('Error Log'!$A:$A,$A319,'Error Log'!$J:$J,G$1)</f>
        <v>0</v>
      </c>
      <c r="H319" s="68">
        <f>COUNTIFS('Error Log'!$A:$A,$A319,'Error Log'!$F:$F,"Source")</f>
        <v>0</v>
      </c>
      <c r="I319" s="68">
        <f>COUNTIFS('Error Log'!$A:$A,$A319,'Error Log'!$F:$F,"Target")</f>
        <v>0</v>
      </c>
      <c r="J319" s="69">
        <f t="shared" si="4"/>
        <v>0</v>
      </c>
    </row>
    <row r="320" spans="1:10">
      <c r="A320" s="87"/>
      <c r="B320" s="68" t="str">
        <f>IF(ISBLANK(A320),"",INDEX('Error Log'!$A:$J,MATCH('Scores per segment'!$A320,'Error Log'!$A:$A,0),MATCH('Scores per segment'!B$1,'Error Log'!$A$1:$J$1,0)))</f>
        <v/>
      </c>
      <c r="C320" s="68" t="str">
        <f>IF(ISBLANK(A320),"",INDEX('Error Log'!$A:$J,MATCH('Scores per segment'!$A320,'Error Log'!$A:$A,0),MATCH('Scores per segment'!C$1,'Error Log'!$A$1:$J$1,0)))</f>
        <v/>
      </c>
      <c r="D320" s="68">
        <f>IF(H320=0,wdct(TRIM(C320)),0)</f>
        <v>0</v>
      </c>
      <c r="E320" s="68">
        <f>COUNTIFS('Error Log'!$A:$A,$A320,'Error Log'!$J:$J,E$1)</f>
        <v>0</v>
      </c>
      <c r="F320" s="68">
        <f>COUNTIFS('Error Log'!$A:$A,$A320,'Error Log'!$J:$J,F$1)</f>
        <v>0</v>
      </c>
      <c r="G320" s="68">
        <f>COUNTIFS('Error Log'!$A:$A,$A320,'Error Log'!$J:$J,G$1)</f>
        <v>0</v>
      </c>
      <c r="H320" s="68">
        <f>COUNTIFS('Error Log'!$A:$A,$A320,'Error Log'!$F:$F,"Source")</f>
        <v>0</v>
      </c>
      <c r="I320" s="68">
        <f>COUNTIFS('Error Log'!$A:$A,$A320,'Error Log'!$F:$F,"Target")</f>
        <v>0</v>
      </c>
      <c r="J320" s="69">
        <f t="shared" si="4"/>
        <v>0</v>
      </c>
    </row>
    <row r="321" spans="1:10">
      <c r="A321" s="87"/>
      <c r="B321" s="68" t="str">
        <f>IF(ISBLANK(A321),"",INDEX('Error Log'!$A:$J,MATCH('Scores per segment'!$A321,'Error Log'!$A:$A,0),MATCH('Scores per segment'!B$1,'Error Log'!$A$1:$J$1,0)))</f>
        <v/>
      </c>
      <c r="C321" s="68" t="str">
        <f>IF(ISBLANK(A321),"",INDEX('Error Log'!$A:$J,MATCH('Scores per segment'!$A321,'Error Log'!$A:$A,0),MATCH('Scores per segment'!C$1,'Error Log'!$A$1:$J$1,0)))</f>
        <v/>
      </c>
      <c r="D321" s="68">
        <f>IF(H321=0,wdct(TRIM(C321)),0)</f>
        <v>0</v>
      </c>
      <c r="E321" s="68">
        <f>COUNTIFS('Error Log'!$A:$A,$A321,'Error Log'!$J:$J,E$1)</f>
        <v>0</v>
      </c>
      <c r="F321" s="68">
        <f>COUNTIFS('Error Log'!$A:$A,$A321,'Error Log'!$J:$J,F$1)</f>
        <v>0</v>
      </c>
      <c r="G321" s="68">
        <f>COUNTIFS('Error Log'!$A:$A,$A321,'Error Log'!$J:$J,G$1)</f>
        <v>0</v>
      </c>
      <c r="H321" s="68">
        <f>COUNTIFS('Error Log'!$A:$A,$A321,'Error Log'!$F:$F,"Source")</f>
        <v>0</v>
      </c>
      <c r="I321" s="68">
        <f>COUNTIFS('Error Log'!$A:$A,$A321,'Error Log'!$F:$F,"Target")</f>
        <v>0</v>
      </c>
      <c r="J321" s="69">
        <f t="shared" si="4"/>
        <v>0</v>
      </c>
    </row>
    <row r="322" spans="1:10">
      <c r="A322" s="87"/>
      <c r="B322" s="68" t="str">
        <f>IF(ISBLANK(A322),"",INDEX('Error Log'!$A:$J,MATCH('Scores per segment'!$A322,'Error Log'!$A:$A,0),MATCH('Scores per segment'!B$1,'Error Log'!$A$1:$J$1,0)))</f>
        <v/>
      </c>
      <c r="C322" s="68" t="str">
        <f>IF(ISBLANK(A322),"",INDEX('Error Log'!$A:$J,MATCH('Scores per segment'!$A322,'Error Log'!$A:$A,0),MATCH('Scores per segment'!C$1,'Error Log'!$A$1:$J$1,0)))</f>
        <v/>
      </c>
      <c r="D322" s="68">
        <f>IF(H322=0,wdct(TRIM(C322)),0)</f>
        <v>0</v>
      </c>
      <c r="E322" s="68">
        <f>COUNTIFS('Error Log'!$A:$A,$A322,'Error Log'!$J:$J,E$1)</f>
        <v>0</v>
      </c>
      <c r="F322" s="68">
        <f>COUNTIFS('Error Log'!$A:$A,$A322,'Error Log'!$J:$J,F$1)</f>
        <v>0</v>
      </c>
      <c r="G322" s="68">
        <f>COUNTIFS('Error Log'!$A:$A,$A322,'Error Log'!$J:$J,G$1)</f>
        <v>0</v>
      </c>
      <c r="H322" s="68">
        <f>COUNTIFS('Error Log'!$A:$A,$A322,'Error Log'!$F:$F,"Source")</f>
        <v>0</v>
      </c>
      <c r="I322" s="68">
        <f>COUNTIFS('Error Log'!$A:$A,$A322,'Error Log'!$F:$F,"Target")</f>
        <v>0</v>
      </c>
      <c r="J322" s="69">
        <f t="shared" ref="J322:J385" si="5">IF(I322=0,IFERROR((((1-((E322*10+F322*5+G322*1)/D322))*100)+100)/2,0),-150)</f>
        <v>0</v>
      </c>
    </row>
    <row r="323" spans="1:10">
      <c r="A323" s="87"/>
      <c r="B323" s="68" t="str">
        <f>IF(ISBLANK(A323),"",INDEX('Error Log'!$A:$J,MATCH('Scores per segment'!$A323,'Error Log'!$A:$A,0),MATCH('Scores per segment'!B$1,'Error Log'!$A$1:$J$1,0)))</f>
        <v/>
      </c>
      <c r="C323" s="68" t="str">
        <f>IF(ISBLANK(A323),"",INDEX('Error Log'!$A:$J,MATCH('Scores per segment'!$A323,'Error Log'!$A:$A,0),MATCH('Scores per segment'!C$1,'Error Log'!$A$1:$J$1,0)))</f>
        <v/>
      </c>
      <c r="D323" s="68">
        <f>IF(H323=0,wdct(TRIM(C323)),0)</f>
        <v>0</v>
      </c>
      <c r="E323" s="68">
        <f>COUNTIFS('Error Log'!$A:$A,$A323,'Error Log'!$J:$J,E$1)</f>
        <v>0</v>
      </c>
      <c r="F323" s="68">
        <f>COUNTIFS('Error Log'!$A:$A,$A323,'Error Log'!$J:$J,F$1)</f>
        <v>0</v>
      </c>
      <c r="G323" s="68">
        <f>COUNTIFS('Error Log'!$A:$A,$A323,'Error Log'!$J:$J,G$1)</f>
        <v>0</v>
      </c>
      <c r="H323" s="68">
        <f>COUNTIFS('Error Log'!$A:$A,$A323,'Error Log'!$F:$F,"Source")</f>
        <v>0</v>
      </c>
      <c r="I323" s="68">
        <f>COUNTIFS('Error Log'!$A:$A,$A323,'Error Log'!$F:$F,"Target")</f>
        <v>0</v>
      </c>
      <c r="J323" s="69">
        <f t="shared" si="5"/>
        <v>0</v>
      </c>
    </row>
    <row r="324" spans="1:10">
      <c r="A324" s="87"/>
      <c r="B324" s="68" t="str">
        <f>IF(ISBLANK(A324),"",INDEX('Error Log'!$A:$J,MATCH('Scores per segment'!$A324,'Error Log'!$A:$A,0),MATCH('Scores per segment'!B$1,'Error Log'!$A$1:$J$1,0)))</f>
        <v/>
      </c>
      <c r="C324" s="68" t="str">
        <f>IF(ISBLANK(A324),"",INDEX('Error Log'!$A:$J,MATCH('Scores per segment'!$A324,'Error Log'!$A:$A,0),MATCH('Scores per segment'!C$1,'Error Log'!$A$1:$J$1,0)))</f>
        <v/>
      </c>
      <c r="D324" s="68">
        <f>IF(H324=0,wdct(TRIM(C324)),0)</f>
        <v>0</v>
      </c>
      <c r="E324" s="68">
        <f>COUNTIFS('Error Log'!$A:$A,$A324,'Error Log'!$J:$J,E$1)</f>
        <v>0</v>
      </c>
      <c r="F324" s="68">
        <f>COUNTIFS('Error Log'!$A:$A,$A324,'Error Log'!$J:$J,F$1)</f>
        <v>0</v>
      </c>
      <c r="G324" s="68">
        <f>COUNTIFS('Error Log'!$A:$A,$A324,'Error Log'!$J:$J,G$1)</f>
        <v>0</v>
      </c>
      <c r="H324" s="68">
        <f>COUNTIFS('Error Log'!$A:$A,$A324,'Error Log'!$F:$F,"Source")</f>
        <v>0</v>
      </c>
      <c r="I324" s="68">
        <f>COUNTIFS('Error Log'!$A:$A,$A324,'Error Log'!$F:$F,"Target")</f>
        <v>0</v>
      </c>
      <c r="J324" s="69">
        <f t="shared" si="5"/>
        <v>0</v>
      </c>
    </row>
    <row r="325" spans="1:10">
      <c r="A325" s="87"/>
      <c r="B325" s="68" t="str">
        <f>IF(ISBLANK(A325),"",INDEX('Error Log'!$A:$J,MATCH('Scores per segment'!$A325,'Error Log'!$A:$A,0),MATCH('Scores per segment'!B$1,'Error Log'!$A$1:$J$1,0)))</f>
        <v/>
      </c>
      <c r="C325" s="68" t="str">
        <f>IF(ISBLANK(A325),"",INDEX('Error Log'!$A:$J,MATCH('Scores per segment'!$A325,'Error Log'!$A:$A,0),MATCH('Scores per segment'!C$1,'Error Log'!$A$1:$J$1,0)))</f>
        <v/>
      </c>
      <c r="D325" s="68">
        <f>IF(H325=0,wdct(TRIM(C325)),0)</f>
        <v>0</v>
      </c>
      <c r="E325" s="68">
        <f>COUNTIFS('Error Log'!$A:$A,$A325,'Error Log'!$J:$J,E$1)</f>
        <v>0</v>
      </c>
      <c r="F325" s="68">
        <f>COUNTIFS('Error Log'!$A:$A,$A325,'Error Log'!$J:$J,F$1)</f>
        <v>0</v>
      </c>
      <c r="G325" s="68">
        <f>COUNTIFS('Error Log'!$A:$A,$A325,'Error Log'!$J:$J,G$1)</f>
        <v>0</v>
      </c>
      <c r="H325" s="68">
        <f>COUNTIFS('Error Log'!$A:$A,$A325,'Error Log'!$F:$F,"Source")</f>
        <v>0</v>
      </c>
      <c r="I325" s="68">
        <f>COUNTIFS('Error Log'!$A:$A,$A325,'Error Log'!$F:$F,"Target")</f>
        <v>0</v>
      </c>
      <c r="J325" s="69">
        <f t="shared" si="5"/>
        <v>0</v>
      </c>
    </row>
    <row r="326" spans="1:10">
      <c r="A326" s="87"/>
      <c r="B326" s="68" t="str">
        <f>IF(ISBLANK(A326),"",INDEX('Error Log'!$A:$J,MATCH('Scores per segment'!$A326,'Error Log'!$A:$A,0),MATCH('Scores per segment'!B$1,'Error Log'!$A$1:$J$1,0)))</f>
        <v/>
      </c>
      <c r="C326" s="68" t="str">
        <f>IF(ISBLANK(A326),"",INDEX('Error Log'!$A:$J,MATCH('Scores per segment'!$A326,'Error Log'!$A:$A,0),MATCH('Scores per segment'!C$1,'Error Log'!$A$1:$J$1,0)))</f>
        <v/>
      </c>
      <c r="D326" s="68">
        <f>IF(H326=0,wdct(TRIM(C326)),0)</f>
        <v>0</v>
      </c>
      <c r="E326" s="68">
        <f>COUNTIFS('Error Log'!$A:$A,$A326,'Error Log'!$J:$J,E$1)</f>
        <v>0</v>
      </c>
      <c r="F326" s="68">
        <f>COUNTIFS('Error Log'!$A:$A,$A326,'Error Log'!$J:$J,F$1)</f>
        <v>0</v>
      </c>
      <c r="G326" s="68">
        <f>COUNTIFS('Error Log'!$A:$A,$A326,'Error Log'!$J:$J,G$1)</f>
        <v>0</v>
      </c>
      <c r="H326" s="68">
        <f>COUNTIFS('Error Log'!$A:$A,$A326,'Error Log'!$F:$F,"Source")</f>
        <v>0</v>
      </c>
      <c r="I326" s="68">
        <f>COUNTIFS('Error Log'!$A:$A,$A326,'Error Log'!$F:$F,"Target")</f>
        <v>0</v>
      </c>
      <c r="J326" s="69">
        <f t="shared" si="5"/>
        <v>0</v>
      </c>
    </row>
    <row r="327" spans="1:10">
      <c r="A327" s="87"/>
      <c r="B327" s="68" t="str">
        <f>IF(ISBLANK(A327),"",INDEX('Error Log'!$A:$J,MATCH('Scores per segment'!$A327,'Error Log'!$A:$A,0),MATCH('Scores per segment'!B$1,'Error Log'!$A$1:$J$1,0)))</f>
        <v/>
      </c>
      <c r="C327" s="68" t="str">
        <f>IF(ISBLANK(A327),"",INDEX('Error Log'!$A:$J,MATCH('Scores per segment'!$A327,'Error Log'!$A:$A,0),MATCH('Scores per segment'!C$1,'Error Log'!$A$1:$J$1,0)))</f>
        <v/>
      </c>
      <c r="D327" s="68">
        <f>IF(H327=0,wdct(TRIM(C327)),0)</f>
        <v>0</v>
      </c>
      <c r="E327" s="68">
        <f>COUNTIFS('Error Log'!$A:$A,$A327,'Error Log'!$J:$J,E$1)</f>
        <v>0</v>
      </c>
      <c r="F327" s="68">
        <f>COUNTIFS('Error Log'!$A:$A,$A327,'Error Log'!$J:$J,F$1)</f>
        <v>0</v>
      </c>
      <c r="G327" s="68">
        <f>COUNTIFS('Error Log'!$A:$A,$A327,'Error Log'!$J:$J,G$1)</f>
        <v>0</v>
      </c>
      <c r="H327" s="68">
        <f>COUNTIFS('Error Log'!$A:$A,$A327,'Error Log'!$F:$F,"Source")</f>
        <v>0</v>
      </c>
      <c r="I327" s="68">
        <f>COUNTIFS('Error Log'!$A:$A,$A327,'Error Log'!$F:$F,"Target")</f>
        <v>0</v>
      </c>
      <c r="J327" s="69">
        <f t="shared" si="5"/>
        <v>0</v>
      </c>
    </row>
    <row r="328" spans="1:10">
      <c r="A328" s="87"/>
      <c r="B328" s="68" t="str">
        <f>IF(ISBLANK(A328),"",INDEX('Error Log'!$A:$J,MATCH('Scores per segment'!$A328,'Error Log'!$A:$A,0),MATCH('Scores per segment'!B$1,'Error Log'!$A$1:$J$1,0)))</f>
        <v/>
      </c>
      <c r="C328" s="68" t="str">
        <f>IF(ISBLANK(A328),"",INDEX('Error Log'!$A:$J,MATCH('Scores per segment'!$A328,'Error Log'!$A:$A,0),MATCH('Scores per segment'!C$1,'Error Log'!$A$1:$J$1,0)))</f>
        <v/>
      </c>
      <c r="D328" s="68">
        <f>IF(H328=0,wdct(TRIM(C328)),0)</f>
        <v>0</v>
      </c>
      <c r="E328" s="68">
        <f>COUNTIFS('Error Log'!$A:$A,$A328,'Error Log'!$J:$J,E$1)</f>
        <v>0</v>
      </c>
      <c r="F328" s="68">
        <f>COUNTIFS('Error Log'!$A:$A,$A328,'Error Log'!$J:$J,F$1)</f>
        <v>0</v>
      </c>
      <c r="G328" s="68">
        <f>COUNTIFS('Error Log'!$A:$A,$A328,'Error Log'!$J:$J,G$1)</f>
        <v>0</v>
      </c>
      <c r="H328" s="68">
        <f>COUNTIFS('Error Log'!$A:$A,$A328,'Error Log'!$F:$F,"Source")</f>
        <v>0</v>
      </c>
      <c r="I328" s="68">
        <f>COUNTIFS('Error Log'!$A:$A,$A328,'Error Log'!$F:$F,"Target")</f>
        <v>0</v>
      </c>
      <c r="J328" s="69">
        <f t="shared" si="5"/>
        <v>0</v>
      </c>
    </row>
    <row r="329" spans="1:10">
      <c r="A329" s="87"/>
      <c r="B329" s="68" t="str">
        <f>IF(ISBLANK(A329),"",INDEX('Error Log'!$A:$J,MATCH('Scores per segment'!$A329,'Error Log'!$A:$A,0),MATCH('Scores per segment'!B$1,'Error Log'!$A$1:$J$1,0)))</f>
        <v/>
      </c>
      <c r="C329" s="68" t="str">
        <f>IF(ISBLANK(A329),"",INDEX('Error Log'!$A:$J,MATCH('Scores per segment'!$A329,'Error Log'!$A:$A,0),MATCH('Scores per segment'!C$1,'Error Log'!$A$1:$J$1,0)))</f>
        <v/>
      </c>
      <c r="D329" s="68">
        <f>IF(H329=0,wdct(TRIM(C329)),0)</f>
        <v>0</v>
      </c>
      <c r="E329" s="68">
        <f>COUNTIFS('Error Log'!$A:$A,$A329,'Error Log'!$J:$J,E$1)</f>
        <v>0</v>
      </c>
      <c r="F329" s="68">
        <f>COUNTIFS('Error Log'!$A:$A,$A329,'Error Log'!$J:$J,F$1)</f>
        <v>0</v>
      </c>
      <c r="G329" s="68">
        <f>COUNTIFS('Error Log'!$A:$A,$A329,'Error Log'!$J:$J,G$1)</f>
        <v>0</v>
      </c>
      <c r="H329" s="68">
        <f>COUNTIFS('Error Log'!$A:$A,$A329,'Error Log'!$F:$F,"Source")</f>
        <v>0</v>
      </c>
      <c r="I329" s="68">
        <f>COUNTIFS('Error Log'!$A:$A,$A329,'Error Log'!$F:$F,"Target")</f>
        <v>0</v>
      </c>
      <c r="J329" s="69">
        <f t="shared" si="5"/>
        <v>0</v>
      </c>
    </row>
    <row r="330" spans="1:10">
      <c r="A330" s="87"/>
      <c r="B330" s="68" t="str">
        <f>IF(ISBLANK(A330),"",INDEX('Error Log'!$A:$J,MATCH('Scores per segment'!$A330,'Error Log'!$A:$A,0),MATCH('Scores per segment'!B$1,'Error Log'!$A$1:$J$1,0)))</f>
        <v/>
      </c>
      <c r="C330" s="68" t="str">
        <f>IF(ISBLANK(A330),"",INDEX('Error Log'!$A:$J,MATCH('Scores per segment'!$A330,'Error Log'!$A:$A,0),MATCH('Scores per segment'!C$1,'Error Log'!$A$1:$J$1,0)))</f>
        <v/>
      </c>
      <c r="D330" s="68">
        <f>IF(H330=0,wdct(TRIM(C330)),0)</f>
        <v>0</v>
      </c>
      <c r="E330" s="68">
        <f>COUNTIFS('Error Log'!$A:$A,$A330,'Error Log'!$J:$J,E$1)</f>
        <v>0</v>
      </c>
      <c r="F330" s="68">
        <f>COUNTIFS('Error Log'!$A:$A,$A330,'Error Log'!$J:$J,F$1)</f>
        <v>0</v>
      </c>
      <c r="G330" s="68">
        <f>COUNTIFS('Error Log'!$A:$A,$A330,'Error Log'!$J:$J,G$1)</f>
        <v>0</v>
      </c>
      <c r="H330" s="68">
        <f>COUNTIFS('Error Log'!$A:$A,$A330,'Error Log'!$F:$F,"Source")</f>
        <v>0</v>
      </c>
      <c r="I330" s="68">
        <f>COUNTIFS('Error Log'!$A:$A,$A330,'Error Log'!$F:$F,"Target")</f>
        <v>0</v>
      </c>
      <c r="J330" s="69">
        <f t="shared" si="5"/>
        <v>0</v>
      </c>
    </row>
    <row r="331" spans="1:10">
      <c r="A331" s="87"/>
      <c r="B331" s="68" t="str">
        <f>IF(ISBLANK(A331),"",INDEX('Error Log'!$A:$J,MATCH('Scores per segment'!$A331,'Error Log'!$A:$A,0),MATCH('Scores per segment'!B$1,'Error Log'!$A$1:$J$1,0)))</f>
        <v/>
      </c>
      <c r="C331" s="68" t="str">
        <f>IF(ISBLANK(A331),"",INDEX('Error Log'!$A:$J,MATCH('Scores per segment'!$A331,'Error Log'!$A:$A,0),MATCH('Scores per segment'!C$1,'Error Log'!$A$1:$J$1,0)))</f>
        <v/>
      </c>
      <c r="D331" s="68">
        <f>IF(H331=0,wdct(TRIM(C331)),0)</f>
        <v>0</v>
      </c>
      <c r="E331" s="68">
        <f>COUNTIFS('Error Log'!$A:$A,$A331,'Error Log'!$J:$J,E$1)</f>
        <v>0</v>
      </c>
      <c r="F331" s="68">
        <f>COUNTIFS('Error Log'!$A:$A,$A331,'Error Log'!$J:$J,F$1)</f>
        <v>0</v>
      </c>
      <c r="G331" s="68">
        <f>COUNTIFS('Error Log'!$A:$A,$A331,'Error Log'!$J:$J,G$1)</f>
        <v>0</v>
      </c>
      <c r="H331" s="68">
        <f>COUNTIFS('Error Log'!$A:$A,$A331,'Error Log'!$F:$F,"Source")</f>
        <v>0</v>
      </c>
      <c r="I331" s="68">
        <f>COUNTIFS('Error Log'!$A:$A,$A331,'Error Log'!$F:$F,"Target")</f>
        <v>0</v>
      </c>
      <c r="J331" s="69">
        <f t="shared" si="5"/>
        <v>0</v>
      </c>
    </row>
    <row r="332" spans="1:10">
      <c r="A332" s="87"/>
      <c r="B332" s="68" t="str">
        <f>IF(ISBLANK(A332),"",INDEX('Error Log'!$A:$J,MATCH('Scores per segment'!$A332,'Error Log'!$A:$A,0),MATCH('Scores per segment'!B$1,'Error Log'!$A$1:$J$1,0)))</f>
        <v/>
      </c>
      <c r="C332" s="68" t="str">
        <f>IF(ISBLANK(A332),"",INDEX('Error Log'!$A:$J,MATCH('Scores per segment'!$A332,'Error Log'!$A:$A,0),MATCH('Scores per segment'!C$1,'Error Log'!$A$1:$J$1,0)))</f>
        <v/>
      </c>
      <c r="D332" s="68">
        <f>IF(H332=0,wdct(TRIM(C332)),0)</f>
        <v>0</v>
      </c>
      <c r="E332" s="68">
        <f>COUNTIFS('Error Log'!$A:$A,$A332,'Error Log'!$J:$J,E$1)</f>
        <v>0</v>
      </c>
      <c r="F332" s="68">
        <f>COUNTIFS('Error Log'!$A:$A,$A332,'Error Log'!$J:$J,F$1)</f>
        <v>0</v>
      </c>
      <c r="G332" s="68">
        <f>COUNTIFS('Error Log'!$A:$A,$A332,'Error Log'!$J:$J,G$1)</f>
        <v>0</v>
      </c>
      <c r="H332" s="68">
        <f>COUNTIFS('Error Log'!$A:$A,$A332,'Error Log'!$F:$F,"Source")</f>
        <v>0</v>
      </c>
      <c r="I332" s="68">
        <f>COUNTIFS('Error Log'!$A:$A,$A332,'Error Log'!$F:$F,"Target")</f>
        <v>0</v>
      </c>
      <c r="J332" s="69">
        <f t="shared" si="5"/>
        <v>0</v>
      </c>
    </row>
    <row r="333" spans="1:10">
      <c r="A333" s="87"/>
      <c r="B333" s="68" t="str">
        <f>IF(ISBLANK(A333),"",INDEX('Error Log'!$A:$J,MATCH('Scores per segment'!$A333,'Error Log'!$A:$A,0),MATCH('Scores per segment'!B$1,'Error Log'!$A$1:$J$1,0)))</f>
        <v/>
      </c>
      <c r="C333" s="68" t="str">
        <f>IF(ISBLANK(A333),"",INDEX('Error Log'!$A:$J,MATCH('Scores per segment'!$A333,'Error Log'!$A:$A,0),MATCH('Scores per segment'!C$1,'Error Log'!$A$1:$J$1,0)))</f>
        <v/>
      </c>
      <c r="D333" s="68">
        <f>IF(H333=0,wdct(TRIM(C333)),0)</f>
        <v>0</v>
      </c>
      <c r="E333" s="68">
        <f>COUNTIFS('Error Log'!$A:$A,$A333,'Error Log'!$J:$J,E$1)</f>
        <v>0</v>
      </c>
      <c r="F333" s="68">
        <f>COUNTIFS('Error Log'!$A:$A,$A333,'Error Log'!$J:$J,F$1)</f>
        <v>0</v>
      </c>
      <c r="G333" s="68">
        <f>COUNTIFS('Error Log'!$A:$A,$A333,'Error Log'!$J:$J,G$1)</f>
        <v>0</v>
      </c>
      <c r="H333" s="68">
        <f>COUNTIFS('Error Log'!$A:$A,$A333,'Error Log'!$F:$F,"Source")</f>
        <v>0</v>
      </c>
      <c r="I333" s="68">
        <f>COUNTIFS('Error Log'!$A:$A,$A333,'Error Log'!$F:$F,"Target")</f>
        <v>0</v>
      </c>
      <c r="J333" s="69">
        <f t="shared" si="5"/>
        <v>0</v>
      </c>
    </row>
    <row r="334" spans="1:10">
      <c r="A334" s="87"/>
      <c r="B334" s="68" t="str">
        <f>IF(ISBLANK(A334),"",INDEX('Error Log'!$A:$J,MATCH('Scores per segment'!$A334,'Error Log'!$A:$A,0),MATCH('Scores per segment'!B$1,'Error Log'!$A$1:$J$1,0)))</f>
        <v/>
      </c>
      <c r="C334" s="68" t="str">
        <f>IF(ISBLANK(A334),"",INDEX('Error Log'!$A:$J,MATCH('Scores per segment'!$A334,'Error Log'!$A:$A,0),MATCH('Scores per segment'!C$1,'Error Log'!$A$1:$J$1,0)))</f>
        <v/>
      </c>
      <c r="D334" s="68">
        <f>IF(H334=0,wdct(TRIM(C334)),0)</f>
        <v>0</v>
      </c>
      <c r="E334" s="68">
        <f>COUNTIFS('Error Log'!$A:$A,$A334,'Error Log'!$J:$J,E$1)</f>
        <v>0</v>
      </c>
      <c r="F334" s="68">
        <f>COUNTIFS('Error Log'!$A:$A,$A334,'Error Log'!$J:$J,F$1)</f>
        <v>0</v>
      </c>
      <c r="G334" s="68">
        <f>COUNTIFS('Error Log'!$A:$A,$A334,'Error Log'!$J:$J,G$1)</f>
        <v>0</v>
      </c>
      <c r="H334" s="68">
        <f>COUNTIFS('Error Log'!$A:$A,$A334,'Error Log'!$F:$F,"Source")</f>
        <v>0</v>
      </c>
      <c r="I334" s="68">
        <f>COUNTIFS('Error Log'!$A:$A,$A334,'Error Log'!$F:$F,"Target")</f>
        <v>0</v>
      </c>
      <c r="J334" s="69">
        <f t="shared" si="5"/>
        <v>0</v>
      </c>
    </row>
    <row r="335" spans="1:10">
      <c r="A335" s="87"/>
      <c r="B335" s="68" t="str">
        <f>IF(ISBLANK(A335),"",INDEX('Error Log'!$A:$J,MATCH('Scores per segment'!$A335,'Error Log'!$A:$A,0),MATCH('Scores per segment'!B$1,'Error Log'!$A$1:$J$1,0)))</f>
        <v/>
      </c>
      <c r="C335" s="68" t="str">
        <f>IF(ISBLANK(A335),"",INDEX('Error Log'!$A:$J,MATCH('Scores per segment'!$A335,'Error Log'!$A:$A,0),MATCH('Scores per segment'!C$1,'Error Log'!$A$1:$J$1,0)))</f>
        <v/>
      </c>
      <c r="D335" s="68">
        <f>IF(H335=0,wdct(TRIM(C335)),0)</f>
        <v>0</v>
      </c>
      <c r="E335" s="68">
        <f>COUNTIFS('Error Log'!$A:$A,$A335,'Error Log'!$J:$J,E$1)</f>
        <v>0</v>
      </c>
      <c r="F335" s="68">
        <f>COUNTIFS('Error Log'!$A:$A,$A335,'Error Log'!$J:$J,F$1)</f>
        <v>0</v>
      </c>
      <c r="G335" s="68">
        <f>COUNTIFS('Error Log'!$A:$A,$A335,'Error Log'!$J:$J,G$1)</f>
        <v>0</v>
      </c>
      <c r="H335" s="68">
        <f>COUNTIFS('Error Log'!$A:$A,$A335,'Error Log'!$F:$F,"Source")</f>
        <v>0</v>
      </c>
      <c r="I335" s="68">
        <f>COUNTIFS('Error Log'!$A:$A,$A335,'Error Log'!$F:$F,"Target")</f>
        <v>0</v>
      </c>
      <c r="J335" s="69">
        <f t="shared" si="5"/>
        <v>0</v>
      </c>
    </row>
    <row r="336" spans="1:10">
      <c r="A336" s="87"/>
      <c r="B336" s="68" t="str">
        <f>IF(ISBLANK(A336),"",INDEX('Error Log'!$A:$J,MATCH('Scores per segment'!$A336,'Error Log'!$A:$A,0),MATCH('Scores per segment'!B$1,'Error Log'!$A$1:$J$1,0)))</f>
        <v/>
      </c>
      <c r="C336" s="68" t="str">
        <f>IF(ISBLANK(A336),"",INDEX('Error Log'!$A:$J,MATCH('Scores per segment'!$A336,'Error Log'!$A:$A,0),MATCH('Scores per segment'!C$1,'Error Log'!$A$1:$J$1,0)))</f>
        <v/>
      </c>
      <c r="D336" s="68">
        <f>IF(H336=0,wdct(TRIM(C336)),0)</f>
        <v>0</v>
      </c>
      <c r="E336" s="68">
        <f>COUNTIFS('Error Log'!$A:$A,$A336,'Error Log'!$J:$J,E$1)</f>
        <v>0</v>
      </c>
      <c r="F336" s="68">
        <f>COUNTIFS('Error Log'!$A:$A,$A336,'Error Log'!$J:$J,F$1)</f>
        <v>0</v>
      </c>
      <c r="G336" s="68">
        <f>COUNTIFS('Error Log'!$A:$A,$A336,'Error Log'!$J:$J,G$1)</f>
        <v>0</v>
      </c>
      <c r="H336" s="68">
        <f>COUNTIFS('Error Log'!$A:$A,$A336,'Error Log'!$F:$F,"Source")</f>
        <v>0</v>
      </c>
      <c r="I336" s="68">
        <f>COUNTIFS('Error Log'!$A:$A,$A336,'Error Log'!$F:$F,"Target")</f>
        <v>0</v>
      </c>
      <c r="J336" s="69">
        <f t="shared" si="5"/>
        <v>0</v>
      </c>
    </row>
    <row r="337" spans="1:10">
      <c r="A337" s="87"/>
      <c r="B337" s="68" t="str">
        <f>IF(ISBLANK(A337),"",INDEX('Error Log'!$A:$J,MATCH('Scores per segment'!$A337,'Error Log'!$A:$A,0),MATCH('Scores per segment'!B$1,'Error Log'!$A$1:$J$1,0)))</f>
        <v/>
      </c>
      <c r="C337" s="68" t="str">
        <f>IF(ISBLANK(A337),"",INDEX('Error Log'!$A:$J,MATCH('Scores per segment'!$A337,'Error Log'!$A:$A,0),MATCH('Scores per segment'!C$1,'Error Log'!$A$1:$J$1,0)))</f>
        <v/>
      </c>
      <c r="D337" s="68">
        <f>IF(H337=0,wdct(TRIM(C337)),0)</f>
        <v>0</v>
      </c>
      <c r="E337" s="68">
        <f>COUNTIFS('Error Log'!$A:$A,$A337,'Error Log'!$J:$J,E$1)</f>
        <v>0</v>
      </c>
      <c r="F337" s="68">
        <f>COUNTIFS('Error Log'!$A:$A,$A337,'Error Log'!$J:$J,F$1)</f>
        <v>0</v>
      </c>
      <c r="G337" s="68">
        <f>COUNTIFS('Error Log'!$A:$A,$A337,'Error Log'!$J:$J,G$1)</f>
        <v>0</v>
      </c>
      <c r="H337" s="68">
        <f>COUNTIFS('Error Log'!$A:$A,$A337,'Error Log'!$F:$F,"Source")</f>
        <v>0</v>
      </c>
      <c r="I337" s="68">
        <f>COUNTIFS('Error Log'!$A:$A,$A337,'Error Log'!$F:$F,"Target")</f>
        <v>0</v>
      </c>
      <c r="J337" s="69">
        <f t="shared" si="5"/>
        <v>0</v>
      </c>
    </row>
    <row r="338" spans="1:10">
      <c r="A338" s="87"/>
      <c r="B338" s="68" t="str">
        <f>IF(ISBLANK(A338),"",INDEX('Error Log'!$A:$J,MATCH('Scores per segment'!$A338,'Error Log'!$A:$A,0),MATCH('Scores per segment'!B$1,'Error Log'!$A$1:$J$1,0)))</f>
        <v/>
      </c>
      <c r="C338" s="68" t="str">
        <f>IF(ISBLANK(A338),"",INDEX('Error Log'!$A:$J,MATCH('Scores per segment'!$A338,'Error Log'!$A:$A,0),MATCH('Scores per segment'!C$1,'Error Log'!$A$1:$J$1,0)))</f>
        <v/>
      </c>
      <c r="D338" s="68">
        <f>IF(H338=0,wdct(TRIM(C338)),0)</f>
        <v>0</v>
      </c>
      <c r="E338" s="68">
        <f>COUNTIFS('Error Log'!$A:$A,$A338,'Error Log'!$J:$J,E$1)</f>
        <v>0</v>
      </c>
      <c r="F338" s="68">
        <f>COUNTIFS('Error Log'!$A:$A,$A338,'Error Log'!$J:$J,F$1)</f>
        <v>0</v>
      </c>
      <c r="G338" s="68">
        <f>COUNTIFS('Error Log'!$A:$A,$A338,'Error Log'!$J:$J,G$1)</f>
        <v>0</v>
      </c>
      <c r="H338" s="68">
        <f>COUNTIFS('Error Log'!$A:$A,$A338,'Error Log'!$F:$F,"Source")</f>
        <v>0</v>
      </c>
      <c r="I338" s="68">
        <f>COUNTIFS('Error Log'!$A:$A,$A338,'Error Log'!$F:$F,"Target")</f>
        <v>0</v>
      </c>
      <c r="J338" s="69">
        <f t="shared" si="5"/>
        <v>0</v>
      </c>
    </row>
    <row r="339" spans="1:10">
      <c r="A339" s="87"/>
      <c r="B339" s="68" t="str">
        <f>IF(ISBLANK(A339),"",INDEX('Error Log'!$A:$J,MATCH('Scores per segment'!$A339,'Error Log'!$A:$A,0),MATCH('Scores per segment'!B$1,'Error Log'!$A$1:$J$1,0)))</f>
        <v/>
      </c>
      <c r="C339" s="68" t="str">
        <f>IF(ISBLANK(A339),"",INDEX('Error Log'!$A:$J,MATCH('Scores per segment'!$A339,'Error Log'!$A:$A,0),MATCH('Scores per segment'!C$1,'Error Log'!$A$1:$J$1,0)))</f>
        <v/>
      </c>
      <c r="D339" s="68">
        <f>IF(H339=0,wdct(TRIM(C339)),0)</f>
        <v>0</v>
      </c>
      <c r="E339" s="68">
        <f>COUNTIFS('Error Log'!$A:$A,$A339,'Error Log'!$J:$J,E$1)</f>
        <v>0</v>
      </c>
      <c r="F339" s="68">
        <f>COUNTIFS('Error Log'!$A:$A,$A339,'Error Log'!$J:$J,F$1)</f>
        <v>0</v>
      </c>
      <c r="G339" s="68">
        <f>COUNTIFS('Error Log'!$A:$A,$A339,'Error Log'!$J:$J,G$1)</f>
        <v>0</v>
      </c>
      <c r="H339" s="68">
        <f>COUNTIFS('Error Log'!$A:$A,$A339,'Error Log'!$F:$F,"Source")</f>
        <v>0</v>
      </c>
      <c r="I339" s="68">
        <f>COUNTIFS('Error Log'!$A:$A,$A339,'Error Log'!$F:$F,"Target")</f>
        <v>0</v>
      </c>
      <c r="J339" s="69">
        <f t="shared" si="5"/>
        <v>0</v>
      </c>
    </row>
    <row r="340" spans="1:10">
      <c r="A340" s="87"/>
      <c r="B340" s="68" t="str">
        <f>IF(ISBLANK(A340),"",INDEX('Error Log'!$A:$J,MATCH('Scores per segment'!$A340,'Error Log'!$A:$A,0),MATCH('Scores per segment'!B$1,'Error Log'!$A$1:$J$1,0)))</f>
        <v/>
      </c>
      <c r="C340" s="68" t="str">
        <f>IF(ISBLANK(A340),"",INDEX('Error Log'!$A:$J,MATCH('Scores per segment'!$A340,'Error Log'!$A:$A,0),MATCH('Scores per segment'!C$1,'Error Log'!$A$1:$J$1,0)))</f>
        <v/>
      </c>
      <c r="D340" s="68">
        <f>IF(H340=0,wdct(TRIM(C340)),0)</f>
        <v>0</v>
      </c>
      <c r="E340" s="68">
        <f>COUNTIFS('Error Log'!$A:$A,$A340,'Error Log'!$J:$J,E$1)</f>
        <v>0</v>
      </c>
      <c r="F340" s="68">
        <f>COUNTIFS('Error Log'!$A:$A,$A340,'Error Log'!$J:$J,F$1)</f>
        <v>0</v>
      </c>
      <c r="G340" s="68">
        <f>COUNTIFS('Error Log'!$A:$A,$A340,'Error Log'!$J:$J,G$1)</f>
        <v>0</v>
      </c>
      <c r="H340" s="68">
        <f>COUNTIFS('Error Log'!$A:$A,$A340,'Error Log'!$F:$F,"Source")</f>
        <v>0</v>
      </c>
      <c r="I340" s="68">
        <f>COUNTIFS('Error Log'!$A:$A,$A340,'Error Log'!$F:$F,"Target")</f>
        <v>0</v>
      </c>
      <c r="J340" s="69">
        <f t="shared" si="5"/>
        <v>0</v>
      </c>
    </row>
    <row r="341" spans="1:10">
      <c r="A341" s="87"/>
      <c r="B341" s="68" t="str">
        <f>IF(ISBLANK(A341),"",INDEX('Error Log'!$A:$J,MATCH('Scores per segment'!$A341,'Error Log'!$A:$A,0),MATCH('Scores per segment'!B$1,'Error Log'!$A$1:$J$1,0)))</f>
        <v/>
      </c>
      <c r="C341" s="68" t="str">
        <f>IF(ISBLANK(A341),"",INDEX('Error Log'!$A:$J,MATCH('Scores per segment'!$A341,'Error Log'!$A:$A,0),MATCH('Scores per segment'!C$1,'Error Log'!$A$1:$J$1,0)))</f>
        <v/>
      </c>
      <c r="D341" s="68">
        <f>IF(H341=0,wdct(TRIM(C341)),0)</f>
        <v>0</v>
      </c>
      <c r="E341" s="68">
        <f>COUNTIFS('Error Log'!$A:$A,$A341,'Error Log'!$J:$J,E$1)</f>
        <v>0</v>
      </c>
      <c r="F341" s="68">
        <f>COUNTIFS('Error Log'!$A:$A,$A341,'Error Log'!$J:$J,F$1)</f>
        <v>0</v>
      </c>
      <c r="G341" s="68">
        <f>COUNTIFS('Error Log'!$A:$A,$A341,'Error Log'!$J:$J,G$1)</f>
        <v>0</v>
      </c>
      <c r="H341" s="68">
        <f>COUNTIFS('Error Log'!$A:$A,$A341,'Error Log'!$F:$F,"Source")</f>
        <v>0</v>
      </c>
      <c r="I341" s="68">
        <f>COUNTIFS('Error Log'!$A:$A,$A341,'Error Log'!$F:$F,"Target")</f>
        <v>0</v>
      </c>
      <c r="J341" s="69">
        <f t="shared" si="5"/>
        <v>0</v>
      </c>
    </row>
    <row r="342" spans="1:10">
      <c r="A342" s="87"/>
      <c r="B342" s="68" t="str">
        <f>IF(ISBLANK(A342),"",INDEX('Error Log'!$A:$J,MATCH('Scores per segment'!$A342,'Error Log'!$A:$A,0),MATCH('Scores per segment'!B$1,'Error Log'!$A$1:$J$1,0)))</f>
        <v/>
      </c>
      <c r="C342" s="68" t="str">
        <f>IF(ISBLANK(A342),"",INDEX('Error Log'!$A:$J,MATCH('Scores per segment'!$A342,'Error Log'!$A:$A,0),MATCH('Scores per segment'!C$1,'Error Log'!$A$1:$J$1,0)))</f>
        <v/>
      </c>
      <c r="D342" s="68">
        <f>IF(H342=0,wdct(TRIM(C342)),0)</f>
        <v>0</v>
      </c>
      <c r="E342" s="68">
        <f>COUNTIFS('Error Log'!$A:$A,$A342,'Error Log'!$J:$J,E$1)</f>
        <v>0</v>
      </c>
      <c r="F342" s="68">
        <f>COUNTIFS('Error Log'!$A:$A,$A342,'Error Log'!$J:$J,F$1)</f>
        <v>0</v>
      </c>
      <c r="G342" s="68">
        <f>COUNTIFS('Error Log'!$A:$A,$A342,'Error Log'!$J:$J,G$1)</f>
        <v>0</v>
      </c>
      <c r="H342" s="68">
        <f>COUNTIFS('Error Log'!$A:$A,$A342,'Error Log'!$F:$F,"Source")</f>
        <v>0</v>
      </c>
      <c r="I342" s="68">
        <f>COUNTIFS('Error Log'!$A:$A,$A342,'Error Log'!$F:$F,"Target")</f>
        <v>0</v>
      </c>
      <c r="J342" s="69">
        <f t="shared" si="5"/>
        <v>0</v>
      </c>
    </row>
    <row r="343" spans="1:10">
      <c r="A343" s="87"/>
      <c r="B343" s="68" t="str">
        <f>IF(ISBLANK(A343),"",INDEX('Error Log'!$A:$J,MATCH('Scores per segment'!$A343,'Error Log'!$A:$A,0),MATCH('Scores per segment'!B$1,'Error Log'!$A$1:$J$1,0)))</f>
        <v/>
      </c>
      <c r="C343" s="68" t="str">
        <f>IF(ISBLANK(A343),"",INDEX('Error Log'!$A:$J,MATCH('Scores per segment'!$A343,'Error Log'!$A:$A,0),MATCH('Scores per segment'!C$1,'Error Log'!$A$1:$J$1,0)))</f>
        <v/>
      </c>
      <c r="D343" s="68">
        <f>IF(H343=0,wdct(TRIM(C343)),0)</f>
        <v>0</v>
      </c>
      <c r="E343" s="68">
        <f>COUNTIFS('Error Log'!$A:$A,$A343,'Error Log'!$J:$J,E$1)</f>
        <v>0</v>
      </c>
      <c r="F343" s="68">
        <f>COUNTIFS('Error Log'!$A:$A,$A343,'Error Log'!$J:$J,F$1)</f>
        <v>0</v>
      </c>
      <c r="G343" s="68">
        <f>COUNTIFS('Error Log'!$A:$A,$A343,'Error Log'!$J:$J,G$1)</f>
        <v>0</v>
      </c>
      <c r="H343" s="68">
        <f>COUNTIFS('Error Log'!$A:$A,$A343,'Error Log'!$F:$F,"Source")</f>
        <v>0</v>
      </c>
      <c r="I343" s="68">
        <f>COUNTIFS('Error Log'!$A:$A,$A343,'Error Log'!$F:$F,"Target")</f>
        <v>0</v>
      </c>
      <c r="J343" s="69">
        <f t="shared" si="5"/>
        <v>0</v>
      </c>
    </row>
    <row r="344" spans="1:10">
      <c r="A344" s="87"/>
      <c r="B344" s="68" t="str">
        <f>IF(ISBLANK(A344),"",INDEX('Error Log'!$A:$J,MATCH('Scores per segment'!$A344,'Error Log'!$A:$A,0),MATCH('Scores per segment'!B$1,'Error Log'!$A$1:$J$1,0)))</f>
        <v/>
      </c>
      <c r="C344" s="68" t="str">
        <f>IF(ISBLANK(A344),"",INDEX('Error Log'!$A:$J,MATCH('Scores per segment'!$A344,'Error Log'!$A:$A,0),MATCH('Scores per segment'!C$1,'Error Log'!$A$1:$J$1,0)))</f>
        <v/>
      </c>
      <c r="D344" s="68">
        <f>IF(H344=0,wdct(TRIM(C344)),0)</f>
        <v>0</v>
      </c>
      <c r="E344" s="68">
        <f>COUNTIFS('Error Log'!$A:$A,$A344,'Error Log'!$J:$J,E$1)</f>
        <v>0</v>
      </c>
      <c r="F344" s="68">
        <f>COUNTIFS('Error Log'!$A:$A,$A344,'Error Log'!$J:$J,F$1)</f>
        <v>0</v>
      </c>
      <c r="G344" s="68">
        <f>COUNTIFS('Error Log'!$A:$A,$A344,'Error Log'!$J:$J,G$1)</f>
        <v>0</v>
      </c>
      <c r="H344" s="68">
        <f>COUNTIFS('Error Log'!$A:$A,$A344,'Error Log'!$F:$F,"Source")</f>
        <v>0</v>
      </c>
      <c r="I344" s="68">
        <f>COUNTIFS('Error Log'!$A:$A,$A344,'Error Log'!$F:$F,"Target")</f>
        <v>0</v>
      </c>
      <c r="J344" s="69">
        <f t="shared" si="5"/>
        <v>0</v>
      </c>
    </row>
    <row r="345" spans="1:10">
      <c r="A345" s="87"/>
      <c r="B345" s="68" t="str">
        <f>IF(ISBLANK(A345),"",INDEX('Error Log'!$A:$J,MATCH('Scores per segment'!$A345,'Error Log'!$A:$A,0),MATCH('Scores per segment'!B$1,'Error Log'!$A$1:$J$1,0)))</f>
        <v/>
      </c>
      <c r="C345" s="68" t="str">
        <f>IF(ISBLANK(A345),"",INDEX('Error Log'!$A:$J,MATCH('Scores per segment'!$A345,'Error Log'!$A:$A,0),MATCH('Scores per segment'!C$1,'Error Log'!$A$1:$J$1,0)))</f>
        <v/>
      </c>
      <c r="D345" s="68">
        <f>IF(H345=0,wdct(TRIM(C345)),0)</f>
        <v>0</v>
      </c>
      <c r="E345" s="68">
        <f>COUNTIFS('Error Log'!$A:$A,$A345,'Error Log'!$J:$J,E$1)</f>
        <v>0</v>
      </c>
      <c r="F345" s="68">
        <f>COUNTIFS('Error Log'!$A:$A,$A345,'Error Log'!$J:$J,F$1)</f>
        <v>0</v>
      </c>
      <c r="G345" s="68">
        <f>COUNTIFS('Error Log'!$A:$A,$A345,'Error Log'!$J:$J,G$1)</f>
        <v>0</v>
      </c>
      <c r="H345" s="68">
        <f>COUNTIFS('Error Log'!$A:$A,$A345,'Error Log'!$F:$F,"Source")</f>
        <v>0</v>
      </c>
      <c r="I345" s="68">
        <f>COUNTIFS('Error Log'!$A:$A,$A345,'Error Log'!$F:$F,"Target")</f>
        <v>0</v>
      </c>
      <c r="J345" s="69">
        <f t="shared" si="5"/>
        <v>0</v>
      </c>
    </row>
    <row r="346" spans="1:10">
      <c r="A346" s="87"/>
      <c r="B346" s="68" t="str">
        <f>IF(ISBLANK(A346),"",INDEX('Error Log'!$A:$J,MATCH('Scores per segment'!$A346,'Error Log'!$A:$A,0),MATCH('Scores per segment'!B$1,'Error Log'!$A$1:$J$1,0)))</f>
        <v/>
      </c>
      <c r="C346" s="68" t="str">
        <f>IF(ISBLANK(A346),"",INDEX('Error Log'!$A:$J,MATCH('Scores per segment'!$A346,'Error Log'!$A:$A,0),MATCH('Scores per segment'!C$1,'Error Log'!$A$1:$J$1,0)))</f>
        <v/>
      </c>
      <c r="D346" s="68">
        <f>IF(H346=0,wdct(TRIM(C346)),0)</f>
        <v>0</v>
      </c>
      <c r="E346" s="68">
        <f>COUNTIFS('Error Log'!$A:$A,$A346,'Error Log'!$J:$J,E$1)</f>
        <v>0</v>
      </c>
      <c r="F346" s="68">
        <f>COUNTIFS('Error Log'!$A:$A,$A346,'Error Log'!$J:$J,F$1)</f>
        <v>0</v>
      </c>
      <c r="G346" s="68">
        <f>COUNTIFS('Error Log'!$A:$A,$A346,'Error Log'!$J:$J,G$1)</f>
        <v>0</v>
      </c>
      <c r="H346" s="68">
        <f>COUNTIFS('Error Log'!$A:$A,$A346,'Error Log'!$F:$F,"Source")</f>
        <v>0</v>
      </c>
      <c r="I346" s="68">
        <f>COUNTIFS('Error Log'!$A:$A,$A346,'Error Log'!$F:$F,"Target")</f>
        <v>0</v>
      </c>
      <c r="J346" s="69">
        <f t="shared" si="5"/>
        <v>0</v>
      </c>
    </row>
    <row r="347" spans="1:10">
      <c r="A347" s="87"/>
      <c r="B347" s="68" t="str">
        <f>IF(ISBLANK(A347),"",INDEX('Error Log'!$A:$J,MATCH('Scores per segment'!$A347,'Error Log'!$A:$A,0),MATCH('Scores per segment'!B$1,'Error Log'!$A$1:$J$1,0)))</f>
        <v/>
      </c>
      <c r="C347" s="68" t="str">
        <f>IF(ISBLANK(A347),"",INDEX('Error Log'!$A:$J,MATCH('Scores per segment'!$A347,'Error Log'!$A:$A,0),MATCH('Scores per segment'!C$1,'Error Log'!$A$1:$J$1,0)))</f>
        <v/>
      </c>
      <c r="D347" s="68">
        <f>IF(H347=0,wdct(TRIM(C347)),0)</f>
        <v>0</v>
      </c>
      <c r="E347" s="68">
        <f>COUNTIFS('Error Log'!$A:$A,$A347,'Error Log'!$J:$J,E$1)</f>
        <v>0</v>
      </c>
      <c r="F347" s="68">
        <f>COUNTIFS('Error Log'!$A:$A,$A347,'Error Log'!$J:$J,F$1)</f>
        <v>0</v>
      </c>
      <c r="G347" s="68">
        <f>COUNTIFS('Error Log'!$A:$A,$A347,'Error Log'!$J:$J,G$1)</f>
        <v>0</v>
      </c>
      <c r="H347" s="68">
        <f>COUNTIFS('Error Log'!$A:$A,$A347,'Error Log'!$F:$F,"Source")</f>
        <v>0</v>
      </c>
      <c r="I347" s="68">
        <f>COUNTIFS('Error Log'!$A:$A,$A347,'Error Log'!$F:$F,"Target")</f>
        <v>0</v>
      </c>
      <c r="J347" s="69">
        <f t="shared" si="5"/>
        <v>0</v>
      </c>
    </row>
    <row r="348" spans="1:10">
      <c r="A348" s="87"/>
      <c r="B348" s="68" t="str">
        <f>IF(ISBLANK(A348),"",INDEX('Error Log'!$A:$J,MATCH('Scores per segment'!$A348,'Error Log'!$A:$A,0),MATCH('Scores per segment'!B$1,'Error Log'!$A$1:$J$1,0)))</f>
        <v/>
      </c>
      <c r="C348" s="68" t="str">
        <f>IF(ISBLANK(A348),"",INDEX('Error Log'!$A:$J,MATCH('Scores per segment'!$A348,'Error Log'!$A:$A,0),MATCH('Scores per segment'!C$1,'Error Log'!$A$1:$J$1,0)))</f>
        <v/>
      </c>
      <c r="D348" s="68">
        <f>IF(H348=0,wdct(TRIM(C348)),0)</f>
        <v>0</v>
      </c>
      <c r="E348" s="68">
        <f>COUNTIFS('Error Log'!$A:$A,$A348,'Error Log'!$J:$J,E$1)</f>
        <v>0</v>
      </c>
      <c r="F348" s="68">
        <f>COUNTIFS('Error Log'!$A:$A,$A348,'Error Log'!$J:$J,F$1)</f>
        <v>0</v>
      </c>
      <c r="G348" s="68">
        <f>COUNTIFS('Error Log'!$A:$A,$A348,'Error Log'!$J:$J,G$1)</f>
        <v>0</v>
      </c>
      <c r="H348" s="68">
        <f>COUNTIFS('Error Log'!$A:$A,$A348,'Error Log'!$F:$F,"Source")</f>
        <v>0</v>
      </c>
      <c r="I348" s="68">
        <f>COUNTIFS('Error Log'!$A:$A,$A348,'Error Log'!$F:$F,"Target")</f>
        <v>0</v>
      </c>
      <c r="J348" s="69">
        <f t="shared" si="5"/>
        <v>0</v>
      </c>
    </row>
    <row r="349" spans="1:10">
      <c r="A349" s="87"/>
      <c r="B349" s="68" t="str">
        <f>IF(ISBLANK(A349),"",INDEX('Error Log'!$A:$J,MATCH('Scores per segment'!$A349,'Error Log'!$A:$A,0),MATCH('Scores per segment'!B$1,'Error Log'!$A$1:$J$1,0)))</f>
        <v/>
      </c>
      <c r="C349" s="68" t="str">
        <f>IF(ISBLANK(A349),"",INDEX('Error Log'!$A:$J,MATCH('Scores per segment'!$A349,'Error Log'!$A:$A,0),MATCH('Scores per segment'!C$1,'Error Log'!$A$1:$J$1,0)))</f>
        <v/>
      </c>
      <c r="D349" s="68">
        <f>IF(H349=0,wdct(TRIM(C349)),0)</f>
        <v>0</v>
      </c>
      <c r="E349" s="68">
        <f>COUNTIFS('Error Log'!$A:$A,$A349,'Error Log'!$J:$J,E$1)</f>
        <v>0</v>
      </c>
      <c r="F349" s="68">
        <f>COUNTIFS('Error Log'!$A:$A,$A349,'Error Log'!$J:$J,F$1)</f>
        <v>0</v>
      </c>
      <c r="G349" s="68">
        <f>COUNTIFS('Error Log'!$A:$A,$A349,'Error Log'!$J:$J,G$1)</f>
        <v>0</v>
      </c>
      <c r="H349" s="68">
        <f>COUNTIFS('Error Log'!$A:$A,$A349,'Error Log'!$F:$F,"Source")</f>
        <v>0</v>
      </c>
      <c r="I349" s="68">
        <f>COUNTIFS('Error Log'!$A:$A,$A349,'Error Log'!$F:$F,"Target")</f>
        <v>0</v>
      </c>
      <c r="J349" s="69">
        <f t="shared" si="5"/>
        <v>0</v>
      </c>
    </row>
    <row r="350" spans="1:10">
      <c r="A350" s="87"/>
      <c r="B350" s="68" t="str">
        <f>IF(ISBLANK(A350),"",INDEX('Error Log'!$A:$J,MATCH('Scores per segment'!$A350,'Error Log'!$A:$A,0),MATCH('Scores per segment'!B$1,'Error Log'!$A$1:$J$1,0)))</f>
        <v/>
      </c>
      <c r="C350" s="68" t="str">
        <f>IF(ISBLANK(A350),"",INDEX('Error Log'!$A:$J,MATCH('Scores per segment'!$A350,'Error Log'!$A:$A,0),MATCH('Scores per segment'!C$1,'Error Log'!$A$1:$J$1,0)))</f>
        <v/>
      </c>
      <c r="D350" s="68">
        <f>IF(H350=0,wdct(TRIM(C350)),0)</f>
        <v>0</v>
      </c>
      <c r="E350" s="68">
        <f>COUNTIFS('Error Log'!$A:$A,$A350,'Error Log'!$J:$J,E$1)</f>
        <v>0</v>
      </c>
      <c r="F350" s="68">
        <f>COUNTIFS('Error Log'!$A:$A,$A350,'Error Log'!$J:$J,F$1)</f>
        <v>0</v>
      </c>
      <c r="G350" s="68">
        <f>COUNTIFS('Error Log'!$A:$A,$A350,'Error Log'!$J:$J,G$1)</f>
        <v>0</v>
      </c>
      <c r="H350" s="68">
        <f>COUNTIFS('Error Log'!$A:$A,$A350,'Error Log'!$F:$F,"Source")</f>
        <v>0</v>
      </c>
      <c r="I350" s="68">
        <f>COUNTIFS('Error Log'!$A:$A,$A350,'Error Log'!$F:$F,"Target")</f>
        <v>0</v>
      </c>
      <c r="J350" s="69">
        <f t="shared" si="5"/>
        <v>0</v>
      </c>
    </row>
    <row r="351" spans="1:10">
      <c r="A351" s="87"/>
      <c r="B351" s="68" t="str">
        <f>IF(ISBLANK(A351),"",INDEX('Error Log'!$A:$J,MATCH('Scores per segment'!$A351,'Error Log'!$A:$A,0),MATCH('Scores per segment'!B$1,'Error Log'!$A$1:$J$1,0)))</f>
        <v/>
      </c>
      <c r="C351" s="68" t="str">
        <f>IF(ISBLANK(A351),"",INDEX('Error Log'!$A:$J,MATCH('Scores per segment'!$A351,'Error Log'!$A:$A,0),MATCH('Scores per segment'!C$1,'Error Log'!$A$1:$J$1,0)))</f>
        <v/>
      </c>
      <c r="D351" s="68">
        <f>IF(H351=0,wdct(TRIM(C351)),0)</f>
        <v>0</v>
      </c>
      <c r="E351" s="68">
        <f>COUNTIFS('Error Log'!$A:$A,$A351,'Error Log'!$J:$J,E$1)</f>
        <v>0</v>
      </c>
      <c r="F351" s="68">
        <f>COUNTIFS('Error Log'!$A:$A,$A351,'Error Log'!$J:$J,F$1)</f>
        <v>0</v>
      </c>
      <c r="G351" s="68">
        <f>COUNTIFS('Error Log'!$A:$A,$A351,'Error Log'!$J:$J,G$1)</f>
        <v>0</v>
      </c>
      <c r="H351" s="68">
        <f>COUNTIFS('Error Log'!$A:$A,$A351,'Error Log'!$F:$F,"Source")</f>
        <v>0</v>
      </c>
      <c r="I351" s="68">
        <f>COUNTIFS('Error Log'!$A:$A,$A351,'Error Log'!$F:$F,"Target")</f>
        <v>0</v>
      </c>
      <c r="J351" s="69">
        <f t="shared" si="5"/>
        <v>0</v>
      </c>
    </row>
    <row r="352" spans="1:10">
      <c r="A352" s="87"/>
      <c r="B352" s="68" t="str">
        <f>IF(ISBLANK(A352),"",INDEX('Error Log'!$A:$J,MATCH('Scores per segment'!$A352,'Error Log'!$A:$A,0),MATCH('Scores per segment'!B$1,'Error Log'!$A$1:$J$1,0)))</f>
        <v/>
      </c>
      <c r="C352" s="68" t="str">
        <f>IF(ISBLANK(A352),"",INDEX('Error Log'!$A:$J,MATCH('Scores per segment'!$A352,'Error Log'!$A:$A,0),MATCH('Scores per segment'!C$1,'Error Log'!$A$1:$J$1,0)))</f>
        <v/>
      </c>
      <c r="D352" s="68">
        <f>IF(H352=0,wdct(TRIM(C352)),0)</f>
        <v>0</v>
      </c>
      <c r="E352" s="68">
        <f>COUNTIFS('Error Log'!$A:$A,$A352,'Error Log'!$J:$J,E$1)</f>
        <v>0</v>
      </c>
      <c r="F352" s="68">
        <f>COUNTIFS('Error Log'!$A:$A,$A352,'Error Log'!$J:$J,F$1)</f>
        <v>0</v>
      </c>
      <c r="G352" s="68">
        <f>COUNTIFS('Error Log'!$A:$A,$A352,'Error Log'!$J:$J,G$1)</f>
        <v>0</v>
      </c>
      <c r="H352" s="68">
        <f>COUNTIFS('Error Log'!$A:$A,$A352,'Error Log'!$F:$F,"Source")</f>
        <v>0</v>
      </c>
      <c r="I352" s="68">
        <f>COUNTIFS('Error Log'!$A:$A,$A352,'Error Log'!$F:$F,"Target")</f>
        <v>0</v>
      </c>
      <c r="J352" s="69">
        <f t="shared" si="5"/>
        <v>0</v>
      </c>
    </row>
    <row r="353" spans="1:10">
      <c r="A353" s="87"/>
      <c r="B353" s="68" t="str">
        <f>IF(ISBLANK(A353),"",INDEX('Error Log'!$A:$J,MATCH('Scores per segment'!$A353,'Error Log'!$A:$A,0),MATCH('Scores per segment'!B$1,'Error Log'!$A$1:$J$1,0)))</f>
        <v/>
      </c>
      <c r="C353" s="68" t="str">
        <f>IF(ISBLANK(A353),"",INDEX('Error Log'!$A:$J,MATCH('Scores per segment'!$A353,'Error Log'!$A:$A,0),MATCH('Scores per segment'!C$1,'Error Log'!$A$1:$J$1,0)))</f>
        <v/>
      </c>
      <c r="D353" s="68">
        <f>IF(H353=0,wdct(TRIM(C353)),0)</f>
        <v>0</v>
      </c>
      <c r="E353" s="68">
        <f>COUNTIFS('Error Log'!$A:$A,$A353,'Error Log'!$J:$J,E$1)</f>
        <v>0</v>
      </c>
      <c r="F353" s="68">
        <f>COUNTIFS('Error Log'!$A:$A,$A353,'Error Log'!$J:$J,F$1)</f>
        <v>0</v>
      </c>
      <c r="G353" s="68">
        <f>COUNTIFS('Error Log'!$A:$A,$A353,'Error Log'!$J:$J,G$1)</f>
        <v>0</v>
      </c>
      <c r="H353" s="68">
        <f>COUNTIFS('Error Log'!$A:$A,$A353,'Error Log'!$F:$F,"Source")</f>
        <v>0</v>
      </c>
      <c r="I353" s="68">
        <f>COUNTIFS('Error Log'!$A:$A,$A353,'Error Log'!$F:$F,"Target")</f>
        <v>0</v>
      </c>
      <c r="J353" s="69">
        <f t="shared" si="5"/>
        <v>0</v>
      </c>
    </row>
    <row r="354" spans="1:10">
      <c r="A354" s="87"/>
      <c r="B354" s="68" t="str">
        <f>IF(ISBLANK(A354),"",INDEX('Error Log'!$A:$J,MATCH('Scores per segment'!$A354,'Error Log'!$A:$A,0),MATCH('Scores per segment'!B$1,'Error Log'!$A$1:$J$1,0)))</f>
        <v/>
      </c>
      <c r="C354" s="68" t="str">
        <f>IF(ISBLANK(A354),"",INDEX('Error Log'!$A:$J,MATCH('Scores per segment'!$A354,'Error Log'!$A:$A,0),MATCH('Scores per segment'!C$1,'Error Log'!$A$1:$J$1,0)))</f>
        <v/>
      </c>
      <c r="D354" s="68">
        <f>IF(H354=0,wdct(TRIM(C354)),0)</f>
        <v>0</v>
      </c>
      <c r="E354" s="68">
        <f>COUNTIFS('Error Log'!$A:$A,$A354,'Error Log'!$J:$J,E$1)</f>
        <v>0</v>
      </c>
      <c r="F354" s="68">
        <f>COUNTIFS('Error Log'!$A:$A,$A354,'Error Log'!$J:$J,F$1)</f>
        <v>0</v>
      </c>
      <c r="G354" s="68">
        <f>COUNTIFS('Error Log'!$A:$A,$A354,'Error Log'!$J:$J,G$1)</f>
        <v>0</v>
      </c>
      <c r="H354" s="68">
        <f>COUNTIFS('Error Log'!$A:$A,$A354,'Error Log'!$F:$F,"Source")</f>
        <v>0</v>
      </c>
      <c r="I354" s="68">
        <f>COUNTIFS('Error Log'!$A:$A,$A354,'Error Log'!$F:$F,"Target")</f>
        <v>0</v>
      </c>
      <c r="J354" s="69">
        <f t="shared" si="5"/>
        <v>0</v>
      </c>
    </row>
    <row r="355" spans="1:10">
      <c r="A355" s="87"/>
      <c r="B355" s="68" t="str">
        <f>IF(ISBLANK(A355),"",INDEX('Error Log'!$A:$J,MATCH('Scores per segment'!$A355,'Error Log'!$A:$A,0),MATCH('Scores per segment'!B$1,'Error Log'!$A$1:$J$1,0)))</f>
        <v/>
      </c>
      <c r="C355" s="68" t="str">
        <f>IF(ISBLANK(A355),"",INDEX('Error Log'!$A:$J,MATCH('Scores per segment'!$A355,'Error Log'!$A:$A,0),MATCH('Scores per segment'!C$1,'Error Log'!$A$1:$J$1,0)))</f>
        <v/>
      </c>
      <c r="D355" s="68">
        <f>IF(H355=0,wdct(TRIM(C355)),0)</f>
        <v>0</v>
      </c>
      <c r="E355" s="68">
        <f>COUNTIFS('Error Log'!$A:$A,$A355,'Error Log'!$J:$J,E$1)</f>
        <v>0</v>
      </c>
      <c r="F355" s="68">
        <f>COUNTIFS('Error Log'!$A:$A,$A355,'Error Log'!$J:$J,F$1)</f>
        <v>0</v>
      </c>
      <c r="G355" s="68">
        <f>COUNTIFS('Error Log'!$A:$A,$A355,'Error Log'!$J:$J,G$1)</f>
        <v>0</v>
      </c>
      <c r="H355" s="68">
        <f>COUNTIFS('Error Log'!$A:$A,$A355,'Error Log'!$F:$F,"Source")</f>
        <v>0</v>
      </c>
      <c r="I355" s="68">
        <f>COUNTIFS('Error Log'!$A:$A,$A355,'Error Log'!$F:$F,"Target")</f>
        <v>0</v>
      </c>
      <c r="J355" s="69">
        <f t="shared" si="5"/>
        <v>0</v>
      </c>
    </row>
    <row r="356" spans="1:10">
      <c r="A356" s="87"/>
      <c r="B356" s="68" t="str">
        <f>IF(ISBLANK(A356),"",INDEX('Error Log'!$A:$J,MATCH('Scores per segment'!$A356,'Error Log'!$A:$A,0),MATCH('Scores per segment'!B$1,'Error Log'!$A$1:$J$1,0)))</f>
        <v/>
      </c>
      <c r="C356" s="68" t="str">
        <f>IF(ISBLANK(A356),"",INDEX('Error Log'!$A:$J,MATCH('Scores per segment'!$A356,'Error Log'!$A:$A,0),MATCH('Scores per segment'!C$1,'Error Log'!$A$1:$J$1,0)))</f>
        <v/>
      </c>
      <c r="D356" s="68">
        <f>IF(H356=0,wdct(TRIM(C356)),0)</f>
        <v>0</v>
      </c>
      <c r="E356" s="68">
        <f>COUNTIFS('Error Log'!$A:$A,$A356,'Error Log'!$J:$J,E$1)</f>
        <v>0</v>
      </c>
      <c r="F356" s="68">
        <f>COUNTIFS('Error Log'!$A:$A,$A356,'Error Log'!$J:$J,F$1)</f>
        <v>0</v>
      </c>
      <c r="G356" s="68">
        <f>COUNTIFS('Error Log'!$A:$A,$A356,'Error Log'!$J:$J,G$1)</f>
        <v>0</v>
      </c>
      <c r="H356" s="68">
        <f>COUNTIFS('Error Log'!$A:$A,$A356,'Error Log'!$F:$F,"Source")</f>
        <v>0</v>
      </c>
      <c r="I356" s="68">
        <f>COUNTIFS('Error Log'!$A:$A,$A356,'Error Log'!$F:$F,"Target")</f>
        <v>0</v>
      </c>
      <c r="J356" s="69">
        <f t="shared" si="5"/>
        <v>0</v>
      </c>
    </row>
    <row r="357" spans="1:10">
      <c r="A357" s="87"/>
      <c r="B357" s="68" t="str">
        <f>IF(ISBLANK(A357),"",INDEX('Error Log'!$A:$J,MATCH('Scores per segment'!$A357,'Error Log'!$A:$A,0),MATCH('Scores per segment'!B$1,'Error Log'!$A$1:$J$1,0)))</f>
        <v/>
      </c>
      <c r="C357" s="68" t="str">
        <f>IF(ISBLANK(A357),"",INDEX('Error Log'!$A:$J,MATCH('Scores per segment'!$A357,'Error Log'!$A:$A,0),MATCH('Scores per segment'!C$1,'Error Log'!$A$1:$J$1,0)))</f>
        <v/>
      </c>
      <c r="D357" s="68">
        <f>IF(H357=0,wdct(TRIM(C357)),0)</f>
        <v>0</v>
      </c>
      <c r="E357" s="68">
        <f>COUNTIFS('Error Log'!$A:$A,$A357,'Error Log'!$J:$J,E$1)</f>
        <v>0</v>
      </c>
      <c r="F357" s="68">
        <f>COUNTIFS('Error Log'!$A:$A,$A357,'Error Log'!$J:$J,F$1)</f>
        <v>0</v>
      </c>
      <c r="G357" s="68">
        <f>COUNTIFS('Error Log'!$A:$A,$A357,'Error Log'!$J:$J,G$1)</f>
        <v>0</v>
      </c>
      <c r="H357" s="68">
        <f>COUNTIFS('Error Log'!$A:$A,$A357,'Error Log'!$F:$F,"Source")</f>
        <v>0</v>
      </c>
      <c r="I357" s="68">
        <f>COUNTIFS('Error Log'!$A:$A,$A357,'Error Log'!$F:$F,"Target")</f>
        <v>0</v>
      </c>
      <c r="J357" s="69">
        <f t="shared" si="5"/>
        <v>0</v>
      </c>
    </row>
    <row r="358" spans="1:10">
      <c r="A358" s="87"/>
      <c r="B358" s="68" t="str">
        <f>IF(ISBLANK(A358),"",INDEX('Error Log'!$A:$J,MATCH('Scores per segment'!$A358,'Error Log'!$A:$A,0),MATCH('Scores per segment'!B$1,'Error Log'!$A$1:$J$1,0)))</f>
        <v/>
      </c>
      <c r="C358" s="68" t="str">
        <f>IF(ISBLANK(A358),"",INDEX('Error Log'!$A:$J,MATCH('Scores per segment'!$A358,'Error Log'!$A:$A,0),MATCH('Scores per segment'!C$1,'Error Log'!$A$1:$J$1,0)))</f>
        <v/>
      </c>
      <c r="D358" s="68">
        <f>IF(H358=0,wdct(TRIM(C358)),0)</f>
        <v>0</v>
      </c>
      <c r="E358" s="68">
        <f>COUNTIFS('Error Log'!$A:$A,$A358,'Error Log'!$J:$J,E$1)</f>
        <v>0</v>
      </c>
      <c r="F358" s="68">
        <f>COUNTIFS('Error Log'!$A:$A,$A358,'Error Log'!$J:$J,F$1)</f>
        <v>0</v>
      </c>
      <c r="G358" s="68">
        <f>COUNTIFS('Error Log'!$A:$A,$A358,'Error Log'!$J:$J,G$1)</f>
        <v>0</v>
      </c>
      <c r="H358" s="68">
        <f>COUNTIFS('Error Log'!$A:$A,$A358,'Error Log'!$F:$F,"Source")</f>
        <v>0</v>
      </c>
      <c r="I358" s="68">
        <f>COUNTIFS('Error Log'!$A:$A,$A358,'Error Log'!$F:$F,"Target")</f>
        <v>0</v>
      </c>
      <c r="J358" s="69">
        <f t="shared" si="5"/>
        <v>0</v>
      </c>
    </row>
    <row r="359" spans="1:10">
      <c r="A359" s="87"/>
      <c r="B359" s="68" t="str">
        <f>IF(ISBLANK(A359),"",INDEX('Error Log'!$A:$J,MATCH('Scores per segment'!$A359,'Error Log'!$A:$A,0),MATCH('Scores per segment'!B$1,'Error Log'!$A$1:$J$1,0)))</f>
        <v/>
      </c>
      <c r="C359" s="68" t="str">
        <f>IF(ISBLANK(A359),"",INDEX('Error Log'!$A:$J,MATCH('Scores per segment'!$A359,'Error Log'!$A:$A,0),MATCH('Scores per segment'!C$1,'Error Log'!$A$1:$J$1,0)))</f>
        <v/>
      </c>
      <c r="D359" s="68">
        <f>IF(H359=0,wdct(TRIM(C359)),0)</f>
        <v>0</v>
      </c>
      <c r="E359" s="68">
        <f>COUNTIFS('Error Log'!$A:$A,$A359,'Error Log'!$J:$J,E$1)</f>
        <v>0</v>
      </c>
      <c r="F359" s="68">
        <f>COUNTIFS('Error Log'!$A:$A,$A359,'Error Log'!$J:$J,F$1)</f>
        <v>0</v>
      </c>
      <c r="G359" s="68">
        <f>COUNTIFS('Error Log'!$A:$A,$A359,'Error Log'!$J:$J,G$1)</f>
        <v>0</v>
      </c>
      <c r="H359" s="68">
        <f>COUNTIFS('Error Log'!$A:$A,$A359,'Error Log'!$F:$F,"Source")</f>
        <v>0</v>
      </c>
      <c r="I359" s="68">
        <f>COUNTIFS('Error Log'!$A:$A,$A359,'Error Log'!$F:$F,"Target")</f>
        <v>0</v>
      </c>
      <c r="J359" s="69">
        <f t="shared" si="5"/>
        <v>0</v>
      </c>
    </row>
    <row r="360" spans="1:10">
      <c r="A360" s="87"/>
      <c r="B360" s="68" t="str">
        <f>IF(ISBLANK(A360),"",INDEX('Error Log'!$A:$J,MATCH('Scores per segment'!$A360,'Error Log'!$A:$A,0),MATCH('Scores per segment'!B$1,'Error Log'!$A$1:$J$1,0)))</f>
        <v/>
      </c>
      <c r="C360" s="68" t="str">
        <f>IF(ISBLANK(A360),"",INDEX('Error Log'!$A:$J,MATCH('Scores per segment'!$A360,'Error Log'!$A:$A,0),MATCH('Scores per segment'!C$1,'Error Log'!$A$1:$J$1,0)))</f>
        <v/>
      </c>
      <c r="D360" s="68">
        <f>IF(H360=0,wdct(TRIM(C360)),0)</f>
        <v>0</v>
      </c>
      <c r="E360" s="68">
        <f>COUNTIFS('Error Log'!$A:$A,$A360,'Error Log'!$J:$J,E$1)</f>
        <v>0</v>
      </c>
      <c r="F360" s="68">
        <f>COUNTIFS('Error Log'!$A:$A,$A360,'Error Log'!$J:$J,F$1)</f>
        <v>0</v>
      </c>
      <c r="G360" s="68">
        <f>COUNTIFS('Error Log'!$A:$A,$A360,'Error Log'!$J:$J,G$1)</f>
        <v>0</v>
      </c>
      <c r="H360" s="68">
        <f>COUNTIFS('Error Log'!$A:$A,$A360,'Error Log'!$F:$F,"Source")</f>
        <v>0</v>
      </c>
      <c r="I360" s="68">
        <f>COUNTIFS('Error Log'!$A:$A,$A360,'Error Log'!$F:$F,"Target")</f>
        <v>0</v>
      </c>
      <c r="J360" s="69">
        <f t="shared" si="5"/>
        <v>0</v>
      </c>
    </row>
    <row r="361" spans="1:10">
      <c r="A361" s="87"/>
      <c r="B361" s="68" t="str">
        <f>IF(ISBLANK(A361),"",INDEX('Error Log'!$A:$J,MATCH('Scores per segment'!$A361,'Error Log'!$A:$A,0),MATCH('Scores per segment'!B$1,'Error Log'!$A$1:$J$1,0)))</f>
        <v/>
      </c>
      <c r="C361" s="68" t="str">
        <f>IF(ISBLANK(A361),"",INDEX('Error Log'!$A:$J,MATCH('Scores per segment'!$A361,'Error Log'!$A:$A,0),MATCH('Scores per segment'!C$1,'Error Log'!$A$1:$J$1,0)))</f>
        <v/>
      </c>
      <c r="D361" s="68">
        <f>IF(H361=0,wdct(TRIM(C361)),0)</f>
        <v>0</v>
      </c>
      <c r="E361" s="68">
        <f>COUNTIFS('Error Log'!$A:$A,$A361,'Error Log'!$J:$J,E$1)</f>
        <v>0</v>
      </c>
      <c r="F361" s="68">
        <f>COUNTIFS('Error Log'!$A:$A,$A361,'Error Log'!$J:$J,F$1)</f>
        <v>0</v>
      </c>
      <c r="G361" s="68">
        <f>COUNTIFS('Error Log'!$A:$A,$A361,'Error Log'!$J:$J,G$1)</f>
        <v>0</v>
      </c>
      <c r="H361" s="68">
        <f>COUNTIFS('Error Log'!$A:$A,$A361,'Error Log'!$F:$F,"Source")</f>
        <v>0</v>
      </c>
      <c r="I361" s="68">
        <f>COUNTIFS('Error Log'!$A:$A,$A361,'Error Log'!$F:$F,"Target")</f>
        <v>0</v>
      </c>
      <c r="J361" s="69">
        <f t="shared" si="5"/>
        <v>0</v>
      </c>
    </row>
    <row r="362" spans="1:10">
      <c r="A362" s="87"/>
      <c r="B362" s="68" t="str">
        <f>IF(ISBLANK(A362),"",INDEX('Error Log'!$A:$J,MATCH('Scores per segment'!$A362,'Error Log'!$A:$A,0),MATCH('Scores per segment'!B$1,'Error Log'!$A$1:$J$1,0)))</f>
        <v/>
      </c>
      <c r="C362" s="68" t="str">
        <f>IF(ISBLANK(A362),"",INDEX('Error Log'!$A:$J,MATCH('Scores per segment'!$A362,'Error Log'!$A:$A,0),MATCH('Scores per segment'!C$1,'Error Log'!$A$1:$J$1,0)))</f>
        <v/>
      </c>
      <c r="D362" s="68">
        <f>IF(H362=0,wdct(TRIM(C362)),0)</f>
        <v>0</v>
      </c>
      <c r="E362" s="68">
        <f>COUNTIFS('Error Log'!$A:$A,$A362,'Error Log'!$J:$J,E$1)</f>
        <v>0</v>
      </c>
      <c r="F362" s="68">
        <f>COUNTIFS('Error Log'!$A:$A,$A362,'Error Log'!$J:$J,F$1)</f>
        <v>0</v>
      </c>
      <c r="G362" s="68">
        <f>COUNTIFS('Error Log'!$A:$A,$A362,'Error Log'!$J:$J,G$1)</f>
        <v>0</v>
      </c>
      <c r="H362" s="68">
        <f>COUNTIFS('Error Log'!$A:$A,$A362,'Error Log'!$F:$F,"Source")</f>
        <v>0</v>
      </c>
      <c r="I362" s="68">
        <f>COUNTIFS('Error Log'!$A:$A,$A362,'Error Log'!$F:$F,"Target")</f>
        <v>0</v>
      </c>
      <c r="J362" s="69">
        <f t="shared" si="5"/>
        <v>0</v>
      </c>
    </row>
    <row r="363" spans="1:10">
      <c r="A363" s="87"/>
      <c r="B363" s="68" t="str">
        <f>IF(ISBLANK(A363),"",INDEX('Error Log'!$A:$J,MATCH('Scores per segment'!$A363,'Error Log'!$A:$A,0),MATCH('Scores per segment'!B$1,'Error Log'!$A$1:$J$1,0)))</f>
        <v/>
      </c>
      <c r="C363" s="68" t="str">
        <f>IF(ISBLANK(A363),"",INDEX('Error Log'!$A:$J,MATCH('Scores per segment'!$A363,'Error Log'!$A:$A,0),MATCH('Scores per segment'!C$1,'Error Log'!$A$1:$J$1,0)))</f>
        <v/>
      </c>
      <c r="D363" s="68">
        <f>IF(H363=0,wdct(TRIM(C363)),0)</f>
        <v>0</v>
      </c>
      <c r="E363" s="68">
        <f>COUNTIFS('Error Log'!$A:$A,$A363,'Error Log'!$J:$J,E$1)</f>
        <v>0</v>
      </c>
      <c r="F363" s="68">
        <f>COUNTIFS('Error Log'!$A:$A,$A363,'Error Log'!$J:$J,F$1)</f>
        <v>0</v>
      </c>
      <c r="G363" s="68">
        <f>COUNTIFS('Error Log'!$A:$A,$A363,'Error Log'!$J:$J,G$1)</f>
        <v>0</v>
      </c>
      <c r="H363" s="68">
        <f>COUNTIFS('Error Log'!$A:$A,$A363,'Error Log'!$F:$F,"Source")</f>
        <v>0</v>
      </c>
      <c r="I363" s="68">
        <f>COUNTIFS('Error Log'!$A:$A,$A363,'Error Log'!$F:$F,"Target")</f>
        <v>0</v>
      </c>
      <c r="J363" s="69">
        <f t="shared" si="5"/>
        <v>0</v>
      </c>
    </row>
    <row r="364" spans="1:10">
      <c r="A364" s="87"/>
      <c r="B364" s="68" t="str">
        <f>IF(ISBLANK(A364),"",INDEX('Error Log'!$A:$J,MATCH('Scores per segment'!$A364,'Error Log'!$A:$A,0),MATCH('Scores per segment'!B$1,'Error Log'!$A$1:$J$1,0)))</f>
        <v/>
      </c>
      <c r="C364" s="68" t="str">
        <f>IF(ISBLANK(A364),"",INDEX('Error Log'!$A:$J,MATCH('Scores per segment'!$A364,'Error Log'!$A:$A,0),MATCH('Scores per segment'!C$1,'Error Log'!$A$1:$J$1,0)))</f>
        <v/>
      </c>
      <c r="D364" s="68">
        <f>IF(H364=0,wdct(TRIM(C364)),0)</f>
        <v>0</v>
      </c>
      <c r="E364" s="68">
        <f>COUNTIFS('Error Log'!$A:$A,$A364,'Error Log'!$J:$J,E$1)</f>
        <v>0</v>
      </c>
      <c r="F364" s="68">
        <f>COUNTIFS('Error Log'!$A:$A,$A364,'Error Log'!$J:$J,F$1)</f>
        <v>0</v>
      </c>
      <c r="G364" s="68">
        <f>COUNTIFS('Error Log'!$A:$A,$A364,'Error Log'!$J:$J,G$1)</f>
        <v>0</v>
      </c>
      <c r="H364" s="68">
        <f>COUNTIFS('Error Log'!$A:$A,$A364,'Error Log'!$F:$F,"Source")</f>
        <v>0</v>
      </c>
      <c r="I364" s="68">
        <f>COUNTIFS('Error Log'!$A:$A,$A364,'Error Log'!$F:$F,"Target")</f>
        <v>0</v>
      </c>
      <c r="J364" s="69">
        <f t="shared" si="5"/>
        <v>0</v>
      </c>
    </row>
    <row r="365" spans="1:10">
      <c r="A365" s="87"/>
      <c r="B365" s="68" t="str">
        <f>IF(ISBLANK(A365),"",INDEX('Error Log'!$A:$J,MATCH('Scores per segment'!$A365,'Error Log'!$A:$A,0),MATCH('Scores per segment'!B$1,'Error Log'!$A$1:$J$1,0)))</f>
        <v/>
      </c>
      <c r="C365" s="68" t="str">
        <f>IF(ISBLANK(A365),"",INDEX('Error Log'!$A:$J,MATCH('Scores per segment'!$A365,'Error Log'!$A:$A,0),MATCH('Scores per segment'!C$1,'Error Log'!$A$1:$J$1,0)))</f>
        <v/>
      </c>
      <c r="D365" s="68">
        <f>IF(H365=0,wdct(TRIM(C365)),0)</f>
        <v>0</v>
      </c>
      <c r="E365" s="68">
        <f>COUNTIFS('Error Log'!$A:$A,$A365,'Error Log'!$J:$J,E$1)</f>
        <v>0</v>
      </c>
      <c r="F365" s="68">
        <f>COUNTIFS('Error Log'!$A:$A,$A365,'Error Log'!$J:$J,F$1)</f>
        <v>0</v>
      </c>
      <c r="G365" s="68">
        <f>COUNTIFS('Error Log'!$A:$A,$A365,'Error Log'!$J:$J,G$1)</f>
        <v>0</v>
      </c>
      <c r="H365" s="68">
        <f>COUNTIFS('Error Log'!$A:$A,$A365,'Error Log'!$F:$F,"Source")</f>
        <v>0</v>
      </c>
      <c r="I365" s="68">
        <f>COUNTIFS('Error Log'!$A:$A,$A365,'Error Log'!$F:$F,"Target")</f>
        <v>0</v>
      </c>
      <c r="J365" s="69">
        <f t="shared" si="5"/>
        <v>0</v>
      </c>
    </row>
    <row r="366" spans="1:10">
      <c r="A366" s="87"/>
      <c r="B366" s="68" t="str">
        <f>IF(ISBLANK(A366),"",INDEX('Error Log'!$A:$J,MATCH('Scores per segment'!$A366,'Error Log'!$A:$A,0),MATCH('Scores per segment'!B$1,'Error Log'!$A$1:$J$1,0)))</f>
        <v/>
      </c>
      <c r="C366" s="68" t="str">
        <f>IF(ISBLANK(A366),"",INDEX('Error Log'!$A:$J,MATCH('Scores per segment'!$A366,'Error Log'!$A:$A,0),MATCH('Scores per segment'!C$1,'Error Log'!$A$1:$J$1,0)))</f>
        <v/>
      </c>
      <c r="D366" s="68">
        <f>IF(H366=0,wdct(TRIM(C366)),0)</f>
        <v>0</v>
      </c>
      <c r="E366" s="68">
        <f>COUNTIFS('Error Log'!$A:$A,$A366,'Error Log'!$J:$J,E$1)</f>
        <v>0</v>
      </c>
      <c r="F366" s="68">
        <f>COUNTIFS('Error Log'!$A:$A,$A366,'Error Log'!$J:$J,F$1)</f>
        <v>0</v>
      </c>
      <c r="G366" s="68">
        <f>COUNTIFS('Error Log'!$A:$A,$A366,'Error Log'!$J:$J,G$1)</f>
        <v>0</v>
      </c>
      <c r="H366" s="68">
        <f>COUNTIFS('Error Log'!$A:$A,$A366,'Error Log'!$F:$F,"Source")</f>
        <v>0</v>
      </c>
      <c r="I366" s="68">
        <f>COUNTIFS('Error Log'!$A:$A,$A366,'Error Log'!$F:$F,"Target")</f>
        <v>0</v>
      </c>
      <c r="J366" s="69">
        <f t="shared" si="5"/>
        <v>0</v>
      </c>
    </row>
    <row r="367" spans="1:10">
      <c r="A367" s="87"/>
      <c r="B367" s="68" t="str">
        <f>IF(ISBLANK(A367),"",INDEX('Error Log'!$A:$J,MATCH('Scores per segment'!$A367,'Error Log'!$A:$A,0),MATCH('Scores per segment'!B$1,'Error Log'!$A$1:$J$1,0)))</f>
        <v/>
      </c>
      <c r="C367" s="68" t="str">
        <f>IF(ISBLANK(A367),"",INDEX('Error Log'!$A:$J,MATCH('Scores per segment'!$A367,'Error Log'!$A:$A,0),MATCH('Scores per segment'!C$1,'Error Log'!$A$1:$J$1,0)))</f>
        <v/>
      </c>
      <c r="D367" s="68">
        <f>IF(H367=0,wdct(TRIM(C367)),0)</f>
        <v>0</v>
      </c>
      <c r="E367" s="68">
        <f>COUNTIFS('Error Log'!$A:$A,$A367,'Error Log'!$J:$J,E$1)</f>
        <v>0</v>
      </c>
      <c r="F367" s="68">
        <f>COUNTIFS('Error Log'!$A:$A,$A367,'Error Log'!$J:$J,F$1)</f>
        <v>0</v>
      </c>
      <c r="G367" s="68">
        <f>COUNTIFS('Error Log'!$A:$A,$A367,'Error Log'!$J:$J,G$1)</f>
        <v>0</v>
      </c>
      <c r="H367" s="68">
        <f>COUNTIFS('Error Log'!$A:$A,$A367,'Error Log'!$F:$F,"Source")</f>
        <v>0</v>
      </c>
      <c r="I367" s="68">
        <f>COUNTIFS('Error Log'!$A:$A,$A367,'Error Log'!$F:$F,"Target")</f>
        <v>0</v>
      </c>
      <c r="J367" s="69">
        <f t="shared" si="5"/>
        <v>0</v>
      </c>
    </row>
    <row r="368" spans="1:10">
      <c r="A368" s="87"/>
      <c r="B368" s="68" t="str">
        <f>IF(ISBLANK(A368),"",INDEX('Error Log'!$A:$J,MATCH('Scores per segment'!$A368,'Error Log'!$A:$A,0),MATCH('Scores per segment'!B$1,'Error Log'!$A$1:$J$1,0)))</f>
        <v/>
      </c>
      <c r="C368" s="68" t="str">
        <f>IF(ISBLANK(A368),"",INDEX('Error Log'!$A:$J,MATCH('Scores per segment'!$A368,'Error Log'!$A:$A,0),MATCH('Scores per segment'!C$1,'Error Log'!$A$1:$J$1,0)))</f>
        <v/>
      </c>
      <c r="D368" s="68">
        <f>IF(H368=0,wdct(TRIM(C368)),0)</f>
        <v>0</v>
      </c>
      <c r="E368" s="68">
        <f>COUNTIFS('Error Log'!$A:$A,$A368,'Error Log'!$J:$J,E$1)</f>
        <v>0</v>
      </c>
      <c r="F368" s="68">
        <f>COUNTIFS('Error Log'!$A:$A,$A368,'Error Log'!$J:$J,F$1)</f>
        <v>0</v>
      </c>
      <c r="G368" s="68">
        <f>COUNTIFS('Error Log'!$A:$A,$A368,'Error Log'!$J:$J,G$1)</f>
        <v>0</v>
      </c>
      <c r="H368" s="68">
        <f>COUNTIFS('Error Log'!$A:$A,$A368,'Error Log'!$F:$F,"Source")</f>
        <v>0</v>
      </c>
      <c r="I368" s="68">
        <f>COUNTIFS('Error Log'!$A:$A,$A368,'Error Log'!$F:$F,"Target")</f>
        <v>0</v>
      </c>
      <c r="J368" s="69">
        <f t="shared" si="5"/>
        <v>0</v>
      </c>
    </row>
    <row r="369" spans="1:10">
      <c r="A369" s="87"/>
      <c r="B369" s="68" t="str">
        <f>IF(ISBLANK(A369),"",INDEX('Error Log'!$A:$J,MATCH('Scores per segment'!$A369,'Error Log'!$A:$A,0),MATCH('Scores per segment'!B$1,'Error Log'!$A$1:$J$1,0)))</f>
        <v/>
      </c>
      <c r="C369" s="68" t="str">
        <f>IF(ISBLANK(A369),"",INDEX('Error Log'!$A:$J,MATCH('Scores per segment'!$A369,'Error Log'!$A:$A,0),MATCH('Scores per segment'!C$1,'Error Log'!$A$1:$J$1,0)))</f>
        <v/>
      </c>
      <c r="D369" s="68">
        <f>IF(H369=0,wdct(TRIM(C369)),0)</f>
        <v>0</v>
      </c>
      <c r="E369" s="68">
        <f>COUNTIFS('Error Log'!$A:$A,$A369,'Error Log'!$J:$J,E$1)</f>
        <v>0</v>
      </c>
      <c r="F369" s="68">
        <f>COUNTIFS('Error Log'!$A:$A,$A369,'Error Log'!$J:$J,F$1)</f>
        <v>0</v>
      </c>
      <c r="G369" s="68">
        <f>COUNTIFS('Error Log'!$A:$A,$A369,'Error Log'!$J:$J,G$1)</f>
        <v>0</v>
      </c>
      <c r="H369" s="68">
        <f>COUNTIFS('Error Log'!$A:$A,$A369,'Error Log'!$F:$F,"Source")</f>
        <v>0</v>
      </c>
      <c r="I369" s="68">
        <f>COUNTIFS('Error Log'!$A:$A,$A369,'Error Log'!$F:$F,"Target")</f>
        <v>0</v>
      </c>
      <c r="J369" s="69">
        <f t="shared" si="5"/>
        <v>0</v>
      </c>
    </row>
    <row r="370" spans="1:10">
      <c r="A370" s="87"/>
      <c r="B370" s="68" t="str">
        <f>IF(ISBLANK(A370),"",INDEX('Error Log'!$A:$J,MATCH('Scores per segment'!$A370,'Error Log'!$A:$A,0),MATCH('Scores per segment'!B$1,'Error Log'!$A$1:$J$1,0)))</f>
        <v/>
      </c>
      <c r="C370" s="68" t="str">
        <f>IF(ISBLANK(A370),"",INDEX('Error Log'!$A:$J,MATCH('Scores per segment'!$A370,'Error Log'!$A:$A,0),MATCH('Scores per segment'!C$1,'Error Log'!$A$1:$J$1,0)))</f>
        <v/>
      </c>
      <c r="D370" s="68">
        <f>IF(H370=0,wdct(TRIM(C370)),0)</f>
        <v>0</v>
      </c>
      <c r="E370" s="68">
        <f>COUNTIFS('Error Log'!$A:$A,$A370,'Error Log'!$J:$J,E$1)</f>
        <v>0</v>
      </c>
      <c r="F370" s="68">
        <f>COUNTIFS('Error Log'!$A:$A,$A370,'Error Log'!$J:$J,F$1)</f>
        <v>0</v>
      </c>
      <c r="G370" s="68">
        <f>COUNTIFS('Error Log'!$A:$A,$A370,'Error Log'!$J:$J,G$1)</f>
        <v>0</v>
      </c>
      <c r="H370" s="68">
        <f>COUNTIFS('Error Log'!$A:$A,$A370,'Error Log'!$F:$F,"Source")</f>
        <v>0</v>
      </c>
      <c r="I370" s="68">
        <f>COUNTIFS('Error Log'!$A:$A,$A370,'Error Log'!$F:$F,"Target")</f>
        <v>0</v>
      </c>
      <c r="J370" s="69">
        <f t="shared" si="5"/>
        <v>0</v>
      </c>
    </row>
    <row r="371" spans="1:10">
      <c r="A371" s="87"/>
      <c r="B371" s="68" t="str">
        <f>IF(ISBLANK(A371),"",INDEX('Error Log'!$A:$J,MATCH('Scores per segment'!$A371,'Error Log'!$A:$A,0),MATCH('Scores per segment'!B$1,'Error Log'!$A$1:$J$1,0)))</f>
        <v/>
      </c>
      <c r="C371" s="68" t="str">
        <f>IF(ISBLANK(A371),"",INDEX('Error Log'!$A:$J,MATCH('Scores per segment'!$A371,'Error Log'!$A:$A,0),MATCH('Scores per segment'!C$1,'Error Log'!$A$1:$J$1,0)))</f>
        <v/>
      </c>
      <c r="D371" s="68">
        <f>IF(H371=0,wdct(TRIM(C371)),0)</f>
        <v>0</v>
      </c>
      <c r="E371" s="68">
        <f>COUNTIFS('Error Log'!$A:$A,$A371,'Error Log'!$J:$J,E$1)</f>
        <v>0</v>
      </c>
      <c r="F371" s="68">
        <f>COUNTIFS('Error Log'!$A:$A,$A371,'Error Log'!$J:$J,F$1)</f>
        <v>0</v>
      </c>
      <c r="G371" s="68">
        <f>COUNTIFS('Error Log'!$A:$A,$A371,'Error Log'!$J:$J,G$1)</f>
        <v>0</v>
      </c>
      <c r="H371" s="68">
        <f>COUNTIFS('Error Log'!$A:$A,$A371,'Error Log'!$F:$F,"Source")</f>
        <v>0</v>
      </c>
      <c r="I371" s="68">
        <f>COUNTIFS('Error Log'!$A:$A,$A371,'Error Log'!$F:$F,"Target")</f>
        <v>0</v>
      </c>
      <c r="J371" s="69">
        <f t="shared" si="5"/>
        <v>0</v>
      </c>
    </row>
    <row r="372" spans="1:10">
      <c r="A372" s="87"/>
      <c r="B372" s="68" t="str">
        <f>IF(ISBLANK(A372),"",INDEX('Error Log'!$A:$J,MATCH('Scores per segment'!$A372,'Error Log'!$A:$A,0),MATCH('Scores per segment'!B$1,'Error Log'!$A$1:$J$1,0)))</f>
        <v/>
      </c>
      <c r="C372" s="68" t="str">
        <f>IF(ISBLANK(A372),"",INDEX('Error Log'!$A:$J,MATCH('Scores per segment'!$A372,'Error Log'!$A:$A,0),MATCH('Scores per segment'!C$1,'Error Log'!$A$1:$J$1,0)))</f>
        <v/>
      </c>
      <c r="D372" s="68">
        <f>IF(H372=0,wdct(TRIM(C372)),0)</f>
        <v>0</v>
      </c>
      <c r="E372" s="68">
        <f>COUNTIFS('Error Log'!$A:$A,$A372,'Error Log'!$J:$J,E$1)</f>
        <v>0</v>
      </c>
      <c r="F372" s="68">
        <f>COUNTIFS('Error Log'!$A:$A,$A372,'Error Log'!$J:$J,F$1)</f>
        <v>0</v>
      </c>
      <c r="G372" s="68">
        <f>COUNTIFS('Error Log'!$A:$A,$A372,'Error Log'!$J:$J,G$1)</f>
        <v>0</v>
      </c>
      <c r="H372" s="68">
        <f>COUNTIFS('Error Log'!$A:$A,$A372,'Error Log'!$F:$F,"Source")</f>
        <v>0</v>
      </c>
      <c r="I372" s="68">
        <f>COUNTIFS('Error Log'!$A:$A,$A372,'Error Log'!$F:$F,"Target")</f>
        <v>0</v>
      </c>
      <c r="J372" s="69">
        <f t="shared" si="5"/>
        <v>0</v>
      </c>
    </row>
    <row r="373" spans="1:10">
      <c r="A373" s="87"/>
      <c r="B373" s="68" t="str">
        <f>IF(ISBLANK(A373),"",INDEX('Error Log'!$A:$J,MATCH('Scores per segment'!$A373,'Error Log'!$A:$A,0),MATCH('Scores per segment'!B$1,'Error Log'!$A$1:$J$1,0)))</f>
        <v/>
      </c>
      <c r="C373" s="68" t="str">
        <f>IF(ISBLANK(A373),"",INDEX('Error Log'!$A:$J,MATCH('Scores per segment'!$A373,'Error Log'!$A:$A,0),MATCH('Scores per segment'!C$1,'Error Log'!$A$1:$J$1,0)))</f>
        <v/>
      </c>
      <c r="D373" s="68">
        <f>IF(H373=0,wdct(TRIM(C373)),0)</f>
        <v>0</v>
      </c>
      <c r="E373" s="68">
        <f>COUNTIFS('Error Log'!$A:$A,$A373,'Error Log'!$J:$J,E$1)</f>
        <v>0</v>
      </c>
      <c r="F373" s="68">
        <f>COUNTIFS('Error Log'!$A:$A,$A373,'Error Log'!$J:$J,F$1)</f>
        <v>0</v>
      </c>
      <c r="G373" s="68">
        <f>COUNTIFS('Error Log'!$A:$A,$A373,'Error Log'!$J:$J,G$1)</f>
        <v>0</v>
      </c>
      <c r="H373" s="68">
        <f>COUNTIFS('Error Log'!$A:$A,$A373,'Error Log'!$F:$F,"Source")</f>
        <v>0</v>
      </c>
      <c r="I373" s="68">
        <f>COUNTIFS('Error Log'!$A:$A,$A373,'Error Log'!$F:$F,"Target")</f>
        <v>0</v>
      </c>
      <c r="J373" s="69">
        <f t="shared" si="5"/>
        <v>0</v>
      </c>
    </row>
    <row r="374" spans="1:10">
      <c r="A374" s="87"/>
      <c r="B374" s="68" t="str">
        <f>IF(ISBLANK(A374),"",INDEX('Error Log'!$A:$J,MATCH('Scores per segment'!$A374,'Error Log'!$A:$A,0),MATCH('Scores per segment'!B$1,'Error Log'!$A$1:$J$1,0)))</f>
        <v/>
      </c>
      <c r="C374" s="68" t="str">
        <f>IF(ISBLANK(A374),"",INDEX('Error Log'!$A:$J,MATCH('Scores per segment'!$A374,'Error Log'!$A:$A,0),MATCH('Scores per segment'!C$1,'Error Log'!$A$1:$J$1,0)))</f>
        <v/>
      </c>
      <c r="D374" s="68">
        <f>IF(H374=0,wdct(TRIM(C374)),0)</f>
        <v>0</v>
      </c>
      <c r="E374" s="68">
        <f>COUNTIFS('Error Log'!$A:$A,$A374,'Error Log'!$J:$J,E$1)</f>
        <v>0</v>
      </c>
      <c r="F374" s="68">
        <f>COUNTIFS('Error Log'!$A:$A,$A374,'Error Log'!$J:$J,F$1)</f>
        <v>0</v>
      </c>
      <c r="G374" s="68">
        <f>COUNTIFS('Error Log'!$A:$A,$A374,'Error Log'!$J:$J,G$1)</f>
        <v>0</v>
      </c>
      <c r="H374" s="68">
        <f>COUNTIFS('Error Log'!$A:$A,$A374,'Error Log'!$F:$F,"Source")</f>
        <v>0</v>
      </c>
      <c r="I374" s="68">
        <f>COUNTIFS('Error Log'!$A:$A,$A374,'Error Log'!$F:$F,"Target")</f>
        <v>0</v>
      </c>
      <c r="J374" s="69">
        <f t="shared" si="5"/>
        <v>0</v>
      </c>
    </row>
    <row r="375" spans="1:10">
      <c r="A375" s="87"/>
      <c r="B375" s="68" t="str">
        <f>IF(ISBLANK(A375),"",INDEX('Error Log'!$A:$J,MATCH('Scores per segment'!$A375,'Error Log'!$A:$A,0),MATCH('Scores per segment'!B$1,'Error Log'!$A$1:$J$1,0)))</f>
        <v/>
      </c>
      <c r="C375" s="68" t="str">
        <f>IF(ISBLANK(A375),"",INDEX('Error Log'!$A:$J,MATCH('Scores per segment'!$A375,'Error Log'!$A:$A,0),MATCH('Scores per segment'!C$1,'Error Log'!$A$1:$J$1,0)))</f>
        <v/>
      </c>
      <c r="D375" s="68">
        <f>IF(H375=0,wdct(TRIM(C375)),0)</f>
        <v>0</v>
      </c>
      <c r="E375" s="68">
        <f>COUNTIFS('Error Log'!$A:$A,$A375,'Error Log'!$J:$J,E$1)</f>
        <v>0</v>
      </c>
      <c r="F375" s="68">
        <f>COUNTIFS('Error Log'!$A:$A,$A375,'Error Log'!$J:$J,F$1)</f>
        <v>0</v>
      </c>
      <c r="G375" s="68">
        <f>COUNTIFS('Error Log'!$A:$A,$A375,'Error Log'!$J:$J,G$1)</f>
        <v>0</v>
      </c>
      <c r="H375" s="68">
        <f>COUNTIFS('Error Log'!$A:$A,$A375,'Error Log'!$F:$F,"Source")</f>
        <v>0</v>
      </c>
      <c r="I375" s="68">
        <f>COUNTIFS('Error Log'!$A:$A,$A375,'Error Log'!$F:$F,"Target")</f>
        <v>0</v>
      </c>
      <c r="J375" s="69">
        <f t="shared" si="5"/>
        <v>0</v>
      </c>
    </row>
    <row r="376" spans="1:10">
      <c r="A376" s="87"/>
      <c r="B376" s="68" t="str">
        <f>IF(ISBLANK(A376),"",INDEX('Error Log'!$A:$J,MATCH('Scores per segment'!$A376,'Error Log'!$A:$A,0),MATCH('Scores per segment'!B$1,'Error Log'!$A$1:$J$1,0)))</f>
        <v/>
      </c>
      <c r="C376" s="68" t="str">
        <f>IF(ISBLANK(A376),"",INDEX('Error Log'!$A:$J,MATCH('Scores per segment'!$A376,'Error Log'!$A:$A,0),MATCH('Scores per segment'!C$1,'Error Log'!$A$1:$J$1,0)))</f>
        <v/>
      </c>
      <c r="D376" s="68">
        <f>IF(H376=0,wdct(TRIM(C376)),0)</f>
        <v>0</v>
      </c>
      <c r="E376" s="68">
        <f>COUNTIFS('Error Log'!$A:$A,$A376,'Error Log'!$J:$J,E$1)</f>
        <v>0</v>
      </c>
      <c r="F376" s="68">
        <f>COUNTIFS('Error Log'!$A:$A,$A376,'Error Log'!$J:$J,F$1)</f>
        <v>0</v>
      </c>
      <c r="G376" s="68">
        <f>COUNTIFS('Error Log'!$A:$A,$A376,'Error Log'!$J:$J,G$1)</f>
        <v>0</v>
      </c>
      <c r="H376" s="68">
        <f>COUNTIFS('Error Log'!$A:$A,$A376,'Error Log'!$F:$F,"Source")</f>
        <v>0</v>
      </c>
      <c r="I376" s="68">
        <f>COUNTIFS('Error Log'!$A:$A,$A376,'Error Log'!$F:$F,"Target")</f>
        <v>0</v>
      </c>
      <c r="J376" s="69">
        <f t="shared" si="5"/>
        <v>0</v>
      </c>
    </row>
    <row r="377" spans="1:10">
      <c r="A377" s="87"/>
      <c r="B377" s="68" t="str">
        <f>IF(ISBLANK(A377),"",INDEX('Error Log'!$A:$J,MATCH('Scores per segment'!$A377,'Error Log'!$A:$A,0),MATCH('Scores per segment'!B$1,'Error Log'!$A$1:$J$1,0)))</f>
        <v/>
      </c>
      <c r="C377" s="68" t="str">
        <f>IF(ISBLANK(A377),"",INDEX('Error Log'!$A:$J,MATCH('Scores per segment'!$A377,'Error Log'!$A:$A,0),MATCH('Scores per segment'!C$1,'Error Log'!$A$1:$J$1,0)))</f>
        <v/>
      </c>
      <c r="D377" s="68">
        <f>IF(H377=0,wdct(TRIM(C377)),0)</f>
        <v>0</v>
      </c>
      <c r="E377" s="68">
        <f>COUNTIFS('Error Log'!$A:$A,$A377,'Error Log'!$J:$J,E$1)</f>
        <v>0</v>
      </c>
      <c r="F377" s="68">
        <f>COUNTIFS('Error Log'!$A:$A,$A377,'Error Log'!$J:$J,F$1)</f>
        <v>0</v>
      </c>
      <c r="G377" s="68">
        <f>COUNTIFS('Error Log'!$A:$A,$A377,'Error Log'!$J:$J,G$1)</f>
        <v>0</v>
      </c>
      <c r="H377" s="68">
        <f>COUNTIFS('Error Log'!$A:$A,$A377,'Error Log'!$F:$F,"Source")</f>
        <v>0</v>
      </c>
      <c r="I377" s="68">
        <f>COUNTIFS('Error Log'!$A:$A,$A377,'Error Log'!$F:$F,"Target")</f>
        <v>0</v>
      </c>
      <c r="J377" s="69">
        <f t="shared" si="5"/>
        <v>0</v>
      </c>
    </row>
    <row r="378" spans="1:10">
      <c r="A378" s="87"/>
      <c r="B378" s="68" t="str">
        <f>IF(ISBLANK(A378),"",INDEX('Error Log'!$A:$J,MATCH('Scores per segment'!$A378,'Error Log'!$A:$A,0),MATCH('Scores per segment'!B$1,'Error Log'!$A$1:$J$1,0)))</f>
        <v/>
      </c>
      <c r="C378" s="68" t="str">
        <f>IF(ISBLANK(A378),"",INDEX('Error Log'!$A:$J,MATCH('Scores per segment'!$A378,'Error Log'!$A:$A,0),MATCH('Scores per segment'!C$1,'Error Log'!$A$1:$J$1,0)))</f>
        <v/>
      </c>
      <c r="D378" s="68">
        <f>IF(H378=0,wdct(TRIM(C378)),0)</f>
        <v>0</v>
      </c>
      <c r="E378" s="68">
        <f>COUNTIFS('Error Log'!$A:$A,$A378,'Error Log'!$J:$J,E$1)</f>
        <v>0</v>
      </c>
      <c r="F378" s="68">
        <f>COUNTIFS('Error Log'!$A:$A,$A378,'Error Log'!$J:$J,F$1)</f>
        <v>0</v>
      </c>
      <c r="G378" s="68">
        <f>COUNTIFS('Error Log'!$A:$A,$A378,'Error Log'!$J:$J,G$1)</f>
        <v>0</v>
      </c>
      <c r="H378" s="68">
        <f>COUNTIFS('Error Log'!$A:$A,$A378,'Error Log'!$F:$F,"Source")</f>
        <v>0</v>
      </c>
      <c r="I378" s="68">
        <f>COUNTIFS('Error Log'!$A:$A,$A378,'Error Log'!$F:$F,"Target")</f>
        <v>0</v>
      </c>
      <c r="J378" s="69">
        <f t="shared" si="5"/>
        <v>0</v>
      </c>
    </row>
    <row r="379" spans="1:10">
      <c r="A379" s="87"/>
      <c r="B379" s="68" t="str">
        <f>IF(ISBLANK(A379),"",INDEX('Error Log'!$A:$J,MATCH('Scores per segment'!$A379,'Error Log'!$A:$A,0),MATCH('Scores per segment'!B$1,'Error Log'!$A$1:$J$1,0)))</f>
        <v/>
      </c>
      <c r="C379" s="68" t="str">
        <f>IF(ISBLANK(A379),"",INDEX('Error Log'!$A:$J,MATCH('Scores per segment'!$A379,'Error Log'!$A:$A,0),MATCH('Scores per segment'!C$1,'Error Log'!$A$1:$J$1,0)))</f>
        <v/>
      </c>
      <c r="D379" s="68">
        <f>IF(H379=0,wdct(TRIM(C379)),0)</f>
        <v>0</v>
      </c>
      <c r="E379" s="68">
        <f>COUNTIFS('Error Log'!$A:$A,$A379,'Error Log'!$J:$J,E$1)</f>
        <v>0</v>
      </c>
      <c r="F379" s="68">
        <f>COUNTIFS('Error Log'!$A:$A,$A379,'Error Log'!$J:$J,F$1)</f>
        <v>0</v>
      </c>
      <c r="G379" s="68">
        <f>COUNTIFS('Error Log'!$A:$A,$A379,'Error Log'!$J:$J,G$1)</f>
        <v>0</v>
      </c>
      <c r="H379" s="68">
        <f>COUNTIFS('Error Log'!$A:$A,$A379,'Error Log'!$F:$F,"Source")</f>
        <v>0</v>
      </c>
      <c r="I379" s="68">
        <f>COUNTIFS('Error Log'!$A:$A,$A379,'Error Log'!$F:$F,"Target")</f>
        <v>0</v>
      </c>
      <c r="J379" s="69">
        <f t="shared" si="5"/>
        <v>0</v>
      </c>
    </row>
    <row r="380" spans="1:10">
      <c r="A380" s="87"/>
      <c r="B380" s="68" t="str">
        <f>IF(ISBLANK(A380),"",INDEX('Error Log'!$A:$J,MATCH('Scores per segment'!$A380,'Error Log'!$A:$A,0),MATCH('Scores per segment'!B$1,'Error Log'!$A$1:$J$1,0)))</f>
        <v/>
      </c>
      <c r="C380" s="68" t="str">
        <f>IF(ISBLANK(A380),"",INDEX('Error Log'!$A:$J,MATCH('Scores per segment'!$A380,'Error Log'!$A:$A,0),MATCH('Scores per segment'!C$1,'Error Log'!$A$1:$J$1,0)))</f>
        <v/>
      </c>
      <c r="D380" s="68">
        <f>IF(H380=0,wdct(TRIM(C380)),0)</f>
        <v>0</v>
      </c>
      <c r="E380" s="68">
        <f>COUNTIFS('Error Log'!$A:$A,$A380,'Error Log'!$J:$J,E$1)</f>
        <v>0</v>
      </c>
      <c r="F380" s="68">
        <f>COUNTIFS('Error Log'!$A:$A,$A380,'Error Log'!$J:$J,F$1)</f>
        <v>0</v>
      </c>
      <c r="G380" s="68">
        <f>COUNTIFS('Error Log'!$A:$A,$A380,'Error Log'!$J:$J,G$1)</f>
        <v>0</v>
      </c>
      <c r="H380" s="68">
        <f>COUNTIFS('Error Log'!$A:$A,$A380,'Error Log'!$F:$F,"Source")</f>
        <v>0</v>
      </c>
      <c r="I380" s="68">
        <f>COUNTIFS('Error Log'!$A:$A,$A380,'Error Log'!$F:$F,"Target")</f>
        <v>0</v>
      </c>
      <c r="J380" s="69">
        <f t="shared" si="5"/>
        <v>0</v>
      </c>
    </row>
    <row r="381" spans="1:10">
      <c r="A381" s="87"/>
      <c r="B381" s="68" t="str">
        <f>IF(ISBLANK(A381),"",INDEX('Error Log'!$A:$J,MATCH('Scores per segment'!$A381,'Error Log'!$A:$A,0),MATCH('Scores per segment'!B$1,'Error Log'!$A$1:$J$1,0)))</f>
        <v/>
      </c>
      <c r="C381" s="68" t="str">
        <f>IF(ISBLANK(A381),"",INDEX('Error Log'!$A:$J,MATCH('Scores per segment'!$A381,'Error Log'!$A:$A,0),MATCH('Scores per segment'!C$1,'Error Log'!$A$1:$J$1,0)))</f>
        <v/>
      </c>
      <c r="D381" s="68">
        <f>IF(H381=0,wdct(TRIM(C381)),0)</f>
        <v>0</v>
      </c>
      <c r="E381" s="68">
        <f>COUNTIFS('Error Log'!$A:$A,$A381,'Error Log'!$J:$J,E$1)</f>
        <v>0</v>
      </c>
      <c r="F381" s="68">
        <f>COUNTIFS('Error Log'!$A:$A,$A381,'Error Log'!$J:$J,F$1)</f>
        <v>0</v>
      </c>
      <c r="G381" s="68">
        <f>COUNTIFS('Error Log'!$A:$A,$A381,'Error Log'!$J:$J,G$1)</f>
        <v>0</v>
      </c>
      <c r="H381" s="68">
        <f>COUNTIFS('Error Log'!$A:$A,$A381,'Error Log'!$F:$F,"Source")</f>
        <v>0</v>
      </c>
      <c r="I381" s="68">
        <f>COUNTIFS('Error Log'!$A:$A,$A381,'Error Log'!$F:$F,"Target")</f>
        <v>0</v>
      </c>
      <c r="J381" s="69">
        <f t="shared" si="5"/>
        <v>0</v>
      </c>
    </row>
    <row r="382" spans="1:10">
      <c r="A382" s="87"/>
      <c r="B382" s="68" t="str">
        <f>IF(ISBLANK(A382),"",INDEX('Error Log'!$A:$J,MATCH('Scores per segment'!$A382,'Error Log'!$A:$A,0),MATCH('Scores per segment'!B$1,'Error Log'!$A$1:$J$1,0)))</f>
        <v/>
      </c>
      <c r="C382" s="68" t="str">
        <f>IF(ISBLANK(A382),"",INDEX('Error Log'!$A:$J,MATCH('Scores per segment'!$A382,'Error Log'!$A:$A,0),MATCH('Scores per segment'!C$1,'Error Log'!$A$1:$J$1,0)))</f>
        <v/>
      </c>
      <c r="D382" s="68">
        <f>IF(H382=0,wdct(TRIM(C382)),0)</f>
        <v>0</v>
      </c>
      <c r="E382" s="68">
        <f>COUNTIFS('Error Log'!$A:$A,$A382,'Error Log'!$J:$J,E$1)</f>
        <v>0</v>
      </c>
      <c r="F382" s="68">
        <f>COUNTIFS('Error Log'!$A:$A,$A382,'Error Log'!$J:$J,F$1)</f>
        <v>0</v>
      </c>
      <c r="G382" s="68">
        <f>COUNTIFS('Error Log'!$A:$A,$A382,'Error Log'!$J:$J,G$1)</f>
        <v>0</v>
      </c>
      <c r="H382" s="68">
        <f>COUNTIFS('Error Log'!$A:$A,$A382,'Error Log'!$F:$F,"Source")</f>
        <v>0</v>
      </c>
      <c r="I382" s="68">
        <f>COUNTIFS('Error Log'!$A:$A,$A382,'Error Log'!$F:$F,"Target")</f>
        <v>0</v>
      </c>
      <c r="J382" s="69">
        <f t="shared" si="5"/>
        <v>0</v>
      </c>
    </row>
    <row r="383" spans="1:10">
      <c r="A383" s="87"/>
      <c r="B383" s="68" t="str">
        <f>IF(ISBLANK(A383),"",INDEX('Error Log'!$A:$J,MATCH('Scores per segment'!$A383,'Error Log'!$A:$A,0),MATCH('Scores per segment'!B$1,'Error Log'!$A$1:$J$1,0)))</f>
        <v/>
      </c>
      <c r="C383" s="68" t="str">
        <f>IF(ISBLANK(A383),"",INDEX('Error Log'!$A:$J,MATCH('Scores per segment'!$A383,'Error Log'!$A:$A,0),MATCH('Scores per segment'!C$1,'Error Log'!$A$1:$J$1,0)))</f>
        <v/>
      </c>
      <c r="D383" s="68">
        <f>IF(H383=0,wdct(TRIM(C383)),0)</f>
        <v>0</v>
      </c>
      <c r="E383" s="68">
        <f>COUNTIFS('Error Log'!$A:$A,$A383,'Error Log'!$J:$J,E$1)</f>
        <v>0</v>
      </c>
      <c r="F383" s="68">
        <f>COUNTIFS('Error Log'!$A:$A,$A383,'Error Log'!$J:$J,F$1)</f>
        <v>0</v>
      </c>
      <c r="G383" s="68">
        <f>COUNTIFS('Error Log'!$A:$A,$A383,'Error Log'!$J:$J,G$1)</f>
        <v>0</v>
      </c>
      <c r="H383" s="68">
        <f>COUNTIFS('Error Log'!$A:$A,$A383,'Error Log'!$F:$F,"Source")</f>
        <v>0</v>
      </c>
      <c r="I383" s="68">
        <f>COUNTIFS('Error Log'!$A:$A,$A383,'Error Log'!$F:$F,"Target")</f>
        <v>0</v>
      </c>
      <c r="J383" s="69">
        <f t="shared" si="5"/>
        <v>0</v>
      </c>
    </row>
    <row r="384" spans="1:10">
      <c r="A384" s="87"/>
      <c r="B384" s="68" t="str">
        <f>IF(ISBLANK(A384),"",INDEX('Error Log'!$A:$J,MATCH('Scores per segment'!$A384,'Error Log'!$A:$A,0),MATCH('Scores per segment'!B$1,'Error Log'!$A$1:$J$1,0)))</f>
        <v/>
      </c>
      <c r="C384" s="68" t="str">
        <f>IF(ISBLANK(A384),"",INDEX('Error Log'!$A:$J,MATCH('Scores per segment'!$A384,'Error Log'!$A:$A,0),MATCH('Scores per segment'!C$1,'Error Log'!$A$1:$J$1,0)))</f>
        <v/>
      </c>
      <c r="D384" s="68">
        <f>IF(H384=0,wdct(TRIM(C384)),0)</f>
        <v>0</v>
      </c>
      <c r="E384" s="68">
        <f>COUNTIFS('Error Log'!$A:$A,$A384,'Error Log'!$J:$J,E$1)</f>
        <v>0</v>
      </c>
      <c r="F384" s="68">
        <f>COUNTIFS('Error Log'!$A:$A,$A384,'Error Log'!$J:$J,F$1)</f>
        <v>0</v>
      </c>
      <c r="G384" s="68">
        <f>COUNTIFS('Error Log'!$A:$A,$A384,'Error Log'!$J:$J,G$1)</f>
        <v>0</v>
      </c>
      <c r="H384" s="68">
        <f>COUNTIFS('Error Log'!$A:$A,$A384,'Error Log'!$F:$F,"Source")</f>
        <v>0</v>
      </c>
      <c r="I384" s="68">
        <f>COUNTIFS('Error Log'!$A:$A,$A384,'Error Log'!$F:$F,"Target")</f>
        <v>0</v>
      </c>
      <c r="J384" s="69">
        <f t="shared" si="5"/>
        <v>0</v>
      </c>
    </row>
    <row r="385" spans="1:10">
      <c r="A385" s="87"/>
      <c r="B385" s="68" t="str">
        <f>IF(ISBLANK(A385),"",INDEX('Error Log'!$A:$J,MATCH('Scores per segment'!$A385,'Error Log'!$A:$A,0),MATCH('Scores per segment'!B$1,'Error Log'!$A$1:$J$1,0)))</f>
        <v/>
      </c>
      <c r="C385" s="68" t="str">
        <f>IF(ISBLANK(A385),"",INDEX('Error Log'!$A:$J,MATCH('Scores per segment'!$A385,'Error Log'!$A:$A,0),MATCH('Scores per segment'!C$1,'Error Log'!$A$1:$J$1,0)))</f>
        <v/>
      </c>
      <c r="D385" s="68">
        <f>IF(H385=0,wdct(TRIM(C385)),0)</f>
        <v>0</v>
      </c>
      <c r="E385" s="68">
        <f>COUNTIFS('Error Log'!$A:$A,$A385,'Error Log'!$J:$J,E$1)</f>
        <v>0</v>
      </c>
      <c r="F385" s="68">
        <f>COUNTIFS('Error Log'!$A:$A,$A385,'Error Log'!$J:$J,F$1)</f>
        <v>0</v>
      </c>
      <c r="G385" s="68">
        <f>COUNTIFS('Error Log'!$A:$A,$A385,'Error Log'!$J:$J,G$1)</f>
        <v>0</v>
      </c>
      <c r="H385" s="68">
        <f>COUNTIFS('Error Log'!$A:$A,$A385,'Error Log'!$F:$F,"Source")</f>
        <v>0</v>
      </c>
      <c r="I385" s="68">
        <f>COUNTIFS('Error Log'!$A:$A,$A385,'Error Log'!$F:$F,"Target")</f>
        <v>0</v>
      </c>
      <c r="J385" s="69">
        <f t="shared" si="5"/>
        <v>0</v>
      </c>
    </row>
    <row r="386" spans="1:10">
      <c r="A386" s="87"/>
      <c r="B386" s="68" t="str">
        <f>IF(ISBLANK(A386),"",INDEX('Error Log'!$A:$J,MATCH('Scores per segment'!$A386,'Error Log'!$A:$A,0),MATCH('Scores per segment'!B$1,'Error Log'!$A$1:$J$1,0)))</f>
        <v/>
      </c>
      <c r="C386" s="68" t="str">
        <f>IF(ISBLANK(A386),"",INDEX('Error Log'!$A:$J,MATCH('Scores per segment'!$A386,'Error Log'!$A:$A,0),MATCH('Scores per segment'!C$1,'Error Log'!$A$1:$J$1,0)))</f>
        <v/>
      </c>
      <c r="D386" s="68">
        <f>IF(H386=0,wdct(TRIM(C386)),0)</f>
        <v>0</v>
      </c>
      <c r="E386" s="68">
        <f>COUNTIFS('Error Log'!$A:$A,$A386,'Error Log'!$J:$J,E$1)</f>
        <v>0</v>
      </c>
      <c r="F386" s="68">
        <f>COUNTIFS('Error Log'!$A:$A,$A386,'Error Log'!$J:$J,F$1)</f>
        <v>0</v>
      </c>
      <c r="G386" s="68">
        <f>COUNTIFS('Error Log'!$A:$A,$A386,'Error Log'!$J:$J,G$1)</f>
        <v>0</v>
      </c>
      <c r="H386" s="68">
        <f>COUNTIFS('Error Log'!$A:$A,$A386,'Error Log'!$F:$F,"Source")</f>
        <v>0</v>
      </c>
      <c r="I386" s="68">
        <f>COUNTIFS('Error Log'!$A:$A,$A386,'Error Log'!$F:$F,"Target")</f>
        <v>0</v>
      </c>
      <c r="J386" s="69">
        <f t="shared" ref="J386:J449" si="6">IF(I386=0,IFERROR((((1-((E386*10+F386*5+G386*1)/D386))*100)+100)/2,0),-150)</f>
        <v>0</v>
      </c>
    </row>
    <row r="387" spans="1:10">
      <c r="A387" s="87"/>
      <c r="B387" s="68" t="str">
        <f>IF(ISBLANK(A387),"",INDEX('Error Log'!$A:$J,MATCH('Scores per segment'!$A387,'Error Log'!$A:$A,0),MATCH('Scores per segment'!B$1,'Error Log'!$A$1:$J$1,0)))</f>
        <v/>
      </c>
      <c r="C387" s="68" t="str">
        <f>IF(ISBLANK(A387),"",INDEX('Error Log'!$A:$J,MATCH('Scores per segment'!$A387,'Error Log'!$A:$A,0),MATCH('Scores per segment'!C$1,'Error Log'!$A$1:$J$1,0)))</f>
        <v/>
      </c>
      <c r="D387" s="68">
        <f>IF(H387=0,wdct(TRIM(C387)),0)</f>
        <v>0</v>
      </c>
      <c r="E387" s="68">
        <f>COUNTIFS('Error Log'!$A:$A,$A387,'Error Log'!$J:$J,E$1)</f>
        <v>0</v>
      </c>
      <c r="F387" s="68">
        <f>COUNTIFS('Error Log'!$A:$A,$A387,'Error Log'!$J:$J,F$1)</f>
        <v>0</v>
      </c>
      <c r="G387" s="68">
        <f>COUNTIFS('Error Log'!$A:$A,$A387,'Error Log'!$J:$J,G$1)</f>
        <v>0</v>
      </c>
      <c r="H387" s="68">
        <f>COUNTIFS('Error Log'!$A:$A,$A387,'Error Log'!$F:$F,"Source")</f>
        <v>0</v>
      </c>
      <c r="I387" s="68">
        <f>COUNTIFS('Error Log'!$A:$A,$A387,'Error Log'!$F:$F,"Target")</f>
        <v>0</v>
      </c>
      <c r="J387" s="69">
        <f t="shared" si="6"/>
        <v>0</v>
      </c>
    </row>
    <row r="388" spans="1:10">
      <c r="A388" s="87"/>
      <c r="B388" s="68" t="str">
        <f>IF(ISBLANK(A388),"",INDEX('Error Log'!$A:$J,MATCH('Scores per segment'!$A388,'Error Log'!$A:$A,0),MATCH('Scores per segment'!B$1,'Error Log'!$A$1:$J$1,0)))</f>
        <v/>
      </c>
      <c r="C388" s="68" t="str">
        <f>IF(ISBLANK(A388),"",INDEX('Error Log'!$A:$J,MATCH('Scores per segment'!$A388,'Error Log'!$A:$A,0),MATCH('Scores per segment'!C$1,'Error Log'!$A$1:$J$1,0)))</f>
        <v/>
      </c>
      <c r="D388" s="68">
        <f>IF(H388=0,wdct(TRIM(C388)),0)</f>
        <v>0</v>
      </c>
      <c r="E388" s="68">
        <f>COUNTIFS('Error Log'!$A:$A,$A388,'Error Log'!$J:$J,E$1)</f>
        <v>0</v>
      </c>
      <c r="F388" s="68">
        <f>COUNTIFS('Error Log'!$A:$A,$A388,'Error Log'!$J:$J,F$1)</f>
        <v>0</v>
      </c>
      <c r="G388" s="68">
        <f>COUNTIFS('Error Log'!$A:$A,$A388,'Error Log'!$J:$J,G$1)</f>
        <v>0</v>
      </c>
      <c r="H388" s="68">
        <f>COUNTIFS('Error Log'!$A:$A,$A388,'Error Log'!$F:$F,"Source")</f>
        <v>0</v>
      </c>
      <c r="I388" s="68">
        <f>COUNTIFS('Error Log'!$A:$A,$A388,'Error Log'!$F:$F,"Target")</f>
        <v>0</v>
      </c>
      <c r="J388" s="69">
        <f t="shared" si="6"/>
        <v>0</v>
      </c>
    </row>
    <row r="389" spans="1:10">
      <c r="A389" s="87"/>
      <c r="B389" s="68" t="str">
        <f>IF(ISBLANK(A389),"",INDEX('Error Log'!$A:$J,MATCH('Scores per segment'!$A389,'Error Log'!$A:$A,0),MATCH('Scores per segment'!B$1,'Error Log'!$A$1:$J$1,0)))</f>
        <v/>
      </c>
      <c r="C389" s="68" t="str">
        <f>IF(ISBLANK(A389),"",INDEX('Error Log'!$A:$J,MATCH('Scores per segment'!$A389,'Error Log'!$A:$A,0),MATCH('Scores per segment'!C$1,'Error Log'!$A$1:$J$1,0)))</f>
        <v/>
      </c>
      <c r="D389" s="68">
        <f>IF(H389=0,wdct(TRIM(C389)),0)</f>
        <v>0</v>
      </c>
      <c r="E389" s="68">
        <f>COUNTIFS('Error Log'!$A:$A,$A389,'Error Log'!$J:$J,E$1)</f>
        <v>0</v>
      </c>
      <c r="F389" s="68">
        <f>COUNTIFS('Error Log'!$A:$A,$A389,'Error Log'!$J:$J,F$1)</f>
        <v>0</v>
      </c>
      <c r="G389" s="68">
        <f>COUNTIFS('Error Log'!$A:$A,$A389,'Error Log'!$J:$J,G$1)</f>
        <v>0</v>
      </c>
      <c r="H389" s="68">
        <f>COUNTIFS('Error Log'!$A:$A,$A389,'Error Log'!$F:$F,"Source")</f>
        <v>0</v>
      </c>
      <c r="I389" s="68">
        <f>COUNTIFS('Error Log'!$A:$A,$A389,'Error Log'!$F:$F,"Target")</f>
        <v>0</v>
      </c>
      <c r="J389" s="69">
        <f t="shared" si="6"/>
        <v>0</v>
      </c>
    </row>
    <row r="390" spans="1:10">
      <c r="A390" s="87"/>
      <c r="B390" s="68" t="str">
        <f>IF(ISBLANK(A390),"",INDEX('Error Log'!$A:$J,MATCH('Scores per segment'!$A390,'Error Log'!$A:$A,0),MATCH('Scores per segment'!B$1,'Error Log'!$A$1:$J$1,0)))</f>
        <v/>
      </c>
      <c r="C390" s="68" t="str">
        <f>IF(ISBLANK(A390),"",INDEX('Error Log'!$A:$J,MATCH('Scores per segment'!$A390,'Error Log'!$A:$A,0),MATCH('Scores per segment'!C$1,'Error Log'!$A$1:$J$1,0)))</f>
        <v/>
      </c>
      <c r="D390" s="68">
        <f>IF(H390=0,wdct(TRIM(C390)),0)</f>
        <v>0</v>
      </c>
      <c r="E390" s="68">
        <f>COUNTIFS('Error Log'!$A:$A,$A390,'Error Log'!$J:$J,E$1)</f>
        <v>0</v>
      </c>
      <c r="F390" s="68">
        <f>COUNTIFS('Error Log'!$A:$A,$A390,'Error Log'!$J:$J,F$1)</f>
        <v>0</v>
      </c>
      <c r="G390" s="68">
        <f>COUNTIFS('Error Log'!$A:$A,$A390,'Error Log'!$J:$J,G$1)</f>
        <v>0</v>
      </c>
      <c r="H390" s="68">
        <f>COUNTIFS('Error Log'!$A:$A,$A390,'Error Log'!$F:$F,"Source")</f>
        <v>0</v>
      </c>
      <c r="I390" s="68">
        <f>COUNTIFS('Error Log'!$A:$A,$A390,'Error Log'!$F:$F,"Target")</f>
        <v>0</v>
      </c>
      <c r="J390" s="69">
        <f t="shared" si="6"/>
        <v>0</v>
      </c>
    </row>
    <row r="391" spans="1:10">
      <c r="A391" s="87"/>
      <c r="B391" s="68" t="str">
        <f>IF(ISBLANK(A391),"",INDEX('Error Log'!$A:$J,MATCH('Scores per segment'!$A391,'Error Log'!$A:$A,0),MATCH('Scores per segment'!B$1,'Error Log'!$A$1:$J$1,0)))</f>
        <v/>
      </c>
      <c r="C391" s="68" t="str">
        <f>IF(ISBLANK(A391),"",INDEX('Error Log'!$A:$J,MATCH('Scores per segment'!$A391,'Error Log'!$A:$A,0),MATCH('Scores per segment'!C$1,'Error Log'!$A$1:$J$1,0)))</f>
        <v/>
      </c>
      <c r="D391" s="68">
        <f>IF(H391=0,wdct(TRIM(C391)),0)</f>
        <v>0</v>
      </c>
      <c r="E391" s="68">
        <f>COUNTIFS('Error Log'!$A:$A,$A391,'Error Log'!$J:$J,E$1)</f>
        <v>0</v>
      </c>
      <c r="F391" s="68">
        <f>COUNTIFS('Error Log'!$A:$A,$A391,'Error Log'!$J:$J,F$1)</f>
        <v>0</v>
      </c>
      <c r="G391" s="68">
        <f>COUNTIFS('Error Log'!$A:$A,$A391,'Error Log'!$J:$J,G$1)</f>
        <v>0</v>
      </c>
      <c r="H391" s="68">
        <f>COUNTIFS('Error Log'!$A:$A,$A391,'Error Log'!$F:$F,"Source")</f>
        <v>0</v>
      </c>
      <c r="I391" s="68">
        <f>COUNTIFS('Error Log'!$A:$A,$A391,'Error Log'!$F:$F,"Target")</f>
        <v>0</v>
      </c>
      <c r="J391" s="69">
        <f t="shared" si="6"/>
        <v>0</v>
      </c>
    </row>
    <row r="392" spans="1:10">
      <c r="A392" s="87"/>
      <c r="B392" s="68" t="str">
        <f>IF(ISBLANK(A392),"",INDEX('Error Log'!$A:$J,MATCH('Scores per segment'!$A392,'Error Log'!$A:$A,0),MATCH('Scores per segment'!B$1,'Error Log'!$A$1:$J$1,0)))</f>
        <v/>
      </c>
      <c r="C392" s="68" t="str">
        <f>IF(ISBLANK(A392),"",INDEX('Error Log'!$A:$J,MATCH('Scores per segment'!$A392,'Error Log'!$A:$A,0),MATCH('Scores per segment'!C$1,'Error Log'!$A$1:$J$1,0)))</f>
        <v/>
      </c>
      <c r="D392" s="68">
        <f>IF(H392=0,wdct(TRIM(C392)),0)</f>
        <v>0</v>
      </c>
      <c r="E392" s="68">
        <f>COUNTIFS('Error Log'!$A:$A,$A392,'Error Log'!$J:$J,E$1)</f>
        <v>0</v>
      </c>
      <c r="F392" s="68">
        <f>COUNTIFS('Error Log'!$A:$A,$A392,'Error Log'!$J:$J,F$1)</f>
        <v>0</v>
      </c>
      <c r="G392" s="68">
        <f>COUNTIFS('Error Log'!$A:$A,$A392,'Error Log'!$J:$J,G$1)</f>
        <v>0</v>
      </c>
      <c r="H392" s="68">
        <f>COUNTIFS('Error Log'!$A:$A,$A392,'Error Log'!$F:$F,"Source")</f>
        <v>0</v>
      </c>
      <c r="I392" s="68">
        <f>COUNTIFS('Error Log'!$A:$A,$A392,'Error Log'!$F:$F,"Target")</f>
        <v>0</v>
      </c>
      <c r="J392" s="69">
        <f t="shared" si="6"/>
        <v>0</v>
      </c>
    </row>
    <row r="393" spans="1:10">
      <c r="A393" s="87"/>
      <c r="B393" s="68" t="str">
        <f>IF(ISBLANK(A393),"",INDEX('Error Log'!$A:$J,MATCH('Scores per segment'!$A393,'Error Log'!$A:$A,0),MATCH('Scores per segment'!B$1,'Error Log'!$A$1:$J$1,0)))</f>
        <v/>
      </c>
      <c r="C393" s="68" t="str">
        <f>IF(ISBLANK(A393),"",INDEX('Error Log'!$A:$J,MATCH('Scores per segment'!$A393,'Error Log'!$A:$A,0),MATCH('Scores per segment'!C$1,'Error Log'!$A$1:$J$1,0)))</f>
        <v/>
      </c>
      <c r="D393" s="68">
        <f>IF(H393=0,wdct(TRIM(C393)),0)</f>
        <v>0</v>
      </c>
      <c r="E393" s="68">
        <f>COUNTIFS('Error Log'!$A:$A,$A393,'Error Log'!$J:$J,E$1)</f>
        <v>0</v>
      </c>
      <c r="F393" s="68">
        <f>COUNTIFS('Error Log'!$A:$A,$A393,'Error Log'!$J:$J,F$1)</f>
        <v>0</v>
      </c>
      <c r="G393" s="68">
        <f>COUNTIFS('Error Log'!$A:$A,$A393,'Error Log'!$J:$J,G$1)</f>
        <v>0</v>
      </c>
      <c r="H393" s="68">
        <f>COUNTIFS('Error Log'!$A:$A,$A393,'Error Log'!$F:$F,"Source")</f>
        <v>0</v>
      </c>
      <c r="I393" s="68">
        <f>COUNTIFS('Error Log'!$A:$A,$A393,'Error Log'!$F:$F,"Target")</f>
        <v>0</v>
      </c>
      <c r="J393" s="69">
        <f t="shared" si="6"/>
        <v>0</v>
      </c>
    </row>
    <row r="394" spans="1:10">
      <c r="A394" s="87"/>
      <c r="B394" s="68" t="str">
        <f>IF(ISBLANK(A394),"",INDEX('Error Log'!$A:$J,MATCH('Scores per segment'!$A394,'Error Log'!$A:$A,0),MATCH('Scores per segment'!B$1,'Error Log'!$A$1:$J$1,0)))</f>
        <v/>
      </c>
      <c r="C394" s="68" t="str">
        <f>IF(ISBLANK(A394),"",INDEX('Error Log'!$A:$J,MATCH('Scores per segment'!$A394,'Error Log'!$A:$A,0),MATCH('Scores per segment'!C$1,'Error Log'!$A$1:$J$1,0)))</f>
        <v/>
      </c>
      <c r="D394" s="68">
        <f>IF(H394=0,wdct(TRIM(C394)),0)</f>
        <v>0</v>
      </c>
      <c r="E394" s="68">
        <f>COUNTIFS('Error Log'!$A:$A,$A394,'Error Log'!$J:$J,E$1)</f>
        <v>0</v>
      </c>
      <c r="F394" s="68">
        <f>COUNTIFS('Error Log'!$A:$A,$A394,'Error Log'!$J:$J,F$1)</f>
        <v>0</v>
      </c>
      <c r="G394" s="68">
        <f>COUNTIFS('Error Log'!$A:$A,$A394,'Error Log'!$J:$J,G$1)</f>
        <v>0</v>
      </c>
      <c r="H394" s="68">
        <f>COUNTIFS('Error Log'!$A:$A,$A394,'Error Log'!$F:$F,"Source")</f>
        <v>0</v>
      </c>
      <c r="I394" s="68">
        <f>COUNTIFS('Error Log'!$A:$A,$A394,'Error Log'!$F:$F,"Target")</f>
        <v>0</v>
      </c>
      <c r="J394" s="69">
        <f t="shared" si="6"/>
        <v>0</v>
      </c>
    </row>
    <row r="395" spans="1:10">
      <c r="A395" s="87"/>
      <c r="B395" s="68" t="str">
        <f>IF(ISBLANK(A395),"",INDEX('Error Log'!$A:$J,MATCH('Scores per segment'!$A395,'Error Log'!$A:$A,0),MATCH('Scores per segment'!B$1,'Error Log'!$A$1:$J$1,0)))</f>
        <v/>
      </c>
      <c r="C395" s="68" t="str">
        <f>IF(ISBLANK(A395),"",INDEX('Error Log'!$A:$J,MATCH('Scores per segment'!$A395,'Error Log'!$A:$A,0),MATCH('Scores per segment'!C$1,'Error Log'!$A$1:$J$1,0)))</f>
        <v/>
      </c>
      <c r="D395" s="68">
        <f>IF(H395=0,wdct(TRIM(C395)),0)</f>
        <v>0</v>
      </c>
      <c r="E395" s="68">
        <f>COUNTIFS('Error Log'!$A:$A,$A395,'Error Log'!$J:$J,E$1)</f>
        <v>0</v>
      </c>
      <c r="F395" s="68">
        <f>COUNTIFS('Error Log'!$A:$A,$A395,'Error Log'!$J:$J,F$1)</f>
        <v>0</v>
      </c>
      <c r="G395" s="68">
        <f>COUNTIFS('Error Log'!$A:$A,$A395,'Error Log'!$J:$J,G$1)</f>
        <v>0</v>
      </c>
      <c r="H395" s="68">
        <f>COUNTIFS('Error Log'!$A:$A,$A395,'Error Log'!$F:$F,"Source")</f>
        <v>0</v>
      </c>
      <c r="I395" s="68">
        <f>COUNTIFS('Error Log'!$A:$A,$A395,'Error Log'!$F:$F,"Target")</f>
        <v>0</v>
      </c>
      <c r="J395" s="69">
        <f t="shared" si="6"/>
        <v>0</v>
      </c>
    </row>
    <row r="396" spans="1:10">
      <c r="A396" s="87"/>
      <c r="B396" s="68" t="str">
        <f>IF(ISBLANK(A396),"",INDEX('Error Log'!$A:$J,MATCH('Scores per segment'!$A396,'Error Log'!$A:$A,0),MATCH('Scores per segment'!B$1,'Error Log'!$A$1:$J$1,0)))</f>
        <v/>
      </c>
      <c r="C396" s="68" t="str">
        <f>IF(ISBLANK(A396),"",INDEX('Error Log'!$A:$J,MATCH('Scores per segment'!$A396,'Error Log'!$A:$A,0),MATCH('Scores per segment'!C$1,'Error Log'!$A$1:$J$1,0)))</f>
        <v/>
      </c>
      <c r="D396" s="68">
        <f>IF(H396=0,wdct(TRIM(C396)),0)</f>
        <v>0</v>
      </c>
      <c r="E396" s="68">
        <f>COUNTIFS('Error Log'!$A:$A,$A396,'Error Log'!$J:$J,E$1)</f>
        <v>0</v>
      </c>
      <c r="F396" s="68">
        <f>COUNTIFS('Error Log'!$A:$A,$A396,'Error Log'!$J:$J,F$1)</f>
        <v>0</v>
      </c>
      <c r="G396" s="68">
        <f>COUNTIFS('Error Log'!$A:$A,$A396,'Error Log'!$J:$J,G$1)</f>
        <v>0</v>
      </c>
      <c r="H396" s="68">
        <f>COUNTIFS('Error Log'!$A:$A,$A396,'Error Log'!$F:$F,"Source")</f>
        <v>0</v>
      </c>
      <c r="I396" s="68">
        <f>COUNTIFS('Error Log'!$A:$A,$A396,'Error Log'!$F:$F,"Target")</f>
        <v>0</v>
      </c>
      <c r="J396" s="69">
        <f t="shared" si="6"/>
        <v>0</v>
      </c>
    </row>
    <row r="397" spans="1:10">
      <c r="A397" s="87"/>
      <c r="B397" s="68" t="str">
        <f>IF(ISBLANK(A397),"",INDEX('Error Log'!$A:$J,MATCH('Scores per segment'!$A397,'Error Log'!$A:$A,0),MATCH('Scores per segment'!B$1,'Error Log'!$A$1:$J$1,0)))</f>
        <v/>
      </c>
      <c r="C397" s="68" t="str">
        <f>IF(ISBLANK(A397),"",INDEX('Error Log'!$A:$J,MATCH('Scores per segment'!$A397,'Error Log'!$A:$A,0),MATCH('Scores per segment'!C$1,'Error Log'!$A$1:$J$1,0)))</f>
        <v/>
      </c>
      <c r="D397" s="68">
        <f>IF(H397=0,wdct(TRIM(C397)),0)</f>
        <v>0</v>
      </c>
      <c r="E397" s="68">
        <f>COUNTIFS('Error Log'!$A:$A,$A397,'Error Log'!$J:$J,E$1)</f>
        <v>0</v>
      </c>
      <c r="F397" s="68">
        <f>COUNTIFS('Error Log'!$A:$A,$A397,'Error Log'!$J:$J,F$1)</f>
        <v>0</v>
      </c>
      <c r="G397" s="68">
        <f>COUNTIFS('Error Log'!$A:$A,$A397,'Error Log'!$J:$J,G$1)</f>
        <v>0</v>
      </c>
      <c r="H397" s="68">
        <f>COUNTIFS('Error Log'!$A:$A,$A397,'Error Log'!$F:$F,"Source")</f>
        <v>0</v>
      </c>
      <c r="I397" s="68">
        <f>COUNTIFS('Error Log'!$A:$A,$A397,'Error Log'!$F:$F,"Target")</f>
        <v>0</v>
      </c>
      <c r="J397" s="69">
        <f t="shared" si="6"/>
        <v>0</v>
      </c>
    </row>
    <row r="398" spans="1:10">
      <c r="A398" s="87"/>
      <c r="B398" s="68" t="str">
        <f>IF(ISBLANK(A398),"",INDEX('Error Log'!$A:$J,MATCH('Scores per segment'!$A398,'Error Log'!$A:$A,0),MATCH('Scores per segment'!B$1,'Error Log'!$A$1:$J$1,0)))</f>
        <v/>
      </c>
      <c r="C398" s="68" t="str">
        <f>IF(ISBLANK(A398),"",INDEX('Error Log'!$A:$J,MATCH('Scores per segment'!$A398,'Error Log'!$A:$A,0),MATCH('Scores per segment'!C$1,'Error Log'!$A$1:$J$1,0)))</f>
        <v/>
      </c>
      <c r="D398" s="68">
        <f>IF(H398=0,wdct(TRIM(C398)),0)</f>
        <v>0</v>
      </c>
      <c r="E398" s="68">
        <f>COUNTIFS('Error Log'!$A:$A,$A398,'Error Log'!$J:$J,E$1)</f>
        <v>0</v>
      </c>
      <c r="F398" s="68">
        <f>COUNTIFS('Error Log'!$A:$A,$A398,'Error Log'!$J:$J,F$1)</f>
        <v>0</v>
      </c>
      <c r="G398" s="68">
        <f>COUNTIFS('Error Log'!$A:$A,$A398,'Error Log'!$J:$J,G$1)</f>
        <v>0</v>
      </c>
      <c r="H398" s="68">
        <f>COUNTIFS('Error Log'!$A:$A,$A398,'Error Log'!$F:$F,"Source")</f>
        <v>0</v>
      </c>
      <c r="I398" s="68">
        <f>COUNTIFS('Error Log'!$A:$A,$A398,'Error Log'!$F:$F,"Target")</f>
        <v>0</v>
      </c>
      <c r="J398" s="69">
        <f t="shared" si="6"/>
        <v>0</v>
      </c>
    </row>
    <row r="399" spans="1:10">
      <c r="A399" s="87"/>
      <c r="B399" s="68" t="str">
        <f>IF(ISBLANK(A399),"",INDEX('Error Log'!$A:$J,MATCH('Scores per segment'!$A399,'Error Log'!$A:$A,0),MATCH('Scores per segment'!B$1,'Error Log'!$A$1:$J$1,0)))</f>
        <v/>
      </c>
      <c r="C399" s="68" t="str">
        <f>IF(ISBLANK(A399),"",INDEX('Error Log'!$A:$J,MATCH('Scores per segment'!$A399,'Error Log'!$A:$A,0),MATCH('Scores per segment'!C$1,'Error Log'!$A$1:$J$1,0)))</f>
        <v/>
      </c>
      <c r="D399" s="68">
        <f>IF(H399=0,wdct(TRIM(C399)),0)</f>
        <v>0</v>
      </c>
      <c r="E399" s="68">
        <f>COUNTIFS('Error Log'!$A:$A,$A399,'Error Log'!$J:$J,E$1)</f>
        <v>0</v>
      </c>
      <c r="F399" s="68">
        <f>COUNTIFS('Error Log'!$A:$A,$A399,'Error Log'!$J:$J,F$1)</f>
        <v>0</v>
      </c>
      <c r="G399" s="68">
        <f>COUNTIFS('Error Log'!$A:$A,$A399,'Error Log'!$J:$J,G$1)</f>
        <v>0</v>
      </c>
      <c r="H399" s="68">
        <f>COUNTIFS('Error Log'!$A:$A,$A399,'Error Log'!$F:$F,"Source")</f>
        <v>0</v>
      </c>
      <c r="I399" s="68">
        <f>COUNTIFS('Error Log'!$A:$A,$A399,'Error Log'!$F:$F,"Target")</f>
        <v>0</v>
      </c>
      <c r="J399" s="69">
        <f t="shared" si="6"/>
        <v>0</v>
      </c>
    </row>
    <row r="400" spans="1:10">
      <c r="A400" s="87"/>
      <c r="B400" s="68" t="str">
        <f>IF(ISBLANK(A400),"",INDEX('Error Log'!$A:$J,MATCH('Scores per segment'!$A400,'Error Log'!$A:$A,0),MATCH('Scores per segment'!B$1,'Error Log'!$A$1:$J$1,0)))</f>
        <v/>
      </c>
      <c r="C400" s="68" t="str">
        <f>IF(ISBLANK(A400),"",INDEX('Error Log'!$A:$J,MATCH('Scores per segment'!$A400,'Error Log'!$A:$A,0),MATCH('Scores per segment'!C$1,'Error Log'!$A$1:$J$1,0)))</f>
        <v/>
      </c>
      <c r="D400" s="68">
        <f>IF(H400=0,wdct(TRIM(C400)),0)</f>
        <v>0</v>
      </c>
      <c r="E400" s="68">
        <f>COUNTIFS('Error Log'!$A:$A,$A400,'Error Log'!$J:$J,E$1)</f>
        <v>0</v>
      </c>
      <c r="F400" s="68">
        <f>COUNTIFS('Error Log'!$A:$A,$A400,'Error Log'!$J:$J,F$1)</f>
        <v>0</v>
      </c>
      <c r="G400" s="68">
        <f>COUNTIFS('Error Log'!$A:$A,$A400,'Error Log'!$J:$J,G$1)</f>
        <v>0</v>
      </c>
      <c r="H400" s="68">
        <f>COUNTIFS('Error Log'!$A:$A,$A400,'Error Log'!$F:$F,"Source")</f>
        <v>0</v>
      </c>
      <c r="I400" s="68">
        <f>COUNTIFS('Error Log'!$A:$A,$A400,'Error Log'!$F:$F,"Target")</f>
        <v>0</v>
      </c>
      <c r="J400" s="69">
        <f t="shared" si="6"/>
        <v>0</v>
      </c>
    </row>
    <row r="401" spans="1:10">
      <c r="A401" s="87"/>
      <c r="B401" s="68" t="str">
        <f>IF(ISBLANK(A401),"",INDEX('Error Log'!$A:$J,MATCH('Scores per segment'!$A401,'Error Log'!$A:$A,0),MATCH('Scores per segment'!B$1,'Error Log'!$A$1:$J$1,0)))</f>
        <v/>
      </c>
      <c r="C401" s="68" t="str">
        <f>IF(ISBLANK(A401),"",INDEX('Error Log'!$A:$J,MATCH('Scores per segment'!$A401,'Error Log'!$A:$A,0),MATCH('Scores per segment'!C$1,'Error Log'!$A$1:$J$1,0)))</f>
        <v/>
      </c>
      <c r="D401" s="68">
        <f>IF(H401=0,wdct(TRIM(C401)),0)</f>
        <v>0</v>
      </c>
      <c r="E401" s="68">
        <f>COUNTIFS('Error Log'!$A:$A,$A401,'Error Log'!$J:$J,E$1)</f>
        <v>0</v>
      </c>
      <c r="F401" s="68">
        <f>COUNTIFS('Error Log'!$A:$A,$A401,'Error Log'!$J:$J,F$1)</f>
        <v>0</v>
      </c>
      <c r="G401" s="68">
        <f>COUNTIFS('Error Log'!$A:$A,$A401,'Error Log'!$J:$J,G$1)</f>
        <v>0</v>
      </c>
      <c r="H401" s="68">
        <f>COUNTIFS('Error Log'!$A:$A,$A401,'Error Log'!$F:$F,"Source")</f>
        <v>0</v>
      </c>
      <c r="I401" s="68">
        <f>COUNTIFS('Error Log'!$A:$A,$A401,'Error Log'!$F:$F,"Target")</f>
        <v>0</v>
      </c>
      <c r="J401" s="69">
        <f t="shared" si="6"/>
        <v>0</v>
      </c>
    </row>
    <row r="402" spans="1:10">
      <c r="A402" s="87"/>
      <c r="B402" s="68" t="str">
        <f>IF(ISBLANK(A402),"",INDEX('Error Log'!$A:$J,MATCH('Scores per segment'!$A402,'Error Log'!$A:$A,0),MATCH('Scores per segment'!B$1,'Error Log'!$A$1:$J$1,0)))</f>
        <v/>
      </c>
      <c r="C402" s="68" t="str">
        <f>IF(ISBLANK(A402),"",INDEX('Error Log'!$A:$J,MATCH('Scores per segment'!$A402,'Error Log'!$A:$A,0),MATCH('Scores per segment'!C$1,'Error Log'!$A$1:$J$1,0)))</f>
        <v/>
      </c>
      <c r="D402" s="68">
        <f>IF(H402=0,wdct(TRIM(C402)),0)</f>
        <v>0</v>
      </c>
      <c r="E402" s="68">
        <f>COUNTIFS('Error Log'!$A:$A,$A402,'Error Log'!$J:$J,E$1)</f>
        <v>0</v>
      </c>
      <c r="F402" s="68">
        <f>COUNTIFS('Error Log'!$A:$A,$A402,'Error Log'!$J:$J,F$1)</f>
        <v>0</v>
      </c>
      <c r="G402" s="68">
        <f>COUNTIFS('Error Log'!$A:$A,$A402,'Error Log'!$J:$J,G$1)</f>
        <v>0</v>
      </c>
      <c r="H402" s="68">
        <f>COUNTIFS('Error Log'!$A:$A,$A402,'Error Log'!$F:$F,"Source")</f>
        <v>0</v>
      </c>
      <c r="I402" s="68">
        <f>COUNTIFS('Error Log'!$A:$A,$A402,'Error Log'!$F:$F,"Target")</f>
        <v>0</v>
      </c>
      <c r="J402" s="69">
        <f t="shared" si="6"/>
        <v>0</v>
      </c>
    </row>
    <row r="403" spans="1:10">
      <c r="A403" s="87"/>
      <c r="B403" s="68" t="str">
        <f>IF(ISBLANK(A403),"",INDEX('Error Log'!$A:$J,MATCH('Scores per segment'!$A403,'Error Log'!$A:$A,0),MATCH('Scores per segment'!B$1,'Error Log'!$A$1:$J$1,0)))</f>
        <v/>
      </c>
      <c r="C403" s="68" t="str">
        <f>IF(ISBLANK(A403),"",INDEX('Error Log'!$A:$J,MATCH('Scores per segment'!$A403,'Error Log'!$A:$A,0),MATCH('Scores per segment'!C$1,'Error Log'!$A$1:$J$1,0)))</f>
        <v/>
      </c>
      <c r="D403" s="68">
        <f>IF(H403=0,wdct(TRIM(C403)),0)</f>
        <v>0</v>
      </c>
      <c r="E403" s="68">
        <f>COUNTIFS('Error Log'!$A:$A,$A403,'Error Log'!$J:$J,E$1)</f>
        <v>0</v>
      </c>
      <c r="F403" s="68">
        <f>COUNTIFS('Error Log'!$A:$A,$A403,'Error Log'!$J:$J,F$1)</f>
        <v>0</v>
      </c>
      <c r="G403" s="68">
        <f>COUNTIFS('Error Log'!$A:$A,$A403,'Error Log'!$J:$J,G$1)</f>
        <v>0</v>
      </c>
      <c r="H403" s="68">
        <f>COUNTIFS('Error Log'!$A:$A,$A403,'Error Log'!$F:$F,"Source")</f>
        <v>0</v>
      </c>
      <c r="I403" s="68">
        <f>COUNTIFS('Error Log'!$A:$A,$A403,'Error Log'!$F:$F,"Target")</f>
        <v>0</v>
      </c>
      <c r="J403" s="69">
        <f t="shared" si="6"/>
        <v>0</v>
      </c>
    </row>
    <row r="404" spans="1:10">
      <c r="A404" s="87"/>
      <c r="B404" s="68" t="str">
        <f>IF(ISBLANK(A404),"",INDEX('Error Log'!$A:$J,MATCH('Scores per segment'!$A404,'Error Log'!$A:$A,0),MATCH('Scores per segment'!B$1,'Error Log'!$A$1:$J$1,0)))</f>
        <v/>
      </c>
      <c r="C404" s="68" t="str">
        <f>IF(ISBLANK(A404),"",INDEX('Error Log'!$A:$J,MATCH('Scores per segment'!$A404,'Error Log'!$A:$A,0),MATCH('Scores per segment'!C$1,'Error Log'!$A$1:$J$1,0)))</f>
        <v/>
      </c>
      <c r="D404" s="68">
        <f>IF(H404=0,wdct(TRIM(C404)),0)</f>
        <v>0</v>
      </c>
      <c r="E404" s="68">
        <f>COUNTIFS('Error Log'!$A:$A,$A404,'Error Log'!$J:$J,E$1)</f>
        <v>0</v>
      </c>
      <c r="F404" s="68">
        <f>COUNTIFS('Error Log'!$A:$A,$A404,'Error Log'!$J:$J,F$1)</f>
        <v>0</v>
      </c>
      <c r="G404" s="68">
        <f>COUNTIFS('Error Log'!$A:$A,$A404,'Error Log'!$J:$J,G$1)</f>
        <v>0</v>
      </c>
      <c r="H404" s="68">
        <f>COUNTIFS('Error Log'!$A:$A,$A404,'Error Log'!$F:$F,"Source")</f>
        <v>0</v>
      </c>
      <c r="I404" s="68">
        <f>COUNTIFS('Error Log'!$A:$A,$A404,'Error Log'!$F:$F,"Target")</f>
        <v>0</v>
      </c>
      <c r="J404" s="69">
        <f t="shared" si="6"/>
        <v>0</v>
      </c>
    </row>
    <row r="405" spans="1:10">
      <c r="A405" s="87"/>
      <c r="B405" s="68" t="str">
        <f>IF(ISBLANK(A405),"",INDEX('Error Log'!$A:$J,MATCH('Scores per segment'!$A405,'Error Log'!$A:$A,0),MATCH('Scores per segment'!B$1,'Error Log'!$A$1:$J$1,0)))</f>
        <v/>
      </c>
      <c r="C405" s="68" t="str">
        <f>IF(ISBLANK(A405),"",INDEX('Error Log'!$A:$J,MATCH('Scores per segment'!$A405,'Error Log'!$A:$A,0),MATCH('Scores per segment'!C$1,'Error Log'!$A$1:$J$1,0)))</f>
        <v/>
      </c>
      <c r="D405" s="68">
        <f>IF(H405=0,wdct(TRIM(C405)),0)</f>
        <v>0</v>
      </c>
      <c r="E405" s="68">
        <f>COUNTIFS('Error Log'!$A:$A,$A405,'Error Log'!$J:$J,E$1)</f>
        <v>0</v>
      </c>
      <c r="F405" s="68">
        <f>COUNTIFS('Error Log'!$A:$A,$A405,'Error Log'!$J:$J,F$1)</f>
        <v>0</v>
      </c>
      <c r="G405" s="68">
        <f>COUNTIFS('Error Log'!$A:$A,$A405,'Error Log'!$J:$J,G$1)</f>
        <v>0</v>
      </c>
      <c r="H405" s="68">
        <f>COUNTIFS('Error Log'!$A:$A,$A405,'Error Log'!$F:$F,"Source")</f>
        <v>0</v>
      </c>
      <c r="I405" s="68">
        <f>COUNTIFS('Error Log'!$A:$A,$A405,'Error Log'!$F:$F,"Target")</f>
        <v>0</v>
      </c>
      <c r="J405" s="69">
        <f t="shared" si="6"/>
        <v>0</v>
      </c>
    </row>
    <row r="406" spans="1:10">
      <c r="A406" s="87"/>
      <c r="B406" s="68" t="str">
        <f>IF(ISBLANK(A406),"",INDEX('Error Log'!$A:$J,MATCH('Scores per segment'!$A406,'Error Log'!$A:$A,0),MATCH('Scores per segment'!B$1,'Error Log'!$A$1:$J$1,0)))</f>
        <v/>
      </c>
      <c r="C406" s="68" t="str">
        <f>IF(ISBLANK(A406),"",INDEX('Error Log'!$A:$J,MATCH('Scores per segment'!$A406,'Error Log'!$A:$A,0),MATCH('Scores per segment'!C$1,'Error Log'!$A$1:$J$1,0)))</f>
        <v/>
      </c>
      <c r="D406" s="68">
        <f>IF(H406=0,wdct(TRIM(C406)),0)</f>
        <v>0</v>
      </c>
      <c r="E406" s="68">
        <f>COUNTIFS('Error Log'!$A:$A,$A406,'Error Log'!$J:$J,E$1)</f>
        <v>0</v>
      </c>
      <c r="F406" s="68">
        <f>COUNTIFS('Error Log'!$A:$A,$A406,'Error Log'!$J:$J,F$1)</f>
        <v>0</v>
      </c>
      <c r="G406" s="68">
        <f>COUNTIFS('Error Log'!$A:$A,$A406,'Error Log'!$J:$J,G$1)</f>
        <v>0</v>
      </c>
      <c r="H406" s="68">
        <f>COUNTIFS('Error Log'!$A:$A,$A406,'Error Log'!$F:$F,"Source")</f>
        <v>0</v>
      </c>
      <c r="I406" s="68">
        <f>COUNTIFS('Error Log'!$A:$A,$A406,'Error Log'!$F:$F,"Target")</f>
        <v>0</v>
      </c>
      <c r="J406" s="69">
        <f t="shared" si="6"/>
        <v>0</v>
      </c>
    </row>
    <row r="407" spans="1:10">
      <c r="A407" s="87"/>
      <c r="B407" s="68" t="str">
        <f>IF(ISBLANK(A407),"",INDEX('Error Log'!$A:$J,MATCH('Scores per segment'!$A407,'Error Log'!$A:$A,0),MATCH('Scores per segment'!B$1,'Error Log'!$A$1:$J$1,0)))</f>
        <v/>
      </c>
      <c r="C407" s="68" t="str">
        <f>IF(ISBLANK(A407),"",INDEX('Error Log'!$A:$J,MATCH('Scores per segment'!$A407,'Error Log'!$A:$A,0),MATCH('Scores per segment'!C$1,'Error Log'!$A$1:$J$1,0)))</f>
        <v/>
      </c>
      <c r="D407" s="68">
        <f>IF(H407=0,wdct(TRIM(C407)),0)</f>
        <v>0</v>
      </c>
      <c r="E407" s="68">
        <f>COUNTIFS('Error Log'!$A:$A,$A407,'Error Log'!$J:$J,E$1)</f>
        <v>0</v>
      </c>
      <c r="F407" s="68">
        <f>COUNTIFS('Error Log'!$A:$A,$A407,'Error Log'!$J:$J,F$1)</f>
        <v>0</v>
      </c>
      <c r="G407" s="68">
        <f>COUNTIFS('Error Log'!$A:$A,$A407,'Error Log'!$J:$J,G$1)</f>
        <v>0</v>
      </c>
      <c r="H407" s="68">
        <f>COUNTIFS('Error Log'!$A:$A,$A407,'Error Log'!$F:$F,"Source")</f>
        <v>0</v>
      </c>
      <c r="I407" s="68">
        <f>COUNTIFS('Error Log'!$A:$A,$A407,'Error Log'!$F:$F,"Target")</f>
        <v>0</v>
      </c>
      <c r="J407" s="69">
        <f t="shared" si="6"/>
        <v>0</v>
      </c>
    </row>
    <row r="408" spans="1:10">
      <c r="A408" s="87"/>
      <c r="B408" s="68" t="str">
        <f>IF(ISBLANK(A408),"",INDEX('Error Log'!$A:$J,MATCH('Scores per segment'!$A408,'Error Log'!$A:$A,0),MATCH('Scores per segment'!B$1,'Error Log'!$A$1:$J$1,0)))</f>
        <v/>
      </c>
      <c r="C408" s="68" t="str">
        <f>IF(ISBLANK(A408),"",INDEX('Error Log'!$A:$J,MATCH('Scores per segment'!$A408,'Error Log'!$A:$A,0),MATCH('Scores per segment'!C$1,'Error Log'!$A$1:$J$1,0)))</f>
        <v/>
      </c>
      <c r="D408" s="68">
        <f>IF(H408=0,wdct(TRIM(C408)),0)</f>
        <v>0</v>
      </c>
      <c r="E408" s="68">
        <f>COUNTIFS('Error Log'!$A:$A,$A408,'Error Log'!$J:$J,E$1)</f>
        <v>0</v>
      </c>
      <c r="F408" s="68">
        <f>COUNTIFS('Error Log'!$A:$A,$A408,'Error Log'!$J:$J,F$1)</f>
        <v>0</v>
      </c>
      <c r="G408" s="68">
        <f>COUNTIFS('Error Log'!$A:$A,$A408,'Error Log'!$J:$J,G$1)</f>
        <v>0</v>
      </c>
      <c r="H408" s="68">
        <f>COUNTIFS('Error Log'!$A:$A,$A408,'Error Log'!$F:$F,"Source")</f>
        <v>0</v>
      </c>
      <c r="I408" s="68">
        <f>COUNTIFS('Error Log'!$A:$A,$A408,'Error Log'!$F:$F,"Target")</f>
        <v>0</v>
      </c>
      <c r="J408" s="69">
        <f t="shared" si="6"/>
        <v>0</v>
      </c>
    </row>
    <row r="409" spans="1:10">
      <c r="A409" s="87"/>
      <c r="B409" s="68" t="str">
        <f>IF(ISBLANK(A409),"",INDEX('Error Log'!$A:$J,MATCH('Scores per segment'!$A409,'Error Log'!$A:$A,0),MATCH('Scores per segment'!B$1,'Error Log'!$A$1:$J$1,0)))</f>
        <v/>
      </c>
      <c r="C409" s="68" t="str">
        <f>IF(ISBLANK(A409),"",INDEX('Error Log'!$A:$J,MATCH('Scores per segment'!$A409,'Error Log'!$A:$A,0),MATCH('Scores per segment'!C$1,'Error Log'!$A$1:$J$1,0)))</f>
        <v/>
      </c>
      <c r="D409" s="68">
        <f>IF(H409=0,wdct(TRIM(C409)),0)</f>
        <v>0</v>
      </c>
      <c r="E409" s="68">
        <f>COUNTIFS('Error Log'!$A:$A,$A409,'Error Log'!$J:$J,E$1)</f>
        <v>0</v>
      </c>
      <c r="F409" s="68">
        <f>COUNTIFS('Error Log'!$A:$A,$A409,'Error Log'!$J:$J,F$1)</f>
        <v>0</v>
      </c>
      <c r="G409" s="68">
        <f>COUNTIFS('Error Log'!$A:$A,$A409,'Error Log'!$J:$J,G$1)</f>
        <v>0</v>
      </c>
      <c r="H409" s="68">
        <f>COUNTIFS('Error Log'!$A:$A,$A409,'Error Log'!$F:$F,"Source")</f>
        <v>0</v>
      </c>
      <c r="I409" s="68">
        <f>COUNTIFS('Error Log'!$A:$A,$A409,'Error Log'!$F:$F,"Target")</f>
        <v>0</v>
      </c>
      <c r="J409" s="69">
        <f t="shared" si="6"/>
        <v>0</v>
      </c>
    </row>
    <row r="410" spans="1:10">
      <c r="A410" s="87"/>
      <c r="B410" s="68" t="str">
        <f>IF(ISBLANK(A410),"",INDEX('Error Log'!$A:$J,MATCH('Scores per segment'!$A410,'Error Log'!$A:$A,0),MATCH('Scores per segment'!B$1,'Error Log'!$A$1:$J$1,0)))</f>
        <v/>
      </c>
      <c r="C410" s="68" t="str">
        <f>IF(ISBLANK(A410),"",INDEX('Error Log'!$A:$J,MATCH('Scores per segment'!$A410,'Error Log'!$A:$A,0),MATCH('Scores per segment'!C$1,'Error Log'!$A$1:$J$1,0)))</f>
        <v/>
      </c>
      <c r="D410" s="68">
        <f>IF(H410=0,wdct(TRIM(C410)),0)</f>
        <v>0</v>
      </c>
      <c r="E410" s="68">
        <f>COUNTIFS('Error Log'!$A:$A,$A410,'Error Log'!$J:$J,E$1)</f>
        <v>0</v>
      </c>
      <c r="F410" s="68">
        <f>COUNTIFS('Error Log'!$A:$A,$A410,'Error Log'!$J:$J,F$1)</f>
        <v>0</v>
      </c>
      <c r="G410" s="68">
        <f>COUNTIFS('Error Log'!$A:$A,$A410,'Error Log'!$J:$J,G$1)</f>
        <v>0</v>
      </c>
      <c r="H410" s="68">
        <f>COUNTIFS('Error Log'!$A:$A,$A410,'Error Log'!$F:$F,"Source")</f>
        <v>0</v>
      </c>
      <c r="I410" s="68">
        <f>COUNTIFS('Error Log'!$A:$A,$A410,'Error Log'!$F:$F,"Target")</f>
        <v>0</v>
      </c>
      <c r="J410" s="69">
        <f t="shared" si="6"/>
        <v>0</v>
      </c>
    </row>
    <row r="411" spans="1:10">
      <c r="A411" s="87"/>
      <c r="B411" s="68" t="str">
        <f>IF(ISBLANK(A411),"",INDEX('Error Log'!$A:$J,MATCH('Scores per segment'!$A411,'Error Log'!$A:$A,0),MATCH('Scores per segment'!B$1,'Error Log'!$A$1:$J$1,0)))</f>
        <v/>
      </c>
      <c r="C411" s="68" t="str">
        <f>IF(ISBLANK(A411),"",INDEX('Error Log'!$A:$J,MATCH('Scores per segment'!$A411,'Error Log'!$A:$A,0),MATCH('Scores per segment'!C$1,'Error Log'!$A$1:$J$1,0)))</f>
        <v/>
      </c>
      <c r="D411" s="68">
        <f>IF(H411=0,wdct(TRIM(C411)),0)</f>
        <v>0</v>
      </c>
      <c r="E411" s="68">
        <f>COUNTIFS('Error Log'!$A:$A,$A411,'Error Log'!$J:$J,E$1)</f>
        <v>0</v>
      </c>
      <c r="F411" s="68">
        <f>COUNTIFS('Error Log'!$A:$A,$A411,'Error Log'!$J:$J,F$1)</f>
        <v>0</v>
      </c>
      <c r="G411" s="68">
        <f>COUNTIFS('Error Log'!$A:$A,$A411,'Error Log'!$J:$J,G$1)</f>
        <v>0</v>
      </c>
      <c r="H411" s="68">
        <f>COUNTIFS('Error Log'!$A:$A,$A411,'Error Log'!$F:$F,"Source")</f>
        <v>0</v>
      </c>
      <c r="I411" s="68">
        <f>COUNTIFS('Error Log'!$A:$A,$A411,'Error Log'!$F:$F,"Target")</f>
        <v>0</v>
      </c>
      <c r="J411" s="69">
        <f t="shared" si="6"/>
        <v>0</v>
      </c>
    </row>
    <row r="412" spans="1:10">
      <c r="A412" s="87"/>
      <c r="B412" s="68" t="str">
        <f>IF(ISBLANK(A412),"",INDEX('Error Log'!$A:$J,MATCH('Scores per segment'!$A412,'Error Log'!$A:$A,0),MATCH('Scores per segment'!B$1,'Error Log'!$A$1:$J$1,0)))</f>
        <v/>
      </c>
      <c r="C412" s="68" t="str">
        <f>IF(ISBLANK(A412),"",INDEX('Error Log'!$A:$J,MATCH('Scores per segment'!$A412,'Error Log'!$A:$A,0),MATCH('Scores per segment'!C$1,'Error Log'!$A$1:$J$1,0)))</f>
        <v/>
      </c>
      <c r="D412" s="68">
        <f>IF(H412=0,wdct(TRIM(C412)),0)</f>
        <v>0</v>
      </c>
      <c r="E412" s="68">
        <f>COUNTIFS('Error Log'!$A:$A,$A412,'Error Log'!$J:$J,E$1)</f>
        <v>0</v>
      </c>
      <c r="F412" s="68">
        <f>COUNTIFS('Error Log'!$A:$A,$A412,'Error Log'!$J:$J,F$1)</f>
        <v>0</v>
      </c>
      <c r="G412" s="68">
        <f>COUNTIFS('Error Log'!$A:$A,$A412,'Error Log'!$J:$J,G$1)</f>
        <v>0</v>
      </c>
      <c r="H412" s="68">
        <f>COUNTIFS('Error Log'!$A:$A,$A412,'Error Log'!$F:$F,"Source")</f>
        <v>0</v>
      </c>
      <c r="I412" s="68">
        <f>COUNTIFS('Error Log'!$A:$A,$A412,'Error Log'!$F:$F,"Target")</f>
        <v>0</v>
      </c>
      <c r="J412" s="69">
        <f t="shared" si="6"/>
        <v>0</v>
      </c>
    </row>
    <row r="413" spans="1:10">
      <c r="A413" s="87"/>
      <c r="B413" s="68" t="str">
        <f>IF(ISBLANK(A413),"",INDEX('Error Log'!$A:$J,MATCH('Scores per segment'!$A413,'Error Log'!$A:$A,0),MATCH('Scores per segment'!B$1,'Error Log'!$A$1:$J$1,0)))</f>
        <v/>
      </c>
      <c r="C413" s="68" t="str">
        <f>IF(ISBLANK(A413),"",INDEX('Error Log'!$A:$J,MATCH('Scores per segment'!$A413,'Error Log'!$A:$A,0),MATCH('Scores per segment'!C$1,'Error Log'!$A$1:$J$1,0)))</f>
        <v/>
      </c>
      <c r="D413" s="68">
        <f>IF(H413=0,wdct(TRIM(C413)),0)</f>
        <v>0</v>
      </c>
      <c r="E413" s="68">
        <f>COUNTIFS('Error Log'!$A:$A,$A413,'Error Log'!$J:$J,E$1)</f>
        <v>0</v>
      </c>
      <c r="F413" s="68">
        <f>COUNTIFS('Error Log'!$A:$A,$A413,'Error Log'!$J:$J,F$1)</f>
        <v>0</v>
      </c>
      <c r="G413" s="68">
        <f>COUNTIFS('Error Log'!$A:$A,$A413,'Error Log'!$J:$J,G$1)</f>
        <v>0</v>
      </c>
      <c r="H413" s="68">
        <f>COUNTIFS('Error Log'!$A:$A,$A413,'Error Log'!$F:$F,"Source")</f>
        <v>0</v>
      </c>
      <c r="I413" s="68">
        <f>COUNTIFS('Error Log'!$A:$A,$A413,'Error Log'!$F:$F,"Target")</f>
        <v>0</v>
      </c>
      <c r="J413" s="69">
        <f t="shared" si="6"/>
        <v>0</v>
      </c>
    </row>
    <row r="414" spans="1:10">
      <c r="A414" s="87"/>
      <c r="B414" s="68" t="str">
        <f>IF(ISBLANK(A414),"",INDEX('Error Log'!$A:$J,MATCH('Scores per segment'!$A414,'Error Log'!$A:$A,0),MATCH('Scores per segment'!B$1,'Error Log'!$A$1:$J$1,0)))</f>
        <v/>
      </c>
      <c r="C414" s="68" t="str">
        <f>IF(ISBLANK(A414),"",INDEX('Error Log'!$A:$J,MATCH('Scores per segment'!$A414,'Error Log'!$A:$A,0),MATCH('Scores per segment'!C$1,'Error Log'!$A$1:$J$1,0)))</f>
        <v/>
      </c>
      <c r="D414" s="68">
        <f>IF(H414=0,wdct(TRIM(C414)),0)</f>
        <v>0</v>
      </c>
      <c r="E414" s="68">
        <f>COUNTIFS('Error Log'!$A:$A,$A414,'Error Log'!$J:$J,E$1)</f>
        <v>0</v>
      </c>
      <c r="F414" s="68">
        <f>COUNTIFS('Error Log'!$A:$A,$A414,'Error Log'!$J:$J,F$1)</f>
        <v>0</v>
      </c>
      <c r="G414" s="68">
        <f>COUNTIFS('Error Log'!$A:$A,$A414,'Error Log'!$J:$J,G$1)</f>
        <v>0</v>
      </c>
      <c r="H414" s="68">
        <f>COUNTIFS('Error Log'!$A:$A,$A414,'Error Log'!$F:$F,"Source")</f>
        <v>0</v>
      </c>
      <c r="I414" s="68">
        <f>COUNTIFS('Error Log'!$A:$A,$A414,'Error Log'!$F:$F,"Target")</f>
        <v>0</v>
      </c>
      <c r="J414" s="69">
        <f t="shared" si="6"/>
        <v>0</v>
      </c>
    </row>
    <row r="415" spans="1:10">
      <c r="A415" s="87"/>
      <c r="B415" s="68" t="str">
        <f>IF(ISBLANK(A415),"",INDEX('Error Log'!$A:$J,MATCH('Scores per segment'!$A415,'Error Log'!$A:$A,0),MATCH('Scores per segment'!B$1,'Error Log'!$A$1:$J$1,0)))</f>
        <v/>
      </c>
      <c r="C415" s="68" t="str">
        <f>IF(ISBLANK(A415),"",INDEX('Error Log'!$A:$J,MATCH('Scores per segment'!$A415,'Error Log'!$A:$A,0),MATCH('Scores per segment'!C$1,'Error Log'!$A$1:$J$1,0)))</f>
        <v/>
      </c>
      <c r="D415" s="68">
        <f>IF(H415=0,wdct(TRIM(C415)),0)</f>
        <v>0</v>
      </c>
      <c r="E415" s="68">
        <f>COUNTIFS('Error Log'!$A:$A,$A415,'Error Log'!$J:$J,E$1)</f>
        <v>0</v>
      </c>
      <c r="F415" s="68">
        <f>COUNTIFS('Error Log'!$A:$A,$A415,'Error Log'!$J:$J,F$1)</f>
        <v>0</v>
      </c>
      <c r="G415" s="68">
        <f>COUNTIFS('Error Log'!$A:$A,$A415,'Error Log'!$J:$J,G$1)</f>
        <v>0</v>
      </c>
      <c r="H415" s="68">
        <f>COUNTIFS('Error Log'!$A:$A,$A415,'Error Log'!$F:$F,"Source")</f>
        <v>0</v>
      </c>
      <c r="I415" s="68">
        <f>COUNTIFS('Error Log'!$A:$A,$A415,'Error Log'!$F:$F,"Target")</f>
        <v>0</v>
      </c>
      <c r="J415" s="69">
        <f t="shared" si="6"/>
        <v>0</v>
      </c>
    </row>
    <row r="416" spans="1:10">
      <c r="A416" s="87"/>
      <c r="B416" s="68" t="str">
        <f>IF(ISBLANK(A416),"",INDEX('Error Log'!$A:$J,MATCH('Scores per segment'!$A416,'Error Log'!$A:$A,0),MATCH('Scores per segment'!B$1,'Error Log'!$A$1:$J$1,0)))</f>
        <v/>
      </c>
      <c r="C416" s="68" t="str">
        <f>IF(ISBLANK(A416),"",INDEX('Error Log'!$A:$J,MATCH('Scores per segment'!$A416,'Error Log'!$A:$A,0),MATCH('Scores per segment'!C$1,'Error Log'!$A$1:$J$1,0)))</f>
        <v/>
      </c>
      <c r="D416" s="68">
        <f>IF(H416=0,wdct(TRIM(C416)),0)</f>
        <v>0</v>
      </c>
      <c r="E416" s="68">
        <f>COUNTIFS('Error Log'!$A:$A,$A416,'Error Log'!$J:$J,E$1)</f>
        <v>0</v>
      </c>
      <c r="F416" s="68">
        <f>COUNTIFS('Error Log'!$A:$A,$A416,'Error Log'!$J:$J,F$1)</f>
        <v>0</v>
      </c>
      <c r="G416" s="68">
        <f>COUNTIFS('Error Log'!$A:$A,$A416,'Error Log'!$J:$J,G$1)</f>
        <v>0</v>
      </c>
      <c r="H416" s="68">
        <f>COUNTIFS('Error Log'!$A:$A,$A416,'Error Log'!$F:$F,"Source")</f>
        <v>0</v>
      </c>
      <c r="I416" s="68">
        <f>COUNTIFS('Error Log'!$A:$A,$A416,'Error Log'!$F:$F,"Target")</f>
        <v>0</v>
      </c>
      <c r="J416" s="69">
        <f t="shared" si="6"/>
        <v>0</v>
      </c>
    </row>
    <row r="417" spans="1:10">
      <c r="A417" s="87"/>
      <c r="B417" s="68" t="str">
        <f>IF(ISBLANK(A417),"",INDEX('Error Log'!$A:$J,MATCH('Scores per segment'!$A417,'Error Log'!$A:$A,0),MATCH('Scores per segment'!B$1,'Error Log'!$A$1:$J$1,0)))</f>
        <v/>
      </c>
      <c r="C417" s="68" t="str">
        <f>IF(ISBLANK(A417),"",INDEX('Error Log'!$A:$J,MATCH('Scores per segment'!$A417,'Error Log'!$A:$A,0),MATCH('Scores per segment'!C$1,'Error Log'!$A$1:$J$1,0)))</f>
        <v/>
      </c>
      <c r="D417" s="68">
        <f>IF(H417=0,wdct(TRIM(C417)),0)</f>
        <v>0</v>
      </c>
      <c r="E417" s="68">
        <f>COUNTIFS('Error Log'!$A:$A,$A417,'Error Log'!$J:$J,E$1)</f>
        <v>0</v>
      </c>
      <c r="F417" s="68">
        <f>COUNTIFS('Error Log'!$A:$A,$A417,'Error Log'!$J:$J,F$1)</f>
        <v>0</v>
      </c>
      <c r="G417" s="68">
        <f>COUNTIFS('Error Log'!$A:$A,$A417,'Error Log'!$J:$J,G$1)</f>
        <v>0</v>
      </c>
      <c r="H417" s="68">
        <f>COUNTIFS('Error Log'!$A:$A,$A417,'Error Log'!$F:$F,"Source")</f>
        <v>0</v>
      </c>
      <c r="I417" s="68">
        <f>COUNTIFS('Error Log'!$A:$A,$A417,'Error Log'!$F:$F,"Target")</f>
        <v>0</v>
      </c>
      <c r="J417" s="69">
        <f t="shared" si="6"/>
        <v>0</v>
      </c>
    </row>
    <row r="418" spans="1:10">
      <c r="A418" s="87"/>
      <c r="B418" s="68" t="str">
        <f>IF(ISBLANK(A418),"",INDEX('Error Log'!$A:$J,MATCH('Scores per segment'!$A418,'Error Log'!$A:$A,0),MATCH('Scores per segment'!B$1,'Error Log'!$A$1:$J$1,0)))</f>
        <v/>
      </c>
      <c r="C418" s="68" t="str">
        <f>IF(ISBLANK(A418),"",INDEX('Error Log'!$A:$J,MATCH('Scores per segment'!$A418,'Error Log'!$A:$A,0),MATCH('Scores per segment'!C$1,'Error Log'!$A$1:$J$1,0)))</f>
        <v/>
      </c>
      <c r="D418" s="68">
        <f>IF(H418=0,wdct(TRIM(C418)),0)</f>
        <v>0</v>
      </c>
      <c r="E418" s="68">
        <f>COUNTIFS('Error Log'!$A:$A,$A418,'Error Log'!$J:$J,E$1)</f>
        <v>0</v>
      </c>
      <c r="F418" s="68">
        <f>COUNTIFS('Error Log'!$A:$A,$A418,'Error Log'!$J:$J,F$1)</f>
        <v>0</v>
      </c>
      <c r="G418" s="68">
        <f>COUNTIFS('Error Log'!$A:$A,$A418,'Error Log'!$J:$J,G$1)</f>
        <v>0</v>
      </c>
      <c r="H418" s="68">
        <f>COUNTIFS('Error Log'!$A:$A,$A418,'Error Log'!$F:$F,"Source")</f>
        <v>0</v>
      </c>
      <c r="I418" s="68">
        <f>COUNTIFS('Error Log'!$A:$A,$A418,'Error Log'!$F:$F,"Target")</f>
        <v>0</v>
      </c>
      <c r="J418" s="69">
        <f t="shared" si="6"/>
        <v>0</v>
      </c>
    </row>
    <row r="419" spans="1:10">
      <c r="A419" s="87"/>
      <c r="B419" s="68" t="str">
        <f>IF(ISBLANK(A419),"",INDEX('Error Log'!$A:$J,MATCH('Scores per segment'!$A419,'Error Log'!$A:$A,0),MATCH('Scores per segment'!B$1,'Error Log'!$A$1:$J$1,0)))</f>
        <v/>
      </c>
      <c r="C419" s="68" t="str">
        <f>IF(ISBLANK(A419),"",INDEX('Error Log'!$A:$J,MATCH('Scores per segment'!$A419,'Error Log'!$A:$A,0),MATCH('Scores per segment'!C$1,'Error Log'!$A$1:$J$1,0)))</f>
        <v/>
      </c>
      <c r="D419" s="68">
        <f>IF(H419=0,wdct(TRIM(C419)),0)</f>
        <v>0</v>
      </c>
      <c r="E419" s="68">
        <f>COUNTIFS('Error Log'!$A:$A,$A419,'Error Log'!$J:$J,E$1)</f>
        <v>0</v>
      </c>
      <c r="F419" s="68">
        <f>COUNTIFS('Error Log'!$A:$A,$A419,'Error Log'!$J:$J,F$1)</f>
        <v>0</v>
      </c>
      <c r="G419" s="68">
        <f>COUNTIFS('Error Log'!$A:$A,$A419,'Error Log'!$J:$J,G$1)</f>
        <v>0</v>
      </c>
      <c r="H419" s="68">
        <f>COUNTIFS('Error Log'!$A:$A,$A419,'Error Log'!$F:$F,"Source")</f>
        <v>0</v>
      </c>
      <c r="I419" s="68">
        <f>COUNTIFS('Error Log'!$A:$A,$A419,'Error Log'!$F:$F,"Target")</f>
        <v>0</v>
      </c>
      <c r="J419" s="69">
        <f t="shared" si="6"/>
        <v>0</v>
      </c>
    </row>
    <row r="420" spans="1:10">
      <c r="A420" s="87"/>
      <c r="B420" s="68" t="str">
        <f>IF(ISBLANK(A420),"",INDEX('Error Log'!$A:$J,MATCH('Scores per segment'!$A420,'Error Log'!$A:$A,0),MATCH('Scores per segment'!B$1,'Error Log'!$A$1:$J$1,0)))</f>
        <v/>
      </c>
      <c r="C420" s="68" t="str">
        <f>IF(ISBLANK(A420),"",INDEX('Error Log'!$A:$J,MATCH('Scores per segment'!$A420,'Error Log'!$A:$A,0),MATCH('Scores per segment'!C$1,'Error Log'!$A$1:$J$1,0)))</f>
        <v/>
      </c>
      <c r="D420" s="68">
        <f>IF(H420=0,wdct(TRIM(C420)),0)</f>
        <v>0</v>
      </c>
      <c r="E420" s="68">
        <f>COUNTIFS('Error Log'!$A:$A,$A420,'Error Log'!$J:$J,E$1)</f>
        <v>0</v>
      </c>
      <c r="F420" s="68">
        <f>COUNTIFS('Error Log'!$A:$A,$A420,'Error Log'!$J:$J,F$1)</f>
        <v>0</v>
      </c>
      <c r="G420" s="68">
        <f>COUNTIFS('Error Log'!$A:$A,$A420,'Error Log'!$J:$J,G$1)</f>
        <v>0</v>
      </c>
      <c r="H420" s="68">
        <f>COUNTIFS('Error Log'!$A:$A,$A420,'Error Log'!$F:$F,"Source")</f>
        <v>0</v>
      </c>
      <c r="I420" s="68">
        <f>COUNTIFS('Error Log'!$A:$A,$A420,'Error Log'!$F:$F,"Target")</f>
        <v>0</v>
      </c>
      <c r="J420" s="69">
        <f t="shared" si="6"/>
        <v>0</v>
      </c>
    </row>
    <row r="421" spans="1:10">
      <c r="A421" s="87"/>
      <c r="B421" s="68" t="str">
        <f>IF(ISBLANK(A421),"",INDEX('Error Log'!$A:$J,MATCH('Scores per segment'!$A421,'Error Log'!$A:$A,0),MATCH('Scores per segment'!B$1,'Error Log'!$A$1:$J$1,0)))</f>
        <v/>
      </c>
      <c r="C421" s="68" t="str">
        <f>IF(ISBLANK(A421),"",INDEX('Error Log'!$A:$J,MATCH('Scores per segment'!$A421,'Error Log'!$A:$A,0),MATCH('Scores per segment'!C$1,'Error Log'!$A$1:$J$1,0)))</f>
        <v/>
      </c>
      <c r="D421" s="68">
        <f>IF(H421=0,wdct(TRIM(C421)),0)</f>
        <v>0</v>
      </c>
      <c r="E421" s="68">
        <f>COUNTIFS('Error Log'!$A:$A,$A421,'Error Log'!$J:$J,E$1)</f>
        <v>0</v>
      </c>
      <c r="F421" s="68">
        <f>COUNTIFS('Error Log'!$A:$A,$A421,'Error Log'!$J:$J,F$1)</f>
        <v>0</v>
      </c>
      <c r="G421" s="68">
        <f>COUNTIFS('Error Log'!$A:$A,$A421,'Error Log'!$J:$J,G$1)</f>
        <v>0</v>
      </c>
      <c r="H421" s="68">
        <f>COUNTIFS('Error Log'!$A:$A,$A421,'Error Log'!$F:$F,"Source")</f>
        <v>0</v>
      </c>
      <c r="I421" s="68">
        <f>COUNTIFS('Error Log'!$A:$A,$A421,'Error Log'!$F:$F,"Target")</f>
        <v>0</v>
      </c>
      <c r="J421" s="69">
        <f t="shared" si="6"/>
        <v>0</v>
      </c>
    </row>
    <row r="422" spans="1:10">
      <c r="A422" s="87"/>
      <c r="B422" s="68" t="str">
        <f>IF(ISBLANK(A422),"",INDEX('Error Log'!$A:$J,MATCH('Scores per segment'!$A422,'Error Log'!$A:$A,0),MATCH('Scores per segment'!B$1,'Error Log'!$A$1:$J$1,0)))</f>
        <v/>
      </c>
      <c r="C422" s="68" t="str">
        <f>IF(ISBLANK(A422),"",INDEX('Error Log'!$A:$J,MATCH('Scores per segment'!$A422,'Error Log'!$A:$A,0),MATCH('Scores per segment'!C$1,'Error Log'!$A$1:$J$1,0)))</f>
        <v/>
      </c>
      <c r="D422" s="68">
        <f>IF(H422=0,wdct(TRIM(C422)),0)</f>
        <v>0</v>
      </c>
      <c r="E422" s="68">
        <f>COUNTIFS('Error Log'!$A:$A,$A422,'Error Log'!$J:$J,E$1)</f>
        <v>0</v>
      </c>
      <c r="F422" s="68">
        <f>COUNTIFS('Error Log'!$A:$A,$A422,'Error Log'!$J:$J,F$1)</f>
        <v>0</v>
      </c>
      <c r="G422" s="68">
        <f>COUNTIFS('Error Log'!$A:$A,$A422,'Error Log'!$J:$J,G$1)</f>
        <v>0</v>
      </c>
      <c r="H422" s="68">
        <f>COUNTIFS('Error Log'!$A:$A,$A422,'Error Log'!$F:$F,"Source")</f>
        <v>0</v>
      </c>
      <c r="I422" s="68">
        <f>COUNTIFS('Error Log'!$A:$A,$A422,'Error Log'!$F:$F,"Target")</f>
        <v>0</v>
      </c>
      <c r="J422" s="69">
        <f t="shared" si="6"/>
        <v>0</v>
      </c>
    </row>
    <row r="423" spans="1:10">
      <c r="A423" s="87"/>
      <c r="B423" s="68" t="str">
        <f>IF(ISBLANK(A423),"",INDEX('Error Log'!$A:$J,MATCH('Scores per segment'!$A423,'Error Log'!$A:$A,0),MATCH('Scores per segment'!B$1,'Error Log'!$A$1:$J$1,0)))</f>
        <v/>
      </c>
      <c r="C423" s="68" t="str">
        <f>IF(ISBLANK(A423),"",INDEX('Error Log'!$A:$J,MATCH('Scores per segment'!$A423,'Error Log'!$A:$A,0),MATCH('Scores per segment'!C$1,'Error Log'!$A$1:$J$1,0)))</f>
        <v/>
      </c>
      <c r="D423" s="68">
        <f>IF(H423=0,wdct(TRIM(C423)),0)</f>
        <v>0</v>
      </c>
      <c r="E423" s="68">
        <f>COUNTIFS('Error Log'!$A:$A,$A423,'Error Log'!$J:$J,E$1)</f>
        <v>0</v>
      </c>
      <c r="F423" s="68">
        <f>COUNTIFS('Error Log'!$A:$A,$A423,'Error Log'!$J:$J,F$1)</f>
        <v>0</v>
      </c>
      <c r="G423" s="68">
        <f>COUNTIFS('Error Log'!$A:$A,$A423,'Error Log'!$J:$J,G$1)</f>
        <v>0</v>
      </c>
      <c r="H423" s="68">
        <f>COUNTIFS('Error Log'!$A:$A,$A423,'Error Log'!$F:$F,"Source")</f>
        <v>0</v>
      </c>
      <c r="I423" s="68">
        <f>COUNTIFS('Error Log'!$A:$A,$A423,'Error Log'!$F:$F,"Target")</f>
        <v>0</v>
      </c>
      <c r="J423" s="69">
        <f t="shared" si="6"/>
        <v>0</v>
      </c>
    </row>
    <row r="424" spans="1:10">
      <c r="A424" s="87"/>
      <c r="B424" s="68" t="str">
        <f>IF(ISBLANK(A424),"",INDEX('Error Log'!$A:$J,MATCH('Scores per segment'!$A424,'Error Log'!$A:$A,0),MATCH('Scores per segment'!B$1,'Error Log'!$A$1:$J$1,0)))</f>
        <v/>
      </c>
      <c r="C424" s="68" t="str">
        <f>IF(ISBLANK(A424),"",INDEX('Error Log'!$A:$J,MATCH('Scores per segment'!$A424,'Error Log'!$A:$A,0),MATCH('Scores per segment'!C$1,'Error Log'!$A$1:$J$1,0)))</f>
        <v/>
      </c>
      <c r="D424" s="68">
        <f>IF(H424=0,wdct(TRIM(C424)),0)</f>
        <v>0</v>
      </c>
      <c r="E424" s="68">
        <f>COUNTIFS('Error Log'!$A:$A,$A424,'Error Log'!$J:$J,E$1)</f>
        <v>0</v>
      </c>
      <c r="F424" s="68">
        <f>COUNTIFS('Error Log'!$A:$A,$A424,'Error Log'!$J:$J,F$1)</f>
        <v>0</v>
      </c>
      <c r="G424" s="68">
        <f>COUNTIFS('Error Log'!$A:$A,$A424,'Error Log'!$J:$J,G$1)</f>
        <v>0</v>
      </c>
      <c r="H424" s="68">
        <f>COUNTIFS('Error Log'!$A:$A,$A424,'Error Log'!$F:$F,"Source")</f>
        <v>0</v>
      </c>
      <c r="I424" s="68">
        <f>COUNTIFS('Error Log'!$A:$A,$A424,'Error Log'!$F:$F,"Target")</f>
        <v>0</v>
      </c>
      <c r="J424" s="69">
        <f t="shared" si="6"/>
        <v>0</v>
      </c>
    </row>
    <row r="425" spans="1:10">
      <c r="A425" s="87"/>
      <c r="B425" s="68" t="str">
        <f>IF(ISBLANK(A425),"",INDEX('Error Log'!$A:$J,MATCH('Scores per segment'!$A425,'Error Log'!$A:$A,0),MATCH('Scores per segment'!B$1,'Error Log'!$A$1:$J$1,0)))</f>
        <v/>
      </c>
      <c r="C425" s="68" t="str">
        <f>IF(ISBLANK(A425),"",INDEX('Error Log'!$A:$J,MATCH('Scores per segment'!$A425,'Error Log'!$A:$A,0),MATCH('Scores per segment'!C$1,'Error Log'!$A$1:$J$1,0)))</f>
        <v/>
      </c>
      <c r="D425" s="68">
        <f>IF(H425=0,wdct(TRIM(C425)),0)</f>
        <v>0</v>
      </c>
      <c r="E425" s="68">
        <f>COUNTIFS('Error Log'!$A:$A,$A425,'Error Log'!$J:$J,E$1)</f>
        <v>0</v>
      </c>
      <c r="F425" s="68">
        <f>COUNTIFS('Error Log'!$A:$A,$A425,'Error Log'!$J:$J,F$1)</f>
        <v>0</v>
      </c>
      <c r="G425" s="68">
        <f>COUNTIFS('Error Log'!$A:$A,$A425,'Error Log'!$J:$J,G$1)</f>
        <v>0</v>
      </c>
      <c r="H425" s="68">
        <f>COUNTIFS('Error Log'!$A:$A,$A425,'Error Log'!$F:$F,"Source")</f>
        <v>0</v>
      </c>
      <c r="I425" s="68">
        <f>COUNTIFS('Error Log'!$A:$A,$A425,'Error Log'!$F:$F,"Target")</f>
        <v>0</v>
      </c>
      <c r="J425" s="69">
        <f t="shared" si="6"/>
        <v>0</v>
      </c>
    </row>
    <row r="426" spans="1:10">
      <c r="A426" s="87"/>
      <c r="B426" s="68" t="str">
        <f>IF(ISBLANK(A426),"",INDEX('Error Log'!$A:$J,MATCH('Scores per segment'!$A426,'Error Log'!$A:$A,0),MATCH('Scores per segment'!B$1,'Error Log'!$A$1:$J$1,0)))</f>
        <v/>
      </c>
      <c r="C426" s="68" t="str">
        <f>IF(ISBLANK(A426),"",INDEX('Error Log'!$A:$J,MATCH('Scores per segment'!$A426,'Error Log'!$A:$A,0),MATCH('Scores per segment'!C$1,'Error Log'!$A$1:$J$1,0)))</f>
        <v/>
      </c>
      <c r="D426" s="68">
        <f>IF(H426=0,wdct(TRIM(C426)),0)</f>
        <v>0</v>
      </c>
      <c r="E426" s="68">
        <f>COUNTIFS('Error Log'!$A:$A,$A426,'Error Log'!$J:$J,E$1)</f>
        <v>0</v>
      </c>
      <c r="F426" s="68">
        <f>COUNTIFS('Error Log'!$A:$A,$A426,'Error Log'!$J:$J,F$1)</f>
        <v>0</v>
      </c>
      <c r="G426" s="68">
        <f>COUNTIFS('Error Log'!$A:$A,$A426,'Error Log'!$J:$J,G$1)</f>
        <v>0</v>
      </c>
      <c r="H426" s="68">
        <f>COUNTIFS('Error Log'!$A:$A,$A426,'Error Log'!$F:$F,"Source")</f>
        <v>0</v>
      </c>
      <c r="I426" s="68">
        <f>COUNTIFS('Error Log'!$A:$A,$A426,'Error Log'!$F:$F,"Target")</f>
        <v>0</v>
      </c>
      <c r="J426" s="69">
        <f t="shared" si="6"/>
        <v>0</v>
      </c>
    </row>
    <row r="427" spans="1:10">
      <c r="A427" s="87"/>
      <c r="B427" s="68" t="str">
        <f>IF(ISBLANK(A427),"",INDEX('Error Log'!$A:$J,MATCH('Scores per segment'!$A427,'Error Log'!$A:$A,0),MATCH('Scores per segment'!B$1,'Error Log'!$A$1:$J$1,0)))</f>
        <v/>
      </c>
      <c r="C427" s="68" t="str">
        <f>IF(ISBLANK(A427),"",INDEX('Error Log'!$A:$J,MATCH('Scores per segment'!$A427,'Error Log'!$A:$A,0),MATCH('Scores per segment'!C$1,'Error Log'!$A$1:$J$1,0)))</f>
        <v/>
      </c>
      <c r="D427" s="68">
        <f>IF(H427=0,wdct(TRIM(C427)),0)</f>
        <v>0</v>
      </c>
      <c r="E427" s="68">
        <f>COUNTIFS('Error Log'!$A:$A,$A427,'Error Log'!$J:$J,E$1)</f>
        <v>0</v>
      </c>
      <c r="F427" s="68">
        <f>COUNTIFS('Error Log'!$A:$A,$A427,'Error Log'!$J:$J,F$1)</f>
        <v>0</v>
      </c>
      <c r="G427" s="68">
        <f>COUNTIFS('Error Log'!$A:$A,$A427,'Error Log'!$J:$J,G$1)</f>
        <v>0</v>
      </c>
      <c r="H427" s="68">
        <f>COUNTIFS('Error Log'!$A:$A,$A427,'Error Log'!$F:$F,"Source")</f>
        <v>0</v>
      </c>
      <c r="I427" s="68">
        <f>COUNTIFS('Error Log'!$A:$A,$A427,'Error Log'!$F:$F,"Target")</f>
        <v>0</v>
      </c>
      <c r="J427" s="69">
        <f t="shared" si="6"/>
        <v>0</v>
      </c>
    </row>
    <row r="428" spans="1:10">
      <c r="A428" s="87"/>
      <c r="B428" s="68" t="str">
        <f>IF(ISBLANK(A428),"",INDEX('Error Log'!$A:$J,MATCH('Scores per segment'!$A428,'Error Log'!$A:$A,0),MATCH('Scores per segment'!B$1,'Error Log'!$A$1:$J$1,0)))</f>
        <v/>
      </c>
      <c r="C428" s="68" t="str">
        <f>IF(ISBLANK(A428),"",INDEX('Error Log'!$A:$J,MATCH('Scores per segment'!$A428,'Error Log'!$A:$A,0),MATCH('Scores per segment'!C$1,'Error Log'!$A$1:$J$1,0)))</f>
        <v/>
      </c>
      <c r="D428" s="68">
        <f>IF(H428=0,wdct(TRIM(C428)),0)</f>
        <v>0</v>
      </c>
      <c r="E428" s="68">
        <f>COUNTIFS('Error Log'!$A:$A,$A428,'Error Log'!$J:$J,E$1)</f>
        <v>0</v>
      </c>
      <c r="F428" s="68">
        <f>COUNTIFS('Error Log'!$A:$A,$A428,'Error Log'!$J:$J,F$1)</f>
        <v>0</v>
      </c>
      <c r="G428" s="68">
        <f>COUNTIFS('Error Log'!$A:$A,$A428,'Error Log'!$J:$J,G$1)</f>
        <v>0</v>
      </c>
      <c r="H428" s="68">
        <f>COUNTIFS('Error Log'!$A:$A,$A428,'Error Log'!$F:$F,"Source")</f>
        <v>0</v>
      </c>
      <c r="I428" s="68">
        <f>COUNTIFS('Error Log'!$A:$A,$A428,'Error Log'!$F:$F,"Target")</f>
        <v>0</v>
      </c>
      <c r="J428" s="69">
        <f t="shared" si="6"/>
        <v>0</v>
      </c>
    </row>
    <row r="429" spans="1:10">
      <c r="A429" s="87"/>
      <c r="B429" s="68" t="str">
        <f>IF(ISBLANK(A429),"",INDEX('Error Log'!$A:$J,MATCH('Scores per segment'!$A429,'Error Log'!$A:$A,0),MATCH('Scores per segment'!B$1,'Error Log'!$A$1:$J$1,0)))</f>
        <v/>
      </c>
      <c r="C429" s="68" t="str">
        <f>IF(ISBLANK(A429),"",INDEX('Error Log'!$A:$J,MATCH('Scores per segment'!$A429,'Error Log'!$A:$A,0),MATCH('Scores per segment'!C$1,'Error Log'!$A$1:$J$1,0)))</f>
        <v/>
      </c>
      <c r="D429" s="68">
        <f>IF(H429=0,wdct(TRIM(C429)),0)</f>
        <v>0</v>
      </c>
      <c r="E429" s="68">
        <f>COUNTIFS('Error Log'!$A:$A,$A429,'Error Log'!$J:$J,E$1)</f>
        <v>0</v>
      </c>
      <c r="F429" s="68">
        <f>COUNTIFS('Error Log'!$A:$A,$A429,'Error Log'!$J:$J,F$1)</f>
        <v>0</v>
      </c>
      <c r="G429" s="68">
        <f>COUNTIFS('Error Log'!$A:$A,$A429,'Error Log'!$J:$J,G$1)</f>
        <v>0</v>
      </c>
      <c r="H429" s="68">
        <f>COUNTIFS('Error Log'!$A:$A,$A429,'Error Log'!$F:$F,"Source")</f>
        <v>0</v>
      </c>
      <c r="I429" s="68">
        <f>COUNTIFS('Error Log'!$A:$A,$A429,'Error Log'!$F:$F,"Target")</f>
        <v>0</v>
      </c>
      <c r="J429" s="69">
        <f t="shared" si="6"/>
        <v>0</v>
      </c>
    </row>
    <row r="430" spans="1:10">
      <c r="A430" s="87"/>
      <c r="B430" s="68" t="str">
        <f>IF(ISBLANK(A430),"",INDEX('Error Log'!$A:$J,MATCH('Scores per segment'!$A430,'Error Log'!$A:$A,0),MATCH('Scores per segment'!B$1,'Error Log'!$A$1:$J$1,0)))</f>
        <v/>
      </c>
      <c r="C430" s="68" t="str">
        <f>IF(ISBLANK(A430),"",INDEX('Error Log'!$A:$J,MATCH('Scores per segment'!$A430,'Error Log'!$A:$A,0),MATCH('Scores per segment'!C$1,'Error Log'!$A$1:$J$1,0)))</f>
        <v/>
      </c>
      <c r="D430" s="68">
        <f>IF(H430=0,wdct(TRIM(C430)),0)</f>
        <v>0</v>
      </c>
      <c r="E430" s="68">
        <f>COUNTIFS('Error Log'!$A:$A,$A430,'Error Log'!$J:$J,E$1)</f>
        <v>0</v>
      </c>
      <c r="F430" s="68">
        <f>COUNTIFS('Error Log'!$A:$A,$A430,'Error Log'!$J:$J,F$1)</f>
        <v>0</v>
      </c>
      <c r="G430" s="68">
        <f>COUNTIFS('Error Log'!$A:$A,$A430,'Error Log'!$J:$J,G$1)</f>
        <v>0</v>
      </c>
      <c r="H430" s="68">
        <f>COUNTIFS('Error Log'!$A:$A,$A430,'Error Log'!$F:$F,"Source")</f>
        <v>0</v>
      </c>
      <c r="I430" s="68">
        <f>COUNTIFS('Error Log'!$A:$A,$A430,'Error Log'!$F:$F,"Target")</f>
        <v>0</v>
      </c>
      <c r="J430" s="69">
        <f t="shared" si="6"/>
        <v>0</v>
      </c>
    </row>
    <row r="431" spans="1:10">
      <c r="A431" s="87"/>
      <c r="B431" s="68" t="str">
        <f>IF(ISBLANK(A431),"",INDEX('Error Log'!$A:$J,MATCH('Scores per segment'!$A431,'Error Log'!$A:$A,0),MATCH('Scores per segment'!B$1,'Error Log'!$A$1:$J$1,0)))</f>
        <v/>
      </c>
      <c r="C431" s="68" t="str">
        <f>IF(ISBLANK(A431),"",INDEX('Error Log'!$A:$J,MATCH('Scores per segment'!$A431,'Error Log'!$A:$A,0),MATCH('Scores per segment'!C$1,'Error Log'!$A$1:$J$1,0)))</f>
        <v/>
      </c>
      <c r="D431" s="68">
        <f>IF(H431=0,wdct(TRIM(C431)),0)</f>
        <v>0</v>
      </c>
      <c r="E431" s="68">
        <f>COUNTIFS('Error Log'!$A:$A,$A431,'Error Log'!$J:$J,E$1)</f>
        <v>0</v>
      </c>
      <c r="F431" s="68">
        <f>COUNTIFS('Error Log'!$A:$A,$A431,'Error Log'!$J:$J,F$1)</f>
        <v>0</v>
      </c>
      <c r="G431" s="68">
        <f>COUNTIFS('Error Log'!$A:$A,$A431,'Error Log'!$J:$J,G$1)</f>
        <v>0</v>
      </c>
      <c r="H431" s="68">
        <f>COUNTIFS('Error Log'!$A:$A,$A431,'Error Log'!$F:$F,"Source")</f>
        <v>0</v>
      </c>
      <c r="I431" s="68">
        <f>COUNTIFS('Error Log'!$A:$A,$A431,'Error Log'!$F:$F,"Target")</f>
        <v>0</v>
      </c>
      <c r="J431" s="69">
        <f t="shared" si="6"/>
        <v>0</v>
      </c>
    </row>
    <row r="432" spans="1:10">
      <c r="A432" s="87"/>
      <c r="B432" s="68" t="str">
        <f>IF(ISBLANK(A432),"",INDEX('Error Log'!$A:$J,MATCH('Scores per segment'!$A432,'Error Log'!$A:$A,0),MATCH('Scores per segment'!B$1,'Error Log'!$A$1:$J$1,0)))</f>
        <v/>
      </c>
      <c r="C432" s="68" t="str">
        <f>IF(ISBLANK(A432),"",INDEX('Error Log'!$A:$J,MATCH('Scores per segment'!$A432,'Error Log'!$A:$A,0),MATCH('Scores per segment'!C$1,'Error Log'!$A$1:$J$1,0)))</f>
        <v/>
      </c>
      <c r="D432" s="68">
        <f>IF(H432=0,wdct(TRIM(C432)),0)</f>
        <v>0</v>
      </c>
      <c r="E432" s="68">
        <f>COUNTIFS('Error Log'!$A:$A,$A432,'Error Log'!$J:$J,E$1)</f>
        <v>0</v>
      </c>
      <c r="F432" s="68">
        <f>COUNTIFS('Error Log'!$A:$A,$A432,'Error Log'!$J:$J,F$1)</f>
        <v>0</v>
      </c>
      <c r="G432" s="68">
        <f>COUNTIFS('Error Log'!$A:$A,$A432,'Error Log'!$J:$J,G$1)</f>
        <v>0</v>
      </c>
      <c r="H432" s="68">
        <f>COUNTIFS('Error Log'!$A:$A,$A432,'Error Log'!$F:$F,"Source")</f>
        <v>0</v>
      </c>
      <c r="I432" s="68">
        <f>COUNTIFS('Error Log'!$A:$A,$A432,'Error Log'!$F:$F,"Target")</f>
        <v>0</v>
      </c>
      <c r="J432" s="69">
        <f t="shared" si="6"/>
        <v>0</v>
      </c>
    </row>
    <row r="433" spans="1:10">
      <c r="A433" s="87"/>
      <c r="B433" s="68" t="str">
        <f>IF(ISBLANK(A433),"",INDEX('Error Log'!$A:$J,MATCH('Scores per segment'!$A433,'Error Log'!$A:$A,0),MATCH('Scores per segment'!B$1,'Error Log'!$A$1:$J$1,0)))</f>
        <v/>
      </c>
      <c r="C433" s="68" t="str">
        <f>IF(ISBLANK(A433),"",INDEX('Error Log'!$A:$J,MATCH('Scores per segment'!$A433,'Error Log'!$A:$A,0),MATCH('Scores per segment'!C$1,'Error Log'!$A$1:$J$1,0)))</f>
        <v/>
      </c>
      <c r="D433" s="68">
        <f>IF(H433=0,wdct(TRIM(C433)),0)</f>
        <v>0</v>
      </c>
      <c r="E433" s="68">
        <f>COUNTIFS('Error Log'!$A:$A,$A433,'Error Log'!$J:$J,E$1)</f>
        <v>0</v>
      </c>
      <c r="F433" s="68">
        <f>COUNTIFS('Error Log'!$A:$A,$A433,'Error Log'!$J:$J,F$1)</f>
        <v>0</v>
      </c>
      <c r="G433" s="68">
        <f>COUNTIFS('Error Log'!$A:$A,$A433,'Error Log'!$J:$J,G$1)</f>
        <v>0</v>
      </c>
      <c r="H433" s="68">
        <f>COUNTIFS('Error Log'!$A:$A,$A433,'Error Log'!$F:$F,"Source")</f>
        <v>0</v>
      </c>
      <c r="I433" s="68">
        <f>COUNTIFS('Error Log'!$A:$A,$A433,'Error Log'!$F:$F,"Target")</f>
        <v>0</v>
      </c>
      <c r="J433" s="69">
        <f t="shared" si="6"/>
        <v>0</v>
      </c>
    </row>
    <row r="434" spans="1:10">
      <c r="A434" s="87"/>
      <c r="B434" s="68" t="str">
        <f>IF(ISBLANK(A434),"",INDEX('Error Log'!$A:$J,MATCH('Scores per segment'!$A434,'Error Log'!$A:$A,0),MATCH('Scores per segment'!B$1,'Error Log'!$A$1:$J$1,0)))</f>
        <v/>
      </c>
      <c r="C434" s="68" t="str">
        <f>IF(ISBLANK(A434),"",INDEX('Error Log'!$A:$J,MATCH('Scores per segment'!$A434,'Error Log'!$A:$A,0),MATCH('Scores per segment'!C$1,'Error Log'!$A$1:$J$1,0)))</f>
        <v/>
      </c>
      <c r="D434" s="68">
        <f>IF(H434=0,wdct(TRIM(C434)),0)</f>
        <v>0</v>
      </c>
      <c r="E434" s="68">
        <f>COUNTIFS('Error Log'!$A:$A,$A434,'Error Log'!$J:$J,E$1)</f>
        <v>0</v>
      </c>
      <c r="F434" s="68">
        <f>COUNTIFS('Error Log'!$A:$A,$A434,'Error Log'!$J:$J,F$1)</f>
        <v>0</v>
      </c>
      <c r="G434" s="68">
        <f>COUNTIFS('Error Log'!$A:$A,$A434,'Error Log'!$J:$J,G$1)</f>
        <v>0</v>
      </c>
      <c r="H434" s="68">
        <f>COUNTIFS('Error Log'!$A:$A,$A434,'Error Log'!$F:$F,"Source")</f>
        <v>0</v>
      </c>
      <c r="I434" s="68">
        <f>COUNTIFS('Error Log'!$A:$A,$A434,'Error Log'!$F:$F,"Target")</f>
        <v>0</v>
      </c>
      <c r="J434" s="69">
        <f t="shared" si="6"/>
        <v>0</v>
      </c>
    </row>
    <row r="435" spans="1:10">
      <c r="A435" s="87"/>
      <c r="B435" s="68" t="str">
        <f>IF(ISBLANK(A435),"",INDEX('Error Log'!$A:$J,MATCH('Scores per segment'!$A435,'Error Log'!$A:$A,0),MATCH('Scores per segment'!B$1,'Error Log'!$A$1:$J$1,0)))</f>
        <v/>
      </c>
      <c r="C435" s="68" t="str">
        <f>IF(ISBLANK(A435),"",INDEX('Error Log'!$A:$J,MATCH('Scores per segment'!$A435,'Error Log'!$A:$A,0),MATCH('Scores per segment'!C$1,'Error Log'!$A$1:$J$1,0)))</f>
        <v/>
      </c>
      <c r="D435" s="68">
        <f>IF(H435=0,wdct(TRIM(C435)),0)</f>
        <v>0</v>
      </c>
      <c r="E435" s="68">
        <f>COUNTIFS('Error Log'!$A:$A,$A435,'Error Log'!$J:$J,E$1)</f>
        <v>0</v>
      </c>
      <c r="F435" s="68">
        <f>COUNTIFS('Error Log'!$A:$A,$A435,'Error Log'!$J:$J,F$1)</f>
        <v>0</v>
      </c>
      <c r="G435" s="68">
        <f>COUNTIFS('Error Log'!$A:$A,$A435,'Error Log'!$J:$J,G$1)</f>
        <v>0</v>
      </c>
      <c r="H435" s="68">
        <f>COUNTIFS('Error Log'!$A:$A,$A435,'Error Log'!$F:$F,"Source")</f>
        <v>0</v>
      </c>
      <c r="I435" s="68">
        <f>COUNTIFS('Error Log'!$A:$A,$A435,'Error Log'!$F:$F,"Target")</f>
        <v>0</v>
      </c>
      <c r="J435" s="69">
        <f t="shared" si="6"/>
        <v>0</v>
      </c>
    </row>
    <row r="436" spans="1:10">
      <c r="A436" s="87"/>
      <c r="B436" s="68" t="str">
        <f>IF(ISBLANK(A436),"",INDEX('Error Log'!$A:$J,MATCH('Scores per segment'!$A436,'Error Log'!$A:$A,0),MATCH('Scores per segment'!B$1,'Error Log'!$A$1:$J$1,0)))</f>
        <v/>
      </c>
      <c r="C436" s="68" t="str">
        <f>IF(ISBLANK(A436),"",INDEX('Error Log'!$A:$J,MATCH('Scores per segment'!$A436,'Error Log'!$A:$A,0),MATCH('Scores per segment'!C$1,'Error Log'!$A$1:$J$1,0)))</f>
        <v/>
      </c>
      <c r="D436" s="68">
        <f>IF(H436=0,wdct(TRIM(C436)),0)</f>
        <v>0</v>
      </c>
      <c r="E436" s="68">
        <f>COUNTIFS('Error Log'!$A:$A,$A436,'Error Log'!$J:$J,E$1)</f>
        <v>0</v>
      </c>
      <c r="F436" s="68">
        <f>COUNTIFS('Error Log'!$A:$A,$A436,'Error Log'!$J:$J,F$1)</f>
        <v>0</v>
      </c>
      <c r="G436" s="68">
        <f>COUNTIFS('Error Log'!$A:$A,$A436,'Error Log'!$J:$J,G$1)</f>
        <v>0</v>
      </c>
      <c r="H436" s="68">
        <f>COUNTIFS('Error Log'!$A:$A,$A436,'Error Log'!$F:$F,"Source")</f>
        <v>0</v>
      </c>
      <c r="I436" s="68">
        <f>COUNTIFS('Error Log'!$A:$A,$A436,'Error Log'!$F:$F,"Target")</f>
        <v>0</v>
      </c>
      <c r="J436" s="69">
        <f t="shared" si="6"/>
        <v>0</v>
      </c>
    </row>
    <row r="437" spans="1:10">
      <c r="A437" s="87"/>
      <c r="B437" s="68" t="str">
        <f>IF(ISBLANK(A437),"",INDEX('Error Log'!$A:$J,MATCH('Scores per segment'!$A437,'Error Log'!$A:$A,0),MATCH('Scores per segment'!B$1,'Error Log'!$A$1:$J$1,0)))</f>
        <v/>
      </c>
      <c r="C437" s="68" t="str">
        <f>IF(ISBLANK(A437),"",INDEX('Error Log'!$A:$J,MATCH('Scores per segment'!$A437,'Error Log'!$A:$A,0),MATCH('Scores per segment'!C$1,'Error Log'!$A$1:$J$1,0)))</f>
        <v/>
      </c>
      <c r="D437" s="68">
        <f>IF(H437=0,wdct(TRIM(C437)),0)</f>
        <v>0</v>
      </c>
      <c r="E437" s="68">
        <f>COUNTIFS('Error Log'!$A:$A,$A437,'Error Log'!$J:$J,E$1)</f>
        <v>0</v>
      </c>
      <c r="F437" s="68">
        <f>COUNTIFS('Error Log'!$A:$A,$A437,'Error Log'!$J:$J,F$1)</f>
        <v>0</v>
      </c>
      <c r="G437" s="68">
        <f>COUNTIFS('Error Log'!$A:$A,$A437,'Error Log'!$J:$J,G$1)</f>
        <v>0</v>
      </c>
      <c r="H437" s="68">
        <f>COUNTIFS('Error Log'!$A:$A,$A437,'Error Log'!$F:$F,"Source")</f>
        <v>0</v>
      </c>
      <c r="I437" s="68">
        <f>COUNTIFS('Error Log'!$A:$A,$A437,'Error Log'!$F:$F,"Target")</f>
        <v>0</v>
      </c>
      <c r="J437" s="69">
        <f t="shared" si="6"/>
        <v>0</v>
      </c>
    </row>
    <row r="438" spans="1:10">
      <c r="A438" s="87"/>
      <c r="B438" s="68" t="str">
        <f>IF(ISBLANK(A438),"",INDEX('Error Log'!$A:$J,MATCH('Scores per segment'!$A438,'Error Log'!$A:$A,0),MATCH('Scores per segment'!B$1,'Error Log'!$A$1:$J$1,0)))</f>
        <v/>
      </c>
      <c r="C438" s="68" t="str">
        <f>IF(ISBLANK(A438),"",INDEX('Error Log'!$A:$J,MATCH('Scores per segment'!$A438,'Error Log'!$A:$A,0),MATCH('Scores per segment'!C$1,'Error Log'!$A$1:$J$1,0)))</f>
        <v/>
      </c>
      <c r="D438" s="68">
        <f>IF(H438=0,wdct(TRIM(C438)),0)</f>
        <v>0</v>
      </c>
      <c r="E438" s="68">
        <f>COUNTIFS('Error Log'!$A:$A,$A438,'Error Log'!$J:$J,E$1)</f>
        <v>0</v>
      </c>
      <c r="F438" s="68">
        <f>COUNTIFS('Error Log'!$A:$A,$A438,'Error Log'!$J:$J,F$1)</f>
        <v>0</v>
      </c>
      <c r="G438" s="68">
        <f>COUNTIFS('Error Log'!$A:$A,$A438,'Error Log'!$J:$J,G$1)</f>
        <v>0</v>
      </c>
      <c r="H438" s="68">
        <f>COUNTIFS('Error Log'!$A:$A,$A438,'Error Log'!$F:$F,"Source")</f>
        <v>0</v>
      </c>
      <c r="I438" s="68">
        <f>COUNTIFS('Error Log'!$A:$A,$A438,'Error Log'!$F:$F,"Target")</f>
        <v>0</v>
      </c>
      <c r="J438" s="69">
        <f t="shared" si="6"/>
        <v>0</v>
      </c>
    </row>
    <row r="439" spans="1:10">
      <c r="A439" s="87"/>
      <c r="B439" s="68" t="str">
        <f>IF(ISBLANK(A439),"",INDEX('Error Log'!$A:$J,MATCH('Scores per segment'!$A439,'Error Log'!$A:$A,0),MATCH('Scores per segment'!B$1,'Error Log'!$A$1:$J$1,0)))</f>
        <v/>
      </c>
      <c r="C439" s="68" t="str">
        <f>IF(ISBLANK(A439),"",INDEX('Error Log'!$A:$J,MATCH('Scores per segment'!$A439,'Error Log'!$A:$A,0),MATCH('Scores per segment'!C$1,'Error Log'!$A$1:$J$1,0)))</f>
        <v/>
      </c>
      <c r="D439" s="68">
        <f>IF(H439=0,wdct(TRIM(C439)),0)</f>
        <v>0</v>
      </c>
      <c r="E439" s="68">
        <f>COUNTIFS('Error Log'!$A:$A,$A439,'Error Log'!$J:$J,E$1)</f>
        <v>0</v>
      </c>
      <c r="F439" s="68">
        <f>COUNTIFS('Error Log'!$A:$A,$A439,'Error Log'!$J:$J,F$1)</f>
        <v>0</v>
      </c>
      <c r="G439" s="68">
        <f>COUNTIFS('Error Log'!$A:$A,$A439,'Error Log'!$J:$J,G$1)</f>
        <v>0</v>
      </c>
      <c r="H439" s="68">
        <f>COUNTIFS('Error Log'!$A:$A,$A439,'Error Log'!$F:$F,"Source")</f>
        <v>0</v>
      </c>
      <c r="I439" s="68">
        <f>COUNTIFS('Error Log'!$A:$A,$A439,'Error Log'!$F:$F,"Target")</f>
        <v>0</v>
      </c>
      <c r="J439" s="69">
        <f t="shared" si="6"/>
        <v>0</v>
      </c>
    </row>
    <row r="440" spans="1:10">
      <c r="A440" s="87"/>
      <c r="B440" s="68" t="str">
        <f>IF(ISBLANK(A440),"",INDEX('Error Log'!$A:$J,MATCH('Scores per segment'!$A440,'Error Log'!$A:$A,0),MATCH('Scores per segment'!B$1,'Error Log'!$A$1:$J$1,0)))</f>
        <v/>
      </c>
      <c r="C440" s="68" t="str">
        <f>IF(ISBLANK(A440),"",INDEX('Error Log'!$A:$J,MATCH('Scores per segment'!$A440,'Error Log'!$A:$A,0),MATCH('Scores per segment'!C$1,'Error Log'!$A$1:$J$1,0)))</f>
        <v/>
      </c>
      <c r="D440" s="68">
        <f>IF(H440=0,wdct(TRIM(C440)),0)</f>
        <v>0</v>
      </c>
      <c r="E440" s="68">
        <f>COUNTIFS('Error Log'!$A:$A,$A440,'Error Log'!$J:$J,E$1)</f>
        <v>0</v>
      </c>
      <c r="F440" s="68">
        <f>COUNTIFS('Error Log'!$A:$A,$A440,'Error Log'!$J:$J,F$1)</f>
        <v>0</v>
      </c>
      <c r="G440" s="68">
        <f>COUNTIFS('Error Log'!$A:$A,$A440,'Error Log'!$J:$J,G$1)</f>
        <v>0</v>
      </c>
      <c r="H440" s="68">
        <f>COUNTIFS('Error Log'!$A:$A,$A440,'Error Log'!$F:$F,"Source")</f>
        <v>0</v>
      </c>
      <c r="I440" s="68">
        <f>COUNTIFS('Error Log'!$A:$A,$A440,'Error Log'!$F:$F,"Target")</f>
        <v>0</v>
      </c>
      <c r="J440" s="69">
        <f t="shared" si="6"/>
        <v>0</v>
      </c>
    </row>
    <row r="441" spans="1:10">
      <c r="A441" s="87"/>
      <c r="B441" s="68" t="str">
        <f>IF(ISBLANK(A441),"",INDEX('Error Log'!$A:$J,MATCH('Scores per segment'!$A441,'Error Log'!$A:$A,0),MATCH('Scores per segment'!B$1,'Error Log'!$A$1:$J$1,0)))</f>
        <v/>
      </c>
      <c r="C441" s="68" t="str">
        <f>IF(ISBLANK(A441),"",INDEX('Error Log'!$A:$J,MATCH('Scores per segment'!$A441,'Error Log'!$A:$A,0),MATCH('Scores per segment'!C$1,'Error Log'!$A$1:$J$1,0)))</f>
        <v/>
      </c>
      <c r="D441" s="68">
        <f>IF(H441=0,wdct(TRIM(C441)),0)</f>
        <v>0</v>
      </c>
      <c r="E441" s="68">
        <f>COUNTIFS('Error Log'!$A:$A,$A441,'Error Log'!$J:$J,E$1)</f>
        <v>0</v>
      </c>
      <c r="F441" s="68">
        <f>COUNTIFS('Error Log'!$A:$A,$A441,'Error Log'!$J:$J,F$1)</f>
        <v>0</v>
      </c>
      <c r="G441" s="68">
        <f>COUNTIFS('Error Log'!$A:$A,$A441,'Error Log'!$J:$J,G$1)</f>
        <v>0</v>
      </c>
      <c r="H441" s="68">
        <f>COUNTIFS('Error Log'!$A:$A,$A441,'Error Log'!$F:$F,"Source")</f>
        <v>0</v>
      </c>
      <c r="I441" s="68">
        <f>COUNTIFS('Error Log'!$A:$A,$A441,'Error Log'!$F:$F,"Target")</f>
        <v>0</v>
      </c>
      <c r="J441" s="69">
        <f t="shared" si="6"/>
        <v>0</v>
      </c>
    </row>
    <row r="442" spans="1:10">
      <c r="A442" s="87"/>
      <c r="B442" s="68" t="str">
        <f>IF(ISBLANK(A442),"",INDEX('Error Log'!$A:$J,MATCH('Scores per segment'!$A442,'Error Log'!$A:$A,0),MATCH('Scores per segment'!B$1,'Error Log'!$A$1:$J$1,0)))</f>
        <v/>
      </c>
      <c r="C442" s="68" t="str">
        <f>IF(ISBLANK(A442),"",INDEX('Error Log'!$A:$J,MATCH('Scores per segment'!$A442,'Error Log'!$A:$A,0),MATCH('Scores per segment'!C$1,'Error Log'!$A$1:$J$1,0)))</f>
        <v/>
      </c>
      <c r="D442" s="68">
        <f>IF(H442=0,wdct(TRIM(C442)),0)</f>
        <v>0</v>
      </c>
      <c r="E442" s="68">
        <f>COUNTIFS('Error Log'!$A:$A,$A442,'Error Log'!$J:$J,E$1)</f>
        <v>0</v>
      </c>
      <c r="F442" s="68">
        <f>COUNTIFS('Error Log'!$A:$A,$A442,'Error Log'!$J:$J,F$1)</f>
        <v>0</v>
      </c>
      <c r="G442" s="68">
        <f>COUNTIFS('Error Log'!$A:$A,$A442,'Error Log'!$J:$J,G$1)</f>
        <v>0</v>
      </c>
      <c r="H442" s="68">
        <f>COUNTIFS('Error Log'!$A:$A,$A442,'Error Log'!$F:$F,"Source")</f>
        <v>0</v>
      </c>
      <c r="I442" s="68">
        <f>COUNTIFS('Error Log'!$A:$A,$A442,'Error Log'!$F:$F,"Target")</f>
        <v>0</v>
      </c>
      <c r="J442" s="69">
        <f t="shared" si="6"/>
        <v>0</v>
      </c>
    </row>
    <row r="443" spans="1:10">
      <c r="A443" s="87"/>
      <c r="B443" s="68" t="str">
        <f>IF(ISBLANK(A443),"",INDEX('Error Log'!$A:$J,MATCH('Scores per segment'!$A443,'Error Log'!$A:$A,0),MATCH('Scores per segment'!B$1,'Error Log'!$A$1:$J$1,0)))</f>
        <v/>
      </c>
      <c r="C443" s="68" t="str">
        <f>IF(ISBLANK(A443),"",INDEX('Error Log'!$A:$J,MATCH('Scores per segment'!$A443,'Error Log'!$A:$A,0),MATCH('Scores per segment'!C$1,'Error Log'!$A$1:$J$1,0)))</f>
        <v/>
      </c>
      <c r="D443" s="68">
        <f>IF(H443=0,wdct(TRIM(C443)),0)</f>
        <v>0</v>
      </c>
      <c r="E443" s="68">
        <f>COUNTIFS('Error Log'!$A:$A,$A443,'Error Log'!$J:$J,E$1)</f>
        <v>0</v>
      </c>
      <c r="F443" s="68">
        <f>COUNTIFS('Error Log'!$A:$A,$A443,'Error Log'!$J:$J,F$1)</f>
        <v>0</v>
      </c>
      <c r="G443" s="68">
        <f>COUNTIFS('Error Log'!$A:$A,$A443,'Error Log'!$J:$J,G$1)</f>
        <v>0</v>
      </c>
      <c r="H443" s="68">
        <f>COUNTIFS('Error Log'!$A:$A,$A443,'Error Log'!$F:$F,"Source")</f>
        <v>0</v>
      </c>
      <c r="I443" s="68">
        <f>COUNTIFS('Error Log'!$A:$A,$A443,'Error Log'!$F:$F,"Target")</f>
        <v>0</v>
      </c>
      <c r="J443" s="69">
        <f t="shared" si="6"/>
        <v>0</v>
      </c>
    </row>
    <row r="444" spans="1:10">
      <c r="A444" s="87"/>
      <c r="B444" s="68" t="str">
        <f>IF(ISBLANK(A444),"",INDEX('Error Log'!$A:$J,MATCH('Scores per segment'!$A444,'Error Log'!$A:$A,0),MATCH('Scores per segment'!B$1,'Error Log'!$A$1:$J$1,0)))</f>
        <v/>
      </c>
      <c r="C444" s="68" t="str">
        <f>IF(ISBLANK(A444),"",INDEX('Error Log'!$A:$J,MATCH('Scores per segment'!$A444,'Error Log'!$A:$A,0),MATCH('Scores per segment'!C$1,'Error Log'!$A$1:$J$1,0)))</f>
        <v/>
      </c>
      <c r="D444" s="68">
        <f>IF(H444=0,wdct(TRIM(C444)),0)</f>
        <v>0</v>
      </c>
      <c r="E444" s="68">
        <f>COUNTIFS('Error Log'!$A:$A,$A444,'Error Log'!$J:$J,E$1)</f>
        <v>0</v>
      </c>
      <c r="F444" s="68">
        <f>COUNTIFS('Error Log'!$A:$A,$A444,'Error Log'!$J:$J,F$1)</f>
        <v>0</v>
      </c>
      <c r="G444" s="68">
        <f>COUNTIFS('Error Log'!$A:$A,$A444,'Error Log'!$J:$J,G$1)</f>
        <v>0</v>
      </c>
      <c r="H444" s="68">
        <f>COUNTIFS('Error Log'!$A:$A,$A444,'Error Log'!$F:$F,"Source")</f>
        <v>0</v>
      </c>
      <c r="I444" s="68">
        <f>COUNTIFS('Error Log'!$A:$A,$A444,'Error Log'!$F:$F,"Target")</f>
        <v>0</v>
      </c>
      <c r="J444" s="69">
        <f t="shared" si="6"/>
        <v>0</v>
      </c>
    </row>
    <row r="445" spans="1:10">
      <c r="A445" s="87"/>
      <c r="B445" s="68" t="str">
        <f>IF(ISBLANK(A445),"",INDEX('Error Log'!$A:$J,MATCH('Scores per segment'!$A445,'Error Log'!$A:$A,0),MATCH('Scores per segment'!B$1,'Error Log'!$A$1:$J$1,0)))</f>
        <v/>
      </c>
      <c r="C445" s="68" t="str">
        <f>IF(ISBLANK(A445),"",INDEX('Error Log'!$A:$J,MATCH('Scores per segment'!$A445,'Error Log'!$A:$A,0),MATCH('Scores per segment'!C$1,'Error Log'!$A$1:$J$1,0)))</f>
        <v/>
      </c>
      <c r="D445" s="68">
        <f>IF(H445=0,wdct(TRIM(C445)),0)</f>
        <v>0</v>
      </c>
      <c r="E445" s="68">
        <f>COUNTIFS('Error Log'!$A:$A,$A445,'Error Log'!$J:$J,E$1)</f>
        <v>0</v>
      </c>
      <c r="F445" s="68">
        <f>COUNTIFS('Error Log'!$A:$A,$A445,'Error Log'!$J:$J,F$1)</f>
        <v>0</v>
      </c>
      <c r="G445" s="68">
        <f>COUNTIFS('Error Log'!$A:$A,$A445,'Error Log'!$J:$J,G$1)</f>
        <v>0</v>
      </c>
      <c r="H445" s="68">
        <f>COUNTIFS('Error Log'!$A:$A,$A445,'Error Log'!$F:$F,"Source")</f>
        <v>0</v>
      </c>
      <c r="I445" s="68">
        <f>COUNTIFS('Error Log'!$A:$A,$A445,'Error Log'!$F:$F,"Target")</f>
        <v>0</v>
      </c>
      <c r="J445" s="69">
        <f t="shared" si="6"/>
        <v>0</v>
      </c>
    </row>
    <row r="446" spans="1:10">
      <c r="A446" s="87"/>
      <c r="B446" s="68" t="str">
        <f>IF(ISBLANK(A446),"",INDEX('Error Log'!$A:$J,MATCH('Scores per segment'!$A446,'Error Log'!$A:$A,0),MATCH('Scores per segment'!B$1,'Error Log'!$A$1:$J$1,0)))</f>
        <v/>
      </c>
      <c r="C446" s="68" t="str">
        <f>IF(ISBLANK(A446),"",INDEX('Error Log'!$A:$J,MATCH('Scores per segment'!$A446,'Error Log'!$A:$A,0),MATCH('Scores per segment'!C$1,'Error Log'!$A$1:$J$1,0)))</f>
        <v/>
      </c>
      <c r="D446" s="68">
        <f>IF(H446=0,wdct(TRIM(C446)),0)</f>
        <v>0</v>
      </c>
      <c r="E446" s="68">
        <f>COUNTIFS('Error Log'!$A:$A,$A446,'Error Log'!$J:$J,E$1)</f>
        <v>0</v>
      </c>
      <c r="F446" s="68">
        <f>COUNTIFS('Error Log'!$A:$A,$A446,'Error Log'!$J:$J,F$1)</f>
        <v>0</v>
      </c>
      <c r="G446" s="68">
        <f>COUNTIFS('Error Log'!$A:$A,$A446,'Error Log'!$J:$J,G$1)</f>
        <v>0</v>
      </c>
      <c r="H446" s="68">
        <f>COUNTIFS('Error Log'!$A:$A,$A446,'Error Log'!$F:$F,"Source")</f>
        <v>0</v>
      </c>
      <c r="I446" s="68">
        <f>COUNTIFS('Error Log'!$A:$A,$A446,'Error Log'!$F:$F,"Target")</f>
        <v>0</v>
      </c>
      <c r="J446" s="69">
        <f t="shared" si="6"/>
        <v>0</v>
      </c>
    </row>
    <row r="447" spans="1:10">
      <c r="A447" s="87"/>
      <c r="B447" s="68" t="str">
        <f>IF(ISBLANK(A447),"",INDEX('Error Log'!$A:$J,MATCH('Scores per segment'!$A447,'Error Log'!$A:$A,0),MATCH('Scores per segment'!B$1,'Error Log'!$A$1:$J$1,0)))</f>
        <v/>
      </c>
      <c r="C447" s="68" t="str">
        <f>IF(ISBLANK(A447),"",INDEX('Error Log'!$A:$J,MATCH('Scores per segment'!$A447,'Error Log'!$A:$A,0),MATCH('Scores per segment'!C$1,'Error Log'!$A$1:$J$1,0)))</f>
        <v/>
      </c>
      <c r="D447" s="68">
        <f>IF(H447=0,wdct(TRIM(C447)),0)</f>
        <v>0</v>
      </c>
      <c r="E447" s="68">
        <f>COUNTIFS('Error Log'!$A:$A,$A447,'Error Log'!$J:$J,E$1)</f>
        <v>0</v>
      </c>
      <c r="F447" s="68">
        <f>COUNTIFS('Error Log'!$A:$A,$A447,'Error Log'!$J:$J,F$1)</f>
        <v>0</v>
      </c>
      <c r="G447" s="68">
        <f>COUNTIFS('Error Log'!$A:$A,$A447,'Error Log'!$J:$J,G$1)</f>
        <v>0</v>
      </c>
      <c r="H447" s="68">
        <f>COUNTIFS('Error Log'!$A:$A,$A447,'Error Log'!$F:$F,"Source")</f>
        <v>0</v>
      </c>
      <c r="I447" s="68">
        <f>COUNTIFS('Error Log'!$A:$A,$A447,'Error Log'!$F:$F,"Target")</f>
        <v>0</v>
      </c>
      <c r="J447" s="69">
        <f t="shared" si="6"/>
        <v>0</v>
      </c>
    </row>
    <row r="448" spans="1:10">
      <c r="A448" s="87"/>
      <c r="B448" s="68" t="str">
        <f>IF(ISBLANK(A448),"",INDEX('Error Log'!$A:$J,MATCH('Scores per segment'!$A448,'Error Log'!$A:$A,0),MATCH('Scores per segment'!B$1,'Error Log'!$A$1:$J$1,0)))</f>
        <v/>
      </c>
      <c r="C448" s="68" t="str">
        <f>IF(ISBLANK(A448),"",INDEX('Error Log'!$A:$J,MATCH('Scores per segment'!$A448,'Error Log'!$A:$A,0),MATCH('Scores per segment'!C$1,'Error Log'!$A$1:$J$1,0)))</f>
        <v/>
      </c>
      <c r="D448" s="68">
        <f>IF(H448=0,wdct(TRIM(C448)),0)</f>
        <v>0</v>
      </c>
      <c r="E448" s="68">
        <f>COUNTIFS('Error Log'!$A:$A,$A448,'Error Log'!$J:$J,E$1)</f>
        <v>0</v>
      </c>
      <c r="F448" s="68">
        <f>COUNTIFS('Error Log'!$A:$A,$A448,'Error Log'!$J:$J,F$1)</f>
        <v>0</v>
      </c>
      <c r="G448" s="68">
        <f>COUNTIFS('Error Log'!$A:$A,$A448,'Error Log'!$J:$J,G$1)</f>
        <v>0</v>
      </c>
      <c r="H448" s="68">
        <f>COUNTIFS('Error Log'!$A:$A,$A448,'Error Log'!$F:$F,"Source")</f>
        <v>0</v>
      </c>
      <c r="I448" s="68">
        <f>COUNTIFS('Error Log'!$A:$A,$A448,'Error Log'!$F:$F,"Target")</f>
        <v>0</v>
      </c>
      <c r="J448" s="69">
        <f t="shared" si="6"/>
        <v>0</v>
      </c>
    </row>
    <row r="449" spans="1:10">
      <c r="A449" s="87"/>
      <c r="B449" s="68" t="str">
        <f>IF(ISBLANK(A449),"",INDEX('Error Log'!$A:$J,MATCH('Scores per segment'!$A449,'Error Log'!$A:$A,0),MATCH('Scores per segment'!B$1,'Error Log'!$A$1:$J$1,0)))</f>
        <v/>
      </c>
      <c r="C449" s="68" t="str">
        <f>IF(ISBLANK(A449),"",INDEX('Error Log'!$A:$J,MATCH('Scores per segment'!$A449,'Error Log'!$A:$A,0),MATCH('Scores per segment'!C$1,'Error Log'!$A$1:$J$1,0)))</f>
        <v/>
      </c>
      <c r="D449" s="68">
        <f>IF(H449=0,wdct(TRIM(C449)),0)</f>
        <v>0</v>
      </c>
      <c r="E449" s="68">
        <f>COUNTIFS('Error Log'!$A:$A,$A449,'Error Log'!$J:$J,E$1)</f>
        <v>0</v>
      </c>
      <c r="F449" s="68">
        <f>COUNTIFS('Error Log'!$A:$A,$A449,'Error Log'!$J:$J,F$1)</f>
        <v>0</v>
      </c>
      <c r="G449" s="68">
        <f>COUNTIFS('Error Log'!$A:$A,$A449,'Error Log'!$J:$J,G$1)</f>
        <v>0</v>
      </c>
      <c r="H449" s="68">
        <f>COUNTIFS('Error Log'!$A:$A,$A449,'Error Log'!$F:$F,"Source")</f>
        <v>0</v>
      </c>
      <c r="I449" s="68">
        <f>COUNTIFS('Error Log'!$A:$A,$A449,'Error Log'!$F:$F,"Target")</f>
        <v>0</v>
      </c>
      <c r="J449" s="69">
        <f t="shared" si="6"/>
        <v>0</v>
      </c>
    </row>
    <row r="450" spans="1:10">
      <c r="A450" s="87"/>
      <c r="B450" s="68" t="str">
        <f>IF(ISBLANK(A450),"",INDEX('Error Log'!$A:$J,MATCH('Scores per segment'!$A450,'Error Log'!$A:$A,0),MATCH('Scores per segment'!B$1,'Error Log'!$A$1:$J$1,0)))</f>
        <v/>
      </c>
      <c r="C450" s="68" t="str">
        <f>IF(ISBLANK(A450),"",INDEX('Error Log'!$A:$J,MATCH('Scores per segment'!$A450,'Error Log'!$A:$A,0),MATCH('Scores per segment'!C$1,'Error Log'!$A$1:$J$1,0)))</f>
        <v/>
      </c>
      <c r="D450" s="68">
        <f>IF(H450=0,wdct(TRIM(C450)),0)</f>
        <v>0</v>
      </c>
      <c r="E450" s="68">
        <f>COUNTIFS('Error Log'!$A:$A,$A450,'Error Log'!$J:$J,E$1)</f>
        <v>0</v>
      </c>
      <c r="F450" s="68">
        <f>COUNTIFS('Error Log'!$A:$A,$A450,'Error Log'!$J:$J,F$1)</f>
        <v>0</v>
      </c>
      <c r="G450" s="68">
        <f>COUNTIFS('Error Log'!$A:$A,$A450,'Error Log'!$J:$J,G$1)</f>
        <v>0</v>
      </c>
      <c r="H450" s="68">
        <f>COUNTIFS('Error Log'!$A:$A,$A450,'Error Log'!$F:$F,"Source")</f>
        <v>0</v>
      </c>
      <c r="I450" s="68">
        <f>COUNTIFS('Error Log'!$A:$A,$A450,'Error Log'!$F:$F,"Target")</f>
        <v>0</v>
      </c>
      <c r="J450" s="69">
        <f t="shared" ref="J450:J501" si="7">IF(I450=0,IFERROR((((1-((E450*10+F450*5+G450*1)/D450))*100)+100)/2,0),-150)</f>
        <v>0</v>
      </c>
    </row>
    <row r="451" spans="1:10">
      <c r="A451" s="87"/>
      <c r="B451" s="68" t="str">
        <f>IF(ISBLANK(A451),"",INDEX('Error Log'!$A:$J,MATCH('Scores per segment'!$A451,'Error Log'!$A:$A,0),MATCH('Scores per segment'!B$1,'Error Log'!$A$1:$J$1,0)))</f>
        <v/>
      </c>
      <c r="C451" s="68" t="str">
        <f>IF(ISBLANK(A451),"",INDEX('Error Log'!$A:$J,MATCH('Scores per segment'!$A451,'Error Log'!$A:$A,0),MATCH('Scores per segment'!C$1,'Error Log'!$A$1:$J$1,0)))</f>
        <v/>
      </c>
      <c r="D451" s="68">
        <f>IF(H451=0,wdct(TRIM(C451)),0)</f>
        <v>0</v>
      </c>
      <c r="E451" s="68">
        <f>COUNTIFS('Error Log'!$A:$A,$A451,'Error Log'!$J:$J,E$1)</f>
        <v>0</v>
      </c>
      <c r="F451" s="68">
        <f>COUNTIFS('Error Log'!$A:$A,$A451,'Error Log'!$J:$J,F$1)</f>
        <v>0</v>
      </c>
      <c r="G451" s="68">
        <f>COUNTIFS('Error Log'!$A:$A,$A451,'Error Log'!$J:$J,G$1)</f>
        <v>0</v>
      </c>
      <c r="H451" s="68">
        <f>COUNTIFS('Error Log'!$A:$A,$A451,'Error Log'!$F:$F,"Source")</f>
        <v>0</v>
      </c>
      <c r="I451" s="68">
        <f>COUNTIFS('Error Log'!$A:$A,$A451,'Error Log'!$F:$F,"Target")</f>
        <v>0</v>
      </c>
      <c r="J451" s="69">
        <f t="shared" si="7"/>
        <v>0</v>
      </c>
    </row>
    <row r="452" spans="1:10">
      <c r="A452" s="87"/>
      <c r="B452" s="68" t="str">
        <f>IF(ISBLANK(A452),"",INDEX('Error Log'!$A:$J,MATCH('Scores per segment'!$A452,'Error Log'!$A:$A,0),MATCH('Scores per segment'!B$1,'Error Log'!$A$1:$J$1,0)))</f>
        <v/>
      </c>
      <c r="C452" s="68" t="str">
        <f>IF(ISBLANK(A452),"",INDEX('Error Log'!$A:$J,MATCH('Scores per segment'!$A452,'Error Log'!$A:$A,0),MATCH('Scores per segment'!C$1,'Error Log'!$A$1:$J$1,0)))</f>
        <v/>
      </c>
      <c r="D452" s="68">
        <f>IF(H452=0,wdct(TRIM(C452)),0)</f>
        <v>0</v>
      </c>
      <c r="E452" s="68">
        <f>COUNTIFS('Error Log'!$A:$A,$A452,'Error Log'!$J:$J,E$1)</f>
        <v>0</v>
      </c>
      <c r="F452" s="68">
        <f>COUNTIFS('Error Log'!$A:$A,$A452,'Error Log'!$J:$J,F$1)</f>
        <v>0</v>
      </c>
      <c r="G452" s="68">
        <f>COUNTIFS('Error Log'!$A:$A,$A452,'Error Log'!$J:$J,G$1)</f>
        <v>0</v>
      </c>
      <c r="H452" s="68">
        <f>COUNTIFS('Error Log'!$A:$A,$A452,'Error Log'!$F:$F,"Source")</f>
        <v>0</v>
      </c>
      <c r="I452" s="68">
        <f>COUNTIFS('Error Log'!$A:$A,$A452,'Error Log'!$F:$F,"Target")</f>
        <v>0</v>
      </c>
      <c r="J452" s="69">
        <f t="shared" si="7"/>
        <v>0</v>
      </c>
    </row>
    <row r="453" spans="1:10">
      <c r="A453" s="87"/>
      <c r="B453" s="68" t="str">
        <f>IF(ISBLANK(A453),"",INDEX('Error Log'!$A:$J,MATCH('Scores per segment'!$A453,'Error Log'!$A:$A,0),MATCH('Scores per segment'!B$1,'Error Log'!$A$1:$J$1,0)))</f>
        <v/>
      </c>
      <c r="C453" s="68" t="str">
        <f>IF(ISBLANK(A453),"",INDEX('Error Log'!$A:$J,MATCH('Scores per segment'!$A453,'Error Log'!$A:$A,0),MATCH('Scores per segment'!C$1,'Error Log'!$A$1:$J$1,0)))</f>
        <v/>
      </c>
      <c r="D453" s="68">
        <f>IF(H453=0,wdct(TRIM(C453)),0)</f>
        <v>0</v>
      </c>
      <c r="E453" s="68">
        <f>COUNTIFS('Error Log'!$A:$A,$A453,'Error Log'!$J:$J,E$1)</f>
        <v>0</v>
      </c>
      <c r="F453" s="68">
        <f>COUNTIFS('Error Log'!$A:$A,$A453,'Error Log'!$J:$J,F$1)</f>
        <v>0</v>
      </c>
      <c r="G453" s="68">
        <f>COUNTIFS('Error Log'!$A:$A,$A453,'Error Log'!$J:$J,G$1)</f>
        <v>0</v>
      </c>
      <c r="H453" s="68">
        <f>COUNTIFS('Error Log'!$A:$A,$A453,'Error Log'!$F:$F,"Source")</f>
        <v>0</v>
      </c>
      <c r="I453" s="68">
        <f>COUNTIFS('Error Log'!$A:$A,$A453,'Error Log'!$F:$F,"Target")</f>
        <v>0</v>
      </c>
      <c r="J453" s="69">
        <f t="shared" si="7"/>
        <v>0</v>
      </c>
    </row>
    <row r="454" spans="1:10">
      <c r="A454" s="87"/>
      <c r="B454" s="68" t="str">
        <f>IF(ISBLANK(A454),"",INDEX('Error Log'!$A:$J,MATCH('Scores per segment'!$A454,'Error Log'!$A:$A,0),MATCH('Scores per segment'!B$1,'Error Log'!$A$1:$J$1,0)))</f>
        <v/>
      </c>
      <c r="C454" s="68" t="str">
        <f>IF(ISBLANK(A454),"",INDEX('Error Log'!$A:$J,MATCH('Scores per segment'!$A454,'Error Log'!$A:$A,0),MATCH('Scores per segment'!C$1,'Error Log'!$A$1:$J$1,0)))</f>
        <v/>
      </c>
      <c r="D454" s="68">
        <f>IF(H454=0,wdct(TRIM(C454)),0)</f>
        <v>0</v>
      </c>
      <c r="E454" s="68">
        <f>COUNTIFS('Error Log'!$A:$A,$A454,'Error Log'!$J:$J,E$1)</f>
        <v>0</v>
      </c>
      <c r="F454" s="68">
        <f>COUNTIFS('Error Log'!$A:$A,$A454,'Error Log'!$J:$J,F$1)</f>
        <v>0</v>
      </c>
      <c r="G454" s="68">
        <f>COUNTIFS('Error Log'!$A:$A,$A454,'Error Log'!$J:$J,G$1)</f>
        <v>0</v>
      </c>
      <c r="H454" s="68">
        <f>COUNTIFS('Error Log'!$A:$A,$A454,'Error Log'!$F:$F,"Source")</f>
        <v>0</v>
      </c>
      <c r="I454" s="68">
        <f>COUNTIFS('Error Log'!$A:$A,$A454,'Error Log'!$F:$F,"Target")</f>
        <v>0</v>
      </c>
      <c r="J454" s="69">
        <f t="shared" si="7"/>
        <v>0</v>
      </c>
    </row>
    <row r="455" spans="1:10">
      <c r="A455" s="87"/>
      <c r="B455" s="68" t="str">
        <f>IF(ISBLANK(A455),"",INDEX('Error Log'!$A:$J,MATCH('Scores per segment'!$A455,'Error Log'!$A:$A,0),MATCH('Scores per segment'!B$1,'Error Log'!$A$1:$J$1,0)))</f>
        <v/>
      </c>
      <c r="C455" s="68" t="str">
        <f>IF(ISBLANK(A455),"",INDEX('Error Log'!$A:$J,MATCH('Scores per segment'!$A455,'Error Log'!$A:$A,0),MATCH('Scores per segment'!C$1,'Error Log'!$A$1:$J$1,0)))</f>
        <v/>
      </c>
      <c r="D455" s="68">
        <f>IF(H455=0,wdct(TRIM(C455)),0)</f>
        <v>0</v>
      </c>
      <c r="E455" s="68">
        <f>COUNTIFS('Error Log'!$A:$A,$A455,'Error Log'!$J:$J,E$1)</f>
        <v>0</v>
      </c>
      <c r="F455" s="68">
        <f>COUNTIFS('Error Log'!$A:$A,$A455,'Error Log'!$J:$J,F$1)</f>
        <v>0</v>
      </c>
      <c r="G455" s="68">
        <f>COUNTIFS('Error Log'!$A:$A,$A455,'Error Log'!$J:$J,G$1)</f>
        <v>0</v>
      </c>
      <c r="H455" s="68">
        <f>COUNTIFS('Error Log'!$A:$A,$A455,'Error Log'!$F:$F,"Source")</f>
        <v>0</v>
      </c>
      <c r="I455" s="68">
        <f>COUNTIFS('Error Log'!$A:$A,$A455,'Error Log'!$F:$F,"Target")</f>
        <v>0</v>
      </c>
      <c r="J455" s="69">
        <f t="shared" si="7"/>
        <v>0</v>
      </c>
    </row>
    <row r="456" spans="1:10">
      <c r="A456" s="87"/>
      <c r="B456" s="68" t="str">
        <f>IF(ISBLANK(A456),"",INDEX('Error Log'!$A:$J,MATCH('Scores per segment'!$A456,'Error Log'!$A:$A,0),MATCH('Scores per segment'!B$1,'Error Log'!$A$1:$J$1,0)))</f>
        <v/>
      </c>
      <c r="C456" s="68" t="str">
        <f>IF(ISBLANK(A456),"",INDEX('Error Log'!$A:$J,MATCH('Scores per segment'!$A456,'Error Log'!$A:$A,0),MATCH('Scores per segment'!C$1,'Error Log'!$A$1:$J$1,0)))</f>
        <v/>
      </c>
      <c r="D456" s="68">
        <f>IF(H456=0,wdct(TRIM(C456)),0)</f>
        <v>0</v>
      </c>
      <c r="E456" s="68">
        <f>COUNTIFS('Error Log'!$A:$A,$A456,'Error Log'!$J:$J,E$1)</f>
        <v>0</v>
      </c>
      <c r="F456" s="68">
        <f>COUNTIFS('Error Log'!$A:$A,$A456,'Error Log'!$J:$J,F$1)</f>
        <v>0</v>
      </c>
      <c r="G456" s="68">
        <f>COUNTIFS('Error Log'!$A:$A,$A456,'Error Log'!$J:$J,G$1)</f>
        <v>0</v>
      </c>
      <c r="H456" s="68">
        <f>COUNTIFS('Error Log'!$A:$A,$A456,'Error Log'!$F:$F,"Source")</f>
        <v>0</v>
      </c>
      <c r="I456" s="68">
        <f>COUNTIFS('Error Log'!$A:$A,$A456,'Error Log'!$F:$F,"Target")</f>
        <v>0</v>
      </c>
      <c r="J456" s="69">
        <f t="shared" si="7"/>
        <v>0</v>
      </c>
    </row>
    <row r="457" spans="1:10">
      <c r="A457" s="87"/>
      <c r="B457" s="68" t="str">
        <f>IF(ISBLANK(A457),"",INDEX('Error Log'!$A:$J,MATCH('Scores per segment'!$A457,'Error Log'!$A:$A,0),MATCH('Scores per segment'!B$1,'Error Log'!$A$1:$J$1,0)))</f>
        <v/>
      </c>
      <c r="C457" s="68" t="str">
        <f>IF(ISBLANK(A457),"",INDEX('Error Log'!$A:$J,MATCH('Scores per segment'!$A457,'Error Log'!$A:$A,0),MATCH('Scores per segment'!C$1,'Error Log'!$A$1:$J$1,0)))</f>
        <v/>
      </c>
      <c r="D457" s="68">
        <f>IF(H457=0,wdct(TRIM(C457)),0)</f>
        <v>0</v>
      </c>
      <c r="E457" s="68">
        <f>COUNTIFS('Error Log'!$A:$A,$A457,'Error Log'!$J:$J,E$1)</f>
        <v>0</v>
      </c>
      <c r="F457" s="68">
        <f>COUNTIFS('Error Log'!$A:$A,$A457,'Error Log'!$J:$J,F$1)</f>
        <v>0</v>
      </c>
      <c r="G457" s="68">
        <f>COUNTIFS('Error Log'!$A:$A,$A457,'Error Log'!$J:$J,G$1)</f>
        <v>0</v>
      </c>
      <c r="H457" s="68">
        <f>COUNTIFS('Error Log'!$A:$A,$A457,'Error Log'!$F:$F,"Source")</f>
        <v>0</v>
      </c>
      <c r="I457" s="68">
        <f>COUNTIFS('Error Log'!$A:$A,$A457,'Error Log'!$F:$F,"Target")</f>
        <v>0</v>
      </c>
      <c r="J457" s="69">
        <f t="shared" si="7"/>
        <v>0</v>
      </c>
    </row>
    <row r="458" spans="1:10">
      <c r="A458" s="87"/>
      <c r="B458" s="68" t="str">
        <f>IF(ISBLANK(A458),"",INDEX('Error Log'!$A:$J,MATCH('Scores per segment'!$A458,'Error Log'!$A:$A,0),MATCH('Scores per segment'!B$1,'Error Log'!$A$1:$J$1,0)))</f>
        <v/>
      </c>
      <c r="C458" s="68" t="str">
        <f>IF(ISBLANK(A458),"",INDEX('Error Log'!$A:$J,MATCH('Scores per segment'!$A458,'Error Log'!$A:$A,0),MATCH('Scores per segment'!C$1,'Error Log'!$A$1:$J$1,0)))</f>
        <v/>
      </c>
      <c r="D458" s="68">
        <f>IF(H458=0,wdct(TRIM(C458)),0)</f>
        <v>0</v>
      </c>
      <c r="E458" s="68">
        <f>COUNTIFS('Error Log'!$A:$A,$A458,'Error Log'!$J:$J,E$1)</f>
        <v>0</v>
      </c>
      <c r="F458" s="68">
        <f>COUNTIFS('Error Log'!$A:$A,$A458,'Error Log'!$J:$J,F$1)</f>
        <v>0</v>
      </c>
      <c r="G458" s="68">
        <f>COUNTIFS('Error Log'!$A:$A,$A458,'Error Log'!$J:$J,G$1)</f>
        <v>0</v>
      </c>
      <c r="H458" s="68">
        <f>COUNTIFS('Error Log'!$A:$A,$A458,'Error Log'!$F:$F,"Source")</f>
        <v>0</v>
      </c>
      <c r="I458" s="68">
        <f>COUNTIFS('Error Log'!$A:$A,$A458,'Error Log'!$F:$F,"Target")</f>
        <v>0</v>
      </c>
      <c r="J458" s="69">
        <f t="shared" si="7"/>
        <v>0</v>
      </c>
    </row>
    <row r="459" spans="1:10">
      <c r="A459" s="87"/>
      <c r="B459" s="68" t="str">
        <f>IF(ISBLANK(A459),"",INDEX('Error Log'!$A:$J,MATCH('Scores per segment'!$A459,'Error Log'!$A:$A,0),MATCH('Scores per segment'!B$1,'Error Log'!$A$1:$J$1,0)))</f>
        <v/>
      </c>
      <c r="C459" s="68" t="str">
        <f>IF(ISBLANK(A459),"",INDEX('Error Log'!$A:$J,MATCH('Scores per segment'!$A459,'Error Log'!$A:$A,0),MATCH('Scores per segment'!C$1,'Error Log'!$A$1:$J$1,0)))</f>
        <v/>
      </c>
      <c r="D459" s="68">
        <f>IF(H459=0,wdct(TRIM(C459)),0)</f>
        <v>0</v>
      </c>
      <c r="E459" s="68">
        <f>COUNTIFS('Error Log'!$A:$A,$A459,'Error Log'!$J:$J,E$1)</f>
        <v>0</v>
      </c>
      <c r="F459" s="68">
        <f>COUNTIFS('Error Log'!$A:$A,$A459,'Error Log'!$J:$J,F$1)</f>
        <v>0</v>
      </c>
      <c r="G459" s="68">
        <f>COUNTIFS('Error Log'!$A:$A,$A459,'Error Log'!$J:$J,G$1)</f>
        <v>0</v>
      </c>
      <c r="H459" s="68">
        <f>COUNTIFS('Error Log'!$A:$A,$A459,'Error Log'!$F:$F,"Source")</f>
        <v>0</v>
      </c>
      <c r="I459" s="68">
        <f>COUNTIFS('Error Log'!$A:$A,$A459,'Error Log'!$F:$F,"Target")</f>
        <v>0</v>
      </c>
      <c r="J459" s="69">
        <f t="shared" si="7"/>
        <v>0</v>
      </c>
    </row>
    <row r="460" spans="1:10">
      <c r="A460" s="87"/>
      <c r="B460" s="68" t="str">
        <f>IF(ISBLANK(A460),"",INDEX('Error Log'!$A:$J,MATCH('Scores per segment'!$A460,'Error Log'!$A:$A,0),MATCH('Scores per segment'!B$1,'Error Log'!$A$1:$J$1,0)))</f>
        <v/>
      </c>
      <c r="C460" s="68" t="str">
        <f>IF(ISBLANK(A460),"",INDEX('Error Log'!$A:$J,MATCH('Scores per segment'!$A460,'Error Log'!$A:$A,0),MATCH('Scores per segment'!C$1,'Error Log'!$A$1:$J$1,0)))</f>
        <v/>
      </c>
      <c r="D460" s="68">
        <f>IF(H460=0,wdct(TRIM(C460)),0)</f>
        <v>0</v>
      </c>
      <c r="E460" s="68">
        <f>COUNTIFS('Error Log'!$A:$A,$A460,'Error Log'!$J:$J,E$1)</f>
        <v>0</v>
      </c>
      <c r="F460" s="68">
        <f>COUNTIFS('Error Log'!$A:$A,$A460,'Error Log'!$J:$J,F$1)</f>
        <v>0</v>
      </c>
      <c r="G460" s="68">
        <f>COUNTIFS('Error Log'!$A:$A,$A460,'Error Log'!$J:$J,G$1)</f>
        <v>0</v>
      </c>
      <c r="H460" s="68">
        <f>COUNTIFS('Error Log'!$A:$A,$A460,'Error Log'!$F:$F,"Source")</f>
        <v>0</v>
      </c>
      <c r="I460" s="68">
        <f>COUNTIFS('Error Log'!$A:$A,$A460,'Error Log'!$F:$F,"Target")</f>
        <v>0</v>
      </c>
      <c r="J460" s="69">
        <f t="shared" si="7"/>
        <v>0</v>
      </c>
    </row>
    <row r="461" spans="1:10">
      <c r="A461" s="87"/>
      <c r="B461" s="68" t="str">
        <f>IF(ISBLANK(A461),"",INDEX('Error Log'!$A:$J,MATCH('Scores per segment'!$A461,'Error Log'!$A:$A,0),MATCH('Scores per segment'!B$1,'Error Log'!$A$1:$J$1,0)))</f>
        <v/>
      </c>
      <c r="C461" s="68" t="str">
        <f>IF(ISBLANK(A461),"",INDEX('Error Log'!$A:$J,MATCH('Scores per segment'!$A461,'Error Log'!$A:$A,0),MATCH('Scores per segment'!C$1,'Error Log'!$A$1:$J$1,0)))</f>
        <v/>
      </c>
      <c r="D461" s="68">
        <f>IF(H461=0,wdct(TRIM(C461)),0)</f>
        <v>0</v>
      </c>
      <c r="E461" s="68">
        <f>COUNTIFS('Error Log'!$A:$A,$A461,'Error Log'!$J:$J,E$1)</f>
        <v>0</v>
      </c>
      <c r="F461" s="68">
        <f>COUNTIFS('Error Log'!$A:$A,$A461,'Error Log'!$J:$J,F$1)</f>
        <v>0</v>
      </c>
      <c r="G461" s="68">
        <f>COUNTIFS('Error Log'!$A:$A,$A461,'Error Log'!$J:$J,G$1)</f>
        <v>0</v>
      </c>
      <c r="H461" s="68">
        <f>COUNTIFS('Error Log'!$A:$A,$A461,'Error Log'!$F:$F,"Source")</f>
        <v>0</v>
      </c>
      <c r="I461" s="68">
        <f>COUNTIFS('Error Log'!$A:$A,$A461,'Error Log'!$F:$F,"Target")</f>
        <v>0</v>
      </c>
      <c r="J461" s="69">
        <f t="shared" si="7"/>
        <v>0</v>
      </c>
    </row>
    <row r="462" spans="1:10">
      <c r="A462" s="87"/>
      <c r="B462" s="68" t="str">
        <f>IF(ISBLANK(A462),"",INDEX('Error Log'!$A:$J,MATCH('Scores per segment'!$A462,'Error Log'!$A:$A,0),MATCH('Scores per segment'!B$1,'Error Log'!$A$1:$J$1,0)))</f>
        <v/>
      </c>
      <c r="C462" s="68" t="str">
        <f>IF(ISBLANK(A462),"",INDEX('Error Log'!$A:$J,MATCH('Scores per segment'!$A462,'Error Log'!$A:$A,0),MATCH('Scores per segment'!C$1,'Error Log'!$A$1:$J$1,0)))</f>
        <v/>
      </c>
      <c r="D462" s="68">
        <f>IF(H462=0,wdct(TRIM(C462)),0)</f>
        <v>0</v>
      </c>
      <c r="E462" s="68">
        <f>COUNTIFS('Error Log'!$A:$A,$A462,'Error Log'!$J:$J,E$1)</f>
        <v>0</v>
      </c>
      <c r="F462" s="68">
        <f>COUNTIFS('Error Log'!$A:$A,$A462,'Error Log'!$J:$J,F$1)</f>
        <v>0</v>
      </c>
      <c r="G462" s="68">
        <f>COUNTIFS('Error Log'!$A:$A,$A462,'Error Log'!$J:$J,G$1)</f>
        <v>0</v>
      </c>
      <c r="H462" s="68">
        <f>COUNTIFS('Error Log'!$A:$A,$A462,'Error Log'!$F:$F,"Source")</f>
        <v>0</v>
      </c>
      <c r="I462" s="68">
        <f>COUNTIFS('Error Log'!$A:$A,$A462,'Error Log'!$F:$F,"Target")</f>
        <v>0</v>
      </c>
      <c r="J462" s="69">
        <f t="shared" si="7"/>
        <v>0</v>
      </c>
    </row>
    <row r="463" spans="1:10">
      <c r="A463" s="87"/>
      <c r="B463" s="68" t="str">
        <f>IF(ISBLANK(A463),"",INDEX('Error Log'!$A:$J,MATCH('Scores per segment'!$A463,'Error Log'!$A:$A,0),MATCH('Scores per segment'!B$1,'Error Log'!$A$1:$J$1,0)))</f>
        <v/>
      </c>
      <c r="C463" s="68" t="str">
        <f>IF(ISBLANK(A463),"",INDEX('Error Log'!$A:$J,MATCH('Scores per segment'!$A463,'Error Log'!$A:$A,0),MATCH('Scores per segment'!C$1,'Error Log'!$A$1:$J$1,0)))</f>
        <v/>
      </c>
      <c r="D463" s="68">
        <f>IF(H463=0,wdct(TRIM(C463)),0)</f>
        <v>0</v>
      </c>
      <c r="E463" s="68">
        <f>COUNTIFS('Error Log'!$A:$A,$A463,'Error Log'!$J:$J,E$1)</f>
        <v>0</v>
      </c>
      <c r="F463" s="68">
        <f>COUNTIFS('Error Log'!$A:$A,$A463,'Error Log'!$J:$J,F$1)</f>
        <v>0</v>
      </c>
      <c r="G463" s="68">
        <f>COUNTIFS('Error Log'!$A:$A,$A463,'Error Log'!$J:$J,G$1)</f>
        <v>0</v>
      </c>
      <c r="H463" s="68">
        <f>COUNTIFS('Error Log'!$A:$A,$A463,'Error Log'!$F:$F,"Source")</f>
        <v>0</v>
      </c>
      <c r="I463" s="68">
        <f>COUNTIFS('Error Log'!$A:$A,$A463,'Error Log'!$F:$F,"Target")</f>
        <v>0</v>
      </c>
      <c r="J463" s="69">
        <f t="shared" si="7"/>
        <v>0</v>
      </c>
    </row>
    <row r="464" spans="1:10">
      <c r="A464" s="87"/>
      <c r="B464" s="68" t="str">
        <f>IF(ISBLANK(A464),"",INDEX('Error Log'!$A:$J,MATCH('Scores per segment'!$A464,'Error Log'!$A:$A,0),MATCH('Scores per segment'!B$1,'Error Log'!$A$1:$J$1,0)))</f>
        <v/>
      </c>
      <c r="C464" s="68" t="str">
        <f>IF(ISBLANK(A464),"",INDEX('Error Log'!$A:$J,MATCH('Scores per segment'!$A464,'Error Log'!$A:$A,0),MATCH('Scores per segment'!C$1,'Error Log'!$A$1:$J$1,0)))</f>
        <v/>
      </c>
      <c r="D464" s="68">
        <f>IF(H464=0,wdct(TRIM(C464)),0)</f>
        <v>0</v>
      </c>
      <c r="E464" s="68">
        <f>COUNTIFS('Error Log'!$A:$A,$A464,'Error Log'!$J:$J,E$1)</f>
        <v>0</v>
      </c>
      <c r="F464" s="68">
        <f>COUNTIFS('Error Log'!$A:$A,$A464,'Error Log'!$J:$J,F$1)</f>
        <v>0</v>
      </c>
      <c r="G464" s="68">
        <f>COUNTIFS('Error Log'!$A:$A,$A464,'Error Log'!$J:$J,G$1)</f>
        <v>0</v>
      </c>
      <c r="H464" s="68">
        <f>COUNTIFS('Error Log'!$A:$A,$A464,'Error Log'!$F:$F,"Source")</f>
        <v>0</v>
      </c>
      <c r="I464" s="68">
        <f>COUNTIFS('Error Log'!$A:$A,$A464,'Error Log'!$F:$F,"Target")</f>
        <v>0</v>
      </c>
      <c r="J464" s="69">
        <f t="shared" si="7"/>
        <v>0</v>
      </c>
    </row>
    <row r="465" spans="1:10">
      <c r="A465" s="87"/>
      <c r="B465" s="68" t="str">
        <f>IF(ISBLANK(A465),"",INDEX('Error Log'!$A:$J,MATCH('Scores per segment'!$A465,'Error Log'!$A:$A,0),MATCH('Scores per segment'!B$1,'Error Log'!$A$1:$J$1,0)))</f>
        <v/>
      </c>
      <c r="C465" s="68" t="str">
        <f>IF(ISBLANK(A465),"",INDEX('Error Log'!$A:$J,MATCH('Scores per segment'!$A465,'Error Log'!$A:$A,0),MATCH('Scores per segment'!C$1,'Error Log'!$A$1:$J$1,0)))</f>
        <v/>
      </c>
      <c r="D465" s="68">
        <f>IF(H465=0,wdct(TRIM(C465)),0)</f>
        <v>0</v>
      </c>
      <c r="E465" s="68">
        <f>COUNTIFS('Error Log'!$A:$A,$A465,'Error Log'!$J:$J,E$1)</f>
        <v>0</v>
      </c>
      <c r="F465" s="68">
        <f>COUNTIFS('Error Log'!$A:$A,$A465,'Error Log'!$J:$J,F$1)</f>
        <v>0</v>
      </c>
      <c r="G465" s="68">
        <f>COUNTIFS('Error Log'!$A:$A,$A465,'Error Log'!$J:$J,G$1)</f>
        <v>0</v>
      </c>
      <c r="H465" s="68">
        <f>COUNTIFS('Error Log'!$A:$A,$A465,'Error Log'!$F:$F,"Source")</f>
        <v>0</v>
      </c>
      <c r="I465" s="68">
        <f>COUNTIFS('Error Log'!$A:$A,$A465,'Error Log'!$F:$F,"Target")</f>
        <v>0</v>
      </c>
      <c r="J465" s="69">
        <f t="shared" si="7"/>
        <v>0</v>
      </c>
    </row>
    <row r="466" spans="1:10">
      <c r="A466" s="87"/>
      <c r="B466" s="68" t="str">
        <f>IF(ISBLANK(A466),"",INDEX('Error Log'!$A:$J,MATCH('Scores per segment'!$A466,'Error Log'!$A:$A,0),MATCH('Scores per segment'!B$1,'Error Log'!$A$1:$J$1,0)))</f>
        <v/>
      </c>
      <c r="C466" s="68" t="str">
        <f>IF(ISBLANK(A466),"",INDEX('Error Log'!$A:$J,MATCH('Scores per segment'!$A466,'Error Log'!$A:$A,0),MATCH('Scores per segment'!C$1,'Error Log'!$A$1:$J$1,0)))</f>
        <v/>
      </c>
      <c r="D466" s="68">
        <f>IF(H466=0,wdct(TRIM(C466)),0)</f>
        <v>0</v>
      </c>
      <c r="E466" s="68">
        <f>COUNTIFS('Error Log'!$A:$A,$A466,'Error Log'!$J:$J,E$1)</f>
        <v>0</v>
      </c>
      <c r="F466" s="68">
        <f>COUNTIFS('Error Log'!$A:$A,$A466,'Error Log'!$J:$J,F$1)</f>
        <v>0</v>
      </c>
      <c r="G466" s="68">
        <f>COUNTIFS('Error Log'!$A:$A,$A466,'Error Log'!$J:$J,G$1)</f>
        <v>0</v>
      </c>
      <c r="H466" s="68">
        <f>COUNTIFS('Error Log'!$A:$A,$A466,'Error Log'!$F:$F,"Source")</f>
        <v>0</v>
      </c>
      <c r="I466" s="68">
        <f>COUNTIFS('Error Log'!$A:$A,$A466,'Error Log'!$F:$F,"Target")</f>
        <v>0</v>
      </c>
      <c r="J466" s="69">
        <f t="shared" si="7"/>
        <v>0</v>
      </c>
    </row>
    <row r="467" spans="1:10">
      <c r="A467" s="87"/>
      <c r="B467" s="68" t="str">
        <f>IF(ISBLANK(A467),"",INDEX('Error Log'!$A:$J,MATCH('Scores per segment'!$A467,'Error Log'!$A:$A,0),MATCH('Scores per segment'!B$1,'Error Log'!$A$1:$J$1,0)))</f>
        <v/>
      </c>
      <c r="C467" s="68" t="str">
        <f>IF(ISBLANK(A467),"",INDEX('Error Log'!$A:$J,MATCH('Scores per segment'!$A467,'Error Log'!$A:$A,0),MATCH('Scores per segment'!C$1,'Error Log'!$A$1:$J$1,0)))</f>
        <v/>
      </c>
      <c r="D467" s="68">
        <f>IF(H467=0,wdct(TRIM(C467)),0)</f>
        <v>0</v>
      </c>
      <c r="E467" s="68">
        <f>COUNTIFS('Error Log'!$A:$A,$A467,'Error Log'!$J:$J,E$1)</f>
        <v>0</v>
      </c>
      <c r="F467" s="68">
        <f>COUNTIFS('Error Log'!$A:$A,$A467,'Error Log'!$J:$J,F$1)</f>
        <v>0</v>
      </c>
      <c r="G467" s="68">
        <f>COUNTIFS('Error Log'!$A:$A,$A467,'Error Log'!$J:$J,G$1)</f>
        <v>0</v>
      </c>
      <c r="H467" s="68">
        <f>COUNTIFS('Error Log'!$A:$A,$A467,'Error Log'!$F:$F,"Source")</f>
        <v>0</v>
      </c>
      <c r="I467" s="68">
        <f>COUNTIFS('Error Log'!$A:$A,$A467,'Error Log'!$F:$F,"Target")</f>
        <v>0</v>
      </c>
      <c r="J467" s="69">
        <f t="shared" si="7"/>
        <v>0</v>
      </c>
    </row>
    <row r="468" spans="1:10">
      <c r="A468" s="87"/>
      <c r="B468" s="68" t="str">
        <f>IF(ISBLANK(A468),"",INDEX('Error Log'!$A:$J,MATCH('Scores per segment'!$A468,'Error Log'!$A:$A,0),MATCH('Scores per segment'!B$1,'Error Log'!$A$1:$J$1,0)))</f>
        <v/>
      </c>
      <c r="C468" s="68" t="str">
        <f>IF(ISBLANK(A468),"",INDEX('Error Log'!$A:$J,MATCH('Scores per segment'!$A468,'Error Log'!$A:$A,0),MATCH('Scores per segment'!C$1,'Error Log'!$A$1:$J$1,0)))</f>
        <v/>
      </c>
      <c r="D468" s="68">
        <f>IF(H468=0,wdct(TRIM(C468)),0)</f>
        <v>0</v>
      </c>
      <c r="E468" s="68">
        <f>COUNTIFS('Error Log'!$A:$A,$A468,'Error Log'!$J:$J,E$1)</f>
        <v>0</v>
      </c>
      <c r="F468" s="68">
        <f>COUNTIFS('Error Log'!$A:$A,$A468,'Error Log'!$J:$J,F$1)</f>
        <v>0</v>
      </c>
      <c r="G468" s="68">
        <f>COUNTIFS('Error Log'!$A:$A,$A468,'Error Log'!$J:$J,G$1)</f>
        <v>0</v>
      </c>
      <c r="H468" s="68">
        <f>COUNTIFS('Error Log'!$A:$A,$A468,'Error Log'!$F:$F,"Source")</f>
        <v>0</v>
      </c>
      <c r="I468" s="68">
        <f>COUNTIFS('Error Log'!$A:$A,$A468,'Error Log'!$F:$F,"Target")</f>
        <v>0</v>
      </c>
      <c r="J468" s="69">
        <f t="shared" si="7"/>
        <v>0</v>
      </c>
    </row>
    <row r="469" spans="1:10">
      <c r="A469" s="87"/>
      <c r="B469" s="68" t="str">
        <f>IF(ISBLANK(A469),"",INDEX('Error Log'!$A:$J,MATCH('Scores per segment'!$A469,'Error Log'!$A:$A,0),MATCH('Scores per segment'!B$1,'Error Log'!$A$1:$J$1,0)))</f>
        <v/>
      </c>
      <c r="C469" s="68" t="str">
        <f>IF(ISBLANK(A469),"",INDEX('Error Log'!$A:$J,MATCH('Scores per segment'!$A469,'Error Log'!$A:$A,0),MATCH('Scores per segment'!C$1,'Error Log'!$A$1:$J$1,0)))</f>
        <v/>
      </c>
      <c r="D469" s="68">
        <f>IF(H469=0,wdct(TRIM(C469)),0)</f>
        <v>0</v>
      </c>
      <c r="E469" s="68">
        <f>COUNTIFS('Error Log'!$A:$A,$A469,'Error Log'!$J:$J,E$1)</f>
        <v>0</v>
      </c>
      <c r="F469" s="68">
        <f>COUNTIFS('Error Log'!$A:$A,$A469,'Error Log'!$J:$J,F$1)</f>
        <v>0</v>
      </c>
      <c r="G469" s="68">
        <f>COUNTIFS('Error Log'!$A:$A,$A469,'Error Log'!$J:$J,G$1)</f>
        <v>0</v>
      </c>
      <c r="H469" s="68">
        <f>COUNTIFS('Error Log'!$A:$A,$A469,'Error Log'!$F:$F,"Source")</f>
        <v>0</v>
      </c>
      <c r="I469" s="68">
        <f>COUNTIFS('Error Log'!$A:$A,$A469,'Error Log'!$F:$F,"Target")</f>
        <v>0</v>
      </c>
      <c r="J469" s="69">
        <f t="shared" si="7"/>
        <v>0</v>
      </c>
    </row>
    <row r="470" spans="1:10">
      <c r="A470" s="87"/>
      <c r="B470" s="68" t="str">
        <f>IF(ISBLANK(A470),"",INDEX('Error Log'!$A:$J,MATCH('Scores per segment'!$A470,'Error Log'!$A:$A,0),MATCH('Scores per segment'!B$1,'Error Log'!$A$1:$J$1,0)))</f>
        <v/>
      </c>
      <c r="C470" s="68" t="str">
        <f>IF(ISBLANK(A470),"",INDEX('Error Log'!$A:$J,MATCH('Scores per segment'!$A470,'Error Log'!$A:$A,0),MATCH('Scores per segment'!C$1,'Error Log'!$A$1:$J$1,0)))</f>
        <v/>
      </c>
      <c r="D470" s="68">
        <f>IF(H470=0,wdct(TRIM(C470)),0)</f>
        <v>0</v>
      </c>
      <c r="E470" s="68">
        <f>COUNTIFS('Error Log'!$A:$A,$A470,'Error Log'!$J:$J,E$1)</f>
        <v>0</v>
      </c>
      <c r="F470" s="68">
        <f>COUNTIFS('Error Log'!$A:$A,$A470,'Error Log'!$J:$J,F$1)</f>
        <v>0</v>
      </c>
      <c r="G470" s="68">
        <f>COUNTIFS('Error Log'!$A:$A,$A470,'Error Log'!$J:$J,G$1)</f>
        <v>0</v>
      </c>
      <c r="H470" s="68">
        <f>COUNTIFS('Error Log'!$A:$A,$A470,'Error Log'!$F:$F,"Source")</f>
        <v>0</v>
      </c>
      <c r="I470" s="68">
        <f>COUNTIFS('Error Log'!$A:$A,$A470,'Error Log'!$F:$F,"Target")</f>
        <v>0</v>
      </c>
      <c r="J470" s="69">
        <f t="shared" si="7"/>
        <v>0</v>
      </c>
    </row>
    <row r="471" spans="1:10">
      <c r="A471" s="87"/>
      <c r="B471" s="68" t="str">
        <f>IF(ISBLANK(A471),"",INDEX('Error Log'!$A:$J,MATCH('Scores per segment'!$A471,'Error Log'!$A:$A,0),MATCH('Scores per segment'!B$1,'Error Log'!$A$1:$J$1,0)))</f>
        <v/>
      </c>
      <c r="C471" s="68" t="str">
        <f>IF(ISBLANK(A471),"",INDEX('Error Log'!$A:$J,MATCH('Scores per segment'!$A471,'Error Log'!$A:$A,0),MATCH('Scores per segment'!C$1,'Error Log'!$A$1:$J$1,0)))</f>
        <v/>
      </c>
      <c r="D471" s="68">
        <f>IF(H471=0,wdct(TRIM(C471)),0)</f>
        <v>0</v>
      </c>
      <c r="E471" s="68">
        <f>COUNTIFS('Error Log'!$A:$A,$A471,'Error Log'!$J:$J,E$1)</f>
        <v>0</v>
      </c>
      <c r="F471" s="68">
        <f>COUNTIFS('Error Log'!$A:$A,$A471,'Error Log'!$J:$J,F$1)</f>
        <v>0</v>
      </c>
      <c r="G471" s="68">
        <f>COUNTIFS('Error Log'!$A:$A,$A471,'Error Log'!$J:$J,G$1)</f>
        <v>0</v>
      </c>
      <c r="H471" s="68">
        <f>COUNTIFS('Error Log'!$A:$A,$A471,'Error Log'!$F:$F,"Source")</f>
        <v>0</v>
      </c>
      <c r="I471" s="68">
        <f>COUNTIFS('Error Log'!$A:$A,$A471,'Error Log'!$F:$F,"Target")</f>
        <v>0</v>
      </c>
      <c r="J471" s="69">
        <f t="shared" si="7"/>
        <v>0</v>
      </c>
    </row>
    <row r="472" spans="1:10">
      <c r="A472" s="87"/>
      <c r="B472" s="68" t="str">
        <f>IF(ISBLANK(A472),"",INDEX('Error Log'!$A:$J,MATCH('Scores per segment'!$A472,'Error Log'!$A:$A,0),MATCH('Scores per segment'!B$1,'Error Log'!$A$1:$J$1,0)))</f>
        <v/>
      </c>
      <c r="C472" s="68" t="str">
        <f>IF(ISBLANK(A472),"",INDEX('Error Log'!$A:$J,MATCH('Scores per segment'!$A472,'Error Log'!$A:$A,0),MATCH('Scores per segment'!C$1,'Error Log'!$A$1:$J$1,0)))</f>
        <v/>
      </c>
      <c r="D472" s="68">
        <f>IF(H472=0,wdct(TRIM(C472)),0)</f>
        <v>0</v>
      </c>
      <c r="E472" s="68">
        <f>COUNTIFS('Error Log'!$A:$A,$A472,'Error Log'!$J:$J,E$1)</f>
        <v>0</v>
      </c>
      <c r="F472" s="68">
        <f>COUNTIFS('Error Log'!$A:$A,$A472,'Error Log'!$J:$J,F$1)</f>
        <v>0</v>
      </c>
      <c r="G472" s="68">
        <f>COUNTIFS('Error Log'!$A:$A,$A472,'Error Log'!$J:$J,G$1)</f>
        <v>0</v>
      </c>
      <c r="H472" s="68">
        <f>COUNTIFS('Error Log'!$A:$A,$A472,'Error Log'!$F:$F,"Source")</f>
        <v>0</v>
      </c>
      <c r="I472" s="68">
        <f>COUNTIFS('Error Log'!$A:$A,$A472,'Error Log'!$F:$F,"Target")</f>
        <v>0</v>
      </c>
      <c r="J472" s="69">
        <f t="shared" si="7"/>
        <v>0</v>
      </c>
    </row>
    <row r="473" spans="1:10">
      <c r="A473" s="87"/>
      <c r="B473" s="68" t="str">
        <f>IF(ISBLANK(A473),"",INDEX('Error Log'!$A:$J,MATCH('Scores per segment'!$A473,'Error Log'!$A:$A,0),MATCH('Scores per segment'!B$1,'Error Log'!$A$1:$J$1,0)))</f>
        <v/>
      </c>
      <c r="C473" s="68" t="str">
        <f>IF(ISBLANK(A473),"",INDEX('Error Log'!$A:$J,MATCH('Scores per segment'!$A473,'Error Log'!$A:$A,0),MATCH('Scores per segment'!C$1,'Error Log'!$A$1:$J$1,0)))</f>
        <v/>
      </c>
      <c r="D473" s="68">
        <f>IF(H473=0,wdct(TRIM(C473)),0)</f>
        <v>0</v>
      </c>
      <c r="E473" s="68">
        <f>COUNTIFS('Error Log'!$A:$A,$A473,'Error Log'!$J:$J,E$1)</f>
        <v>0</v>
      </c>
      <c r="F473" s="68">
        <f>COUNTIFS('Error Log'!$A:$A,$A473,'Error Log'!$J:$J,F$1)</f>
        <v>0</v>
      </c>
      <c r="G473" s="68">
        <f>COUNTIFS('Error Log'!$A:$A,$A473,'Error Log'!$J:$J,G$1)</f>
        <v>0</v>
      </c>
      <c r="H473" s="68">
        <f>COUNTIFS('Error Log'!$A:$A,$A473,'Error Log'!$F:$F,"Source")</f>
        <v>0</v>
      </c>
      <c r="I473" s="68">
        <f>COUNTIFS('Error Log'!$A:$A,$A473,'Error Log'!$F:$F,"Target")</f>
        <v>0</v>
      </c>
      <c r="J473" s="69">
        <f t="shared" si="7"/>
        <v>0</v>
      </c>
    </row>
    <row r="474" spans="1:10">
      <c r="A474" s="87"/>
      <c r="B474" s="68" t="str">
        <f>IF(ISBLANK(A474),"",INDEX('Error Log'!$A:$J,MATCH('Scores per segment'!$A474,'Error Log'!$A:$A,0),MATCH('Scores per segment'!B$1,'Error Log'!$A$1:$J$1,0)))</f>
        <v/>
      </c>
      <c r="C474" s="68" t="str">
        <f>IF(ISBLANK(A474),"",INDEX('Error Log'!$A:$J,MATCH('Scores per segment'!$A474,'Error Log'!$A:$A,0),MATCH('Scores per segment'!C$1,'Error Log'!$A$1:$J$1,0)))</f>
        <v/>
      </c>
      <c r="D474" s="68">
        <f>IF(H474=0,wdct(TRIM(C474)),0)</f>
        <v>0</v>
      </c>
      <c r="E474" s="68">
        <f>COUNTIFS('Error Log'!$A:$A,$A474,'Error Log'!$J:$J,E$1)</f>
        <v>0</v>
      </c>
      <c r="F474" s="68">
        <f>COUNTIFS('Error Log'!$A:$A,$A474,'Error Log'!$J:$J,F$1)</f>
        <v>0</v>
      </c>
      <c r="G474" s="68">
        <f>COUNTIFS('Error Log'!$A:$A,$A474,'Error Log'!$J:$J,G$1)</f>
        <v>0</v>
      </c>
      <c r="H474" s="68">
        <f>COUNTIFS('Error Log'!$A:$A,$A474,'Error Log'!$F:$F,"Source")</f>
        <v>0</v>
      </c>
      <c r="I474" s="68">
        <f>COUNTIFS('Error Log'!$A:$A,$A474,'Error Log'!$F:$F,"Target")</f>
        <v>0</v>
      </c>
      <c r="J474" s="69">
        <f t="shared" si="7"/>
        <v>0</v>
      </c>
    </row>
    <row r="475" spans="1:10">
      <c r="A475" s="87"/>
      <c r="B475" s="68" t="str">
        <f>IF(ISBLANK(A475),"",INDEX('Error Log'!$A:$J,MATCH('Scores per segment'!$A475,'Error Log'!$A:$A,0),MATCH('Scores per segment'!B$1,'Error Log'!$A$1:$J$1,0)))</f>
        <v/>
      </c>
      <c r="C475" s="68" t="str">
        <f>IF(ISBLANK(A475),"",INDEX('Error Log'!$A:$J,MATCH('Scores per segment'!$A475,'Error Log'!$A:$A,0),MATCH('Scores per segment'!C$1,'Error Log'!$A$1:$J$1,0)))</f>
        <v/>
      </c>
      <c r="D475" s="68">
        <f>IF(H475=0,wdct(TRIM(C475)),0)</f>
        <v>0</v>
      </c>
      <c r="E475" s="68">
        <f>COUNTIFS('Error Log'!$A:$A,$A475,'Error Log'!$J:$J,E$1)</f>
        <v>0</v>
      </c>
      <c r="F475" s="68">
        <f>COUNTIFS('Error Log'!$A:$A,$A475,'Error Log'!$J:$J,F$1)</f>
        <v>0</v>
      </c>
      <c r="G475" s="68">
        <f>COUNTIFS('Error Log'!$A:$A,$A475,'Error Log'!$J:$J,G$1)</f>
        <v>0</v>
      </c>
      <c r="H475" s="68">
        <f>COUNTIFS('Error Log'!$A:$A,$A475,'Error Log'!$F:$F,"Source")</f>
        <v>0</v>
      </c>
      <c r="I475" s="68">
        <f>COUNTIFS('Error Log'!$A:$A,$A475,'Error Log'!$F:$F,"Target")</f>
        <v>0</v>
      </c>
      <c r="J475" s="69">
        <f t="shared" si="7"/>
        <v>0</v>
      </c>
    </row>
    <row r="476" spans="1:10">
      <c r="A476" s="87"/>
      <c r="B476" s="68" t="str">
        <f>IF(ISBLANK(A476),"",INDEX('Error Log'!$A:$J,MATCH('Scores per segment'!$A476,'Error Log'!$A:$A,0),MATCH('Scores per segment'!B$1,'Error Log'!$A$1:$J$1,0)))</f>
        <v/>
      </c>
      <c r="C476" s="68" t="str">
        <f>IF(ISBLANK(A476),"",INDEX('Error Log'!$A:$J,MATCH('Scores per segment'!$A476,'Error Log'!$A:$A,0),MATCH('Scores per segment'!C$1,'Error Log'!$A$1:$J$1,0)))</f>
        <v/>
      </c>
      <c r="D476" s="68">
        <f>IF(H476=0,wdct(TRIM(C476)),0)</f>
        <v>0</v>
      </c>
      <c r="E476" s="68">
        <f>COUNTIFS('Error Log'!$A:$A,$A476,'Error Log'!$J:$J,E$1)</f>
        <v>0</v>
      </c>
      <c r="F476" s="68">
        <f>COUNTIFS('Error Log'!$A:$A,$A476,'Error Log'!$J:$J,F$1)</f>
        <v>0</v>
      </c>
      <c r="G476" s="68">
        <f>COUNTIFS('Error Log'!$A:$A,$A476,'Error Log'!$J:$J,G$1)</f>
        <v>0</v>
      </c>
      <c r="H476" s="68">
        <f>COUNTIFS('Error Log'!$A:$A,$A476,'Error Log'!$F:$F,"Source")</f>
        <v>0</v>
      </c>
      <c r="I476" s="68">
        <f>COUNTIFS('Error Log'!$A:$A,$A476,'Error Log'!$F:$F,"Target")</f>
        <v>0</v>
      </c>
      <c r="J476" s="69">
        <f t="shared" si="7"/>
        <v>0</v>
      </c>
    </row>
    <row r="477" spans="1:10">
      <c r="A477" s="87"/>
      <c r="B477" s="68" t="str">
        <f>IF(ISBLANK(A477),"",INDEX('Error Log'!$A:$J,MATCH('Scores per segment'!$A477,'Error Log'!$A:$A,0),MATCH('Scores per segment'!B$1,'Error Log'!$A$1:$J$1,0)))</f>
        <v/>
      </c>
      <c r="C477" s="68" t="str">
        <f>IF(ISBLANK(A477),"",INDEX('Error Log'!$A:$J,MATCH('Scores per segment'!$A477,'Error Log'!$A:$A,0),MATCH('Scores per segment'!C$1,'Error Log'!$A$1:$J$1,0)))</f>
        <v/>
      </c>
      <c r="D477" s="68">
        <f>IF(H477=0,wdct(TRIM(C477)),0)</f>
        <v>0</v>
      </c>
      <c r="E477" s="68">
        <f>COUNTIFS('Error Log'!$A:$A,$A477,'Error Log'!$J:$J,E$1)</f>
        <v>0</v>
      </c>
      <c r="F477" s="68">
        <f>COUNTIFS('Error Log'!$A:$A,$A477,'Error Log'!$J:$J,F$1)</f>
        <v>0</v>
      </c>
      <c r="G477" s="68">
        <f>COUNTIFS('Error Log'!$A:$A,$A477,'Error Log'!$J:$J,G$1)</f>
        <v>0</v>
      </c>
      <c r="H477" s="68">
        <f>COUNTIFS('Error Log'!$A:$A,$A477,'Error Log'!$F:$F,"Source")</f>
        <v>0</v>
      </c>
      <c r="I477" s="68">
        <f>COUNTIFS('Error Log'!$A:$A,$A477,'Error Log'!$F:$F,"Target")</f>
        <v>0</v>
      </c>
      <c r="J477" s="69">
        <f t="shared" si="7"/>
        <v>0</v>
      </c>
    </row>
    <row r="478" spans="1:10">
      <c r="A478" s="87"/>
      <c r="B478" s="68" t="str">
        <f>IF(ISBLANK(A478),"",INDEX('Error Log'!$A:$J,MATCH('Scores per segment'!$A478,'Error Log'!$A:$A,0),MATCH('Scores per segment'!B$1,'Error Log'!$A$1:$J$1,0)))</f>
        <v/>
      </c>
      <c r="C478" s="68" t="str">
        <f>IF(ISBLANK(A478),"",INDEX('Error Log'!$A:$J,MATCH('Scores per segment'!$A478,'Error Log'!$A:$A,0),MATCH('Scores per segment'!C$1,'Error Log'!$A$1:$J$1,0)))</f>
        <v/>
      </c>
      <c r="D478" s="68">
        <f>IF(H478=0,wdct(TRIM(C478)),0)</f>
        <v>0</v>
      </c>
      <c r="E478" s="68">
        <f>COUNTIFS('Error Log'!$A:$A,$A478,'Error Log'!$J:$J,E$1)</f>
        <v>0</v>
      </c>
      <c r="F478" s="68">
        <f>COUNTIFS('Error Log'!$A:$A,$A478,'Error Log'!$J:$J,F$1)</f>
        <v>0</v>
      </c>
      <c r="G478" s="68">
        <f>COUNTIFS('Error Log'!$A:$A,$A478,'Error Log'!$J:$J,G$1)</f>
        <v>0</v>
      </c>
      <c r="H478" s="68">
        <f>COUNTIFS('Error Log'!$A:$A,$A478,'Error Log'!$F:$F,"Source")</f>
        <v>0</v>
      </c>
      <c r="I478" s="68">
        <f>COUNTIFS('Error Log'!$A:$A,$A478,'Error Log'!$F:$F,"Target")</f>
        <v>0</v>
      </c>
      <c r="J478" s="69">
        <f t="shared" si="7"/>
        <v>0</v>
      </c>
    </row>
    <row r="479" spans="1:10">
      <c r="A479" s="87"/>
      <c r="B479" s="68" t="str">
        <f>IF(ISBLANK(A479),"",INDEX('Error Log'!$A:$J,MATCH('Scores per segment'!$A479,'Error Log'!$A:$A,0),MATCH('Scores per segment'!B$1,'Error Log'!$A$1:$J$1,0)))</f>
        <v/>
      </c>
      <c r="C479" s="68" t="str">
        <f>IF(ISBLANK(A479),"",INDEX('Error Log'!$A:$J,MATCH('Scores per segment'!$A479,'Error Log'!$A:$A,0),MATCH('Scores per segment'!C$1,'Error Log'!$A$1:$J$1,0)))</f>
        <v/>
      </c>
      <c r="D479" s="68">
        <f>IF(H479=0,wdct(TRIM(C479)),0)</f>
        <v>0</v>
      </c>
      <c r="E479" s="68">
        <f>COUNTIFS('Error Log'!$A:$A,$A479,'Error Log'!$J:$J,E$1)</f>
        <v>0</v>
      </c>
      <c r="F479" s="68">
        <f>COUNTIFS('Error Log'!$A:$A,$A479,'Error Log'!$J:$J,F$1)</f>
        <v>0</v>
      </c>
      <c r="G479" s="68">
        <f>COUNTIFS('Error Log'!$A:$A,$A479,'Error Log'!$J:$J,G$1)</f>
        <v>0</v>
      </c>
      <c r="H479" s="68">
        <f>COUNTIFS('Error Log'!$A:$A,$A479,'Error Log'!$F:$F,"Source")</f>
        <v>0</v>
      </c>
      <c r="I479" s="68">
        <f>COUNTIFS('Error Log'!$A:$A,$A479,'Error Log'!$F:$F,"Target")</f>
        <v>0</v>
      </c>
      <c r="J479" s="69">
        <f t="shared" si="7"/>
        <v>0</v>
      </c>
    </row>
    <row r="480" spans="1:10">
      <c r="A480" s="87"/>
      <c r="B480" s="68" t="str">
        <f>IF(ISBLANK(A480),"",INDEX('Error Log'!$A:$J,MATCH('Scores per segment'!$A480,'Error Log'!$A:$A,0),MATCH('Scores per segment'!B$1,'Error Log'!$A$1:$J$1,0)))</f>
        <v/>
      </c>
      <c r="C480" s="68" t="str">
        <f>IF(ISBLANK(A480),"",INDEX('Error Log'!$A:$J,MATCH('Scores per segment'!$A480,'Error Log'!$A:$A,0),MATCH('Scores per segment'!C$1,'Error Log'!$A$1:$J$1,0)))</f>
        <v/>
      </c>
      <c r="D480" s="68">
        <f>IF(H480=0,wdct(TRIM(C480)),0)</f>
        <v>0</v>
      </c>
      <c r="E480" s="68">
        <f>COUNTIFS('Error Log'!$A:$A,$A480,'Error Log'!$J:$J,E$1)</f>
        <v>0</v>
      </c>
      <c r="F480" s="68">
        <f>COUNTIFS('Error Log'!$A:$A,$A480,'Error Log'!$J:$J,F$1)</f>
        <v>0</v>
      </c>
      <c r="G480" s="68">
        <f>COUNTIFS('Error Log'!$A:$A,$A480,'Error Log'!$J:$J,G$1)</f>
        <v>0</v>
      </c>
      <c r="H480" s="68">
        <f>COUNTIFS('Error Log'!$A:$A,$A480,'Error Log'!$F:$F,"Source")</f>
        <v>0</v>
      </c>
      <c r="I480" s="68">
        <f>COUNTIFS('Error Log'!$A:$A,$A480,'Error Log'!$F:$F,"Target")</f>
        <v>0</v>
      </c>
      <c r="J480" s="69">
        <f t="shared" si="7"/>
        <v>0</v>
      </c>
    </row>
    <row r="481" spans="1:10">
      <c r="A481" s="87"/>
      <c r="B481" s="68" t="str">
        <f>IF(ISBLANK(A481),"",INDEX('Error Log'!$A:$J,MATCH('Scores per segment'!$A481,'Error Log'!$A:$A,0),MATCH('Scores per segment'!B$1,'Error Log'!$A$1:$J$1,0)))</f>
        <v/>
      </c>
      <c r="C481" s="68" t="str">
        <f>IF(ISBLANK(A481),"",INDEX('Error Log'!$A:$J,MATCH('Scores per segment'!$A481,'Error Log'!$A:$A,0),MATCH('Scores per segment'!C$1,'Error Log'!$A$1:$J$1,0)))</f>
        <v/>
      </c>
      <c r="D481" s="68">
        <f>IF(H481=0,wdct(TRIM(C481)),0)</f>
        <v>0</v>
      </c>
      <c r="E481" s="68">
        <f>COUNTIFS('Error Log'!$A:$A,$A481,'Error Log'!$J:$J,E$1)</f>
        <v>0</v>
      </c>
      <c r="F481" s="68">
        <f>COUNTIFS('Error Log'!$A:$A,$A481,'Error Log'!$J:$J,F$1)</f>
        <v>0</v>
      </c>
      <c r="G481" s="68">
        <f>COUNTIFS('Error Log'!$A:$A,$A481,'Error Log'!$J:$J,G$1)</f>
        <v>0</v>
      </c>
      <c r="H481" s="68">
        <f>COUNTIFS('Error Log'!$A:$A,$A481,'Error Log'!$F:$F,"Source")</f>
        <v>0</v>
      </c>
      <c r="I481" s="68">
        <f>COUNTIFS('Error Log'!$A:$A,$A481,'Error Log'!$F:$F,"Target")</f>
        <v>0</v>
      </c>
      <c r="J481" s="69">
        <f t="shared" si="7"/>
        <v>0</v>
      </c>
    </row>
    <row r="482" spans="1:10">
      <c r="A482" s="87"/>
      <c r="B482" s="68" t="str">
        <f>IF(ISBLANK(A482),"",INDEX('Error Log'!$A:$J,MATCH('Scores per segment'!$A482,'Error Log'!$A:$A,0),MATCH('Scores per segment'!B$1,'Error Log'!$A$1:$J$1,0)))</f>
        <v/>
      </c>
      <c r="C482" s="68" t="str">
        <f>IF(ISBLANK(A482),"",INDEX('Error Log'!$A:$J,MATCH('Scores per segment'!$A482,'Error Log'!$A:$A,0),MATCH('Scores per segment'!C$1,'Error Log'!$A$1:$J$1,0)))</f>
        <v/>
      </c>
      <c r="D482" s="68">
        <f>IF(H482=0,wdct(TRIM(C482)),0)</f>
        <v>0</v>
      </c>
      <c r="E482" s="68">
        <f>COUNTIFS('Error Log'!$A:$A,$A482,'Error Log'!$J:$J,E$1)</f>
        <v>0</v>
      </c>
      <c r="F482" s="68">
        <f>COUNTIFS('Error Log'!$A:$A,$A482,'Error Log'!$J:$J,F$1)</f>
        <v>0</v>
      </c>
      <c r="G482" s="68">
        <f>COUNTIFS('Error Log'!$A:$A,$A482,'Error Log'!$J:$J,G$1)</f>
        <v>0</v>
      </c>
      <c r="H482" s="68">
        <f>COUNTIFS('Error Log'!$A:$A,$A482,'Error Log'!$F:$F,"Source")</f>
        <v>0</v>
      </c>
      <c r="I482" s="68">
        <f>COUNTIFS('Error Log'!$A:$A,$A482,'Error Log'!$F:$F,"Target")</f>
        <v>0</v>
      </c>
      <c r="J482" s="69">
        <f t="shared" si="7"/>
        <v>0</v>
      </c>
    </row>
    <row r="483" spans="1:10">
      <c r="A483" s="87"/>
      <c r="B483" s="68" t="str">
        <f>IF(ISBLANK(A483),"",INDEX('Error Log'!$A:$J,MATCH('Scores per segment'!$A483,'Error Log'!$A:$A,0),MATCH('Scores per segment'!B$1,'Error Log'!$A$1:$J$1,0)))</f>
        <v/>
      </c>
      <c r="C483" s="68" t="str">
        <f>IF(ISBLANK(A483),"",INDEX('Error Log'!$A:$J,MATCH('Scores per segment'!$A483,'Error Log'!$A:$A,0),MATCH('Scores per segment'!C$1,'Error Log'!$A$1:$J$1,0)))</f>
        <v/>
      </c>
      <c r="D483" s="68">
        <f>IF(H483=0,wdct(TRIM(C483)),0)</f>
        <v>0</v>
      </c>
      <c r="E483" s="68">
        <f>COUNTIFS('Error Log'!$A:$A,$A483,'Error Log'!$J:$J,E$1)</f>
        <v>0</v>
      </c>
      <c r="F483" s="68">
        <f>COUNTIFS('Error Log'!$A:$A,$A483,'Error Log'!$J:$J,F$1)</f>
        <v>0</v>
      </c>
      <c r="G483" s="68">
        <f>COUNTIFS('Error Log'!$A:$A,$A483,'Error Log'!$J:$J,G$1)</f>
        <v>0</v>
      </c>
      <c r="H483" s="68">
        <f>COUNTIFS('Error Log'!$A:$A,$A483,'Error Log'!$F:$F,"Source")</f>
        <v>0</v>
      </c>
      <c r="I483" s="68">
        <f>COUNTIFS('Error Log'!$A:$A,$A483,'Error Log'!$F:$F,"Target")</f>
        <v>0</v>
      </c>
      <c r="J483" s="69">
        <f t="shared" si="7"/>
        <v>0</v>
      </c>
    </row>
    <row r="484" spans="1:10">
      <c r="A484" s="87"/>
      <c r="B484" s="68" t="str">
        <f>IF(ISBLANK(A484),"",INDEX('Error Log'!$A:$J,MATCH('Scores per segment'!$A484,'Error Log'!$A:$A,0),MATCH('Scores per segment'!B$1,'Error Log'!$A$1:$J$1,0)))</f>
        <v/>
      </c>
      <c r="C484" s="68" t="str">
        <f>IF(ISBLANK(A484),"",INDEX('Error Log'!$A:$J,MATCH('Scores per segment'!$A484,'Error Log'!$A:$A,0),MATCH('Scores per segment'!C$1,'Error Log'!$A$1:$J$1,0)))</f>
        <v/>
      </c>
      <c r="D484" s="68">
        <f>IF(H484=0,wdct(TRIM(C484)),0)</f>
        <v>0</v>
      </c>
      <c r="E484" s="68">
        <f>COUNTIFS('Error Log'!$A:$A,$A484,'Error Log'!$J:$J,E$1)</f>
        <v>0</v>
      </c>
      <c r="F484" s="68">
        <f>COUNTIFS('Error Log'!$A:$A,$A484,'Error Log'!$J:$J,F$1)</f>
        <v>0</v>
      </c>
      <c r="G484" s="68">
        <f>COUNTIFS('Error Log'!$A:$A,$A484,'Error Log'!$J:$J,G$1)</f>
        <v>0</v>
      </c>
      <c r="H484" s="68">
        <f>COUNTIFS('Error Log'!$A:$A,$A484,'Error Log'!$F:$F,"Source")</f>
        <v>0</v>
      </c>
      <c r="I484" s="68">
        <f>COUNTIFS('Error Log'!$A:$A,$A484,'Error Log'!$F:$F,"Target")</f>
        <v>0</v>
      </c>
      <c r="J484" s="69">
        <f t="shared" si="7"/>
        <v>0</v>
      </c>
    </row>
    <row r="485" spans="1:10">
      <c r="A485" s="87"/>
      <c r="B485" s="68" t="str">
        <f>IF(ISBLANK(A485),"",INDEX('Error Log'!$A:$J,MATCH('Scores per segment'!$A485,'Error Log'!$A:$A,0),MATCH('Scores per segment'!B$1,'Error Log'!$A$1:$J$1,0)))</f>
        <v/>
      </c>
      <c r="C485" s="68" t="str">
        <f>IF(ISBLANK(A485),"",INDEX('Error Log'!$A:$J,MATCH('Scores per segment'!$A485,'Error Log'!$A:$A,0),MATCH('Scores per segment'!C$1,'Error Log'!$A$1:$J$1,0)))</f>
        <v/>
      </c>
      <c r="D485" s="68">
        <f>IF(H485=0,wdct(TRIM(C485)),0)</f>
        <v>0</v>
      </c>
      <c r="E485" s="68">
        <f>COUNTIFS('Error Log'!$A:$A,$A485,'Error Log'!$J:$J,E$1)</f>
        <v>0</v>
      </c>
      <c r="F485" s="68">
        <f>COUNTIFS('Error Log'!$A:$A,$A485,'Error Log'!$J:$J,F$1)</f>
        <v>0</v>
      </c>
      <c r="G485" s="68">
        <f>COUNTIFS('Error Log'!$A:$A,$A485,'Error Log'!$J:$J,G$1)</f>
        <v>0</v>
      </c>
      <c r="H485" s="68">
        <f>COUNTIFS('Error Log'!$A:$A,$A485,'Error Log'!$F:$F,"Source")</f>
        <v>0</v>
      </c>
      <c r="I485" s="68">
        <f>COUNTIFS('Error Log'!$A:$A,$A485,'Error Log'!$F:$F,"Target")</f>
        <v>0</v>
      </c>
      <c r="J485" s="69">
        <f t="shared" si="7"/>
        <v>0</v>
      </c>
    </row>
    <row r="486" spans="1:10">
      <c r="A486" s="87"/>
      <c r="B486" s="68" t="str">
        <f>IF(ISBLANK(A486),"",INDEX('Error Log'!$A:$J,MATCH('Scores per segment'!$A486,'Error Log'!$A:$A,0),MATCH('Scores per segment'!B$1,'Error Log'!$A$1:$J$1,0)))</f>
        <v/>
      </c>
      <c r="C486" s="68" t="str">
        <f>IF(ISBLANK(A486),"",INDEX('Error Log'!$A:$J,MATCH('Scores per segment'!$A486,'Error Log'!$A:$A,0),MATCH('Scores per segment'!C$1,'Error Log'!$A$1:$J$1,0)))</f>
        <v/>
      </c>
      <c r="D486" s="68">
        <f>IF(H486=0,wdct(TRIM(C486)),0)</f>
        <v>0</v>
      </c>
      <c r="E486" s="68">
        <f>COUNTIFS('Error Log'!$A:$A,$A486,'Error Log'!$J:$J,E$1)</f>
        <v>0</v>
      </c>
      <c r="F486" s="68">
        <f>COUNTIFS('Error Log'!$A:$A,$A486,'Error Log'!$J:$J,F$1)</f>
        <v>0</v>
      </c>
      <c r="G486" s="68">
        <f>COUNTIFS('Error Log'!$A:$A,$A486,'Error Log'!$J:$J,G$1)</f>
        <v>0</v>
      </c>
      <c r="H486" s="68">
        <f>COUNTIFS('Error Log'!$A:$A,$A486,'Error Log'!$F:$F,"Source")</f>
        <v>0</v>
      </c>
      <c r="I486" s="68">
        <f>COUNTIFS('Error Log'!$A:$A,$A486,'Error Log'!$F:$F,"Target")</f>
        <v>0</v>
      </c>
      <c r="J486" s="69">
        <f t="shared" si="7"/>
        <v>0</v>
      </c>
    </row>
    <row r="487" spans="1:10">
      <c r="A487" s="87"/>
      <c r="B487" s="68" t="str">
        <f>IF(ISBLANK(A487),"",INDEX('Error Log'!$A:$J,MATCH('Scores per segment'!$A487,'Error Log'!$A:$A,0),MATCH('Scores per segment'!B$1,'Error Log'!$A$1:$J$1,0)))</f>
        <v/>
      </c>
      <c r="C487" s="68" t="str">
        <f>IF(ISBLANK(A487),"",INDEX('Error Log'!$A:$J,MATCH('Scores per segment'!$A487,'Error Log'!$A:$A,0),MATCH('Scores per segment'!C$1,'Error Log'!$A$1:$J$1,0)))</f>
        <v/>
      </c>
      <c r="D487" s="68">
        <f>IF(H487=0,wdct(TRIM(C487)),0)</f>
        <v>0</v>
      </c>
      <c r="E487" s="68">
        <f>COUNTIFS('Error Log'!$A:$A,$A487,'Error Log'!$J:$J,E$1)</f>
        <v>0</v>
      </c>
      <c r="F487" s="68">
        <f>COUNTIFS('Error Log'!$A:$A,$A487,'Error Log'!$J:$J,F$1)</f>
        <v>0</v>
      </c>
      <c r="G487" s="68">
        <f>COUNTIFS('Error Log'!$A:$A,$A487,'Error Log'!$J:$J,G$1)</f>
        <v>0</v>
      </c>
      <c r="H487" s="68">
        <f>COUNTIFS('Error Log'!$A:$A,$A487,'Error Log'!$F:$F,"Source")</f>
        <v>0</v>
      </c>
      <c r="I487" s="68">
        <f>COUNTIFS('Error Log'!$A:$A,$A487,'Error Log'!$F:$F,"Target")</f>
        <v>0</v>
      </c>
      <c r="J487" s="69">
        <f t="shared" si="7"/>
        <v>0</v>
      </c>
    </row>
    <row r="488" spans="1:10">
      <c r="A488" s="87"/>
      <c r="B488" s="68" t="str">
        <f>IF(ISBLANK(A488),"",INDEX('Error Log'!$A:$J,MATCH('Scores per segment'!$A488,'Error Log'!$A:$A,0),MATCH('Scores per segment'!B$1,'Error Log'!$A$1:$J$1,0)))</f>
        <v/>
      </c>
      <c r="C488" s="68" t="str">
        <f>IF(ISBLANK(A488),"",INDEX('Error Log'!$A:$J,MATCH('Scores per segment'!$A488,'Error Log'!$A:$A,0),MATCH('Scores per segment'!C$1,'Error Log'!$A$1:$J$1,0)))</f>
        <v/>
      </c>
      <c r="D488" s="68">
        <f>IF(H488=0,wdct(TRIM(C488)),0)</f>
        <v>0</v>
      </c>
      <c r="E488" s="68">
        <f>COUNTIFS('Error Log'!$A:$A,$A488,'Error Log'!$J:$J,E$1)</f>
        <v>0</v>
      </c>
      <c r="F488" s="68">
        <f>COUNTIFS('Error Log'!$A:$A,$A488,'Error Log'!$J:$J,F$1)</f>
        <v>0</v>
      </c>
      <c r="G488" s="68">
        <f>COUNTIFS('Error Log'!$A:$A,$A488,'Error Log'!$J:$J,G$1)</f>
        <v>0</v>
      </c>
      <c r="H488" s="68">
        <f>COUNTIFS('Error Log'!$A:$A,$A488,'Error Log'!$F:$F,"Source")</f>
        <v>0</v>
      </c>
      <c r="I488" s="68">
        <f>COUNTIFS('Error Log'!$A:$A,$A488,'Error Log'!$F:$F,"Target")</f>
        <v>0</v>
      </c>
      <c r="J488" s="69">
        <f t="shared" si="7"/>
        <v>0</v>
      </c>
    </row>
    <row r="489" spans="1:10">
      <c r="A489" s="87"/>
      <c r="B489" s="68" t="str">
        <f>IF(ISBLANK(A489),"",INDEX('Error Log'!$A:$J,MATCH('Scores per segment'!$A489,'Error Log'!$A:$A,0),MATCH('Scores per segment'!B$1,'Error Log'!$A$1:$J$1,0)))</f>
        <v/>
      </c>
      <c r="C489" s="68" t="str">
        <f>IF(ISBLANK(A489),"",INDEX('Error Log'!$A:$J,MATCH('Scores per segment'!$A489,'Error Log'!$A:$A,0),MATCH('Scores per segment'!C$1,'Error Log'!$A$1:$J$1,0)))</f>
        <v/>
      </c>
      <c r="D489" s="68">
        <f>IF(H489=0,wdct(TRIM(C489)),0)</f>
        <v>0</v>
      </c>
      <c r="E489" s="68">
        <f>COUNTIFS('Error Log'!$A:$A,$A489,'Error Log'!$J:$J,E$1)</f>
        <v>0</v>
      </c>
      <c r="F489" s="68">
        <f>COUNTIFS('Error Log'!$A:$A,$A489,'Error Log'!$J:$J,F$1)</f>
        <v>0</v>
      </c>
      <c r="G489" s="68">
        <f>COUNTIFS('Error Log'!$A:$A,$A489,'Error Log'!$J:$J,G$1)</f>
        <v>0</v>
      </c>
      <c r="H489" s="68">
        <f>COUNTIFS('Error Log'!$A:$A,$A489,'Error Log'!$F:$F,"Source")</f>
        <v>0</v>
      </c>
      <c r="I489" s="68">
        <f>COUNTIFS('Error Log'!$A:$A,$A489,'Error Log'!$F:$F,"Target")</f>
        <v>0</v>
      </c>
      <c r="J489" s="69">
        <f t="shared" si="7"/>
        <v>0</v>
      </c>
    </row>
    <row r="490" spans="1:10">
      <c r="A490" s="87"/>
      <c r="B490" s="68" t="str">
        <f>IF(ISBLANK(A490),"",INDEX('Error Log'!$A:$J,MATCH('Scores per segment'!$A490,'Error Log'!$A:$A,0),MATCH('Scores per segment'!B$1,'Error Log'!$A$1:$J$1,0)))</f>
        <v/>
      </c>
      <c r="C490" s="68" t="str">
        <f>IF(ISBLANK(A490),"",INDEX('Error Log'!$A:$J,MATCH('Scores per segment'!$A490,'Error Log'!$A:$A,0),MATCH('Scores per segment'!C$1,'Error Log'!$A$1:$J$1,0)))</f>
        <v/>
      </c>
      <c r="D490" s="68">
        <f>IF(H490=0,wdct(TRIM(C490)),0)</f>
        <v>0</v>
      </c>
      <c r="E490" s="68">
        <f>COUNTIFS('Error Log'!$A:$A,$A490,'Error Log'!$J:$J,E$1)</f>
        <v>0</v>
      </c>
      <c r="F490" s="68">
        <f>COUNTIFS('Error Log'!$A:$A,$A490,'Error Log'!$J:$J,F$1)</f>
        <v>0</v>
      </c>
      <c r="G490" s="68">
        <f>COUNTIFS('Error Log'!$A:$A,$A490,'Error Log'!$J:$J,G$1)</f>
        <v>0</v>
      </c>
      <c r="H490" s="68">
        <f>COUNTIFS('Error Log'!$A:$A,$A490,'Error Log'!$F:$F,"Source")</f>
        <v>0</v>
      </c>
      <c r="I490" s="68">
        <f>COUNTIFS('Error Log'!$A:$A,$A490,'Error Log'!$F:$F,"Target")</f>
        <v>0</v>
      </c>
      <c r="J490" s="69">
        <f t="shared" si="7"/>
        <v>0</v>
      </c>
    </row>
    <row r="491" spans="1:10">
      <c r="A491" s="87"/>
      <c r="B491" s="68" t="str">
        <f>IF(ISBLANK(A491),"",INDEX('Error Log'!$A:$J,MATCH('Scores per segment'!$A491,'Error Log'!$A:$A,0),MATCH('Scores per segment'!B$1,'Error Log'!$A$1:$J$1,0)))</f>
        <v/>
      </c>
      <c r="C491" s="68" t="str">
        <f>IF(ISBLANK(A491),"",INDEX('Error Log'!$A:$J,MATCH('Scores per segment'!$A491,'Error Log'!$A:$A,0),MATCH('Scores per segment'!C$1,'Error Log'!$A$1:$J$1,0)))</f>
        <v/>
      </c>
      <c r="D491" s="68">
        <f>IF(H491=0,wdct(TRIM(C491)),0)</f>
        <v>0</v>
      </c>
      <c r="E491" s="68">
        <f>COUNTIFS('Error Log'!$A:$A,$A491,'Error Log'!$J:$J,E$1)</f>
        <v>0</v>
      </c>
      <c r="F491" s="68">
        <f>COUNTIFS('Error Log'!$A:$A,$A491,'Error Log'!$J:$J,F$1)</f>
        <v>0</v>
      </c>
      <c r="G491" s="68">
        <f>COUNTIFS('Error Log'!$A:$A,$A491,'Error Log'!$J:$J,G$1)</f>
        <v>0</v>
      </c>
      <c r="H491" s="68">
        <f>COUNTIFS('Error Log'!$A:$A,$A491,'Error Log'!$F:$F,"Source")</f>
        <v>0</v>
      </c>
      <c r="I491" s="68">
        <f>COUNTIFS('Error Log'!$A:$A,$A491,'Error Log'!$F:$F,"Target")</f>
        <v>0</v>
      </c>
      <c r="J491" s="69">
        <f t="shared" si="7"/>
        <v>0</v>
      </c>
    </row>
    <row r="492" spans="1:10">
      <c r="A492" s="87"/>
      <c r="B492" s="68" t="str">
        <f>IF(ISBLANK(A492),"",INDEX('Error Log'!$A:$J,MATCH('Scores per segment'!$A492,'Error Log'!$A:$A,0),MATCH('Scores per segment'!B$1,'Error Log'!$A$1:$J$1,0)))</f>
        <v/>
      </c>
      <c r="C492" s="68" t="str">
        <f>IF(ISBLANK(A492),"",INDEX('Error Log'!$A:$J,MATCH('Scores per segment'!$A492,'Error Log'!$A:$A,0),MATCH('Scores per segment'!C$1,'Error Log'!$A$1:$J$1,0)))</f>
        <v/>
      </c>
      <c r="D492" s="68">
        <f>IF(H492=0,wdct(TRIM(C492)),0)</f>
        <v>0</v>
      </c>
      <c r="E492" s="68">
        <f>COUNTIFS('Error Log'!$A:$A,$A492,'Error Log'!$J:$J,E$1)</f>
        <v>0</v>
      </c>
      <c r="F492" s="68">
        <f>COUNTIFS('Error Log'!$A:$A,$A492,'Error Log'!$J:$J,F$1)</f>
        <v>0</v>
      </c>
      <c r="G492" s="68">
        <f>COUNTIFS('Error Log'!$A:$A,$A492,'Error Log'!$J:$J,G$1)</f>
        <v>0</v>
      </c>
      <c r="H492" s="68">
        <f>COUNTIFS('Error Log'!$A:$A,$A492,'Error Log'!$F:$F,"Source")</f>
        <v>0</v>
      </c>
      <c r="I492" s="68">
        <f>COUNTIFS('Error Log'!$A:$A,$A492,'Error Log'!$F:$F,"Target")</f>
        <v>0</v>
      </c>
      <c r="J492" s="69">
        <f t="shared" si="7"/>
        <v>0</v>
      </c>
    </row>
    <row r="493" spans="1:10">
      <c r="A493" s="87"/>
      <c r="B493" s="68" t="str">
        <f>IF(ISBLANK(A493),"",INDEX('Error Log'!$A:$J,MATCH('Scores per segment'!$A493,'Error Log'!$A:$A,0),MATCH('Scores per segment'!B$1,'Error Log'!$A$1:$J$1,0)))</f>
        <v/>
      </c>
      <c r="C493" s="68" t="str">
        <f>IF(ISBLANK(A493),"",INDEX('Error Log'!$A:$J,MATCH('Scores per segment'!$A493,'Error Log'!$A:$A,0),MATCH('Scores per segment'!C$1,'Error Log'!$A$1:$J$1,0)))</f>
        <v/>
      </c>
      <c r="D493" s="68">
        <f>IF(H493=0,wdct(TRIM(C493)),0)</f>
        <v>0</v>
      </c>
      <c r="E493" s="68">
        <f>COUNTIFS('Error Log'!$A:$A,$A493,'Error Log'!$J:$J,E$1)</f>
        <v>0</v>
      </c>
      <c r="F493" s="68">
        <f>COUNTIFS('Error Log'!$A:$A,$A493,'Error Log'!$J:$J,F$1)</f>
        <v>0</v>
      </c>
      <c r="G493" s="68">
        <f>COUNTIFS('Error Log'!$A:$A,$A493,'Error Log'!$J:$J,G$1)</f>
        <v>0</v>
      </c>
      <c r="H493" s="68">
        <f>COUNTIFS('Error Log'!$A:$A,$A493,'Error Log'!$F:$F,"Source")</f>
        <v>0</v>
      </c>
      <c r="I493" s="68">
        <f>COUNTIFS('Error Log'!$A:$A,$A493,'Error Log'!$F:$F,"Target")</f>
        <v>0</v>
      </c>
      <c r="J493" s="69">
        <f t="shared" si="7"/>
        <v>0</v>
      </c>
    </row>
    <row r="494" spans="1:10">
      <c r="A494" s="87"/>
      <c r="B494" s="68" t="str">
        <f>IF(ISBLANK(A494),"",INDEX('Error Log'!$A:$J,MATCH('Scores per segment'!$A494,'Error Log'!$A:$A,0),MATCH('Scores per segment'!B$1,'Error Log'!$A$1:$J$1,0)))</f>
        <v/>
      </c>
      <c r="C494" s="68" t="str">
        <f>IF(ISBLANK(A494),"",INDEX('Error Log'!$A:$J,MATCH('Scores per segment'!$A494,'Error Log'!$A:$A,0),MATCH('Scores per segment'!C$1,'Error Log'!$A$1:$J$1,0)))</f>
        <v/>
      </c>
      <c r="D494" s="68">
        <f>IF(H494=0,wdct(TRIM(C494)),0)</f>
        <v>0</v>
      </c>
      <c r="E494" s="68">
        <f>COUNTIFS('Error Log'!$A:$A,$A494,'Error Log'!$J:$J,E$1)</f>
        <v>0</v>
      </c>
      <c r="F494" s="68">
        <f>COUNTIFS('Error Log'!$A:$A,$A494,'Error Log'!$J:$J,F$1)</f>
        <v>0</v>
      </c>
      <c r="G494" s="68">
        <f>COUNTIFS('Error Log'!$A:$A,$A494,'Error Log'!$J:$J,G$1)</f>
        <v>0</v>
      </c>
      <c r="H494" s="68">
        <f>COUNTIFS('Error Log'!$A:$A,$A494,'Error Log'!$F:$F,"Source")</f>
        <v>0</v>
      </c>
      <c r="I494" s="68">
        <f>COUNTIFS('Error Log'!$A:$A,$A494,'Error Log'!$F:$F,"Target")</f>
        <v>0</v>
      </c>
      <c r="J494" s="69">
        <f t="shared" si="7"/>
        <v>0</v>
      </c>
    </row>
    <row r="495" spans="1:10">
      <c r="A495" s="87"/>
      <c r="B495" s="68" t="str">
        <f>IF(ISBLANK(A495),"",INDEX('Error Log'!$A:$J,MATCH('Scores per segment'!$A495,'Error Log'!$A:$A,0),MATCH('Scores per segment'!B$1,'Error Log'!$A$1:$J$1,0)))</f>
        <v/>
      </c>
      <c r="C495" s="68" t="str">
        <f>IF(ISBLANK(A495),"",INDEX('Error Log'!$A:$J,MATCH('Scores per segment'!$A495,'Error Log'!$A:$A,0),MATCH('Scores per segment'!C$1,'Error Log'!$A$1:$J$1,0)))</f>
        <v/>
      </c>
      <c r="D495" s="68">
        <f>IF(H495=0,wdct(TRIM(C495)),0)</f>
        <v>0</v>
      </c>
      <c r="E495" s="68">
        <f>COUNTIFS('Error Log'!$A:$A,$A495,'Error Log'!$J:$J,E$1)</f>
        <v>0</v>
      </c>
      <c r="F495" s="68">
        <f>COUNTIFS('Error Log'!$A:$A,$A495,'Error Log'!$J:$J,F$1)</f>
        <v>0</v>
      </c>
      <c r="G495" s="68">
        <f>COUNTIFS('Error Log'!$A:$A,$A495,'Error Log'!$J:$J,G$1)</f>
        <v>0</v>
      </c>
      <c r="H495" s="68">
        <f>COUNTIFS('Error Log'!$A:$A,$A495,'Error Log'!$F:$F,"Source")</f>
        <v>0</v>
      </c>
      <c r="I495" s="68">
        <f>COUNTIFS('Error Log'!$A:$A,$A495,'Error Log'!$F:$F,"Target")</f>
        <v>0</v>
      </c>
      <c r="J495" s="69">
        <f t="shared" si="7"/>
        <v>0</v>
      </c>
    </row>
    <row r="496" spans="1:10">
      <c r="A496" s="87"/>
      <c r="B496" s="68" t="str">
        <f>IF(ISBLANK(A496),"",INDEX('Error Log'!$A:$J,MATCH('Scores per segment'!$A496,'Error Log'!$A:$A,0),MATCH('Scores per segment'!B$1,'Error Log'!$A$1:$J$1,0)))</f>
        <v/>
      </c>
      <c r="C496" s="68" t="str">
        <f>IF(ISBLANK(A496),"",INDEX('Error Log'!$A:$J,MATCH('Scores per segment'!$A496,'Error Log'!$A:$A,0),MATCH('Scores per segment'!C$1,'Error Log'!$A$1:$J$1,0)))</f>
        <v/>
      </c>
      <c r="D496" s="68">
        <f>IF(H496=0,wdct(TRIM(C496)),0)</f>
        <v>0</v>
      </c>
      <c r="E496" s="68">
        <f>COUNTIFS('Error Log'!$A:$A,$A496,'Error Log'!$J:$J,E$1)</f>
        <v>0</v>
      </c>
      <c r="F496" s="68">
        <f>COUNTIFS('Error Log'!$A:$A,$A496,'Error Log'!$J:$J,F$1)</f>
        <v>0</v>
      </c>
      <c r="G496" s="68">
        <f>COUNTIFS('Error Log'!$A:$A,$A496,'Error Log'!$J:$J,G$1)</f>
        <v>0</v>
      </c>
      <c r="H496" s="68">
        <f>COUNTIFS('Error Log'!$A:$A,$A496,'Error Log'!$F:$F,"Source")</f>
        <v>0</v>
      </c>
      <c r="I496" s="68">
        <f>COUNTIFS('Error Log'!$A:$A,$A496,'Error Log'!$F:$F,"Target")</f>
        <v>0</v>
      </c>
      <c r="J496" s="69">
        <f t="shared" si="7"/>
        <v>0</v>
      </c>
    </row>
    <row r="497" spans="1:10">
      <c r="A497" s="87"/>
      <c r="B497" s="68" t="str">
        <f>IF(ISBLANK(A497),"",INDEX('Error Log'!$A:$J,MATCH('Scores per segment'!$A497,'Error Log'!$A:$A,0),MATCH('Scores per segment'!B$1,'Error Log'!$A$1:$J$1,0)))</f>
        <v/>
      </c>
      <c r="C497" s="68" t="str">
        <f>IF(ISBLANK(A497),"",INDEX('Error Log'!$A:$J,MATCH('Scores per segment'!$A497,'Error Log'!$A:$A,0),MATCH('Scores per segment'!C$1,'Error Log'!$A$1:$J$1,0)))</f>
        <v/>
      </c>
      <c r="D497" s="68">
        <f>IF(H497=0,wdct(TRIM(C497)),0)</f>
        <v>0</v>
      </c>
      <c r="E497" s="68">
        <f>COUNTIFS('Error Log'!$A:$A,$A497,'Error Log'!$J:$J,E$1)</f>
        <v>0</v>
      </c>
      <c r="F497" s="68">
        <f>COUNTIFS('Error Log'!$A:$A,$A497,'Error Log'!$J:$J,F$1)</f>
        <v>0</v>
      </c>
      <c r="G497" s="68">
        <f>COUNTIFS('Error Log'!$A:$A,$A497,'Error Log'!$J:$J,G$1)</f>
        <v>0</v>
      </c>
      <c r="H497" s="68">
        <f>COUNTIFS('Error Log'!$A:$A,$A497,'Error Log'!$F:$F,"Source")</f>
        <v>0</v>
      </c>
      <c r="I497" s="68">
        <f>COUNTIFS('Error Log'!$A:$A,$A497,'Error Log'!$F:$F,"Target")</f>
        <v>0</v>
      </c>
      <c r="J497" s="69">
        <f t="shared" si="7"/>
        <v>0</v>
      </c>
    </row>
    <row r="498" spans="1:10">
      <c r="A498" s="87"/>
      <c r="B498" s="68" t="str">
        <f>IF(ISBLANK(A498),"",INDEX('Error Log'!$A:$J,MATCH('Scores per segment'!$A498,'Error Log'!$A:$A,0),MATCH('Scores per segment'!B$1,'Error Log'!$A$1:$J$1,0)))</f>
        <v/>
      </c>
      <c r="C498" s="68" t="str">
        <f>IF(ISBLANK(A498),"",INDEX('Error Log'!$A:$J,MATCH('Scores per segment'!$A498,'Error Log'!$A:$A,0),MATCH('Scores per segment'!C$1,'Error Log'!$A$1:$J$1,0)))</f>
        <v/>
      </c>
      <c r="D498" s="68">
        <f>IF(H498=0,wdct(TRIM(C498)),0)</f>
        <v>0</v>
      </c>
      <c r="E498" s="68">
        <f>COUNTIFS('Error Log'!$A:$A,$A498,'Error Log'!$J:$J,E$1)</f>
        <v>0</v>
      </c>
      <c r="F498" s="68">
        <f>COUNTIFS('Error Log'!$A:$A,$A498,'Error Log'!$J:$J,F$1)</f>
        <v>0</v>
      </c>
      <c r="G498" s="68">
        <f>COUNTIFS('Error Log'!$A:$A,$A498,'Error Log'!$J:$J,G$1)</f>
        <v>0</v>
      </c>
      <c r="H498" s="68">
        <f>COUNTIFS('Error Log'!$A:$A,$A498,'Error Log'!$F:$F,"Source")</f>
        <v>0</v>
      </c>
      <c r="I498" s="68">
        <f>COUNTIFS('Error Log'!$A:$A,$A498,'Error Log'!$F:$F,"Target")</f>
        <v>0</v>
      </c>
      <c r="J498" s="69">
        <f t="shared" si="7"/>
        <v>0</v>
      </c>
    </row>
    <row r="499" spans="1:10">
      <c r="A499" s="87"/>
      <c r="B499" s="68" t="str">
        <f>IF(ISBLANK(A499),"",INDEX('Error Log'!$A:$J,MATCH('Scores per segment'!$A499,'Error Log'!$A:$A,0),MATCH('Scores per segment'!B$1,'Error Log'!$A$1:$J$1,0)))</f>
        <v/>
      </c>
      <c r="C499" s="68" t="str">
        <f>IF(ISBLANK(A499),"",INDEX('Error Log'!$A:$J,MATCH('Scores per segment'!$A499,'Error Log'!$A:$A,0),MATCH('Scores per segment'!C$1,'Error Log'!$A$1:$J$1,0)))</f>
        <v/>
      </c>
      <c r="D499" s="68">
        <f>IF(H499=0,wdct(TRIM(C499)),0)</f>
        <v>0</v>
      </c>
      <c r="E499" s="68">
        <f>COUNTIFS('Error Log'!$A:$A,$A499,'Error Log'!$J:$J,E$1)</f>
        <v>0</v>
      </c>
      <c r="F499" s="68">
        <f>COUNTIFS('Error Log'!$A:$A,$A499,'Error Log'!$J:$J,F$1)</f>
        <v>0</v>
      </c>
      <c r="G499" s="68">
        <f>COUNTIFS('Error Log'!$A:$A,$A499,'Error Log'!$J:$J,G$1)</f>
        <v>0</v>
      </c>
      <c r="H499" s="68">
        <f>COUNTIFS('Error Log'!$A:$A,$A499,'Error Log'!$F:$F,"Source")</f>
        <v>0</v>
      </c>
      <c r="I499" s="68">
        <f>COUNTIFS('Error Log'!$A:$A,$A499,'Error Log'!$F:$F,"Target")</f>
        <v>0</v>
      </c>
      <c r="J499" s="69">
        <f t="shared" si="7"/>
        <v>0</v>
      </c>
    </row>
    <row r="500" spans="1:10">
      <c r="A500" s="87"/>
      <c r="B500" s="68" t="str">
        <f>IF(ISBLANK(A500),"",INDEX('Error Log'!$A:$J,MATCH('Scores per segment'!$A500,'Error Log'!$A:$A,0),MATCH('Scores per segment'!B$1,'Error Log'!$A$1:$J$1,0)))</f>
        <v/>
      </c>
      <c r="C500" s="68" t="str">
        <f>IF(ISBLANK(A500),"",INDEX('Error Log'!$A:$J,MATCH('Scores per segment'!$A500,'Error Log'!$A:$A,0),MATCH('Scores per segment'!C$1,'Error Log'!$A$1:$J$1,0)))</f>
        <v/>
      </c>
      <c r="D500" s="68">
        <f>IF(H500=0,wdct(TRIM(C500)),0)</f>
        <v>0</v>
      </c>
      <c r="E500" s="68">
        <f>COUNTIFS('Error Log'!$A:$A,$A500,'Error Log'!$J:$J,E$1)</f>
        <v>0</v>
      </c>
      <c r="F500" s="68">
        <f>COUNTIFS('Error Log'!$A:$A,$A500,'Error Log'!$J:$J,F$1)</f>
        <v>0</v>
      </c>
      <c r="G500" s="68">
        <f>COUNTIFS('Error Log'!$A:$A,$A500,'Error Log'!$J:$J,G$1)</f>
        <v>0</v>
      </c>
      <c r="H500" s="68">
        <f>COUNTIFS('Error Log'!$A:$A,$A500,'Error Log'!$F:$F,"Source")</f>
        <v>0</v>
      </c>
      <c r="I500" s="68">
        <f>COUNTIFS('Error Log'!$A:$A,$A500,'Error Log'!$F:$F,"Target")</f>
        <v>0</v>
      </c>
      <c r="J500" s="69">
        <f t="shared" si="7"/>
        <v>0</v>
      </c>
    </row>
    <row r="501" spans="1:10">
      <c r="A501" s="87"/>
      <c r="B501" s="68" t="str">
        <f>IF(ISBLANK(A501),"",INDEX('Error Log'!$A:$J,MATCH('Scores per segment'!$A501,'Error Log'!$A:$A,0),MATCH('Scores per segment'!B$1,'Error Log'!$A$1:$J$1,0)))</f>
        <v/>
      </c>
      <c r="C501" s="68" t="str">
        <f>IF(ISBLANK(A501),"",INDEX('Error Log'!$A:$J,MATCH('Scores per segment'!$A501,'Error Log'!$A:$A,0),MATCH('Scores per segment'!C$1,'Error Log'!$A$1:$J$1,0)))</f>
        <v/>
      </c>
      <c r="D501" s="68">
        <f>IF(H501=0,wdct(TRIM(C501)),0)</f>
        <v>0</v>
      </c>
      <c r="E501" s="68">
        <f>COUNTIFS('Error Log'!$A:$A,$A501,'Error Log'!$J:$J,E$1)</f>
        <v>0</v>
      </c>
      <c r="F501" s="68">
        <f>COUNTIFS('Error Log'!$A:$A,$A501,'Error Log'!$J:$J,F$1)</f>
        <v>0</v>
      </c>
      <c r="G501" s="68">
        <f>COUNTIFS('Error Log'!$A:$A,$A501,'Error Log'!$J:$J,G$1)</f>
        <v>0</v>
      </c>
      <c r="H501" s="68">
        <f>COUNTIFS('Error Log'!$A:$A,$A501,'Error Log'!$F:$F,"Source")</f>
        <v>0</v>
      </c>
      <c r="I501" s="68">
        <f>COUNTIFS('Error Log'!$A:$A,$A501,'Error Log'!$F:$F,"Target")</f>
        <v>0</v>
      </c>
      <c r="J501" s="69">
        <f t="shared" si="7"/>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7"/>
  <sheetViews>
    <sheetView tabSelected="1" zoomScaleNormal="100" workbookViewId="0">
      <pane ySplit="1" topLeftCell="A2" activePane="bottomLeft" state="frozen"/>
      <selection pane="bottomLeft" activeCell="B3" sqref="B3"/>
    </sheetView>
  </sheetViews>
  <sheetFormatPr defaultColWidth="9" defaultRowHeight="14.4"/>
  <cols>
    <col min="1" max="1" width="21.69921875" style="1" customWidth="1"/>
    <col min="2" max="2" width="30" style="1" customWidth="1"/>
    <col min="3" max="3" width="22.19921875" style="1" bestFit="1" customWidth="1"/>
    <col min="4" max="4" width="21.69921875" style="1" bestFit="1" customWidth="1"/>
    <col min="5" max="5" width="22.19921875" style="1" bestFit="1" customWidth="1"/>
    <col min="6" max="7" width="18.69921875" style="1" bestFit="1" customWidth="1"/>
    <col min="8" max="8" width="16.5" style="1" bestFit="1" customWidth="1"/>
    <col min="9" max="9" width="24.5" style="1" customWidth="1"/>
    <col min="10" max="10" width="13.69921875" style="1" customWidth="1"/>
    <col min="11" max="11" width="12.69921875" style="1" bestFit="1" customWidth="1"/>
    <col min="12" max="12" width="11.5" style="1" bestFit="1" customWidth="1"/>
    <col min="13" max="13" width="14" style="1" bestFit="1" customWidth="1"/>
    <col min="14" max="16384" width="9" style="70"/>
  </cols>
  <sheetData>
    <row r="1" spans="1:14">
      <c r="A1" s="122" t="s">
        <v>50</v>
      </c>
      <c r="B1" s="123"/>
      <c r="C1" s="123"/>
      <c r="D1" s="123"/>
      <c r="E1" s="123"/>
      <c r="F1" s="123"/>
      <c r="G1" s="123"/>
      <c r="H1" s="123"/>
      <c r="I1" s="123"/>
      <c r="J1" s="123"/>
      <c r="K1" s="123"/>
      <c r="L1" s="123"/>
      <c r="M1" s="124"/>
    </row>
    <row r="2" spans="1:14">
      <c r="A2" s="4" t="s">
        <v>31</v>
      </c>
      <c r="B2" s="4" t="s">
        <v>30</v>
      </c>
      <c r="C2" s="4" t="s">
        <v>54</v>
      </c>
      <c r="D2" s="4" t="s">
        <v>55</v>
      </c>
      <c r="E2" s="4" t="s">
        <v>56</v>
      </c>
      <c r="F2" s="4" t="s">
        <v>29</v>
      </c>
      <c r="G2" s="4" t="s">
        <v>27</v>
      </c>
      <c r="H2" s="4" t="s">
        <v>28</v>
      </c>
      <c r="I2" s="4" t="s">
        <v>58</v>
      </c>
      <c r="J2" s="4" t="s">
        <v>57</v>
      </c>
    </row>
    <row r="3" spans="1:14">
      <c r="A3" s="121" t="s">
        <v>21</v>
      </c>
      <c r="B3" s="3" t="s">
        <v>22</v>
      </c>
      <c r="C3" s="2" t="s">
        <v>25</v>
      </c>
      <c r="D3" s="2" t="s">
        <v>25</v>
      </c>
      <c r="E3" s="2" t="s">
        <v>25</v>
      </c>
      <c r="F3" s="2" t="s">
        <v>23</v>
      </c>
      <c r="G3" s="2" t="s">
        <v>23</v>
      </c>
      <c r="H3" s="2" t="s">
        <v>23</v>
      </c>
      <c r="I3" s="2" t="s">
        <v>59</v>
      </c>
      <c r="J3" s="2" t="s">
        <v>23</v>
      </c>
      <c r="N3" s="1"/>
    </row>
    <row r="4" spans="1:14">
      <c r="A4" s="121"/>
      <c r="B4" s="3" t="s">
        <v>7</v>
      </c>
      <c r="C4" s="2" t="s">
        <v>25</v>
      </c>
      <c r="D4" s="2" t="s">
        <v>25</v>
      </c>
      <c r="E4" s="2" t="s">
        <v>25</v>
      </c>
      <c r="F4" s="2" t="s">
        <v>60</v>
      </c>
      <c r="G4" s="2" t="s">
        <v>23</v>
      </c>
      <c r="H4" s="2" t="s">
        <v>23</v>
      </c>
      <c r="I4" s="2" t="s">
        <v>59</v>
      </c>
      <c r="J4" s="2" t="s">
        <v>60</v>
      </c>
      <c r="N4" s="1"/>
    </row>
    <row r="5" spans="1:14">
      <c r="A5" s="121"/>
      <c r="B5" s="3" t="s">
        <v>63</v>
      </c>
      <c r="C5" s="2" t="s">
        <v>25</v>
      </c>
      <c r="D5" s="2" t="s">
        <v>25</v>
      </c>
      <c r="E5" s="2" t="s">
        <v>25</v>
      </c>
      <c r="F5" s="2" t="s">
        <v>60</v>
      </c>
      <c r="G5" s="2" t="s">
        <v>60</v>
      </c>
      <c r="H5" s="2" t="s">
        <v>23</v>
      </c>
      <c r="I5" s="2" t="s">
        <v>59</v>
      </c>
      <c r="J5" s="2" t="s">
        <v>24</v>
      </c>
      <c r="N5" s="1"/>
    </row>
    <row r="6" spans="1:14">
      <c r="A6" s="121"/>
      <c r="B6" s="3" t="s">
        <v>64</v>
      </c>
      <c r="C6" s="2" t="s">
        <v>25</v>
      </c>
      <c r="D6" s="2" t="s">
        <v>25</v>
      </c>
      <c r="E6" s="2" t="s">
        <v>25</v>
      </c>
      <c r="F6" s="2" t="s">
        <v>25</v>
      </c>
      <c r="G6" s="2" t="s">
        <v>25</v>
      </c>
      <c r="H6" s="2" t="s">
        <v>25</v>
      </c>
      <c r="I6" s="2" t="s">
        <v>24</v>
      </c>
      <c r="J6" s="2" t="s">
        <v>24</v>
      </c>
      <c r="N6" s="1"/>
    </row>
    <row r="7" spans="1:14">
      <c r="A7" s="121"/>
      <c r="B7" s="3" t="s">
        <v>45</v>
      </c>
      <c r="C7" s="2" t="s">
        <v>24</v>
      </c>
      <c r="D7" s="2" t="s">
        <v>24</v>
      </c>
      <c r="E7" s="2" t="s">
        <v>25</v>
      </c>
      <c r="F7" s="2" t="s">
        <v>24</v>
      </c>
      <c r="G7" s="2" t="s">
        <v>24</v>
      </c>
      <c r="H7" s="2" t="s">
        <v>61</v>
      </c>
      <c r="I7" s="2" t="s">
        <v>24</v>
      </c>
      <c r="J7" s="2" t="s">
        <v>24</v>
      </c>
      <c r="N7" s="1"/>
    </row>
    <row r="8" spans="1:14">
      <c r="A8" s="121" t="s">
        <v>2</v>
      </c>
      <c r="B8" s="3" t="s">
        <v>65</v>
      </c>
      <c r="C8" s="2" t="s">
        <v>24</v>
      </c>
      <c r="D8" s="2" t="s">
        <v>24</v>
      </c>
      <c r="E8" s="2" t="s">
        <v>23</v>
      </c>
      <c r="F8" s="2" t="s">
        <v>24</v>
      </c>
      <c r="G8" s="2" t="s">
        <v>24</v>
      </c>
      <c r="H8" s="2" t="s">
        <v>23</v>
      </c>
      <c r="I8" s="2" t="s">
        <v>1</v>
      </c>
      <c r="J8" s="2" t="s">
        <v>24</v>
      </c>
      <c r="N8" s="1"/>
    </row>
    <row r="9" spans="1:14">
      <c r="A9" s="121"/>
      <c r="B9" s="3" t="s">
        <v>26</v>
      </c>
      <c r="C9" s="2" t="s">
        <v>23</v>
      </c>
      <c r="D9" s="2" t="s">
        <v>23</v>
      </c>
      <c r="E9" s="2" t="s">
        <v>23</v>
      </c>
      <c r="F9" s="2" t="s">
        <v>23</v>
      </c>
      <c r="G9" s="2" t="s">
        <v>23</v>
      </c>
      <c r="H9" s="2" t="s">
        <v>23</v>
      </c>
      <c r="I9" s="2" t="s">
        <v>59</v>
      </c>
      <c r="J9" s="2" t="s">
        <v>23</v>
      </c>
      <c r="N9" s="1"/>
    </row>
    <row r="10" spans="1:14">
      <c r="A10" s="121"/>
      <c r="B10" s="3" t="s">
        <v>66</v>
      </c>
      <c r="C10" s="2" t="s">
        <v>1</v>
      </c>
      <c r="D10" s="2" t="s">
        <v>1</v>
      </c>
      <c r="E10" s="2" t="s">
        <v>1</v>
      </c>
      <c r="F10" s="2" t="s">
        <v>1</v>
      </c>
      <c r="G10" s="2" t="s">
        <v>1</v>
      </c>
      <c r="H10" s="2" t="s">
        <v>1</v>
      </c>
      <c r="I10" s="2" t="s">
        <v>1</v>
      </c>
      <c r="J10" s="2" t="s">
        <v>24</v>
      </c>
      <c r="N10" s="1"/>
    </row>
    <row r="11" spans="1:14">
      <c r="A11" s="72"/>
      <c r="B11" s="72"/>
      <c r="C11" s="73"/>
      <c r="D11" s="73"/>
      <c r="E11" s="73"/>
      <c r="F11" s="73"/>
      <c r="G11" s="73"/>
      <c r="H11" s="73"/>
      <c r="N11" s="1"/>
    </row>
    <row r="13" spans="1:14">
      <c r="A13" s="8" t="s">
        <v>31</v>
      </c>
      <c r="B13" s="7" t="s">
        <v>21</v>
      </c>
      <c r="C13" s="7" t="s">
        <v>2</v>
      </c>
    </row>
    <row r="14" spans="1:14">
      <c r="A14" s="6" t="s">
        <v>21</v>
      </c>
      <c r="B14" s="9" t="s">
        <v>22</v>
      </c>
      <c r="C14" s="9" t="s">
        <v>65</v>
      </c>
    </row>
    <row r="15" spans="1:14">
      <c r="A15" s="6" t="s">
        <v>2</v>
      </c>
      <c r="B15" s="9" t="s">
        <v>7</v>
      </c>
      <c r="C15" s="9" t="s">
        <v>26</v>
      </c>
    </row>
    <row r="16" spans="1:14">
      <c r="A16" s="6"/>
      <c r="B16" s="9" t="s">
        <v>63</v>
      </c>
      <c r="C16" s="9" t="s">
        <v>66</v>
      </c>
    </row>
    <row r="17" spans="1:5">
      <c r="A17" s="6"/>
      <c r="B17" s="9" t="s">
        <v>64</v>
      </c>
      <c r="C17" s="9"/>
      <c r="D17" s="5"/>
    </row>
    <row r="18" spans="1:5">
      <c r="B18" s="9" t="s">
        <v>45</v>
      </c>
      <c r="C18" s="9"/>
      <c r="D18" s="5"/>
    </row>
    <row r="19" spans="1:5">
      <c r="B19" s="5"/>
      <c r="C19" s="5"/>
      <c r="D19" s="5"/>
    </row>
    <row r="20" spans="1:5">
      <c r="A20" s="5"/>
      <c r="B20" s="5"/>
      <c r="C20" s="5"/>
      <c r="D20" s="5"/>
    </row>
    <row r="21" spans="1:5">
      <c r="A21" s="5"/>
      <c r="B21" s="5"/>
      <c r="D21" s="5"/>
    </row>
    <row r="24" spans="1:5">
      <c r="A24" s="7" t="s">
        <v>21</v>
      </c>
      <c r="B24" s="7" t="s">
        <v>21</v>
      </c>
      <c r="C24" s="7" t="s">
        <v>21</v>
      </c>
      <c r="D24" s="7" t="s">
        <v>21</v>
      </c>
      <c r="E24" s="7" t="s">
        <v>21</v>
      </c>
    </row>
    <row r="25" spans="1:5">
      <c r="A25" s="7" t="s">
        <v>22</v>
      </c>
      <c r="B25" s="7" t="s">
        <v>7</v>
      </c>
      <c r="C25" s="7" t="s">
        <v>63</v>
      </c>
      <c r="D25" s="7" t="s">
        <v>64</v>
      </c>
      <c r="E25" s="7" t="s">
        <v>45</v>
      </c>
    </row>
    <row r="26" spans="1:5">
      <c r="A26" s="10" t="s">
        <v>54</v>
      </c>
      <c r="B26" s="10" t="s">
        <v>54</v>
      </c>
      <c r="C26" s="10" t="s">
        <v>54</v>
      </c>
      <c r="D26" s="10" t="s">
        <v>54</v>
      </c>
      <c r="E26" s="10" t="s">
        <v>56</v>
      </c>
    </row>
    <row r="27" spans="1:5">
      <c r="A27" s="10" t="s">
        <v>55</v>
      </c>
      <c r="B27" s="10" t="s">
        <v>55</v>
      </c>
      <c r="C27" s="10" t="s">
        <v>55</v>
      </c>
      <c r="D27" s="10" t="s">
        <v>55</v>
      </c>
      <c r="E27" s="10" t="s">
        <v>28</v>
      </c>
    </row>
    <row r="28" spans="1:5">
      <c r="A28" s="10" t="s">
        <v>56</v>
      </c>
      <c r="B28" s="10" t="s">
        <v>56</v>
      </c>
      <c r="C28" s="10" t="s">
        <v>56</v>
      </c>
      <c r="D28" s="10" t="s">
        <v>56</v>
      </c>
    </row>
    <row r="29" spans="1:5">
      <c r="A29" s="10" t="s">
        <v>29</v>
      </c>
      <c r="B29" s="10" t="s">
        <v>29</v>
      </c>
      <c r="C29" s="10" t="s">
        <v>29</v>
      </c>
      <c r="D29" s="10" t="s">
        <v>29</v>
      </c>
    </row>
    <row r="30" spans="1:5">
      <c r="A30" s="10" t="s">
        <v>27</v>
      </c>
      <c r="B30" s="10" t="s">
        <v>27</v>
      </c>
      <c r="C30" s="10" t="s">
        <v>27</v>
      </c>
      <c r="D30" s="10" t="s">
        <v>27</v>
      </c>
    </row>
    <row r="31" spans="1:5">
      <c r="A31" s="10" t="s">
        <v>28</v>
      </c>
      <c r="B31" s="10" t="s">
        <v>28</v>
      </c>
      <c r="C31" s="10" t="s">
        <v>28</v>
      </c>
      <c r="D31" s="10" t="s">
        <v>28</v>
      </c>
    </row>
    <row r="32" spans="1:5">
      <c r="A32" s="10" t="s">
        <v>58</v>
      </c>
      <c r="B32" s="10" t="s">
        <v>58</v>
      </c>
      <c r="C32" s="10" t="s">
        <v>58</v>
      </c>
      <c r="D32" s="10"/>
    </row>
    <row r="33" spans="1:13">
      <c r="A33" s="10" t="s">
        <v>57</v>
      </c>
      <c r="B33" s="10" t="s">
        <v>57</v>
      </c>
      <c r="C33" s="70"/>
    </row>
    <row r="34" spans="1:13">
      <c r="A34" s="70"/>
      <c r="B34" s="70"/>
      <c r="C34" s="70"/>
    </row>
    <row r="35" spans="1:13">
      <c r="A35" s="70"/>
      <c r="B35" s="70"/>
      <c r="C35" s="70"/>
    </row>
    <row r="36" spans="1:13">
      <c r="A36" s="70"/>
      <c r="B36" s="70"/>
      <c r="C36" s="74"/>
    </row>
    <row r="37" spans="1:13">
      <c r="A37" s="74"/>
      <c r="E37" s="74"/>
    </row>
    <row r="39" spans="1:13">
      <c r="A39" s="7" t="s">
        <v>2</v>
      </c>
      <c r="B39" s="7" t="s">
        <v>2</v>
      </c>
      <c r="C39" s="7" t="s">
        <v>2</v>
      </c>
      <c r="M39" s="70"/>
    </row>
    <row r="40" spans="1:13">
      <c r="A40" s="7" t="s">
        <v>65</v>
      </c>
      <c r="B40" s="7" t="s">
        <v>26</v>
      </c>
      <c r="C40" s="7" t="s">
        <v>67</v>
      </c>
      <c r="M40" s="70"/>
    </row>
    <row r="41" spans="1:13">
      <c r="A41" s="10" t="s">
        <v>56</v>
      </c>
      <c r="B41" s="10" t="s">
        <v>54</v>
      </c>
      <c r="C41" s="10" t="s">
        <v>54</v>
      </c>
      <c r="M41" s="70"/>
    </row>
    <row r="42" spans="1:13">
      <c r="A42" s="10" t="s">
        <v>28</v>
      </c>
      <c r="B42" s="10" t="s">
        <v>55</v>
      </c>
      <c r="C42" s="10" t="s">
        <v>55</v>
      </c>
      <c r="M42" s="70"/>
    </row>
    <row r="43" spans="1:13">
      <c r="A43" s="10" t="s">
        <v>58</v>
      </c>
      <c r="B43" s="10" t="s">
        <v>56</v>
      </c>
      <c r="C43" s="10" t="s">
        <v>56</v>
      </c>
      <c r="M43" s="70"/>
    </row>
    <row r="44" spans="1:13">
      <c r="A44" s="10"/>
      <c r="B44" s="10" t="s">
        <v>29</v>
      </c>
      <c r="C44" s="10" t="s">
        <v>29</v>
      </c>
      <c r="M44" s="70"/>
    </row>
    <row r="45" spans="1:13">
      <c r="A45" s="10"/>
      <c r="B45" s="10" t="s">
        <v>27</v>
      </c>
      <c r="C45" s="10" t="s">
        <v>27</v>
      </c>
      <c r="M45" s="70"/>
    </row>
    <row r="46" spans="1:13">
      <c r="B46" s="10" t="s">
        <v>28</v>
      </c>
      <c r="C46" s="10" t="s">
        <v>28</v>
      </c>
      <c r="M46" s="70"/>
    </row>
    <row r="47" spans="1:13">
      <c r="B47" s="10" t="s">
        <v>58</v>
      </c>
      <c r="M47" s="70"/>
    </row>
    <row r="48" spans="1:13">
      <c r="B48" s="10" t="s">
        <v>57</v>
      </c>
    </row>
    <row r="51" spans="1:1">
      <c r="A51" s="74"/>
    </row>
    <row r="52" spans="1:1">
      <c r="A52" s="74"/>
    </row>
    <row r="53" spans="1:1">
      <c r="A53" s="74"/>
    </row>
    <row r="54" spans="1:1">
      <c r="A54" s="74"/>
    </row>
    <row r="55" spans="1:1">
      <c r="A55" s="74"/>
    </row>
    <row r="56" spans="1:1">
      <c r="A56" s="74"/>
    </row>
    <row r="57" spans="1:1">
      <c r="A57" s="74"/>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2020-11-27T09:16:52Z</dcterms:modified>
</cp:coreProperties>
</file>