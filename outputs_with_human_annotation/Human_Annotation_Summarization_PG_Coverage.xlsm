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hdd\Desktop\annotation_150\"/>
    </mc:Choice>
  </mc:AlternateContent>
  <xr:revisionPtr revIDLastSave="0" documentId="13_ncr:1_{B755602D-4DA7-4F98-BE88-47558AD7626D}" xr6:coauthVersionLast="45" xr6:coauthVersionMax="45" xr10:uidLastSave="{00000000-0000-0000-0000-000000000000}"/>
  <bookViews>
    <workbookView xWindow="384" yWindow="384" windowWidth="21252" windowHeight="11184" tabRatio="868" xr2:uid="{00000000-000D-0000-FFFF-FFFF00000000}"/>
  </bookViews>
  <sheets>
    <sheet name="ScoreCard" sheetId="18" r:id="rId1"/>
    <sheet name="Error Log" sheetId="14" r:id="rId2"/>
    <sheet name="Scores per segment" sheetId="21" r:id="rId3"/>
    <sheet name="Severity_Matrix" sheetId="19" r:id="rId4"/>
  </sheets>
  <functionGroups builtInGroupCount="19"/>
  <definedNames>
    <definedName name="_xlnm._FilterDatabase" localSheetId="1" hidden="1">'Error Log'!$A$1:$L$434</definedName>
    <definedName name="_xlnm._FilterDatabase" localSheetId="2" hidden="1">'Scores per segment'!$A$1:$J$501</definedName>
    <definedName name="Accuracy">Severity_Matrix!$B$14:$B$18</definedName>
    <definedName name="Addition">Severity_Matrix!$A$26:$A$33</definedName>
    <definedName name="Duplication">Severity_Matrix!$D$41:$D$48</definedName>
    <definedName name="Fluency">Severity_Matrix!$C$14:$C$18</definedName>
    <definedName name="Inaccuracy_external">Severity_Matrix!$D$26:$D$33</definedName>
    <definedName name="Inaccuracy_internal">Severity_Matrix!$C$26:$C$33</definedName>
    <definedName name="Inappropriate_Selection_of_Words">Severity_Matrix!$B$41:$B$48</definedName>
    <definedName name="Issue_Type">Severity_Matrix!$A$14:$A$16</definedName>
    <definedName name="Omission">Severity_Matrix!$B$26:$B$33</definedName>
    <definedName name="Positive_Negative_Aspect">Severity_Matrix!$E$26:$E$33</definedName>
    <definedName name="Spelling">Severity_Matrix!$C$41:$C$48</definedName>
    <definedName name="Word_From">Severity_Matrix!$E$41:$E$48</definedName>
    <definedName name="Word_Order">Severity_Matrix!$A$41:$A$48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J435" i="14" l="1"/>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391" i="14" l="1"/>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253" i="14" l="1"/>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167" i="14" l="1"/>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2" i="14"/>
  <c r="H31" i="18" l="1"/>
  <c r="I35" i="18" l="1"/>
  <c r="I34" i="18"/>
  <c r="I33" i="18"/>
  <c r="H35" i="18"/>
  <c r="H34" i="18"/>
  <c r="H33" i="18"/>
  <c r="I32" i="18"/>
  <c r="H32" i="18"/>
  <c r="I31" i="18"/>
  <c r="I30" i="18"/>
  <c r="H30" i="18"/>
  <c r="H29" i="18"/>
  <c r="I29" i="18"/>
  <c r="I28" i="18"/>
  <c r="H28" i="18"/>
  <c r="D28" i="18"/>
  <c r="D31" i="18"/>
  <c r="E31" i="18"/>
  <c r="F31" i="18"/>
  <c r="G31" i="18"/>
  <c r="J31" i="18"/>
  <c r="K31" i="18"/>
  <c r="H2" i="21"/>
  <c r="I2" i="21"/>
  <c r="H3" i="21"/>
  <c r="I3" i="21"/>
  <c r="H4" i="21"/>
  <c r="I4" i="21"/>
  <c r="H5" i="21"/>
  <c r="I5" i="21"/>
  <c r="H6" i="21"/>
  <c r="I6" i="21"/>
  <c r="H7" i="21"/>
  <c r="I7" i="21"/>
  <c r="H8" i="21"/>
  <c r="I8" i="21"/>
  <c r="H9" i="21"/>
  <c r="I9" i="21"/>
  <c r="H10" i="21"/>
  <c r="I10" i="21"/>
  <c r="H11" i="21"/>
  <c r="I11" i="21"/>
  <c r="H12" i="21"/>
  <c r="I12" i="21"/>
  <c r="H13" i="21"/>
  <c r="I13" i="21"/>
  <c r="H14" i="21"/>
  <c r="I14" i="21"/>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H54" i="21"/>
  <c r="I54" i="21"/>
  <c r="H55" i="21"/>
  <c r="I55" i="21"/>
  <c r="H56" i="21"/>
  <c r="I56" i="21"/>
  <c r="H57" i="21"/>
  <c r="I57" i="21"/>
  <c r="H58" i="21"/>
  <c r="I58" i="21"/>
  <c r="H59" i="21"/>
  <c r="I59" i="21"/>
  <c r="H60" i="21"/>
  <c r="I60" i="21"/>
  <c r="H61" i="21"/>
  <c r="I61" i="21"/>
  <c r="H62" i="21"/>
  <c r="I62" i="21"/>
  <c r="H63" i="21"/>
  <c r="I63" i="21"/>
  <c r="H64" i="21"/>
  <c r="I64" i="21"/>
  <c r="H65" i="21"/>
  <c r="I65" i="21"/>
  <c r="H66" i="21"/>
  <c r="I66" i="21"/>
  <c r="H67" i="21"/>
  <c r="I67" i="21"/>
  <c r="H68" i="21"/>
  <c r="I68" i="21"/>
  <c r="H69" i="21"/>
  <c r="I69" i="21"/>
  <c r="H70" i="21"/>
  <c r="I70" i="21"/>
  <c r="H71" i="21"/>
  <c r="I71" i="21"/>
  <c r="H72" i="21"/>
  <c r="I72" i="21"/>
  <c r="H73" i="21"/>
  <c r="I73" i="21"/>
  <c r="H74" i="21"/>
  <c r="I74" i="21"/>
  <c r="H75" i="21"/>
  <c r="I75" i="21"/>
  <c r="H76" i="21"/>
  <c r="I76" i="21"/>
  <c r="H77" i="21"/>
  <c r="I77" i="21"/>
  <c r="H78" i="21"/>
  <c r="I78" i="21"/>
  <c r="H79" i="21"/>
  <c r="I79" i="21"/>
  <c r="H80" i="21"/>
  <c r="I80" i="21"/>
  <c r="H81" i="21"/>
  <c r="I81" i="21"/>
  <c r="H82" i="21"/>
  <c r="I82" i="21"/>
  <c r="H83" i="21"/>
  <c r="I83" i="21"/>
  <c r="H84" i="21"/>
  <c r="I84" i="21"/>
  <c r="H85" i="21"/>
  <c r="I85" i="21"/>
  <c r="H86" i="21"/>
  <c r="I86" i="21"/>
  <c r="H87" i="21"/>
  <c r="I87" i="21"/>
  <c r="H88" i="21"/>
  <c r="I88" i="21"/>
  <c r="H89" i="21"/>
  <c r="I89" i="21"/>
  <c r="H90" i="21"/>
  <c r="I90" i="21"/>
  <c r="H91" i="21"/>
  <c r="I91" i="21"/>
  <c r="H92" i="21"/>
  <c r="I92" i="21"/>
  <c r="H93" i="21"/>
  <c r="I93" i="21"/>
  <c r="H94" i="21"/>
  <c r="I94" i="21"/>
  <c r="H95" i="21"/>
  <c r="I95" i="21"/>
  <c r="H96" i="21"/>
  <c r="I96" i="21"/>
  <c r="H97" i="21"/>
  <c r="I97" i="21"/>
  <c r="H98" i="21"/>
  <c r="I98" i="21"/>
  <c r="H99" i="21"/>
  <c r="I99" i="21"/>
  <c r="H100" i="21"/>
  <c r="I100" i="21"/>
  <c r="H101" i="21"/>
  <c r="I101" i="21"/>
  <c r="H102" i="21"/>
  <c r="I102" i="21"/>
  <c r="H103" i="21"/>
  <c r="I103" i="21"/>
  <c r="H104" i="21"/>
  <c r="I104" i="21"/>
  <c r="H105" i="21"/>
  <c r="I105" i="21"/>
  <c r="H106" i="21"/>
  <c r="I106" i="21"/>
  <c r="H107" i="21"/>
  <c r="I107" i="21"/>
  <c r="H108" i="21"/>
  <c r="I108" i="21"/>
  <c r="H109" i="21"/>
  <c r="I109" i="21"/>
  <c r="H110" i="21"/>
  <c r="I110" i="21"/>
  <c r="H111" i="21"/>
  <c r="I111" i="21"/>
  <c r="H112" i="21"/>
  <c r="I112" i="21"/>
  <c r="H113" i="21"/>
  <c r="I113" i="21"/>
  <c r="H114" i="21"/>
  <c r="I114" i="21"/>
  <c r="H115" i="21"/>
  <c r="I115" i="21"/>
  <c r="H116" i="21"/>
  <c r="I116" i="21"/>
  <c r="H117" i="21"/>
  <c r="I117" i="21"/>
  <c r="H118" i="21"/>
  <c r="I118" i="21"/>
  <c r="H119" i="21"/>
  <c r="I119" i="21"/>
  <c r="H120" i="21"/>
  <c r="I120" i="21"/>
  <c r="H121" i="21"/>
  <c r="I121" i="21"/>
  <c r="H122" i="21"/>
  <c r="I122" i="21"/>
  <c r="H123" i="21"/>
  <c r="I123" i="21"/>
  <c r="H124" i="21"/>
  <c r="I124" i="21"/>
  <c r="H125" i="21"/>
  <c r="I125" i="21"/>
  <c r="H126" i="21"/>
  <c r="I126" i="21"/>
  <c r="H127" i="21"/>
  <c r="I127" i="21"/>
  <c r="H128" i="21"/>
  <c r="I128" i="21"/>
  <c r="H129" i="21"/>
  <c r="I129" i="21"/>
  <c r="H130" i="21"/>
  <c r="I130" i="21"/>
  <c r="H131" i="21"/>
  <c r="I131" i="21"/>
  <c r="H132" i="21"/>
  <c r="I132" i="21"/>
  <c r="H133" i="21"/>
  <c r="I133" i="21"/>
  <c r="H134" i="21"/>
  <c r="I134" i="21"/>
  <c r="H135" i="21"/>
  <c r="I135" i="21"/>
  <c r="H136" i="21"/>
  <c r="I136" i="21"/>
  <c r="H137" i="21"/>
  <c r="I137" i="21"/>
  <c r="H138" i="21"/>
  <c r="I138" i="21"/>
  <c r="H139" i="21"/>
  <c r="I139" i="21"/>
  <c r="H140" i="21"/>
  <c r="I140" i="21"/>
  <c r="H141" i="21"/>
  <c r="I141" i="21"/>
  <c r="H142" i="21"/>
  <c r="I142" i="21"/>
  <c r="H143" i="21"/>
  <c r="I143" i="21"/>
  <c r="H144" i="21"/>
  <c r="I144" i="21"/>
  <c r="H145" i="21"/>
  <c r="I145" i="21"/>
  <c r="H146" i="21"/>
  <c r="I146" i="21"/>
  <c r="H147" i="21"/>
  <c r="I147" i="21"/>
  <c r="H148" i="21"/>
  <c r="I148" i="21"/>
  <c r="H149" i="21"/>
  <c r="I149" i="21"/>
  <c r="H150" i="21"/>
  <c r="I150" i="21"/>
  <c r="H151" i="21"/>
  <c r="I151" i="21"/>
  <c r="H152" i="21"/>
  <c r="I152" i="21"/>
  <c r="H153" i="21"/>
  <c r="I153" i="21"/>
  <c r="H154" i="21"/>
  <c r="I154" i="21"/>
  <c r="H155" i="21"/>
  <c r="I155" i="21"/>
  <c r="H156" i="21"/>
  <c r="I156" i="21"/>
  <c r="H157" i="21"/>
  <c r="I157" i="21"/>
  <c r="H158" i="21"/>
  <c r="I158" i="21"/>
  <c r="H159" i="21"/>
  <c r="I159" i="21"/>
  <c r="H160" i="21"/>
  <c r="I160" i="21"/>
  <c r="H161" i="21"/>
  <c r="I161" i="21"/>
  <c r="H162" i="21"/>
  <c r="I162" i="21"/>
  <c r="H163" i="21"/>
  <c r="I163" i="21"/>
  <c r="H164" i="21"/>
  <c r="I164" i="21"/>
  <c r="H165" i="21"/>
  <c r="I165" i="21"/>
  <c r="H166" i="21"/>
  <c r="I166" i="21"/>
  <c r="H167" i="21"/>
  <c r="I167" i="21"/>
  <c r="H168" i="21"/>
  <c r="I168" i="21"/>
  <c r="H169" i="21"/>
  <c r="I169" i="21"/>
  <c r="H170" i="21"/>
  <c r="I170" i="21"/>
  <c r="H171" i="21"/>
  <c r="I171" i="21"/>
  <c r="H172" i="21"/>
  <c r="I172" i="21"/>
  <c r="H173" i="21"/>
  <c r="I173" i="21"/>
  <c r="H174" i="21"/>
  <c r="I174" i="21"/>
  <c r="H175" i="21"/>
  <c r="I175" i="21"/>
  <c r="H176" i="21"/>
  <c r="I176" i="21"/>
  <c r="H177" i="21"/>
  <c r="I177" i="21"/>
  <c r="H178" i="21"/>
  <c r="I178" i="21"/>
  <c r="H179" i="21"/>
  <c r="I179" i="21"/>
  <c r="H180" i="21"/>
  <c r="I180" i="21"/>
  <c r="H181" i="21"/>
  <c r="I181" i="21"/>
  <c r="H182" i="21"/>
  <c r="I182" i="21"/>
  <c r="H183" i="21"/>
  <c r="I183" i="21"/>
  <c r="H184" i="21"/>
  <c r="I184" i="21"/>
  <c r="H185" i="21"/>
  <c r="I185" i="21"/>
  <c r="H186" i="21"/>
  <c r="I186" i="21"/>
  <c r="H187" i="21"/>
  <c r="I187" i="21"/>
  <c r="H188" i="21"/>
  <c r="I188" i="21"/>
  <c r="H189" i="21"/>
  <c r="I189" i="21"/>
  <c r="H190" i="21"/>
  <c r="I190" i="21"/>
  <c r="H191" i="21"/>
  <c r="I191" i="21"/>
  <c r="H192" i="21"/>
  <c r="I192" i="21"/>
  <c r="H193" i="21"/>
  <c r="I193" i="21"/>
  <c r="H194" i="21"/>
  <c r="I194" i="21"/>
  <c r="H195" i="21"/>
  <c r="I195" i="21"/>
  <c r="H196" i="21"/>
  <c r="I196" i="21"/>
  <c r="H197" i="21"/>
  <c r="I197" i="21"/>
  <c r="H198" i="21"/>
  <c r="I198" i="21"/>
  <c r="H199" i="21"/>
  <c r="I199" i="21"/>
  <c r="H200" i="21"/>
  <c r="I200" i="21"/>
  <c r="H201" i="21"/>
  <c r="I201" i="21"/>
  <c r="H202" i="21"/>
  <c r="I202" i="21"/>
  <c r="H203" i="21"/>
  <c r="I203" i="21"/>
  <c r="H204" i="21"/>
  <c r="I204" i="21"/>
  <c r="H205" i="21"/>
  <c r="I205" i="21"/>
  <c r="H206" i="21"/>
  <c r="I206" i="21"/>
  <c r="H207" i="21"/>
  <c r="I207" i="21"/>
  <c r="H208" i="21"/>
  <c r="I208" i="21"/>
  <c r="H209" i="21"/>
  <c r="I209" i="21"/>
  <c r="H210" i="21"/>
  <c r="I210" i="21"/>
  <c r="H211" i="21"/>
  <c r="I211" i="21"/>
  <c r="H212" i="21"/>
  <c r="I212" i="21"/>
  <c r="H213" i="21"/>
  <c r="I213" i="21"/>
  <c r="H214" i="21"/>
  <c r="I214" i="21"/>
  <c r="H215" i="21"/>
  <c r="I215" i="21"/>
  <c r="H216" i="21"/>
  <c r="I216" i="21"/>
  <c r="H217" i="21"/>
  <c r="I217" i="21"/>
  <c r="H218" i="21"/>
  <c r="I218" i="21"/>
  <c r="H219" i="21"/>
  <c r="I219" i="21"/>
  <c r="H220" i="21"/>
  <c r="I220" i="21"/>
  <c r="H221" i="21"/>
  <c r="I221" i="21"/>
  <c r="H222" i="21"/>
  <c r="I222" i="21"/>
  <c r="H223" i="21"/>
  <c r="I223" i="21"/>
  <c r="H224" i="21"/>
  <c r="I224" i="21"/>
  <c r="H225" i="21"/>
  <c r="I225" i="21"/>
  <c r="H226" i="21"/>
  <c r="I226" i="21"/>
  <c r="H227" i="21"/>
  <c r="I227" i="21"/>
  <c r="H228" i="21"/>
  <c r="I228" i="21"/>
  <c r="H229" i="21"/>
  <c r="I229" i="21"/>
  <c r="H230" i="21"/>
  <c r="I230" i="21"/>
  <c r="H231" i="21"/>
  <c r="I231" i="21"/>
  <c r="H232" i="21"/>
  <c r="I232" i="21"/>
  <c r="H233" i="21"/>
  <c r="I233" i="21"/>
  <c r="H234" i="21"/>
  <c r="I234" i="21"/>
  <c r="H235" i="21"/>
  <c r="I235" i="21"/>
  <c r="H236" i="21"/>
  <c r="I236" i="21"/>
  <c r="H237" i="21"/>
  <c r="I237" i="21"/>
  <c r="H238" i="21"/>
  <c r="I238" i="21"/>
  <c r="H239" i="21"/>
  <c r="I239" i="21"/>
  <c r="H240" i="21"/>
  <c r="I240" i="21"/>
  <c r="H241" i="21"/>
  <c r="I241" i="21"/>
  <c r="H242" i="21"/>
  <c r="I242" i="21"/>
  <c r="H243" i="21"/>
  <c r="I243" i="21"/>
  <c r="H244" i="21"/>
  <c r="I244" i="21"/>
  <c r="H245" i="21"/>
  <c r="I245" i="21"/>
  <c r="H246" i="21"/>
  <c r="I246" i="21"/>
  <c r="H247" i="21"/>
  <c r="I247" i="21"/>
  <c r="H248" i="21"/>
  <c r="I248" i="21"/>
  <c r="H249" i="21"/>
  <c r="I249" i="21"/>
  <c r="H250" i="21"/>
  <c r="I250" i="21"/>
  <c r="H251" i="21"/>
  <c r="I251" i="21"/>
  <c r="H252" i="21"/>
  <c r="I252" i="21"/>
  <c r="H253" i="21"/>
  <c r="I253" i="21"/>
  <c r="H254" i="21"/>
  <c r="I254" i="21"/>
  <c r="H255" i="21"/>
  <c r="I255" i="21"/>
  <c r="H256" i="21"/>
  <c r="I256" i="21"/>
  <c r="H257" i="21"/>
  <c r="I257" i="21"/>
  <c r="H258" i="21"/>
  <c r="I258" i="21"/>
  <c r="H259" i="21"/>
  <c r="I259" i="21"/>
  <c r="H260" i="21"/>
  <c r="I260" i="21"/>
  <c r="H261" i="21"/>
  <c r="I261" i="21"/>
  <c r="H262" i="21"/>
  <c r="I262" i="21"/>
  <c r="H263" i="21"/>
  <c r="I263" i="21"/>
  <c r="H264" i="21"/>
  <c r="I264" i="21"/>
  <c r="H265" i="21"/>
  <c r="I265" i="21"/>
  <c r="H266" i="21"/>
  <c r="I266" i="21"/>
  <c r="H267" i="21"/>
  <c r="I267" i="21"/>
  <c r="H268" i="21"/>
  <c r="I268" i="21"/>
  <c r="H269" i="21"/>
  <c r="I269" i="21"/>
  <c r="H270" i="21"/>
  <c r="I270" i="21"/>
  <c r="H271" i="21"/>
  <c r="I271" i="21"/>
  <c r="H272" i="21"/>
  <c r="I272" i="21"/>
  <c r="H273" i="21"/>
  <c r="I273" i="21"/>
  <c r="H274" i="21"/>
  <c r="I274" i="21"/>
  <c r="H275" i="21"/>
  <c r="I275" i="21"/>
  <c r="H276" i="21"/>
  <c r="I276" i="21"/>
  <c r="H277" i="21"/>
  <c r="I277" i="21"/>
  <c r="H278" i="21"/>
  <c r="I278" i="21"/>
  <c r="H279" i="21"/>
  <c r="I279" i="21"/>
  <c r="H280" i="21"/>
  <c r="I280" i="21"/>
  <c r="H281" i="21"/>
  <c r="I281" i="21"/>
  <c r="H282" i="21"/>
  <c r="I282" i="21"/>
  <c r="H283" i="21"/>
  <c r="I283" i="21"/>
  <c r="H284" i="21"/>
  <c r="I284" i="21"/>
  <c r="H285" i="21"/>
  <c r="I285" i="21"/>
  <c r="H286" i="21"/>
  <c r="I286" i="21"/>
  <c r="H287" i="21"/>
  <c r="I287" i="21"/>
  <c r="H288" i="21"/>
  <c r="I288" i="21"/>
  <c r="H289" i="21"/>
  <c r="I289" i="21"/>
  <c r="H290" i="21"/>
  <c r="I290" i="21"/>
  <c r="H291" i="21"/>
  <c r="I291" i="21"/>
  <c r="H292" i="21"/>
  <c r="I292" i="21"/>
  <c r="H293" i="21"/>
  <c r="I293" i="21"/>
  <c r="H294" i="21"/>
  <c r="I294" i="21"/>
  <c r="H295" i="21"/>
  <c r="I295" i="21"/>
  <c r="H296" i="21"/>
  <c r="I296" i="21"/>
  <c r="H297" i="21"/>
  <c r="I297" i="21"/>
  <c r="H298" i="21"/>
  <c r="I298" i="21"/>
  <c r="H299" i="21"/>
  <c r="I299" i="21"/>
  <c r="H300" i="21"/>
  <c r="I300" i="21"/>
  <c r="H301" i="21"/>
  <c r="I301" i="21"/>
  <c r="H302" i="21"/>
  <c r="I302" i="21"/>
  <c r="H303" i="21"/>
  <c r="I303" i="21"/>
  <c r="H304" i="21"/>
  <c r="I304" i="21"/>
  <c r="H305" i="21"/>
  <c r="I305" i="21"/>
  <c r="H306" i="21"/>
  <c r="I306" i="21"/>
  <c r="H307" i="21"/>
  <c r="I307" i="21"/>
  <c r="H308" i="21"/>
  <c r="I308" i="21"/>
  <c r="H309" i="21"/>
  <c r="I309" i="21"/>
  <c r="H310" i="21"/>
  <c r="I310" i="21"/>
  <c r="H311" i="21"/>
  <c r="I311" i="21"/>
  <c r="H312" i="21"/>
  <c r="I312" i="21"/>
  <c r="H313" i="21"/>
  <c r="I313" i="21"/>
  <c r="H314" i="21"/>
  <c r="I314" i="21"/>
  <c r="H315" i="21"/>
  <c r="I315" i="21"/>
  <c r="H316" i="21"/>
  <c r="I316" i="21"/>
  <c r="H317" i="21"/>
  <c r="I317" i="21"/>
  <c r="H318" i="21"/>
  <c r="I318" i="21"/>
  <c r="H319" i="21"/>
  <c r="I319" i="21"/>
  <c r="H320" i="21"/>
  <c r="I320" i="21"/>
  <c r="H321" i="21"/>
  <c r="I321" i="21"/>
  <c r="H322" i="21"/>
  <c r="I322" i="21"/>
  <c r="H323" i="21"/>
  <c r="I323" i="21"/>
  <c r="H324" i="21"/>
  <c r="I324" i="21"/>
  <c r="H325" i="21"/>
  <c r="I325" i="21"/>
  <c r="H326" i="21"/>
  <c r="I326" i="21"/>
  <c r="H327" i="21"/>
  <c r="I327" i="21"/>
  <c r="H328" i="21"/>
  <c r="I328" i="21"/>
  <c r="H329" i="21"/>
  <c r="I329" i="21"/>
  <c r="H330" i="21"/>
  <c r="I330" i="21"/>
  <c r="H331" i="21"/>
  <c r="I331" i="21"/>
  <c r="H332" i="21"/>
  <c r="I332" i="21"/>
  <c r="H333" i="21"/>
  <c r="I333" i="21"/>
  <c r="H334" i="21"/>
  <c r="I334" i="21"/>
  <c r="H335" i="21"/>
  <c r="I335" i="21"/>
  <c r="H336" i="21"/>
  <c r="I336" i="21"/>
  <c r="H337" i="21"/>
  <c r="I337" i="21"/>
  <c r="H338" i="21"/>
  <c r="I338" i="21"/>
  <c r="H339" i="21"/>
  <c r="I339" i="21"/>
  <c r="H340" i="21"/>
  <c r="I340" i="21"/>
  <c r="H341" i="21"/>
  <c r="I341" i="21"/>
  <c r="H342" i="21"/>
  <c r="I342" i="21"/>
  <c r="H343" i="21"/>
  <c r="I343" i="21"/>
  <c r="H344" i="21"/>
  <c r="I344" i="21"/>
  <c r="H345" i="21"/>
  <c r="I345" i="21"/>
  <c r="H346" i="21"/>
  <c r="I346" i="21"/>
  <c r="H347" i="21"/>
  <c r="I347" i="21"/>
  <c r="H348" i="21"/>
  <c r="I348" i="21"/>
  <c r="H349" i="21"/>
  <c r="I349" i="21"/>
  <c r="H350" i="21"/>
  <c r="I350" i="21"/>
  <c r="H351" i="21"/>
  <c r="I351" i="21"/>
  <c r="H352" i="21"/>
  <c r="I352" i="21"/>
  <c r="H353" i="21"/>
  <c r="I353" i="21"/>
  <c r="H354" i="21"/>
  <c r="I354" i="21"/>
  <c r="H355" i="21"/>
  <c r="I355" i="21"/>
  <c r="H356" i="21"/>
  <c r="I356" i="21"/>
  <c r="H357" i="21"/>
  <c r="I357" i="21"/>
  <c r="H358" i="21"/>
  <c r="I358" i="21"/>
  <c r="H359" i="21"/>
  <c r="I359" i="21"/>
  <c r="H360" i="21"/>
  <c r="I360" i="21"/>
  <c r="H361" i="21"/>
  <c r="I361" i="21"/>
  <c r="H362" i="21"/>
  <c r="I362" i="21"/>
  <c r="H363" i="21"/>
  <c r="I363" i="21"/>
  <c r="H364" i="21"/>
  <c r="I364" i="21"/>
  <c r="H365" i="21"/>
  <c r="I365" i="21"/>
  <c r="H366" i="21"/>
  <c r="I366" i="21"/>
  <c r="H367" i="21"/>
  <c r="I367" i="21"/>
  <c r="H368" i="21"/>
  <c r="I368" i="21"/>
  <c r="H369" i="21"/>
  <c r="I369" i="21"/>
  <c r="H370" i="21"/>
  <c r="I370" i="21"/>
  <c r="H371" i="21"/>
  <c r="I371" i="21"/>
  <c r="H372" i="21"/>
  <c r="I372" i="21"/>
  <c r="H373" i="21"/>
  <c r="I373" i="21"/>
  <c r="H374" i="21"/>
  <c r="I374" i="21"/>
  <c r="H375" i="21"/>
  <c r="I375" i="21"/>
  <c r="H376" i="21"/>
  <c r="I376" i="21"/>
  <c r="H377" i="21"/>
  <c r="I377" i="21"/>
  <c r="H378" i="21"/>
  <c r="I378" i="21"/>
  <c r="H379" i="21"/>
  <c r="I379" i="21"/>
  <c r="H380" i="21"/>
  <c r="I380" i="21"/>
  <c r="H381" i="21"/>
  <c r="I381" i="21"/>
  <c r="H382" i="21"/>
  <c r="I382" i="21"/>
  <c r="H383" i="21"/>
  <c r="I383" i="21"/>
  <c r="H384" i="21"/>
  <c r="I384" i="21"/>
  <c r="H385" i="21"/>
  <c r="I385" i="21"/>
  <c r="H386" i="21"/>
  <c r="I386" i="21"/>
  <c r="H387" i="21"/>
  <c r="I387" i="21"/>
  <c r="H388" i="21"/>
  <c r="I388" i="21"/>
  <c r="H389" i="21"/>
  <c r="I389" i="21"/>
  <c r="H390" i="21"/>
  <c r="I390" i="21"/>
  <c r="H391" i="21"/>
  <c r="I391" i="21"/>
  <c r="H392" i="21"/>
  <c r="I392" i="21"/>
  <c r="H393" i="21"/>
  <c r="I393" i="21"/>
  <c r="H394" i="21"/>
  <c r="I394" i="21"/>
  <c r="H395" i="21"/>
  <c r="I395" i="21"/>
  <c r="H396" i="21"/>
  <c r="I396" i="21"/>
  <c r="H397" i="21"/>
  <c r="I397" i="21"/>
  <c r="H398" i="21"/>
  <c r="I398" i="21"/>
  <c r="H399" i="21"/>
  <c r="I399" i="21"/>
  <c r="H400" i="21"/>
  <c r="I400" i="21"/>
  <c r="H401" i="21"/>
  <c r="I401" i="21"/>
  <c r="H402" i="21"/>
  <c r="I402" i="21"/>
  <c r="H403" i="21"/>
  <c r="I403" i="21"/>
  <c r="H404" i="21"/>
  <c r="I404" i="21"/>
  <c r="H405" i="21"/>
  <c r="I405" i="21"/>
  <c r="H406" i="21"/>
  <c r="I406" i="21"/>
  <c r="H407" i="21"/>
  <c r="I407" i="21"/>
  <c r="H408" i="21"/>
  <c r="I408" i="21"/>
  <c r="H409" i="21"/>
  <c r="I409" i="21"/>
  <c r="H410" i="21"/>
  <c r="I410" i="21"/>
  <c r="H411" i="21"/>
  <c r="I411" i="21"/>
  <c r="H412" i="21"/>
  <c r="I412" i="21"/>
  <c r="H413" i="21"/>
  <c r="I413" i="21"/>
  <c r="H414" i="21"/>
  <c r="I414" i="21"/>
  <c r="H415" i="21"/>
  <c r="I415" i="21"/>
  <c r="H416" i="21"/>
  <c r="I416" i="21"/>
  <c r="H417" i="21"/>
  <c r="I417" i="21"/>
  <c r="H418" i="21"/>
  <c r="I418" i="21"/>
  <c r="H419" i="21"/>
  <c r="I419" i="21"/>
  <c r="H420" i="21"/>
  <c r="I420" i="21"/>
  <c r="H421" i="21"/>
  <c r="I421" i="21"/>
  <c r="H422" i="21"/>
  <c r="I422" i="21"/>
  <c r="H423" i="21"/>
  <c r="I423" i="21"/>
  <c r="H424" i="21"/>
  <c r="I424" i="21"/>
  <c r="H425" i="21"/>
  <c r="I425" i="21"/>
  <c r="H426" i="21"/>
  <c r="I426" i="21"/>
  <c r="H427" i="21"/>
  <c r="I427" i="21"/>
  <c r="H428" i="21"/>
  <c r="I428" i="21"/>
  <c r="H429" i="21"/>
  <c r="I429" i="21"/>
  <c r="H430" i="21"/>
  <c r="I430" i="21"/>
  <c r="H431" i="21"/>
  <c r="I431" i="21"/>
  <c r="H432" i="21"/>
  <c r="I432" i="21"/>
  <c r="H433" i="21"/>
  <c r="I433" i="21"/>
  <c r="H434" i="21"/>
  <c r="I434" i="21"/>
  <c r="H435" i="21"/>
  <c r="I435" i="21"/>
  <c r="H436" i="21"/>
  <c r="I436" i="21"/>
  <c r="H437" i="21"/>
  <c r="I437" i="21"/>
  <c r="H438" i="21"/>
  <c r="I438" i="21"/>
  <c r="H439" i="21"/>
  <c r="I439" i="21"/>
  <c r="H440" i="21"/>
  <c r="I440" i="21"/>
  <c r="H441" i="21"/>
  <c r="I441" i="21"/>
  <c r="H442" i="21"/>
  <c r="I442" i="21"/>
  <c r="H443" i="21"/>
  <c r="I443" i="21"/>
  <c r="H444" i="21"/>
  <c r="I444" i="21"/>
  <c r="H445" i="21"/>
  <c r="I445" i="21"/>
  <c r="H446" i="21"/>
  <c r="I446" i="21"/>
  <c r="H447" i="21"/>
  <c r="I447" i="21"/>
  <c r="H448" i="21"/>
  <c r="I448" i="21"/>
  <c r="H449" i="21"/>
  <c r="I449" i="21"/>
  <c r="H450" i="21"/>
  <c r="I450" i="21"/>
  <c r="H451" i="21"/>
  <c r="I451" i="21"/>
  <c r="H452" i="21"/>
  <c r="I452" i="21"/>
  <c r="H453" i="21"/>
  <c r="I453" i="21"/>
  <c r="H454" i="21"/>
  <c r="I454" i="21"/>
  <c r="H455" i="21"/>
  <c r="I455" i="21"/>
  <c r="H456" i="21"/>
  <c r="I456" i="21"/>
  <c r="H457" i="21"/>
  <c r="I457" i="21"/>
  <c r="H458" i="21"/>
  <c r="I458" i="21"/>
  <c r="H459" i="21"/>
  <c r="I459" i="21"/>
  <c r="H460" i="21"/>
  <c r="I460" i="21"/>
  <c r="H461" i="21"/>
  <c r="I461" i="21"/>
  <c r="H462" i="21"/>
  <c r="I462" i="21"/>
  <c r="H463" i="21"/>
  <c r="I463" i="21"/>
  <c r="H464" i="21"/>
  <c r="I464" i="21"/>
  <c r="H465" i="21"/>
  <c r="I465" i="21"/>
  <c r="H466" i="21"/>
  <c r="I466" i="21"/>
  <c r="H467" i="21"/>
  <c r="I467" i="21"/>
  <c r="H468" i="21"/>
  <c r="I468" i="21"/>
  <c r="H469" i="21"/>
  <c r="I469" i="21"/>
  <c r="H470" i="21"/>
  <c r="I470" i="21"/>
  <c r="H471" i="21"/>
  <c r="I471" i="21"/>
  <c r="H472" i="21"/>
  <c r="I472" i="21"/>
  <c r="H473" i="21"/>
  <c r="I473" i="21"/>
  <c r="H474" i="21"/>
  <c r="I474" i="21"/>
  <c r="H475" i="21"/>
  <c r="I475" i="21"/>
  <c r="H476" i="21"/>
  <c r="I476" i="21"/>
  <c r="H477" i="21"/>
  <c r="I477" i="21"/>
  <c r="H478" i="21"/>
  <c r="I478" i="21"/>
  <c r="H479" i="21"/>
  <c r="I479" i="21"/>
  <c r="H480" i="21"/>
  <c r="I480" i="21"/>
  <c r="H481" i="21"/>
  <c r="I481" i="21"/>
  <c r="H482" i="21"/>
  <c r="I482" i="21"/>
  <c r="H483" i="21"/>
  <c r="I483" i="21"/>
  <c r="H484" i="21"/>
  <c r="I484" i="21"/>
  <c r="H485" i="21"/>
  <c r="I485" i="21"/>
  <c r="H486" i="21"/>
  <c r="I486" i="21"/>
  <c r="H487" i="21"/>
  <c r="I487" i="21"/>
  <c r="H488" i="21"/>
  <c r="I488" i="21"/>
  <c r="H489" i="21"/>
  <c r="I489" i="21"/>
  <c r="H490" i="21"/>
  <c r="I490" i="21"/>
  <c r="H491" i="21"/>
  <c r="I491" i="21"/>
  <c r="H492" i="21"/>
  <c r="I492" i="21"/>
  <c r="H493" i="21"/>
  <c r="I493" i="21"/>
  <c r="H494" i="21"/>
  <c r="I494" i="21"/>
  <c r="H495" i="21"/>
  <c r="I495" i="21"/>
  <c r="H496" i="21"/>
  <c r="I496" i="21"/>
  <c r="H497" i="21"/>
  <c r="I497" i="21"/>
  <c r="H498" i="21"/>
  <c r="I498" i="21"/>
  <c r="H499" i="21"/>
  <c r="I499" i="21"/>
  <c r="H500" i="21"/>
  <c r="I500" i="21"/>
  <c r="H501" i="21"/>
  <c r="I501" i="21"/>
  <c r="L31" i="18" l="1"/>
  <c r="C5" i="21"/>
  <c r="B22" i="21"/>
  <c r="B3" i="21"/>
  <c r="B20" i="21"/>
  <c r="C20" i="21"/>
  <c r="B21" i="21"/>
  <c r="C21" i="21"/>
  <c r="C22" i="21"/>
  <c r="B23" i="21"/>
  <c r="C23" i="21"/>
  <c r="B24" i="21"/>
  <c r="C24" i="21"/>
  <c r="B25" i="21"/>
  <c r="C25" i="21"/>
  <c r="B26" i="21"/>
  <c r="C26" i="21"/>
  <c r="B27" i="21"/>
  <c r="C27" i="21"/>
  <c r="B28" i="21"/>
  <c r="C28" i="21"/>
  <c r="B29" i="21"/>
  <c r="C29" i="21"/>
  <c r="E29" i="21"/>
  <c r="F29" i="21"/>
  <c r="G29" i="21"/>
  <c r="B30" i="21"/>
  <c r="C30" i="21"/>
  <c r="E30" i="21"/>
  <c r="F30" i="21"/>
  <c r="G30" i="21"/>
  <c r="B31" i="21"/>
  <c r="C31" i="21"/>
  <c r="E31" i="21"/>
  <c r="F31" i="21"/>
  <c r="G31" i="21"/>
  <c r="B32" i="21"/>
  <c r="C32" i="21"/>
  <c r="E32" i="21"/>
  <c r="F32" i="21"/>
  <c r="G32" i="21"/>
  <c r="B33" i="21"/>
  <c r="C33" i="21"/>
  <c r="E33" i="21"/>
  <c r="F33" i="21"/>
  <c r="G33" i="21"/>
  <c r="B34" i="21"/>
  <c r="C34" i="21"/>
  <c r="E34" i="21"/>
  <c r="F34" i="21"/>
  <c r="G34" i="21"/>
  <c r="B35" i="21"/>
  <c r="C35" i="21"/>
  <c r="E35" i="21"/>
  <c r="F35" i="21"/>
  <c r="G35" i="21"/>
  <c r="B36" i="21"/>
  <c r="C36" i="21"/>
  <c r="E36" i="21"/>
  <c r="F36" i="21"/>
  <c r="G36" i="21"/>
  <c r="B37" i="21"/>
  <c r="C37" i="21"/>
  <c r="E37" i="21"/>
  <c r="F37" i="21"/>
  <c r="G37" i="21"/>
  <c r="B38" i="21"/>
  <c r="C38" i="21"/>
  <c r="E38" i="21"/>
  <c r="F38" i="21"/>
  <c r="G38" i="21"/>
  <c r="B39" i="21"/>
  <c r="C39" i="21"/>
  <c r="E39" i="21"/>
  <c r="F39" i="21"/>
  <c r="G39" i="21"/>
  <c r="B40" i="21"/>
  <c r="C40" i="21"/>
  <c r="E40" i="21"/>
  <c r="F40" i="21"/>
  <c r="G40" i="21"/>
  <c r="B41" i="21"/>
  <c r="C41" i="21"/>
  <c r="E41" i="21"/>
  <c r="F41" i="21"/>
  <c r="G41" i="21"/>
  <c r="B42" i="21"/>
  <c r="C42" i="21"/>
  <c r="E42" i="21"/>
  <c r="F42" i="21"/>
  <c r="G42" i="21"/>
  <c r="B43" i="21"/>
  <c r="C43" i="21"/>
  <c r="E43" i="21"/>
  <c r="F43" i="21"/>
  <c r="G43" i="21"/>
  <c r="B44" i="21"/>
  <c r="C44" i="21"/>
  <c r="E44" i="21"/>
  <c r="F44" i="21"/>
  <c r="G44" i="21"/>
  <c r="B45" i="21"/>
  <c r="C45" i="21"/>
  <c r="E45" i="21"/>
  <c r="F45" i="21"/>
  <c r="G45" i="21"/>
  <c r="B46" i="21"/>
  <c r="C46" i="21"/>
  <c r="E46" i="21"/>
  <c r="F46" i="21"/>
  <c r="G46" i="21"/>
  <c r="B47" i="21"/>
  <c r="C47" i="21"/>
  <c r="E47" i="21"/>
  <c r="F47" i="21"/>
  <c r="G47" i="21"/>
  <c r="B48" i="21"/>
  <c r="C48" i="21"/>
  <c r="E48" i="21"/>
  <c r="F48" i="21"/>
  <c r="G48" i="21"/>
  <c r="B49" i="21"/>
  <c r="C49" i="21"/>
  <c r="E49" i="21"/>
  <c r="F49" i="21"/>
  <c r="G49" i="21"/>
  <c r="B50" i="21"/>
  <c r="C50" i="21"/>
  <c r="E50" i="21"/>
  <c r="F50" i="21"/>
  <c r="G50" i="21"/>
  <c r="B51" i="21"/>
  <c r="C51" i="21"/>
  <c r="E51" i="21"/>
  <c r="F51" i="21"/>
  <c r="G51" i="21"/>
  <c r="B52" i="21"/>
  <c r="C52" i="21"/>
  <c r="E52" i="21"/>
  <c r="F52" i="21"/>
  <c r="G52" i="21"/>
  <c r="B53" i="21"/>
  <c r="C53" i="21"/>
  <c r="E53" i="21"/>
  <c r="F53" i="21"/>
  <c r="G53" i="21"/>
  <c r="B54" i="21"/>
  <c r="C54" i="21"/>
  <c r="E54" i="21"/>
  <c r="F54" i="21"/>
  <c r="G54" i="21"/>
  <c r="B55" i="21"/>
  <c r="C55" i="21"/>
  <c r="E55" i="21"/>
  <c r="F55" i="21"/>
  <c r="G55" i="21"/>
  <c r="B56" i="21"/>
  <c r="C56" i="21"/>
  <c r="E56" i="21"/>
  <c r="F56" i="21"/>
  <c r="G56" i="21"/>
  <c r="B57" i="21"/>
  <c r="C57" i="21"/>
  <c r="E57" i="21"/>
  <c r="F57" i="21"/>
  <c r="G57" i="21"/>
  <c r="B58" i="21"/>
  <c r="C58" i="21"/>
  <c r="E58" i="21"/>
  <c r="F58" i="21"/>
  <c r="G58" i="21"/>
  <c r="B59" i="21"/>
  <c r="C59" i="21"/>
  <c r="E59" i="21"/>
  <c r="F59" i="21"/>
  <c r="G59" i="21"/>
  <c r="B60" i="21"/>
  <c r="C60" i="21"/>
  <c r="E60" i="21"/>
  <c r="F60" i="21"/>
  <c r="G60" i="21"/>
  <c r="B61" i="21"/>
  <c r="C61" i="21"/>
  <c r="E61" i="21"/>
  <c r="F61" i="21"/>
  <c r="G61" i="21"/>
  <c r="B62" i="21"/>
  <c r="C62"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E140" i="21"/>
  <c r="F140" i="21"/>
  <c r="G140" i="21"/>
  <c r="B141" i="21"/>
  <c r="C141" i="21"/>
  <c r="E141" i="21"/>
  <c r="F141" i="21"/>
  <c r="G141" i="21"/>
  <c r="B142" i="21"/>
  <c r="C142" i="21"/>
  <c r="E142" i="21"/>
  <c r="F142" i="21"/>
  <c r="G142" i="21"/>
  <c r="B143" i="21"/>
  <c r="C143" i="21"/>
  <c r="E143" i="21"/>
  <c r="F143" i="21"/>
  <c r="G143" i="21"/>
  <c r="B144" i="21"/>
  <c r="C144" i="21"/>
  <c r="E144" i="21"/>
  <c r="F144" i="21"/>
  <c r="G144" i="21"/>
  <c r="B145" i="21"/>
  <c r="C145" i="21"/>
  <c r="E145" i="21"/>
  <c r="F145" i="21"/>
  <c r="G145" i="21"/>
  <c r="B146" i="21"/>
  <c r="C146" i="21"/>
  <c r="E146" i="21"/>
  <c r="F146" i="21"/>
  <c r="G146" i="21"/>
  <c r="B147" i="21"/>
  <c r="C147" i="21"/>
  <c r="E147" i="21"/>
  <c r="F147" i="21"/>
  <c r="G147" i="21"/>
  <c r="B148" i="21"/>
  <c r="C148" i="21"/>
  <c r="E148" i="21"/>
  <c r="F148" i="21"/>
  <c r="G148" i="21"/>
  <c r="B149" i="21"/>
  <c r="C149" i="21"/>
  <c r="E149" i="21"/>
  <c r="F149" i="21"/>
  <c r="G149" i="21"/>
  <c r="B150" i="21"/>
  <c r="C150" i="21"/>
  <c r="E150" i="21"/>
  <c r="F150" i="21"/>
  <c r="G150" i="21"/>
  <c r="B151" i="21"/>
  <c r="C151" i="21"/>
  <c r="E151" i="21"/>
  <c r="F151" i="21"/>
  <c r="G151" i="21"/>
  <c r="B152" i="21"/>
  <c r="C152" i="21"/>
  <c r="E152" i="21"/>
  <c r="F152" i="21"/>
  <c r="G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201" i="21"/>
  <c r="C201" i="21"/>
  <c r="E201" i="21"/>
  <c r="F201" i="21"/>
  <c r="G201" i="21"/>
  <c r="B202" i="21"/>
  <c r="C202" i="21"/>
  <c r="E202" i="21"/>
  <c r="F202" i="21"/>
  <c r="G202" i="21"/>
  <c r="B203" i="21"/>
  <c r="C203" i="21"/>
  <c r="E203" i="21"/>
  <c r="F203" i="21"/>
  <c r="G203" i="21"/>
  <c r="B204" i="21"/>
  <c r="C204" i="21"/>
  <c r="E204" i="21"/>
  <c r="F204" i="21"/>
  <c r="G204" i="21"/>
  <c r="B205" i="21"/>
  <c r="C205" i="21"/>
  <c r="E205" i="21"/>
  <c r="F205" i="21"/>
  <c r="G205" i="21"/>
  <c r="B206" i="21"/>
  <c r="C206" i="21"/>
  <c r="E206" i="21"/>
  <c r="F206" i="21"/>
  <c r="G206" i="21"/>
  <c r="B207" i="21"/>
  <c r="C207" i="21"/>
  <c r="E207" i="21"/>
  <c r="F207" i="21"/>
  <c r="G207" i="21"/>
  <c r="B208" i="21"/>
  <c r="C208" i="21"/>
  <c r="E208" i="21"/>
  <c r="F208" i="21"/>
  <c r="G208" i="21"/>
  <c r="B209" i="21"/>
  <c r="C209" i="21"/>
  <c r="E209" i="21"/>
  <c r="F209" i="21"/>
  <c r="G209" i="21"/>
  <c r="B210" i="21"/>
  <c r="C210" i="21"/>
  <c r="E210" i="21"/>
  <c r="F210" i="21"/>
  <c r="G210" i="21"/>
  <c r="B211" i="21"/>
  <c r="C211" i="21"/>
  <c r="E211" i="21"/>
  <c r="F211" i="21"/>
  <c r="G211" i="21"/>
  <c r="B212" i="21"/>
  <c r="C212" i="21"/>
  <c r="E212" i="21"/>
  <c r="F212" i="21"/>
  <c r="G212" i="21"/>
  <c r="B213" i="21"/>
  <c r="C213" i="21"/>
  <c r="E213" i="21"/>
  <c r="F213" i="21"/>
  <c r="G213" i="21"/>
  <c r="B214" i="21"/>
  <c r="C214" i="21"/>
  <c r="E214" i="21"/>
  <c r="F214" i="21"/>
  <c r="G214" i="21"/>
  <c r="B215" i="21"/>
  <c r="C215" i="21"/>
  <c r="E215" i="21"/>
  <c r="F215" i="21"/>
  <c r="G215" i="21"/>
  <c r="B216" i="21"/>
  <c r="C216" i="21"/>
  <c r="E216" i="21"/>
  <c r="F216" i="21"/>
  <c r="G216" i="21"/>
  <c r="B217" i="21"/>
  <c r="C217" i="21"/>
  <c r="E217" i="21"/>
  <c r="F217" i="21"/>
  <c r="G217" i="21"/>
  <c r="B218" i="21"/>
  <c r="C218" i="21"/>
  <c r="E218" i="21"/>
  <c r="F218" i="21"/>
  <c r="G218" i="21"/>
  <c r="B219" i="21"/>
  <c r="C219" i="21"/>
  <c r="E219" i="21"/>
  <c r="F219" i="21"/>
  <c r="G219" i="21"/>
  <c r="B220" i="21"/>
  <c r="C220" i="21"/>
  <c r="E220" i="21"/>
  <c r="F220" i="21"/>
  <c r="G220" i="21"/>
  <c r="B221" i="21"/>
  <c r="C221" i="21"/>
  <c r="E221" i="21"/>
  <c r="F221" i="21"/>
  <c r="G221" i="21"/>
  <c r="B222" i="21"/>
  <c r="C222" i="21"/>
  <c r="E222" i="21"/>
  <c r="F222" i="21"/>
  <c r="G222" i="21"/>
  <c r="B223" i="21"/>
  <c r="C223" i="21"/>
  <c r="E223" i="21"/>
  <c r="F223" i="21"/>
  <c r="G223" i="21"/>
  <c r="B224" i="21"/>
  <c r="C224" i="21"/>
  <c r="E224" i="21"/>
  <c r="F224" i="21"/>
  <c r="G224" i="21"/>
  <c r="B225" i="21"/>
  <c r="C225" i="21"/>
  <c r="E225" i="21"/>
  <c r="F225" i="21"/>
  <c r="G225" i="21"/>
  <c r="B226" i="21"/>
  <c r="C226" i="21"/>
  <c r="E226" i="21"/>
  <c r="F226" i="21"/>
  <c r="G226" i="21"/>
  <c r="B227" i="21"/>
  <c r="C227" i="21"/>
  <c r="E227" i="21"/>
  <c r="F227" i="21"/>
  <c r="G227" i="21"/>
  <c r="B228" i="21"/>
  <c r="C228" i="21"/>
  <c r="E228" i="21"/>
  <c r="F228" i="21"/>
  <c r="G228" i="21"/>
  <c r="B229" i="21"/>
  <c r="C229" i="21"/>
  <c r="E229" i="21"/>
  <c r="F229" i="21"/>
  <c r="G229" i="21"/>
  <c r="B230" i="21"/>
  <c r="C230" i="21"/>
  <c r="E230" i="21"/>
  <c r="F230" i="21"/>
  <c r="G230" i="21"/>
  <c r="B231" i="21"/>
  <c r="C231" i="21"/>
  <c r="E231" i="21"/>
  <c r="F231" i="21"/>
  <c r="G231" i="21"/>
  <c r="B232" i="21"/>
  <c r="C232" i="21"/>
  <c r="E232" i="21"/>
  <c r="F232" i="21"/>
  <c r="G232" i="21"/>
  <c r="B233" i="21"/>
  <c r="C233" i="21"/>
  <c r="E233" i="21"/>
  <c r="F233" i="21"/>
  <c r="G233" i="21"/>
  <c r="B234" i="21"/>
  <c r="C234" i="21"/>
  <c r="E234" i="21"/>
  <c r="F234" i="21"/>
  <c r="G234" i="21"/>
  <c r="B235" i="21"/>
  <c r="C235" i="21"/>
  <c r="E235" i="21"/>
  <c r="F235" i="21"/>
  <c r="G235" i="21"/>
  <c r="B236" i="21"/>
  <c r="C236" i="21"/>
  <c r="E236" i="21"/>
  <c r="F236" i="21"/>
  <c r="G236" i="21"/>
  <c r="B237" i="21"/>
  <c r="C237" i="21"/>
  <c r="E237" i="21"/>
  <c r="F237" i="21"/>
  <c r="G237" i="21"/>
  <c r="B238" i="21"/>
  <c r="C238" i="21"/>
  <c r="E238" i="21"/>
  <c r="F238" i="21"/>
  <c r="G238" i="21"/>
  <c r="B239" i="21"/>
  <c r="C239" i="21"/>
  <c r="E239" i="21"/>
  <c r="F239" i="21"/>
  <c r="G239" i="21"/>
  <c r="B240" i="21"/>
  <c r="C240" i="21"/>
  <c r="E240" i="21"/>
  <c r="F240" i="21"/>
  <c r="G240" i="21"/>
  <c r="B241" i="21"/>
  <c r="C241" i="21"/>
  <c r="E241" i="21"/>
  <c r="F241" i="21"/>
  <c r="G241" i="21"/>
  <c r="B242" i="21"/>
  <c r="C242" i="21"/>
  <c r="E242" i="21"/>
  <c r="F242" i="21"/>
  <c r="G242" i="21"/>
  <c r="B243" i="21"/>
  <c r="C243" i="21"/>
  <c r="E243" i="21"/>
  <c r="F243" i="21"/>
  <c r="G243" i="21"/>
  <c r="B244" i="21"/>
  <c r="C244" i="21"/>
  <c r="E244" i="21"/>
  <c r="F244" i="21"/>
  <c r="G244" i="21"/>
  <c r="B245" i="21"/>
  <c r="C245" i="21"/>
  <c r="E245" i="21"/>
  <c r="F245" i="21"/>
  <c r="G245" i="21"/>
  <c r="B246" i="21"/>
  <c r="C246" i="21"/>
  <c r="E246" i="21"/>
  <c r="F246" i="21"/>
  <c r="G246" i="21"/>
  <c r="B247" i="21"/>
  <c r="C247" i="21"/>
  <c r="E247" i="21"/>
  <c r="F247" i="21"/>
  <c r="G247" i="21"/>
  <c r="B248" i="21"/>
  <c r="C248" i="21"/>
  <c r="E248" i="21"/>
  <c r="F248" i="21"/>
  <c r="G248" i="21"/>
  <c r="B249" i="21"/>
  <c r="C249" i="21"/>
  <c r="E249" i="21"/>
  <c r="F249" i="21"/>
  <c r="G249" i="21"/>
  <c r="B250" i="21"/>
  <c r="C250" i="21"/>
  <c r="E250" i="21"/>
  <c r="F250" i="21"/>
  <c r="G250" i="21"/>
  <c r="B251" i="21"/>
  <c r="C251" i="21"/>
  <c r="E251" i="21"/>
  <c r="F251" i="21"/>
  <c r="G251" i="21"/>
  <c r="B252" i="21"/>
  <c r="C252" i="21"/>
  <c r="E252" i="21"/>
  <c r="F252" i="21"/>
  <c r="G252" i="21"/>
  <c r="B253" i="21"/>
  <c r="C253" i="21"/>
  <c r="E253" i="21"/>
  <c r="F253" i="21"/>
  <c r="G253" i="21"/>
  <c r="B254" i="21"/>
  <c r="C254" i="21"/>
  <c r="E254" i="21"/>
  <c r="F254" i="21"/>
  <c r="G254" i="21"/>
  <c r="B255" i="21"/>
  <c r="C255" i="21"/>
  <c r="E255" i="21"/>
  <c r="F255" i="21"/>
  <c r="G255" i="21"/>
  <c r="B256" i="21"/>
  <c r="C256" i="21"/>
  <c r="E256" i="21"/>
  <c r="F256" i="21"/>
  <c r="G256" i="21"/>
  <c r="B257" i="21"/>
  <c r="C257" i="21"/>
  <c r="E257" i="21"/>
  <c r="F257" i="21"/>
  <c r="G257" i="21"/>
  <c r="B258" i="21"/>
  <c r="C258" i="21"/>
  <c r="E258" i="21"/>
  <c r="F258" i="21"/>
  <c r="G258" i="21"/>
  <c r="B259" i="21"/>
  <c r="C259" i="21"/>
  <c r="E259" i="21"/>
  <c r="F259" i="21"/>
  <c r="G259" i="21"/>
  <c r="B260" i="21"/>
  <c r="C260" i="21"/>
  <c r="E260" i="21"/>
  <c r="F260" i="21"/>
  <c r="G260" i="21"/>
  <c r="B261" i="21"/>
  <c r="C261" i="21"/>
  <c r="E261" i="21"/>
  <c r="F261" i="21"/>
  <c r="G261" i="21"/>
  <c r="B262" i="21"/>
  <c r="C262" i="21"/>
  <c r="E262" i="21"/>
  <c r="F262" i="21"/>
  <c r="G262" i="21"/>
  <c r="B263" i="21"/>
  <c r="C263" i="21"/>
  <c r="E263" i="21"/>
  <c r="F263" i="21"/>
  <c r="G263" i="21"/>
  <c r="B264" i="21"/>
  <c r="C264" i="21"/>
  <c r="E264" i="21"/>
  <c r="F264" i="21"/>
  <c r="G264" i="21"/>
  <c r="B265" i="21"/>
  <c r="C265" i="21"/>
  <c r="E265" i="21"/>
  <c r="F265" i="21"/>
  <c r="G265" i="21"/>
  <c r="B266" i="21"/>
  <c r="C266" i="21"/>
  <c r="E266" i="21"/>
  <c r="F266" i="21"/>
  <c r="G266" i="21"/>
  <c r="B267" i="21"/>
  <c r="C267" i="21"/>
  <c r="E267" i="21"/>
  <c r="F267" i="21"/>
  <c r="G267" i="21"/>
  <c r="B268" i="21"/>
  <c r="C268" i="21"/>
  <c r="E268" i="21"/>
  <c r="F268" i="21"/>
  <c r="G268" i="21"/>
  <c r="B269" i="21"/>
  <c r="C269" i="21"/>
  <c r="E269" i="21"/>
  <c r="F269" i="21"/>
  <c r="G269" i="21"/>
  <c r="B270" i="21"/>
  <c r="C270" i="21"/>
  <c r="E270" i="21"/>
  <c r="F270" i="21"/>
  <c r="G270" i="21"/>
  <c r="B271" i="21"/>
  <c r="C271" i="21"/>
  <c r="E271" i="21"/>
  <c r="F271" i="21"/>
  <c r="G271" i="21"/>
  <c r="B272" i="21"/>
  <c r="C272" i="21"/>
  <c r="E272" i="21"/>
  <c r="F272" i="21"/>
  <c r="G272" i="21"/>
  <c r="B273" i="21"/>
  <c r="C273" i="21"/>
  <c r="E273" i="21"/>
  <c r="F273" i="21"/>
  <c r="G273" i="21"/>
  <c r="B274" i="21"/>
  <c r="C274" i="21"/>
  <c r="E274" i="21"/>
  <c r="F274" i="21"/>
  <c r="G274" i="21"/>
  <c r="B275" i="21"/>
  <c r="C275" i="21"/>
  <c r="E275" i="21"/>
  <c r="F275" i="21"/>
  <c r="G275" i="21"/>
  <c r="B276" i="21"/>
  <c r="C276" i="21"/>
  <c r="E276" i="21"/>
  <c r="F276" i="21"/>
  <c r="G276" i="21"/>
  <c r="B277" i="21"/>
  <c r="C277" i="21"/>
  <c r="E277" i="21"/>
  <c r="F277" i="21"/>
  <c r="G277" i="21"/>
  <c r="B278" i="21"/>
  <c r="C278" i="21"/>
  <c r="E278" i="21"/>
  <c r="F278" i="21"/>
  <c r="G278" i="21"/>
  <c r="B279" i="21"/>
  <c r="C279" i="21"/>
  <c r="E279" i="21"/>
  <c r="F279" i="21"/>
  <c r="G279" i="21"/>
  <c r="B280" i="21"/>
  <c r="C280" i="21"/>
  <c r="E280" i="21"/>
  <c r="F280" i="21"/>
  <c r="G280" i="21"/>
  <c r="B281" i="21"/>
  <c r="C281" i="21"/>
  <c r="E281" i="21"/>
  <c r="F281" i="21"/>
  <c r="G281" i="21"/>
  <c r="B282" i="21"/>
  <c r="C282" i="21"/>
  <c r="E282" i="21"/>
  <c r="F282" i="21"/>
  <c r="G282" i="21"/>
  <c r="B283" i="21"/>
  <c r="C283" i="21"/>
  <c r="E283" i="21"/>
  <c r="F283" i="21"/>
  <c r="G283" i="21"/>
  <c r="B284" i="21"/>
  <c r="C284" i="21"/>
  <c r="E284" i="21"/>
  <c r="F284" i="21"/>
  <c r="G284" i="21"/>
  <c r="B285" i="21"/>
  <c r="C285" i="21"/>
  <c r="E285" i="21"/>
  <c r="F285" i="21"/>
  <c r="G285" i="21"/>
  <c r="B286" i="21"/>
  <c r="C286" i="21"/>
  <c r="E286" i="21"/>
  <c r="F286" i="21"/>
  <c r="G286" i="21"/>
  <c r="B287" i="21"/>
  <c r="C287" i="21"/>
  <c r="E287" i="21"/>
  <c r="F287" i="21"/>
  <c r="G287" i="21"/>
  <c r="B288" i="21"/>
  <c r="C288" i="21"/>
  <c r="E288" i="21"/>
  <c r="F288" i="21"/>
  <c r="G288" i="21"/>
  <c r="B289" i="21"/>
  <c r="C289" i="21"/>
  <c r="E289" i="21"/>
  <c r="F289" i="21"/>
  <c r="G289" i="21"/>
  <c r="B290" i="21"/>
  <c r="C290" i="21"/>
  <c r="E290" i="21"/>
  <c r="F290" i="21"/>
  <c r="G290" i="21"/>
  <c r="B291" i="21"/>
  <c r="C291" i="21"/>
  <c r="E291" i="21"/>
  <c r="F291" i="21"/>
  <c r="G291" i="21"/>
  <c r="B292" i="21"/>
  <c r="C292" i="21"/>
  <c r="E292" i="21"/>
  <c r="F292" i="21"/>
  <c r="G292" i="21"/>
  <c r="B293" i="21"/>
  <c r="C293" i="21"/>
  <c r="E293" i="21"/>
  <c r="F293" i="21"/>
  <c r="G293" i="21"/>
  <c r="B294" i="21"/>
  <c r="C294" i="21"/>
  <c r="E294" i="21"/>
  <c r="F294" i="21"/>
  <c r="G294" i="21"/>
  <c r="B295" i="21"/>
  <c r="C295" i="21"/>
  <c r="E295" i="21"/>
  <c r="F295" i="21"/>
  <c r="G295" i="21"/>
  <c r="B296" i="21"/>
  <c r="C296" i="21"/>
  <c r="E296" i="21"/>
  <c r="F296" i="21"/>
  <c r="G296" i="21"/>
  <c r="B297" i="21"/>
  <c r="C297" i="21"/>
  <c r="E297" i="21"/>
  <c r="F297" i="21"/>
  <c r="G297" i="21"/>
  <c r="B298" i="21"/>
  <c r="C298" i="21"/>
  <c r="E298" i="21"/>
  <c r="F298" i="21"/>
  <c r="G298" i="21"/>
  <c r="B299" i="21"/>
  <c r="C299" i="21"/>
  <c r="E299" i="21"/>
  <c r="F299" i="21"/>
  <c r="G299" i="21"/>
  <c r="B300" i="21"/>
  <c r="C300" i="21"/>
  <c r="E300" i="21"/>
  <c r="F300" i="21"/>
  <c r="G300" i="21"/>
  <c r="B301" i="21"/>
  <c r="C301" i="21"/>
  <c r="E301" i="21"/>
  <c r="F301" i="21"/>
  <c r="G301" i="21"/>
  <c r="B302" i="21"/>
  <c r="C302" i="21"/>
  <c r="E302" i="21"/>
  <c r="F302" i="21"/>
  <c r="G302" i="21"/>
  <c r="B303" i="21"/>
  <c r="C303" i="21"/>
  <c r="E303" i="21"/>
  <c r="F303" i="21"/>
  <c r="G303" i="21"/>
  <c r="B304" i="21"/>
  <c r="C304" i="21"/>
  <c r="E304" i="21"/>
  <c r="F304" i="21"/>
  <c r="G304" i="21"/>
  <c r="B305" i="21"/>
  <c r="C305" i="21"/>
  <c r="E305" i="21"/>
  <c r="F305" i="21"/>
  <c r="G305" i="21"/>
  <c r="B306" i="21"/>
  <c r="C306" i="21"/>
  <c r="E306" i="21"/>
  <c r="F306" i="21"/>
  <c r="G306" i="21"/>
  <c r="B307" i="21"/>
  <c r="C307" i="21"/>
  <c r="E307" i="21"/>
  <c r="F307" i="21"/>
  <c r="G307" i="21"/>
  <c r="B308" i="21"/>
  <c r="C308" i="21"/>
  <c r="E308" i="21"/>
  <c r="F308" i="21"/>
  <c r="G308" i="21"/>
  <c r="B309" i="21"/>
  <c r="C309" i="21"/>
  <c r="E309" i="21"/>
  <c r="F309" i="21"/>
  <c r="G309" i="21"/>
  <c r="B310" i="21"/>
  <c r="C310" i="21"/>
  <c r="E310" i="21"/>
  <c r="F310" i="21"/>
  <c r="G310" i="21"/>
  <c r="B311" i="21"/>
  <c r="C311" i="21"/>
  <c r="E311" i="21"/>
  <c r="F311" i="21"/>
  <c r="G311" i="21"/>
  <c r="B312" i="21"/>
  <c r="C312" i="21"/>
  <c r="E312" i="21"/>
  <c r="F312" i="21"/>
  <c r="G312" i="21"/>
  <c r="B313" i="21"/>
  <c r="C313" i="21"/>
  <c r="E313" i="21"/>
  <c r="F313" i="21"/>
  <c r="G313" i="21"/>
  <c r="B314" i="21"/>
  <c r="C314" i="21"/>
  <c r="E314" i="21"/>
  <c r="F314" i="21"/>
  <c r="G314" i="21"/>
  <c r="B315" i="21"/>
  <c r="C315" i="21"/>
  <c r="E315" i="21"/>
  <c r="F315" i="21"/>
  <c r="G315" i="21"/>
  <c r="B316" i="21"/>
  <c r="C316" i="21"/>
  <c r="E316" i="21"/>
  <c r="F316" i="21"/>
  <c r="G316" i="21"/>
  <c r="B317" i="21"/>
  <c r="C317" i="21"/>
  <c r="E317" i="21"/>
  <c r="F317" i="21"/>
  <c r="G317" i="21"/>
  <c r="B318" i="21"/>
  <c r="C318" i="21"/>
  <c r="E318" i="21"/>
  <c r="F318" i="21"/>
  <c r="G318" i="21"/>
  <c r="B319" i="21"/>
  <c r="C319" i="21"/>
  <c r="E319" i="21"/>
  <c r="F319" i="21"/>
  <c r="G319" i="21"/>
  <c r="B320" i="21"/>
  <c r="C320" i="21"/>
  <c r="E320" i="21"/>
  <c r="F320" i="21"/>
  <c r="G320" i="21"/>
  <c r="B321" i="21"/>
  <c r="C321" i="21"/>
  <c r="E321" i="21"/>
  <c r="F321" i="21"/>
  <c r="G321" i="21"/>
  <c r="B322" i="21"/>
  <c r="C322" i="21"/>
  <c r="E322" i="21"/>
  <c r="F322" i="21"/>
  <c r="G322" i="21"/>
  <c r="B323" i="21"/>
  <c r="C323" i="21"/>
  <c r="E323" i="21"/>
  <c r="F323" i="21"/>
  <c r="G323" i="21"/>
  <c r="B324" i="21"/>
  <c r="C324" i="21"/>
  <c r="E324" i="21"/>
  <c r="F324" i="21"/>
  <c r="G324" i="21"/>
  <c r="B325" i="21"/>
  <c r="C325" i="21"/>
  <c r="E325" i="21"/>
  <c r="F325" i="21"/>
  <c r="G325" i="21"/>
  <c r="B326" i="21"/>
  <c r="C326" i="21"/>
  <c r="E326" i="21"/>
  <c r="F326" i="21"/>
  <c r="G326" i="21"/>
  <c r="B327" i="21"/>
  <c r="C327" i="21"/>
  <c r="E327" i="21"/>
  <c r="F327" i="21"/>
  <c r="G327" i="21"/>
  <c r="B328" i="21"/>
  <c r="C328" i="21"/>
  <c r="E328" i="21"/>
  <c r="F328" i="21"/>
  <c r="G328" i="21"/>
  <c r="B329" i="21"/>
  <c r="C329" i="21"/>
  <c r="E329" i="21"/>
  <c r="F329" i="21"/>
  <c r="G329" i="21"/>
  <c r="B330" i="21"/>
  <c r="C330" i="21"/>
  <c r="E330" i="21"/>
  <c r="F330" i="21"/>
  <c r="G330" i="21"/>
  <c r="B331" i="21"/>
  <c r="C331" i="21"/>
  <c r="E331" i="21"/>
  <c r="F331" i="21"/>
  <c r="G331" i="21"/>
  <c r="B332" i="21"/>
  <c r="C332" i="21"/>
  <c r="E332" i="21"/>
  <c r="F332" i="21"/>
  <c r="G332" i="21"/>
  <c r="B333" i="21"/>
  <c r="C333" i="21"/>
  <c r="E333" i="21"/>
  <c r="F333" i="21"/>
  <c r="G333" i="21"/>
  <c r="B334" i="21"/>
  <c r="C334" i="21"/>
  <c r="E334" i="21"/>
  <c r="F334" i="21"/>
  <c r="G334" i="21"/>
  <c r="B335" i="21"/>
  <c r="C335" i="21"/>
  <c r="E335" i="21"/>
  <c r="F335" i="21"/>
  <c r="G335" i="21"/>
  <c r="B336" i="21"/>
  <c r="C336" i="21"/>
  <c r="E336" i="21"/>
  <c r="F336" i="21"/>
  <c r="G336" i="21"/>
  <c r="B337" i="21"/>
  <c r="C337" i="21"/>
  <c r="E337" i="21"/>
  <c r="F337" i="21"/>
  <c r="G337" i="21"/>
  <c r="B338" i="21"/>
  <c r="C338" i="21"/>
  <c r="E338" i="21"/>
  <c r="F338" i="21"/>
  <c r="G338" i="21"/>
  <c r="B339" i="21"/>
  <c r="C339" i="21"/>
  <c r="E339" i="21"/>
  <c r="F339" i="21"/>
  <c r="G339" i="21"/>
  <c r="B340" i="21"/>
  <c r="C340" i="21"/>
  <c r="E340" i="21"/>
  <c r="F340" i="21"/>
  <c r="G340" i="21"/>
  <c r="B341" i="21"/>
  <c r="C341" i="21"/>
  <c r="E341" i="21"/>
  <c r="F341" i="21"/>
  <c r="G341" i="21"/>
  <c r="B342" i="21"/>
  <c r="C342" i="21"/>
  <c r="E342" i="21"/>
  <c r="F342" i="21"/>
  <c r="G342" i="21"/>
  <c r="B343" i="21"/>
  <c r="C343" i="21"/>
  <c r="E343" i="21"/>
  <c r="F343" i="21"/>
  <c r="G343" i="21"/>
  <c r="B344" i="21"/>
  <c r="C344" i="21"/>
  <c r="E344" i="21"/>
  <c r="F344" i="21"/>
  <c r="G344" i="21"/>
  <c r="B345" i="21"/>
  <c r="C345" i="21"/>
  <c r="E345" i="21"/>
  <c r="F345" i="21"/>
  <c r="G345" i="21"/>
  <c r="B346" i="21"/>
  <c r="C346" i="21"/>
  <c r="E346" i="21"/>
  <c r="F346" i="21"/>
  <c r="G346" i="21"/>
  <c r="B347" i="21"/>
  <c r="C347" i="21"/>
  <c r="E347" i="21"/>
  <c r="F347" i="21"/>
  <c r="G347" i="21"/>
  <c r="B348" i="21"/>
  <c r="C348" i="21"/>
  <c r="E348" i="21"/>
  <c r="F348" i="21"/>
  <c r="G348" i="21"/>
  <c r="B349" i="21"/>
  <c r="C349" i="21"/>
  <c r="E349" i="21"/>
  <c r="F349" i="21"/>
  <c r="G349" i="21"/>
  <c r="B350" i="21"/>
  <c r="C350" i="21"/>
  <c r="E350" i="21"/>
  <c r="F350" i="21"/>
  <c r="G350" i="21"/>
  <c r="B351" i="21"/>
  <c r="C351" i="21"/>
  <c r="E351" i="21"/>
  <c r="F351" i="21"/>
  <c r="G351" i="21"/>
  <c r="B352" i="21"/>
  <c r="C352" i="21"/>
  <c r="E352" i="21"/>
  <c r="F352" i="21"/>
  <c r="G352" i="21"/>
  <c r="B353" i="21"/>
  <c r="C353" i="21"/>
  <c r="E353" i="21"/>
  <c r="F353" i="21"/>
  <c r="G353" i="21"/>
  <c r="B354" i="21"/>
  <c r="C354" i="21"/>
  <c r="E354" i="21"/>
  <c r="F354" i="21"/>
  <c r="G354" i="21"/>
  <c r="B355" i="21"/>
  <c r="C355" i="21"/>
  <c r="E355" i="21"/>
  <c r="F355" i="21"/>
  <c r="G355" i="21"/>
  <c r="B356" i="21"/>
  <c r="C356" i="21"/>
  <c r="E356" i="21"/>
  <c r="F356" i="21"/>
  <c r="G356" i="21"/>
  <c r="B357" i="21"/>
  <c r="C357" i="21"/>
  <c r="E357" i="21"/>
  <c r="F357" i="21"/>
  <c r="G357" i="21"/>
  <c r="B358" i="21"/>
  <c r="C358" i="21"/>
  <c r="E358" i="21"/>
  <c r="F358" i="21"/>
  <c r="G358" i="21"/>
  <c r="B359" i="21"/>
  <c r="C359" i="21"/>
  <c r="E359" i="21"/>
  <c r="F359" i="21"/>
  <c r="G359" i="21"/>
  <c r="B360" i="21"/>
  <c r="C360" i="21"/>
  <c r="E360" i="21"/>
  <c r="F360" i="21"/>
  <c r="G360" i="21"/>
  <c r="B361" i="21"/>
  <c r="C361" i="21"/>
  <c r="E361" i="21"/>
  <c r="F361" i="21"/>
  <c r="G361" i="21"/>
  <c r="B362" i="21"/>
  <c r="C362" i="21"/>
  <c r="E362" i="21"/>
  <c r="F362" i="21"/>
  <c r="G362" i="21"/>
  <c r="B363" i="21"/>
  <c r="C363" i="21"/>
  <c r="E363" i="21"/>
  <c r="F363" i="21"/>
  <c r="G363" i="21"/>
  <c r="B364" i="21"/>
  <c r="C364" i="21"/>
  <c r="E364" i="21"/>
  <c r="F364" i="21"/>
  <c r="G364" i="21"/>
  <c r="B365" i="21"/>
  <c r="C365" i="21"/>
  <c r="E365" i="21"/>
  <c r="F365" i="21"/>
  <c r="G365" i="21"/>
  <c r="B366" i="21"/>
  <c r="C366" i="21"/>
  <c r="E366" i="21"/>
  <c r="F366" i="21"/>
  <c r="G366" i="21"/>
  <c r="B367" i="21"/>
  <c r="C367" i="21"/>
  <c r="E367" i="21"/>
  <c r="F367" i="21"/>
  <c r="G367" i="21"/>
  <c r="B368" i="21"/>
  <c r="C368" i="21"/>
  <c r="E368" i="21"/>
  <c r="F368" i="21"/>
  <c r="G368" i="21"/>
  <c r="B369" i="21"/>
  <c r="C369" i="21"/>
  <c r="E369" i="21"/>
  <c r="F369" i="21"/>
  <c r="G369" i="21"/>
  <c r="B370" i="21"/>
  <c r="C370" i="21"/>
  <c r="E370" i="21"/>
  <c r="F370" i="21"/>
  <c r="G370" i="21"/>
  <c r="B371" i="21"/>
  <c r="C371" i="21"/>
  <c r="E371" i="21"/>
  <c r="F371" i="21"/>
  <c r="G371" i="21"/>
  <c r="B372" i="21"/>
  <c r="C372" i="21"/>
  <c r="E372" i="21"/>
  <c r="F372" i="21"/>
  <c r="G372" i="21"/>
  <c r="B373" i="21"/>
  <c r="C373" i="21"/>
  <c r="E373" i="21"/>
  <c r="F373" i="21"/>
  <c r="G373" i="21"/>
  <c r="B374" i="21"/>
  <c r="C374" i="21"/>
  <c r="E374" i="21"/>
  <c r="F374" i="21"/>
  <c r="G374" i="21"/>
  <c r="B375" i="21"/>
  <c r="C375" i="21"/>
  <c r="E375" i="21"/>
  <c r="F375" i="21"/>
  <c r="G375" i="21"/>
  <c r="B376" i="21"/>
  <c r="C376" i="21"/>
  <c r="E376" i="21"/>
  <c r="F376" i="21"/>
  <c r="G376" i="21"/>
  <c r="B377" i="21"/>
  <c r="C377" i="21"/>
  <c r="E377" i="21"/>
  <c r="F377" i="21"/>
  <c r="G377" i="21"/>
  <c r="B378" i="21"/>
  <c r="C378" i="21"/>
  <c r="E378" i="21"/>
  <c r="F378" i="21"/>
  <c r="G378" i="21"/>
  <c r="B379" i="21"/>
  <c r="C379" i="21"/>
  <c r="E379" i="21"/>
  <c r="F379" i="21"/>
  <c r="G379" i="21"/>
  <c r="B380" i="21"/>
  <c r="C380" i="21"/>
  <c r="E380" i="21"/>
  <c r="F380" i="21"/>
  <c r="G380" i="21"/>
  <c r="B381" i="21"/>
  <c r="C381" i="21"/>
  <c r="E381" i="21"/>
  <c r="F381" i="21"/>
  <c r="G381" i="21"/>
  <c r="B382" i="21"/>
  <c r="C382" i="21"/>
  <c r="E382" i="21"/>
  <c r="F382" i="21"/>
  <c r="G382" i="21"/>
  <c r="B383" i="21"/>
  <c r="C383" i="21"/>
  <c r="E383" i="21"/>
  <c r="F383" i="21"/>
  <c r="G383" i="21"/>
  <c r="B384" i="21"/>
  <c r="C384" i="21"/>
  <c r="E384" i="21"/>
  <c r="F384" i="21"/>
  <c r="G384" i="21"/>
  <c r="B385" i="21"/>
  <c r="C385" i="21"/>
  <c r="E385" i="21"/>
  <c r="F385" i="21"/>
  <c r="G385" i="21"/>
  <c r="B386" i="21"/>
  <c r="C386" i="21"/>
  <c r="E386" i="21"/>
  <c r="F386" i="21"/>
  <c r="G386" i="21"/>
  <c r="B387" i="21"/>
  <c r="C387" i="21"/>
  <c r="E387" i="21"/>
  <c r="F387" i="21"/>
  <c r="G387" i="21"/>
  <c r="B388" i="21"/>
  <c r="C388" i="21"/>
  <c r="E388" i="21"/>
  <c r="F388" i="21"/>
  <c r="G388" i="21"/>
  <c r="B389" i="21"/>
  <c r="C389" i="21"/>
  <c r="E389" i="21"/>
  <c r="F389" i="21"/>
  <c r="G389" i="21"/>
  <c r="B390" i="21"/>
  <c r="C390" i="21"/>
  <c r="E390" i="21"/>
  <c r="F390" i="21"/>
  <c r="G390" i="21"/>
  <c r="B391" i="21"/>
  <c r="C391" i="21"/>
  <c r="E391" i="21"/>
  <c r="F391" i="21"/>
  <c r="G391" i="21"/>
  <c r="B392" i="21"/>
  <c r="C392" i="21"/>
  <c r="E392" i="21"/>
  <c r="F392" i="21"/>
  <c r="G392" i="21"/>
  <c r="B393" i="21"/>
  <c r="C393" i="21"/>
  <c r="E393" i="21"/>
  <c r="F393" i="21"/>
  <c r="G393" i="21"/>
  <c r="B394" i="21"/>
  <c r="C394" i="21"/>
  <c r="E394" i="21"/>
  <c r="F394" i="21"/>
  <c r="G394" i="21"/>
  <c r="B395" i="21"/>
  <c r="C395" i="21"/>
  <c r="E395" i="21"/>
  <c r="F395" i="21"/>
  <c r="G395" i="21"/>
  <c r="B396" i="21"/>
  <c r="C396" i="21"/>
  <c r="E396" i="21"/>
  <c r="F396" i="21"/>
  <c r="G396" i="21"/>
  <c r="B397" i="21"/>
  <c r="C397" i="21"/>
  <c r="E397" i="21"/>
  <c r="F397" i="21"/>
  <c r="G397" i="21"/>
  <c r="B398" i="21"/>
  <c r="C398" i="21"/>
  <c r="E398" i="21"/>
  <c r="F398" i="21"/>
  <c r="G398" i="21"/>
  <c r="B399" i="21"/>
  <c r="C399" i="21"/>
  <c r="E399" i="21"/>
  <c r="F399" i="21"/>
  <c r="G399" i="21"/>
  <c r="B400" i="21"/>
  <c r="C400" i="21"/>
  <c r="E400" i="21"/>
  <c r="F400" i="21"/>
  <c r="G400" i="21"/>
  <c r="B401" i="21"/>
  <c r="C401" i="21"/>
  <c r="E401" i="21"/>
  <c r="F401" i="21"/>
  <c r="G401" i="21"/>
  <c r="B402" i="21"/>
  <c r="C402" i="21"/>
  <c r="E402" i="21"/>
  <c r="F402" i="21"/>
  <c r="G402" i="21"/>
  <c r="B403" i="21"/>
  <c r="C403" i="21"/>
  <c r="E403" i="21"/>
  <c r="F403" i="21"/>
  <c r="G403" i="21"/>
  <c r="B404" i="21"/>
  <c r="C404" i="21"/>
  <c r="E404" i="21"/>
  <c r="F404" i="21"/>
  <c r="G404" i="21"/>
  <c r="B405" i="21"/>
  <c r="C405" i="21"/>
  <c r="E405" i="21"/>
  <c r="F405" i="21"/>
  <c r="G405" i="21"/>
  <c r="B406" i="21"/>
  <c r="C406" i="21"/>
  <c r="E406" i="21"/>
  <c r="F406" i="21"/>
  <c r="G406" i="21"/>
  <c r="B407" i="21"/>
  <c r="C407" i="21"/>
  <c r="E407" i="21"/>
  <c r="F407" i="21"/>
  <c r="G407" i="21"/>
  <c r="B408" i="21"/>
  <c r="C408" i="21"/>
  <c r="E408" i="21"/>
  <c r="F408" i="21"/>
  <c r="G408" i="21"/>
  <c r="B409" i="21"/>
  <c r="C409" i="21"/>
  <c r="E409" i="21"/>
  <c r="F409" i="21"/>
  <c r="G409" i="21"/>
  <c r="B410" i="21"/>
  <c r="C410" i="21"/>
  <c r="E410" i="21"/>
  <c r="F410" i="21"/>
  <c r="G410" i="21"/>
  <c r="B411" i="21"/>
  <c r="C411" i="21"/>
  <c r="E411" i="21"/>
  <c r="F411" i="21"/>
  <c r="G411" i="21"/>
  <c r="B412" i="21"/>
  <c r="C412" i="21"/>
  <c r="E412" i="21"/>
  <c r="F412" i="21"/>
  <c r="G412" i="21"/>
  <c r="B413" i="21"/>
  <c r="C413" i="21"/>
  <c r="E413" i="21"/>
  <c r="F413" i="21"/>
  <c r="G413" i="21"/>
  <c r="B414" i="21"/>
  <c r="C414" i="21"/>
  <c r="E414" i="21"/>
  <c r="F414" i="21"/>
  <c r="G414" i="21"/>
  <c r="B415" i="21"/>
  <c r="C415" i="21"/>
  <c r="E415" i="21"/>
  <c r="F415" i="21"/>
  <c r="G415" i="21"/>
  <c r="B416" i="21"/>
  <c r="C416" i="21"/>
  <c r="E416" i="21"/>
  <c r="F416" i="21"/>
  <c r="G416" i="21"/>
  <c r="B417" i="21"/>
  <c r="C417" i="21"/>
  <c r="E417" i="21"/>
  <c r="F417" i="21"/>
  <c r="G417" i="21"/>
  <c r="B418" i="21"/>
  <c r="C418" i="21"/>
  <c r="E418" i="21"/>
  <c r="F418" i="21"/>
  <c r="G418" i="21"/>
  <c r="B419" i="21"/>
  <c r="C419" i="21"/>
  <c r="E419" i="21"/>
  <c r="F419" i="21"/>
  <c r="G419" i="21"/>
  <c r="B420" i="21"/>
  <c r="C420" i="21"/>
  <c r="E420" i="21"/>
  <c r="F420" i="21"/>
  <c r="G420" i="21"/>
  <c r="B421" i="21"/>
  <c r="C421" i="21"/>
  <c r="E421" i="21"/>
  <c r="F421" i="21"/>
  <c r="G421" i="21"/>
  <c r="B422" i="21"/>
  <c r="C422" i="21"/>
  <c r="E422" i="21"/>
  <c r="F422" i="21"/>
  <c r="G422" i="21"/>
  <c r="B423" i="21"/>
  <c r="C423" i="21"/>
  <c r="E423" i="21"/>
  <c r="F423" i="21"/>
  <c r="G423" i="21"/>
  <c r="B424" i="21"/>
  <c r="C424" i="21"/>
  <c r="E424" i="21"/>
  <c r="F424" i="21"/>
  <c r="G424" i="21"/>
  <c r="B425" i="21"/>
  <c r="C425" i="21"/>
  <c r="E425" i="21"/>
  <c r="F425" i="21"/>
  <c r="G425" i="21"/>
  <c r="B426" i="21"/>
  <c r="C426" i="21"/>
  <c r="E426" i="21"/>
  <c r="F426" i="21"/>
  <c r="G426" i="21"/>
  <c r="B427" i="21"/>
  <c r="C427" i="21"/>
  <c r="E427" i="21"/>
  <c r="F427" i="21"/>
  <c r="G427" i="21"/>
  <c r="B428" i="21"/>
  <c r="C428" i="21"/>
  <c r="E428" i="21"/>
  <c r="F428" i="21"/>
  <c r="G428" i="21"/>
  <c r="B429" i="21"/>
  <c r="C429" i="21"/>
  <c r="E429" i="21"/>
  <c r="F429" i="21"/>
  <c r="G429" i="21"/>
  <c r="B430" i="21"/>
  <c r="C430" i="21"/>
  <c r="E430" i="21"/>
  <c r="F430" i="21"/>
  <c r="G430" i="21"/>
  <c r="B431" i="21"/>
  <c r="C431" i="21"/>
  <c r="E431" i="21"/>
  <c r="F431" i="21"/>
  <c r="G431" i="21"/>
  <c r="B432" i="21"/>
  <c r="C432" i="21"/>
  <c r="E432" i="21"/>
  <c r="F432" i="21"/>
  <c r="G432" i="21"/>
  <c r="B433" i="21"/>
  <c r="C433" i="21"/>
  <c r="E433" i="21"/>
  <c r="F433" i="21"/>
  <c r="G433" i="21"/>
  <c r="B434" i="21"/>
  <c r="C434" i="21"/>
  <c r="E434" i="21"/>
  <c r="F434" i="21"/>
  <c r="G434" i="21"/>
  <c r="B435" i="21"/>
  <c r="C435" i="21"/>
  <c r="E435" i="21"/>
  <c r="F435" i="21"/>
  <c r="G435" i="21"/>
  <c r="B436" i="21"/>
  <c r="C436" i="21"/>
  <c r="E436" i="21"/>
  <c r="F436" i="21"/>
  <c r="G436" i="21"/>
  <c r="B437" i="21"/>
  <c r="C437" i="21"/>
  <c r="E437" i="21"/>
  <c r="F437" i="21"/>
  <c r="G437" i="21"/>
  <c r="B438" i="21"/>
  <c r="C438" i="21"/>
  <c r="E438" i="21"/>
  <c r="F438" i="21"/>
  <c r="G438" i="21"/>
  <c r="B439" i="21"/>
  <c r="C439" i="21"/>
  <c r="E439" i="21"/>
  <c r="F439" i="21"/>
  <c r="G439" i="21"/>
  <c r="B440" i="21"/>
  <c r="C440" i="21"/>
  <c r="E440" i="21"/>
  <c r="F440" i="21"/>
  <c r="G440" i="21"/>
  <c r="B441" i="21"/>
  <c r="C441" i="21"/>
  <c r="E441" i="21"/>
  <c r="F441" i="21"/>
  <c r="G441" i="21"/>
  <c r="B442" i="21"/>
  <c r="C442" i="21"/>
  <c r="E442" i="21"/>
  <c r="F442" i="21"/>
  <c r="G442" i="21"/>
  <c r="B443" i="21"/>
  <c r="C443" i="21"/>
  <c r="E443" i="21"/>
  <c r="F443" i="21"/>
  <c r="G443" i="21"/>
  <c r="B444" i="21"/>
  <c r="C444" i="21"/>
  <c r="E444" i="21"/>
  <c r="F444" i="21"/>
  <c r="G444" i="21"/>
  <c r="B445" i="21"/>
  <c r="C445" i="21"/>
  <c r="E445" i="21"/>
  <c r="F445" i="21"/>
  <c r="G445" i="21"/>
  <c r="B446" i="21"/>
  <c r="C446" i="21"/>
  <c r="E446" i="21"/>
  <c r="F446" i="21"/>
  <c r="G446" i="21"/>
  <c r="B447" i="21"/>
  <c r="C447" i="21"/>
  <c r="E447" i="21"/>
  <c r="F447" i="21"/>
  <c r="G447" i="21"/>
  <c r="B448" i="21"/>
  <c r="C448" i="21"/>
  <c r="E448" i="21"/>
  <c r="F448" i="21"/>
  <c r="G448" i="21"/>
  <c r="B449" i="21"/>
  <c r="C449" i="21"/>
  <c r="E449" i="21"/>
  <c r="F449" i="21"/>
  <c r="G449" i="21"/>
  <c r="B450" i="21"/>
  <c r="C450" i="21"/>
  <c r="E450" i="21"/>
  <c r="F450" i="21"/>
  <c r="G450" i="21"/>
  <c r="B451" i="21"/>
  <c r="C451" i="21"/>
  <c r="E451" i="21"/>
  <c r="F451" i="21"/>
  <c r="G451" i="21"/>
  <c r="B452" i="21"/>
  <c r="C452" i="21"/>
  <c r="E452" i="21"/>
  <c r="F452" i="21"/>
  <c r="G452" i="21"/>
  <c r="B453" i="21"/>
  <c r="C453" i="21"/>
  <c r="E453" i="21"/>
  <c r="F453" i="21"/>
  <c r="G453" i="21"/>
  <c r="B454" i="21"/>
  <c r="C454" i="21"/>
  <c r="E454" i="21"/>
  <c r="F454" i="21"/>
  <c r="G454" i="21"/>
  <c r="B455" i="21"/>
  <c r="C455" i="21"/>
  <c r="E455" i="21"/>
  <c r="F455" i="21"/>
  <c r="G455" i="21"/>
  <c r="B456" i="21"/>
  <c r="C456" i="21"/>
  <c r="E456" i="21"/>
  <c r="F456" i="21"/>
  <c r="G456" i="21"/>
  <c r="B457" i="21"/>
  <c r="C457" i="21"/>
  <c r="E457" i="21"/>
  <c r="F457" i="21"/>
  <c r="G457" i="21"/>
  <c r="B458" i="21"/>
  <c r="C458" i="21"/>
  <c r="E458" i="21"/>
  <c r="F458" i="21"/>
  <c r="G458" i="21"/>
  <c r="B459" i="21"/>
  <c r="C459" i="21"/>
  <c r="E459" i="21"/>
  <c r="F459" i="21"/>
  <c r="G459" i="21"/>
  <c r="B460" i="21"/>
  <c r="C460" i="21"/>
  <c r="E460" i="21"/>
  <c r="F460" i="21"/>
  <c r="G460" i="21"/>
  <c r="B461" i="21"/>
  <c r="C461" i="21"/>
  <c r="E461" i="21"/>
  <c r="F461" i="21"/>
  <c r="G461" i="21"/>
  <c r="B462" i="21"/>
  <c r="C462" i="21"/>
  <c r="E462" i="21"/>
  <c r="F462" i="21"/>
  <c r="G462" i="21"/>
  <c r="B463" i="21"/>
  <c r="C463" i="21"/>
  <c r="E463" i="21"/>
  <c r="F463" i="21"/>
  <c r="G463" i="21"/>
  <c r="B464" i="21"/>
  <c r="C464" i="21"/>
  <c r="E464" i="21"/>
  <c r="F464" i="21"/>
  <c r="G464" i="21"/>
  <c r="B465" i="21"/>
  <c r="C465" i="21"/>
  <c r="E465" i="21"/>
  <c r="F465" i="21"/>
  <c r="G465" i="21"/>
  <c r="B466" i="21"/>
  <c r="C466" i="21"/>
  <c r="E466" i="21"/>
  <c r="F466" i="21"/>
  <c r="G466" i="21"/>
  <c r="B467" i="21"/>
  <c r="C467" i="21"/>
  <c r="E467" i="21"/>
  <c r="F467" i="21"/>
  <c r="G467" i="21"/>
  <c r="B468" i="21"/>
  <c r="C468" i="21"/>
  <c r="E468" i="21"/>
  <c r="F468" i="21"/>
  <c r="G468" i="21"/>
  <c r="B469" i="21"/>
  <c r="C469" i="21"/>
  <c r="E469" i="21"/>
  <c r="F469" i="21"/>
  <c r="G469" i="21"/>
  <c r="B470" i="21"/>
  <c r="C470" i="21"/>
  <c r="E470" i="21"/>
  <c r="F470" i="21"/>
  <c r="G470" i="21"/>
  <c r="B471" i="21"/>
  <c r="C471" i="21"/>
  <c r="E471" i="21"/>
  <c r="F471" i="21"/>
  <c r="G471" i="21"/>
  <c r="B472" i="21"/>
  <c r="C472" i="21"/>
  <c r="E472" i="21"/>
  <c r="F472" i="21"/>
  <c r="G472" i="21"/>
  <c r="B473" i="21"/>
  <c r="C473" i="21"/>
  <c r="E473" i="21"/>
  <c r="F473" i="21"/>
  <c r="G473" i="21"/>
  <c r="B474" i="21"/>
  <c r="C474" i="21"/>
  <c r="E474" i="21"/>
  <c r="F474" i="21"/>
  <c r="G474" i="21"/>
  <c r="B475" i="21"/>
  <c r="C475" i="21"/>
  <c r="E475" i="21"/>
  <c r="F475" i="21"/>
  <c r="G475" i="21"/>
  <c r="B476" i="21"/>
  <c r="C476" i="21"/>
  <c r="E476" i="21"/>
  <c r="F476" i="21"/>
  <c r="G476" i="21"/>
  <c r="B477" i="21"/>
  <c r="C477" i="21"/>
  <c r="E477" i="21"/>
  <c r="F477" i="21"/>
  <c r="G477" i="21"/>
  <c r="B478" i="21"/>
  <c r="C478" i="21"/>
  <c r="E478" i="21"/>
  <c r="F478" i="21"/>
  <c r="G478" i="21"/>
  <c r="B479" i="21"/>
  <c r="C479" i="21"/>
  <c r="E479" i="21"/>
  <c r="F479" i="21"/>
  <c r="G479" i="21"/>
  <c r="B480" i="21"/>
  <c r="C480" i="21"/>
  <c r="E480" i="21"/>
  <c r="F480" i="21"/>
  <c r="G480" i="21"/>
  <c r="B481" i="21"/>
  <c r="C481" i="21"/>
  <c r="E481" i="21"/>
  <c r="F481" i="21"/>
  <c r="G481" i="21"/>
  <c r="B482" i="21"/>
  <c r="C482" i="21"/>
  <c r="E482" i="21"/>
  <c r="F482" i="21"/>
  <c r="G482" i="21"/>
  <c r="B483" i="21"/>
  <c r="C483" i="21"/>
  <c r="E483" i="21"/>
  <c r="F483" i="21"/>
  <c r="G483" i="21"/>
  <c r="B484" i="21"/>
  <c r="C484" i="21"/>
  <c r="E484" i="21"/>
  <c r="F484" i="21"/>
  <c r="G484" i="21"/>
  <c r="B485" i="21"/>
  <c r="C485" i="21"/>
  <c r="E485" i="21"/>
  <c r="F485" i="21"/>
  <c r="G485" i="21"/>
  <c r="B486" i="21"/>
  <c r="C486" i="21"/>
  <c r="E486" i="21"/>
  <c r="F486" i="21"/>
  <c r="G486" i="21"/>
  <c r="B487" i="21"/>
  <c r="C487" i="21"/>
  <c r="E487" i="21"/>
  <c r="F487" i="21"/>
  <c r="G487" i="21"/>
  <c r="B488" i="21"/>
  <c r="C488" i="21"/>
  <c r="E488" i="21"/>
  <c r="F488" i="21"/>
  <c r="G488" i="21"/>
  <c r="B489" i="21"/>
  <c r="C489" i="21"/>
  <c r="E489" i="21"/>
  <c r="F489" i="21"/>
  <c r="G489" i="21"/>
  <c r="B490" i="21"/>
  <c r="C490" i="21"/>
  <c r="E490" i="21"/>
  <c r="F490" i="21"/>
  <c r="G490" i="21"/>
  <c r="B491" i="21"/>
  <c r="C491" i="21"/>
  <c r="E491" i="21"/>
  <c r="F491" i="21"/>
  <c r="G491" i="21"/>
  <c r="B492" i="21"/>
  <c r="C492" i="21"/>
  <c r="E492" i="21"/>
  <c r="F492" i="21"/>
  <c r="G492" i="21"/>
  <c r="B493" i="21"/>
  <c r="C493" i="21"/>
  <c r="E493" i="21"/>
  <c r="F493" i="21"/>
  <c r="G493" i="21"/>
  <c r="B494" i="21"/>
  <c r="C494" i="21"/>
  <c r="E494" i="21"/>
  <c r="F494" i="21"/>
  <c r="G494" i="21"/>
  <c r="B495" i="21"/>
  <c r="C495" i="21"/>
  <c r="E495" i="21"/>
  <c r="F495" i="21"/>
  <c r="G495" i="21"/>
  <c r="B496" i="21"/>
  <c r="C496" i="21"/>
  <c r="E496" i="21"/>
  <c r="F496" i="21"/>
  <c r="G496" i="21"/>
  <c r="B497" i="21"/>
  <c r="C497" i="21"/>
  <c r="E497" i="21"/>
  <c r="F497" i="21"/>
  <c r="G497" i="21"/>
  <c r="B498" i="21"/>
  <c r="C498" i="21"/>
  <c r="E498" i="21"/>
  <c r="F498" i="21"/>
  <c r="G498" i="21"/>
  <c r="B499" i="21"/>
  <c r="C499" i="21"/>
  <c r="E499" i="21"/>
  <c r="F499" i="21"/>
  <c r="G499" i="21"/>
  <c r="B500" i="21"/>
  <c r="C500" i="21"/>
  <c r="E500" i="21"/>
  <c r="F500" i="21"/>
  <c r="G500" i="21"/>
  <c r="B501" i="21"/>
  <c r="C501" i="21"/>
  <c r="E501" i="21"/>
  <c r="F501" i="21"/>
  <c r="G501" i="21"/>
  <c r="B8" i="21"/>
  <c r="C10" i="18"/>
  <c r="B2" i="21"/>
  <c r="B4" i="21"/>
  <c r="B5" i="21"/>
  <c r="B6" i="21"/>
  <c r="B7" i="21"/>
  <c r="B9" i="21"/>
  <c r="B10" i="21"/>
  <c r="B11" i="21"/>
  <c r="B12" i="21"/>
  <c r="B13" i="21"/>
  <c r="B14" i="21"/>
  <c r="B15" i="21"/>
  <c r="B16" i="21"/>
  <c r="B17" i="21"/>
  <c r="B18" i="21"/>
  <c r="C2" i="21"/>
  <c r="C3" i="21"/>
  <c r="C4" i="21"/>
  <c r="C6" i="21"/>
  <c r="C7" i="21"/>
  <c r="C8" i="21"/>
  <c r="C9" i="21"/>
  <c r="C10" i="21"/>
  <c r="C11" i="21"/>
  <c r="C12" i="21"/>
  <c r="C13" i="21"/>
  <c r="C14" i="21"/>
  <c r="C15" i="21"/>
  <c r="C16" i="21"/>
  <c r="C17" i="21"/>
  <c r="C18" i="21"/>
  <c r="C19" i="21"/>
  <c r="B19" i="21"/>
  <c r="F25" i="21"/>
  <c r="G25" i="21"/>
  <c r="E25" i="21"/>
  <c r="E28" i="21"/>
  <c r="F28" i="21"/>
  <c r="G28" i="21"/>
  <c r="E24" i="21"/>
  <c r="F24" i="21"/>
  <c r="G24" i="21"/>
  <c r="E27" i="21"/>
  <c r="F27" i="21"/>
  <c r="G27" i="21"/>
  <c r="E23" i="21"/>
  <c r="F23" i="21"/>
  <c r="G23" i="21"/>
  <c r="G26" i="21"/>
  <c r="E26" i="21"/>
  <c r="F26" i="21"/>
  <c r="F22" i="21"/>
  <c r="G22" i="21"/>
  <c r="E22" i="21"/>
  <c r="E21" i="21"/>
  <c r="F21" i="21"/>
  <c r="G21" i="21"/>
  <c r="G20" i="21"/>
  <c r="E20" i="21"/>
  <c r="F20" i="21"/>
  <c r="G18" i="18"/>
  <c r="E17" i="21"/>
  <c r="F17" i="21"/>
  <c r="G17" i="21"/>
  <c r="F8" i="21"/>
  <c r="G8" i="21"/>
  <c r="E8" i="21"/>
  <c r="F18" i="21"/>
  <c r="G18" i="21"/>
  <c r="E18" i="21"/>
  <c r="E14" i="21"/>
  <c r="F14" i="21"/>
  <c r="G14" i="21"/>
  <c r="G7" i="21"/>
  <c r="E7" i="21"/>
  <c r="F7" i="21"/>
  <c r="E6" i="21"/>
  <c r="F6" i="21"/>
  <c r="G6" i="21"/>
  <c r="E3" i="21"/>
  <c r="F3" i="21"/>
  <c r="G3" i="21"/>
  <c r="G15" i="21"/>
  <c r="E15" i="21"/>
  <c r="F15" i="21"/>
  <c r="F10" i="21"/>
  <c r="G10" i="21"/>
  <c r="E10" i="21"/>
  <c r="E9" i="21"/>
  <c r="F9" i="21"/>
  <c r="G9" i="21"/>
  <c r="E11" i="21"/>
  <c r="F11" i="21"/>
  <c r="G11" i="21"/>
  <c r="E19" i="21"/>
  <c r="F19" i="21"/>
  <c r="G19" i="21"/>
  <c r="F13" i="21"/>
  <c r="G13" i="21"/>
  <c r="E13" i="21"/>
  <c r="F16" i="21"/>
  <c r="G16" i="21"/>
  <c r="E16" i="21"/>
  <c r="E12" i="21"/>
  <c r="F12" i="21"/>
  <c r="G12" i="21"/>
  <c r="F5" i="21"/>
  <c r="G5" i="21"/>
  <c r="E5" i="21"/>
  <c r="E4" i="21"/>
  <c r="F4" i="21"/>
  <c r="G4" i="21"/>
  <c r="F8" i="18"/>
  <c r="F18" i="18"/>
  <c r="G2" i="21"/>
  <c r="E2" i="21"/>
  <c r="E18" i="18"/>
  <c r="F2" i="21"/>
  <c r="D18" i="18"/>
  <c r="D34" i="18"/>
  <c r="E34" i="18"/>
  <c r="F34" i="18"/>
  <c r="G34" i="18"/>
  <c r="J34" i="18"/>
  <c r="K34" i="18"/>
  <c r="D35" i="18"/>
  <c r="E35" i="18"/>
  <c r="F35" i="18"/>
  <c r="G35" i="18"/>
  <c r="J35" i="18"/>
  <c r="K35" i="18"/>
  <c r="E33" i="18"/>
  <c r="F33" i="18"/>
  <c r="G33" i="18"/>
  <c r="J33" i="18"/>
  <c r="K33" i="18"/>
  <c r="D33" i="18"/>
  <c r="D29" i="18"/>
  <c r="E29" i="18"/>
  <c r="F29" i="18"/>
  <c r="G29" i="18"/>
  <c r="J29" i="18"/>
  <c r="K29" i="18"/>
  <c r="D30" i="18"/>
  <c r="E30" i="18"/>
  <c r="F30" i="18"/>
  <c r="G30" i="18"/>
  <c r="J30" i="18"/>
  <c r="K30" i="18"/>
  <c r="D32" i="18"/>
  <c r="E32" i="18"/>
  <c r="F32" i="18"/>
  <c r="G32" i="18"/>
  <c r="J32" i="18"/>
  <c r="K32" i="18"/>
  <c r="E28" i="18"/>
  <c r="F28" i="18"/>
  <c r="G28" i="18"/>
  <c r="J28" i="18"/>
  <c r="K28" i="18"/>
  <c r="F10" i="18"/>
  <c r="F4" i="18"/>
  <c r="I8" i="18"/>
  <c r="L34" i="18" l="1"/>
  <c r="I10" i="18"/>
  <c r="L29" i="18"/>
  <c r="J36" i="18"/>
  <c r="L32" i="18"/>
  <c r="L35" i="18"/>
  <c r="K36" i="18"/>
  <c r="G36" i="18"/>
  <c r="F36" i="18"/>
  <c r="I36" i="18"/>
  <c r="E36" i="18"/>
  <c r="L30" i="18"/>
  <c r="L33" i="18"/>
  <c r="L28" i="18"/>
  <c r="H36" i="18"/>
  <c r="D36" i="18"/>
  <c r="L36" i="18" l="1"/>
  <c r="F6" i="18" s="1"/>
  <c r="D469" i="21"/>
  <c r="D357" i="21"/>
  <c r="D131" i="21"/>
  <c r="D386" i="21"/>
  <c r="D31" i="21"/>
  <c r="D63" i="21"/>
  <c r="D39" i="21"/>
  <c r="D410" i="21"/>
  <c r="D400" i="21"/>
  <c r="D120" i="21"/>
  <c r="D402" i="21"/>
  <c r="D299" i="21"/>
  <c r="D355" i="21"/>
  <c r="D213" i="21"/>
  <c r="D149" i="21"/>
  <c r="D498" i="21"/>
  <c r="D465" i="21"/>
  <c r="D376" i="21"/>
  <c r="D6" i="21"/>
  <c r="D14" i="21"/>
  <c r="D209" i="21"/>
  <c r="D132" i="21"/>
  <c r="D15" i="21"/>
  <c r="D28" i="21"/>
  <c r="D487" i="21"/>
  <c r="D301" i="21"/>
  <c r="D264" i="21"/>
  <c r="D424" i="21"/>
  <c r="D491" i="21"/>
  <c r="D19" i="21"/>
  <c r="D92" i="21"/>
  <c r="D293" i="21"/>
  <c r="D341" i="21"/>
  <c r="D269" i="21"/>
  <c r="D351" i="21"/>
  <c r="D99" i="21"/>
  <c r="D338" i="21"/>
  <c r="D61" i="21"/>
  <c r="D22" i="21"/>
  <c r="D420" i="21"/>
  <c r="D414" i="21"/>
  <c r="D70" i="21"/>
  <c r="D330" i="21"/>
  <c r="D476" i="21"/>
  <c r="D253" i="21"/>
  <c r="D416" i="21"/>
  <c r="D113" i="21"/>
  <c r="D51" i="21"/>
  <c r="D9" i="21"/>
  <c r="D443" i="21"/>
  <c r="D8" i="21"/>
  <c r="D141" i="21"/>
  <c r="D462" i="21"/>
  <c r="D265" i="21"/>
  <c r="D348" i="21"/>
  <c r="D497" i="21"/>
  <c r="D309" i="21"/>
  <c r="D369" i="21"/>
  <c r="D258" i="21"/>
  <c r="D81" i="21"/>
  <c r="D118" i="21"/>
  <c r="D337" i="21"/>
  <c r="D169" i="21"/>
  <c r="D458" i="21"/>
  <c r="D310" i="21"/>
  <c r="D296" i="21"/>
  <c r="D232" i="21"/>
  <c r="D126" i="21"/>
  <c r="D325" i="21"/>
  <c r="D202" i="21"/>
  <c r="D352" i="21"/>
  <c r="D198" i="21"/>
  <c r="D409" i="21"/>
  <c r="D208" i="21"/>
  <c r="D354" i="21"/>
  <c r="D481" i="21"/>
  <c r="D335" i="21"/>
  <c r="D172" i="21"/>
  <c r="D240" i="21"/>
  <c r="D189" i="21"/>
  <c r="D224" i="21"/>
  <c r="D67" i="21"/>
  <c r="D218" i="21"/>
  <c r="D123" i="21"/>
  <c r="D62" i="21"/>
  <c r="D185" i="21"/>
  <c r="D234" i="21"/>
  <c r="D345" i="21"/>
  <c r="D16" i="21"/>
  <c r="D467" i="21"/>
  <c r="D321" i="21"/>
  <c r="D370" i="21"/>
  <c r="D431" i="21"/>
  <c r="D119" i="21"/>
  <c r="D349" i="21"/>
  <c r="D364" i="21"/>
  <c r="D433" i="21"/>
  <c r="D144" i="21"/>
  <c r="D125" i="21"/>
  <c r="D340" i="21"/>
  <c r="D488" i="21"/>
  <c r="D74" i="21"/>
  <c r="D88" i="21"/>
  <c r="D235" i="21"/>
  <c r="D72" i="21"/>
  <c r="D316" i="21"/>
  <c r="D496" i="21"/>
  <c r="D245" i="21"/>
  <c r="D290" i="21"/>
  <c r="D329" i="21"/>
  <c r="D23" i="21"/>
  <c r="D455" i="21"/>
  <c r="D5" i="21"/>
  <c r="D242" i="21"/>
  <c r="D117" i="21"/>
  <c r="D75" i="21"/>
  <c r="D444" i="21"/>
  <c r="D350" i="21"/>
  <c r="D56" i="21"/>
  <c r="D347" i="21"/>
  <c r="D480" i="21"/>
  <c r="D124" i="21"/>
  <c r="D448" i="21"/>
  <c r="D501" i="21"/>
  <c r="D103" i="21"/>
  <c r="D391" i="21"/>
  <c r="D322" i="21"/>
  <c r="D367" i="21"/>
  <c r="D281" i="21"/>
  <c r="D249" i="21"/>
  <c r="D201" i="21"/>
  <c r="D239" i="21"/>
  <c r="D156" i="21"/>
  <c r="D292" i="21"/>
  <c r="D254" i="21"/>
  <c r="D166" i="21"/>
  <c r="D24" i="21"/>
  <c r="D331" i="21"/>
  <c r="D105" i="21"/>
  <c r="D343" i="21"/>
  <c r="D25" i="21"/>
  <c r="D324" i="21"/>
  <c r="D46" i="21"/>
  <c r="D401" i="21"/>
  <c r="D173" i="21"/>
  <c r="D260" i="21"/>
  <c r="D108" i="21"/>
  <c r="D266" i="21"/>
  <c r="D26" i="21"/>
  <c r="D95" i="21"/>
  <c r="D377" i="21"/>
  <c r="D65" i="21"/>
  <c r="D261" i="21"/>
  <c r="D460" i="21"/>
  <c r="D408" i="21"/>
  <c r="D472" i="21"/>
  <c r="D174" i="21"/>
  <c r="D12" i="21"/>
  <c r="D366" i="21"/>
  <c r="D210" i="21"/>
  <c r="D212" i="21"/>
  <c r="D17" i="21"/>
  <c r="D452" i="21"/>
  <c r="D50" i="21"/>
  <c r="D318" i="21"/>
  <c r="D479" i="21"/>
  <c r="D485" i="21"/>
  <c r="D378" i="21"/>
  <c r="D495" i="21"/>
  <c r="D477" i="21"/>
  <c r="D342" i="21"/>
  <c r="D79" i="21"/>
  <c r="D459" i="21"/>
  <c r="D272" i="21"/>
  <c r="D48" i="21"/>
  <c r="D388" i="21"/>
  <c r="D446" i="21"/>
  <c r="D115" i="21"/>
  <c r="D298" i="21"/>
  <c r="D150" i="21"/>
  <c r="D182" i="21"/>
  <c r="D365" i="21"/>
  <c r="D151" i="21"/>
  <c r="D262" i="21"/>
  <c r="D471" i="21"/>
  <c r="D220" i="21"/>
  <c r="D248" i="21"/>
  <c r="D187" i="21"/>
  <c r="D90" i="21"/>
  <c r="D231" i="21"/>
  <c r="D396" i="21"/>
  <c r="D10" i="21"/>
  <c r="D291" i="21"/>
  <c r="D482" i="21"/>
  <c r="D468" i="21"/>
  <c r="D214" i="21"/>
  <c r="D59" i="21"/>
  <c r="D473" i="21"/>
  <c r="D437" i="21"/>
  <c r="D300" i="21"/>
  <c r="D71" i="21"/>
  <c r="D161" i="21"/>
  <c r="D192" i="21"/>
  <c r="D336" i="21"/>
  <c r="D453" i="21"/>
  <c r="D207" i="21"/>
  <c r="D60" i="21"/>
  <c r="D36" i="21"/>
  <c r="D7" i="21"/>
  <c r="D284" i="21"/>
  <c r="D91" i="21"/>
  <c r="D441" i="21"/>
  <c r="D215" i="21"/>
  <c r="D492" i="21"/>
  <c r="D54" i="21"/>
  <c r="D445" i="21"/>
  <c r="D359" i="21"/>
  <c r="D421" i="21"/>
  <c r="D417" i="21"/>
  <c r="D230" i="21"/>
  <c r="D333" i="21"/>
  <c r="D286" i="21"/>
  <c r="D100" i="21"/>
  <c r="D217" i="21"/>
  <c r="D440" i="21"/>
  <c r="D334" i="21"/>
  <c r="D393" i="21"/>
  <c r="D147" i="21"/>
  <c r="D384" i="21"/>
  <c r="D425" i="21"/>
  <c r="D179" i="21"/>
  <c r="D77" i="21"/>
  <c r="D152" i="21"/>
  <c r="D176" i="21"/>
  <c r="D252" i="21"/>
  <c r="D52" i="21"/>
  <c r="D430" i="21"/>
  <c r="D362" i="21"/>
  <c r="D259" i="21"/>
  <c r="D277" i="21"/>
  <c r="D457" i="21"/>
  <c r="D225" i="21"/>
  <c r="D42" i="21"/>
  <c r="D399" i="21"/>
  <c r="D32" i="21"/>
  <c r="D494" i="21"/>
  <c r="D327" i="21"/>
  <c r="D392" i="21"/>
  <c r="D106" i="21"/>
  <c r="D278" i="21"/>
  <c r="D236" i="21"/>
  <c r="D358" i="21"/>
  <c r="D191" i="21"/>
  <c r="D304" i="21"/>
  <c r="D164" i="21"/>
  <c r="D86" i="21"/>
  <c r="D18" i="21"/>
  <c r="D55" i="21"/>
  <c r="D221" i="21"/>
  <c r="D411" i="21"/>
  <c r="D397" i="21"/>
  <c r="D112" i="21"/>
  <c r="D238" i="21"/>
  <c r="D190" i="21"/>
  <c r="D363" i="21"/>
  <c r="D302" i="21"/>
  <c r="D193" i="21"/>
  <c r="D140" i="21"/>
  <c r="D279" i="21"/>
  <c r="D375" i="21"/>
  <c r="D332" i="21"/>
  <c r="D326" i="21"/>
  <c r="D138" i="21"/>
  <c r="D110" i="21"/>
  <c r="D407" i="21"/>
  <c r="D381" i="21"/>
  <c r="D139" i="21"/>
  <c r="D44" i="21"/>
  <c r="D228" i="21"/>
  <c r="D285" i="21"/>
  <c r="D263" i="21"/>
  <c r="D353" i="21"/>
  <c r="D194" i="21"/>
  <c r="D314" i="21"/>
  <c r="D195" i="21"/>
  <c r="D122" i="21"/>
  <c r="D43" i="21"/>
  <c r="D104" i="21"/>
  <c r="D273" i="21"/>
  <c r="D205" i="21"/>
  <c r="D101" i="21"/>
  <c r="D233" i="21"/>
  <c r="D68" i="21"/>
  <c r="D97" i="21"/>
  <c r="D489" i="21"/>
  <c r="D287" i="21"/>
  <c r="D102" i="21"/>
  <c r="D403" i="21"/>
  <c r="D155" i="21"/>
  <c r="D374" i="21"/>
  <c r="D13" i="21"/>
  <c r="D226" i="21"/>
  <c r="D256" i="21"/>
  <c r="D315" i="21"/>
  <c r="D412" i="21"/>
  <c r="D288" i="21"/>
  <c r="D435" i="21"/>
  <c r="D184" i="21"/>
  <c r="D223" i="21"/>
  <c r="D323" i="21"/>
  <c r="D436" i="21"/>
  <c r="D41" i="21"/>
  <c r="D89" i="21"/>
  <c r="D404" i="21"/>
  <c r="D427" i="21"/>
  <c r="D111" i="21"/>
  <c r="D282" i="21"/>
  <c r="D216" i="21"/>
  <c r="D271" i="21"/>
  <c r="D474" i="21"/>
  <c r="D356" i="21"/>
  <c r="D454" i="21"/>
  <c r="D475" i="21"/>
  <c r="D146" i="21"/>
  <c r="D153" i="21"/>
  <c r="D53" i="21"/>
  <c r="D211" i="21"/>
  <c r="D127" i="21"/>
  <c r="D268" i="21"/>
  <c r="D93" i="21"/>
  <c r="D200" i="21"/>
  <c r="D204" i="21"/>
  <c r="D180" i="21"/>
  <c r="D328" i="21"/>
  <c r="D449" i="21"/>
  <c r="D307" i="21"/>
  <c r="D394" i="21"/>
  <c r="D128" i="21"/>
  <c r="D227" i="21"/>
  <c r="D405" i="21"/>
  <c r="D466" i="21"/>
  <c r="D500" i="21"/>
  <c r="D434" i="21"/>
  <c r="D98" i="21"/>
  <c r="D121" i="21"/>
  <c r="D257" i="21"/>
  <c r="D170" i="21"/>
  <c r="D383" i="21"/>
  <c r="D317" i="21"/>
  <c r="D246" i="21"/>
  <c r="D360" i="21"/>
  <c r="D4" i="21"/>
  <c r="D308" i="21"/>
  <c r="D251" i="21"/>
  <c r="D463" i="21"/>
  <c r="D493" i="21"/>
  <c r="D229" i="21"/>
  <c r="D133" i="21"/>
  <c r="D94" i="21"/>
  <c r="D114" i="21"/>
  <c r="D29" i="21"/>
  <c r="D372" i="21"/>
  <c r="D96" i="21"/>
  <c r="D171" i="21"/>
  <c r="D371" i="21"/>
  <c r="D428" i="21"/>
  <c r="D373" i="21"/>
  <c r="D76" i="21"/>
  <c r="D247" i="21"/>
  <c r="D21" i="21"/>
  <c r="D379" i="21"/>
  <c r="D464" i="21"/>
  <c r="D27" i="21"/>
  <c r="D197" i="21"/>
  <c r="D203" i="21"/>
  <c r="D422" i="21"/>
  <c r="D47" i="21"/>
  <c r="D312" i="21"/>
  <c r="D295" i="21"/>
  <c r="D219" i="21"/>
  <c r="D280" i="21"/>
  <c r="D64" i="21"/>
  <c r="D244" i="21"/>
  <c r="D134" i="21"/>
  <c r="D385" i="21"/>
  <c r="D136" i="21"/>
  <c r="D320" i="21"/>
  <c r="D177" i="21"/>
  <c r="D305" i="21"/>
  <c r="D490" i="21"/>
  <c r="D109" i="21"/>
  <c r="D11" i="21"/>
  <c r="D270" i="21"/>
  <c r="D154" i="21"/>
  <c r="D419" i="21"/>
  <c r="D237" i="21"/>
  <c r="D175" i="21"/>
  <c r="D130" i="21"/>
  <c r="D34" i="21"/>
  <c r="D181" i="21"/>
  <c r="D157" i="21"/>
  <c r="D499" i="21"/>
  <c r="D35" i="21"/>
  <c r="D222" i="21"/>
  <c r="D461" i="21"/>
  <c r="D186" i="21"/>
  <c r="D339" i="21"/>
  <c r="D486" i="21"/>
  <c r="D389" i="21"/>
  <c r="D267" i="21"/>
  <c r="D49" i="21"/>
  <c r="D168" i="21"/>
  <c r="D38" i="21"/>
  <c r="D167" i="21"/>
  <c r="D478" i="21"/>
  <c r="D380" i="21"/>
  <c r="D84" i="21"/>
  <c r="D135" i="21"/>
  <c r="D429" i="21"/>
  <c r="D470" i="21"/>
  <c r="D283" i="21"/>
  <c r="D165" i="21"/>
  <c r="D382" i="21"/>
  <c r="D145" i="21"/>
  <c r="D451" i="21"/>
  <c r="D447" i="21"/>
  <c r="D196" i="21"/>
  <c r="D241" i="21"/>
  <c r="D344" i="21"/>
  <c r="D66" i="21"/>
  <c r="D206" i="21"/>
  <c r="D361" i="21"/>
  <c r="D82" i="21"/>
  <c r="D148" i="21"/>
  <c r="D3" i="21"/>
  <c r="D83" i="21"/>
  <c r="D163" i="21"/>
  <c r="D289" i="21"/>
  <c r="D137" i="21"/>
  <c r="D432" i="21"/>
  <c r="D73" i="21"/>
  <c r="D162" i="21"/>
  <c r="D395" i="21"/>
  <c r="D37" i="21"/>
  <c r="D199" i="21"/>
  <c r="D306" i="21"/>
  <c r="D80" i="21"/>
  <c r="D418" i="21"/>
  <c r="D255" i="21"/>
  <c r="D183" i="21"/>
  <c r="D368" i="21"/>
  <c r="D483" i="21"/>
  <c r="D426" i="21"/>
  <c r="D2" i="21"/>
  <c r="D142" i="21"/>
  <c r="D439" i="21"/>
  <c r="D243" i="21"/>
  <c r="D390" i="21"/>
  <c r="D415" i="21"/>
  <c r="D159" i="21"/>
  <c r="D33" i="21"/>
  <c r="D387" i="21"/>
  <c r="D406" i="21"/>
  <c r="D178" i="21"/>
  <c r="D158" i="21"/>
  <c r="D250" i="21"/>
  <c r="D85" i="21"/>
  <c r="D274" i="21"/>
  <c r="D129" i="21"/>
  <c r="D276" i="21"/>
  <c r="D45" i="21"/>
  <c r="D413" i="21"/>
  <c r="D450" i="21"/>
  <c r="D58" i="21"/>
  <c r="D442" i="21"/>
  <c r="D319" i="21"/>
  <c r="D297" i="21"/>
  <c r="D311" i="21"/>
  <c r="D303" i="21"/>
  <c r="D143" i="21"/>
  <c r="D160" i="21"/>
  <c r="D107" i="21"/>
  <c r="D294" i="21"/>
  <c r="D30" i="21"/>
  <c r="D423" i="21"/>
  <c r="D313" i="21"/>
  <c r="D346" i="21"/>
  <c r="D57" i="21"/>
  <c r="D87" i="21"/>
  <c r="D78" i="21"/>
  <c r="D20" i="21"/>
  <c r="D116" i="21"/>
  <c r="D275" i="21"/>
  <c r="D40" i="21"/>
  <c r="D484" i="21"/>
  <c r="D188" i="21"/>
  <c r="D398" i="21"/>
  <c r="D438" i="21"/>
  <c r="D69" i="21"/>
  <c r="D456" i="21"/>
  <c r="J456" i="21" l="1"/>
  <c r="J69" i="21"/>
  <c r="J438" i="21"/>
  <c r="J398" i="21"/>
  <c r="J188" i="21"/>
  <c r="J484" i="21"/>
  <c r="J40" i="21"/>
  <c r="J275" i="21"/>
  <c r="J116" i="21"/>
  <c r="J20" i="21"/>
  <c r="J78" i="21"/>
  <c r="J87" i="21"/>
  <c r="J57" i="21"/>
  <c r="J346" i="21"/>
  <c r="J313" i="21"/>
  <c r="J423" i="21"/>
  <c r="J30" i="21"/>
  <c r="J294" i="21"/>
  <c r="J107" i="21"/>
  <c r="J160" i="21"/>
  <c r="J143" i="21"/>
  <c r="J303" i="21"/>
  <c r="J311" i="21"/>
  <c r="J297" i="21"/>
  <c r="J319" i="21"/>
  <c r="J442" i="21"/>
  <c r="J58" i="21"/>
  <c r="J450" i="21"/>
  <c r="J413" i="21"/>
  <c r="J45" i="21"/>
  <c r="J276" i="21"/>
  <c r="J129" i="21"/>
  <c r="J274" i="21"/>
  <c r="J85" i="21"/>
  <c r="J250" i="21"/>
  <c r="J158" i="21"/>
  <c r="J178" i="21"/>
  <c r="J406" i="21"/>
  <c r="J387" i="21"/>
  <c r="J33" i="21"/>
  <c r="J159" i="21"/>
  <c r="J415" i="21"/>
  <c r="J390" i="21"/>
  <c r="J243" i="21"/>
  <c r="J439" i="21"/>
  <c r="J142" i="21"/>
  <c r="C8" i="18"/>
  <c r="I6" i="18" s="1"/>
  <c r="J2" i="21"/>
  <c r="J426" i="21"/>
  <c r="J483" i="21"/>
  <c r="J368" i="21"/>
  <c r="J183" i="21"/>
  <c r="J255" i="21"/>
  <c r="J418" i="21"/>
  <c r="J80" i="21"/>
  <c r="J306" i="21"/>
  <c r="J199" i="21"/>
  <c r="J37" i="21"/>
  <c r="J395" i="21"/>
  <c r="J162" i="21"/>
  <c r="J73" i="21"/>
  <c r="J432" i="21"/>
  <c r="J137" i="21"/>
  <c r="J289" i="21"/>
  <c r="J163" i="21"/>
  <c r="J83" i="21"/>
  <c r="J3" i="21"/>
  <c r="J148" i="21"/>
  <c r="J82" i="21"/>
  <c r="J361" i="21"/>
  <c r="J206" i="21"/>
  <c r="J66" i="21"/>
  <c r="J344" i="21"/>
  <c r="J241" i="21"/>
  <c r="J196" i="21"/>
  <c r="J447" i="21"/>
  <c r="J451" i="21"/>
  <c r="J145" i="21"/>
  <c r="J382" i="21"/>
  <c r="J165" i="21"/>
  <c r="J283" i="21"/>
  <c r="J470" i="21"/>
  <c r="J429" i="21"/>
  <c r="J135" i="21"/>
  <c r="J84" i="21"/>
  <c r="J380" i="21"/>
  <c r="J478" i="21"/>
  <c r="J167" i="21"/>
  <c r="J38" i="21"/>
  <c r="J168" i="21"/>
  <c r="J49" i="21"/>
  <c r="J267" i="21"/>
  <c r="J389" i="21"/>
  <c r="J486" i="21"/>
  <c r="J339" i="21"/>
  <c r="J186" i="21"/>
  <c r="J461" i="21"/>
  <c r="J222" i="21"/>
  <c r="J35" i="21"/>
  <c r="J499" i="21"/>
  <c r="J157" i="21"/>
  <c r="J181" i="21"/>
  <c r="J34" i="21"/>
  <c r="J130" i="21"/>
  <c r="J175" i="21"/>
  <c r="J237" i="21"/>
  <c r="J419" i="21"/>
  <c r="J154" i="21"/>
  <c r="J270" i="21"/>
  <c r="J11" i="21"/>
  <c r="J109" i="21"/>
  <c r="J490" i="21"/>
  <c r="J305" i="21"/>
  <c r="J177" i="21"/>
  <c r="J320" i="21"/>
  <c r="J136" i="21"/>
  <c r="J385" i="21"/>
  <c r="J134" i="21"/>
  <c r="J244" i="21"/>
  <c r="J64" i="21"/>
  <c r="J280" i="21"/>
  <c r="J219" i="21"/>
  <c r="J295" i="21"/>
  <c r="J312" i="21"/>
  <c r="J47" i="21"/>
  <c r="J422" i="21"/>
  <c r="J203" i="21"/>
  <c r="J197" i="21"/>
  <c r="J27" i="21"/>
  <c r="J464" i="21"/>
  <c r="J379" i="21"/>
  <c r="J21" i="21"/>
  <c r="J247" i="21"/>
  <c r="J76" i="21"/>
  <c r="J373" i="21"/>
  <c r="J428" i="21"/>
  <c r="J371" i="21"/>
  <c r="J171" i="21"/>
  <c r="J96" i="21"/>
  <c r="J372" i="21"/>
  <c r="J29" i="21"/>
  <c r="J114" i="21"/>
  <c r="J94" i="21"/>
  <c r="J133" i="21"/>
  <c r="J229" i="21"/>
  <c r="J493" i="21"/>
  <c r="J463" i="21"/>
  <c r="J251" i="21"/>
  <c r="J308" i="21"/>
  <c r="J4" i="21"/>
  <c r="J360" i="21"/>
  <c r="J246" i="21"/>
  <c r="J317" i="21"/>
  <c r="J383" i="21"/>
  <c r="J170" i="21"/>
  <c r="J257" i="21"/>
  <c r="J121" i="21"/>
  <c r="J98" i="21"/>
  <c r="J434" i="21"/>
  <c r="J500" i="21"/>
  <c r="J466" i="21"/>
  <c r="J405" i="21"/>
  <c r="J227" i="21"/>
  <c r="J128" i="21"/>
  <c r="J394" i="21"/>
  <c r="J307" i="21"/>
  <c r="J449" i="21"/>
  <c r="J328" i="21"/>
  <c r="J180" i="21"/>
  <c r="J204" i="21"/>
  <c r="J200" i="21"/>
  <c r="J93" i="21"/>
  <c r="J268" i="21"/>
  <c r="J127" i="21"/>
  <c r="J211" i="21"/>
  <c r="J53" i="21"/>
  <c r="J153" i="21"/>
  <c r="J146" i="21"/>
  <c r="J475" i="21"/>
  <c r="J454" i="21"/>
  <c r="J356" i="21"/>
  <c r="J474" i="21"/>
  <c r="J271" i="21"/>
  <c r="J216" i="21"/>
  <c r="J282" i="21"/>
  <c r="J111" i="21"/>
  <c r="J427" i="21"/>
  <c r="J404" i="21"/>
  <c r="J89" i="21"/>
  <c r="J41" i="21"/>
  <c r="J436" i="21"/>
  <c r="J323" i="21"/>
  <c r="J223" i="21"/>
  <c r="J184" i="21"/>
  <c r="J435" i="21"/>
  <c r="J288" i="21"/>
  <c r="J412" i="21"/>
  <c r="J315" i="21"/>
  <c r="J256" i="21"/>
  <c r="J226" i="21"/>
  <c r="J13" i="21"/>
  <c r="J374" i="21"/>
  <c r="J155" i="21"/>
  <c r="J403" i="21"/>
  <c r="J102" i="21"/>
  <c r="J287" i="21"/>
  <c r="J489" i="21"/>
  <c r="J97" i="21"/>
  <c r="J68" i="21"/>
  <c r="J233" i="21"/>
  <c r="J101" i="21"/>
  <c r="J205" i="21"/>
  <c r="J273" i="21"/>
  <c r="J104" i="21"/>
  <c r="J43" i="21"/>
  <c r="J122" i="21"/>
  <c r="J195" i="21"/>
  <c r="J314" i="21"/>
  <c r="J194" i="21"/>
  <c r="J353" i="21"/>
  <c r="J263" i="21"/>
  <c r="J285" i="21"/>
  <c r="J228" i="21"/>
  <c r="J44" i="21"/>
  <c r="J139" i="21"/>
  <c r="J381" i="21"/>
  <c r="J407" i="21"/>
  <c r="J110" i="21"/>
  <c r="J138" i="21"/>
  <c r="J326" i="21"/>
  <c r="J332" i="21"/>
  <c r="J375" i="21"/>
  <c r="J279" i="21"/>
  <c r="J140" i="21"/>
  <c r="J193" i="21"/>
  <c r="J302" i="21"/>
  <c r="J363" i="21"/>
  <c r="J190" i="21"/>
  <c r="J238" i="21"/>
  <c r="J112" i="21"/>
  <c r="J397" i="21"/>
  <c r="J411" i="21"/>
  <c r="J221" i="21"/>
  <c r="J55" i="21"/>
  <c r="J18" i="21"/>
  <c r="J86" i="21"/>
  <c r="J164" i="21"/>
  <c r="J304" i="21"/>
  <c r="J191" i="21"/>
  <c r="J358" i="21"/>
  <c r="J236" i="21"/>
  <c r="J278" i="21"/>
  <c r="J106" i="21"/>
  <c r="J392" i="21"/>
  <c r="J327" i="21"/>
  <c r="J494" i="21"/>
  <c r="J32" i="21"/>
  <c r="J399" i="21"/>
  <c r="J42" i="21"/>
  <c r="J225" i="21"/>
  <c r="J457" i="21"/>
  <c r="J277" i="21"/>
  <c r="J259" i="21"/>
  <c r="J362" i="21"/>
  <c r="J430" i="21"/>
  <c r="J52" i="21"/>
  <c r="J252" i="21"/>
  <c r="J176" i="21"/>
  <c r="J152" i="21"/>
  <c r="J77" i="21"/>
  <c r="J179" i="21"/>
  <c r="J425" i="21"/>
  <c r="J384" i="21"/>
  <c r="J147" i="21"/>
  <c r="J393" i="21"/>
  <c r="J334" i="21"/>
  <c r="J440" i="21"/>
  <c r="J217" i="21"/>
  <c r="J100" i="21"/>
  <c r="J286" i="21"/>
  <c r="J333" i="21"/>
  <c r="J230" i="21"/>
  <c r="J417" i="21"/>
  <c r="J421" i="21"/>
  <c r="J359" i="21"/>
  <c r="J445" i="21"/>
  <c r="J54" i="21"/>
  <c r="J492" i="21"/>
  <c r="J215" i="21"/>
  <c r="J441" i="21"/>
  <c r="J91" i="21"/>
  <c r="J284" i="21"/>
  <c r="J7" i="21"/>
  <c r="J36" i="21"/>
  <c r="J60" i="21"/>
  <c r="J207" i="21"/>
  <c r="J453" i="21"/>
  <c r="J336" i="21"/>
  <c r="J192" i="21"/>
  <c r="J161" i="21"/>
  <c r="J71" i="21"/>
  <c r="J300" i="21"/>
  <c r="J437" i="21"/>
  <c r="J473" i="21"/>
  <c r="J59" i="21"/>
  <c r="J214" i="21"/>
  <c r="J468" i="21"/>
  <c r="J482" i="21"/>
  <c r="J291" i="21"/>
  <c r="J10" i="21"/>
  <c r="J396" i="21"/>
  <c r="J231" i="21"/>
  <c r="J90" i="21"/>
  <c r="J187" i="21"/>
  <c r="J248" i="21"/>
  <c r="J220" i="21"/>
  <c r="J471" i="21"/>
  <c r="J262" i="21"/>
  <c r="J151" i="21"/>
  <c r="J365" i="21"/>
  <c r="J182" i="21"/>
  <c r="J150" i="21"/>
  <c r="J298" i="21"/>
  <c r="J115" i="21"/>
  <c r="J446" i="21"/>
  <c r="J388" i="21"/>
  <c r="J48" i="21"/>
  <c r="J272" i="21"/>
  <c r="J459" i="21"/>
  <c r="J79" i="21"/>
  <c r="J342" i="21"/>
  <c r="J477" i="21"/>
  <c r="J495" i="21"/>
  <c r="J378" i="21"/>
  <c r="J485" i="21"/>
  <c r="J479" i="21"/>
  <c r="J318" i="21"/>
  <c r="J50" i="21"/>
  <c r="J452" i="21"/>
  <c r="J17" i="21"/>
  <c r="J212" i="21"/>
  <c r="J210" i="21"/>
  <c r="J366" i="21"/>
  <c r="J12" i="21"/>
  <c r="J174" i="21"/>
  <c r="J472" i="21"/>
  <c r="J408" i="21"/>
  <c r="J460" i="21"/>
  <c r="J261" i="21"/>
  <c r="J65" i="21"/>
  <c r="J377" i="21"/>
  <c r="J95" i="21"/>
  <c r="J26" i="21"/>
  <c r="J266" i="21"/>
  <c r="J108" i="21"/>
  <c r="J260" i="21"/>
  <c r="J173" i="21"/>
  <c r="J401" i="21"/>
  <c r="J46" i="21"/>
  <c r="J324" i="21"/>
  <c r="J25" i="21"/>
  <c r="J343" i="21"/>
  <c r="J105" i="21"/>
  <c r="J331" i="21"/>
  <c r="J24" i="21"/>
  <c r="J166" i="21"/>
  <c r="J254" i="21"/>
  <c r="J292" i="21"/>
  <c r="J156" i="21"/>
  <c r="J239" i="21"/>
  <c r="J201" i="21"/>
  <c r="J249" i="21"/>
  <c r="J281" i="21"/>
  <c r="J367" i="21"/>
  <c r="J322" i="21"/>
  <c r="J391" i="21"/>
  <c r="J103" i="21"/>
  <c r="J501" i="21"/>
  <c r="J448" i="21"/>
  <c r="J124" i="21"/>
  <c r="J480" i="21"/>
  <c r="J347" i="21"/>
  <c r="J56" i="21"/>
  <c r="J350" i="21"/>
  <c r="J444" i="21"/>
  <c r="J75" i="21"/>
  <c r="J117" i="21"/>
  <c r="J242" i="21"/>
  <c r="J5" i="21"/>
  <c r="J455" i="21"/>
  <c r="J23" i="21"/>
  <c r="J329" i="21"/>
  <c r="J290" i="21"/>
  <c r="J245" i="21"/>
  <c r="J496" i="21"/>
  <c r="J316" i="21"/>
  <c r="J72" i="21"/>
  <c r="J235" i="21"/>
  <c r="J88" i="21"/>
  <c r="J74" i="21"/>
  <c r="J488" i="21"/>
  <c r="J340" i="21"/>
  <c r="J125" i="21"/>
  <c r="J144" i="21"/>
  <c r="J433" i="21"/>
  <c r="J364" i="21"/>
  <c r="J349" i="21"/>
  <c r="J119" i="21"/>
  <c r="J431" i="21"/>
  <c r="J370" i="21"/>
  <c r="J321" i="21"/>
  <c r="J467" i="21"/>
  <c r="J16" i="21"/>
  <c r="J345" i="21"/>
  <c r="J234" i="21"/>
  <c r="J185" i="21"/>
  <c r="J62" i="21"/>
  <c r="J123" i="21"/>
  <c r="J218" i="21"/>
  <c r="J67" i="21"/>
  <c r="J224" i="21"/>
  <c r="J189" i="21"/>
  <c r="J240" i="21"/>
  <c r="J172" i="21"/>
  <c r="J335" i="21"/>
  <c r="J481" i="21"/>
  <c r="J354" i="21"/>
  <c r="J208" i="21"/>
  <c r="J409" i="21"/>
  <c r="J198" i="21"/>
  <c r="J352" i="21"/>
  <c r="J202" i="21"/>
  <c r="J325" i="21"/>
  <c r="J126" i="21"/>
  <c r="J232" i="21"/>
  <c r="J296" i="21"/>
  <c r="J310" i="21"/>
  <c r="J458" i="21"/>
  <c r="J169" i="21"/>
  <c r="J337" i="21"/>
  <c r="J118" i="21"/>
  <c r="J81" i="21"/>
  <c r="J258" i="21"/>
  <c r="J369" i="21"/>
  <c r="J309" i="21"/>
  <c r="J497" i="21"/>
  <c r="J348" i="21"/>
  <c r="J265" i="21"/>
  <c r="J462" i="21"/>
  <c r="J141" i="21"/>
  <c r="J8" i="21"/>
  <c r="J443" i="21"/>
  <c r="J9" i="21"/>
  <c r="J51" i="21"/>
  <c r="J113" i="21"/>
  <c r="J416" i="21"/>
  <c r="J253" i="21"/>
  <c r="J476" i="21"/>
  <c r="J330" i="21"/>
  <c r="J70" i="21"/>
  <c r="J414" i="21"/>
  <c r="J420" i="21"/>
  <c r="J22" i="21"/>
  <c r="J61" i="21"/>
  <c r="J338" i="21"/>
  <c r="J99" i="21"/>
  <c r="J351" i="21"/>
  <c r="J269" i="21"/>
  <c r="J341" i="21"/>
  <c r="J293" i="21"/>
  <c r="J92" i="21"/>
  <c r="J19" i="21"/>
  <c r="J491" i="21"/>
  <c r="J424" i="21"/>
  <c r="J264" i="21"/>
  <c r="J301" i="21"/>
  <c r="J487" i="21"/>
  <c r="J28" i="21"/>
  <c r="J15" i="21"/>
  <c r="J132" i="21"/>
  <c r="J209" i="21"/>
  <c r="J14" i="21"/>
  <c r="J6" i="21"/>
  <c r="J376" i="21"/>
  <c r="J465" i="21"/>
  <c r="J498" i="21"/>
  <c r="J149" i="21"/>
  <c r="J213" i="21"/>
  <c r="J355" i="21"/>
  <c r="J299" i="21"/>
  <c r="J402" i="21"/>
  <c r="J120" i="21"/>
  <c r="J400" i="21"/>
  <c r="J410" i="21"/>
  <c r="J39" i="21"/>
  <c r="J63" i="21"/>
  <c r="J31" i="21"/>
  <c r="J386" i="21"/>
  <c r="J131" i="21"/>
  <c r="J357" i="21"/>
  <c r="J469" i="21"/>
  <c r="H18" i="18" l="1"/>
  <c r="I4" i="18" s="1"/>
  <c r="K5" i="18" s="1"/>
  <c r="K7" i="18" s="1"/>
</calcChain>
</file>

<file path=xl/sharedStrings.xml><?xml version="1.0" encoding="utf-8"?>
<sst xmlns="http://schemas.openxmlformats.org/spreadsheetml/2006/main" count="3557" uniqueCount="1071">
  <si>
    <t>Issue Types</t>
    <phoneticPr fontId="4" type="noConversion"/>
  </si>
  <si>
    <t>Minor</t>
  </si>
  <si>
    <t>Fluency</t>
  </si>
  <si>
    <t>Subtypes</t>
  </si>
  <si>
    <t>Source</t>
  </si>
  <si>
    <t>Target</t>
  </si>
  <si>
    <t>Total Errors</t>
    <phoneticPr fontId="6" type="noConversion"/>
  </si>
  <si>
    <t>Omission</t>
  </si>
  <si>
    <t>Accuracy</t>
    <phoneticPr fontId="6" type="noConversion"/>
  </si>
  <si>
    <t># Total Errors:</t>
    <phoneticPr fontId="6" type="noConversion"/>
  </si>
  <si>
    <t># Segments:</t>
    <phoneticPr fontId="3" type="noConversion"/>
  </si>
  <si>
    <t># Words:</t>
    <phoneticPr fontId="3" type="noConversion"/>
  </si>
  <si>
    <t>Errors / 1k words:</t>
    <phoneticPr fontId="3" type="noConversion"/>
  </si>
  <si>
    <t># Seg corrects:</t>
    <phoneticPr fontId="6" type="noConversion"/>
  </si>
  <si>
    <t># Total Rows:</t>
    <phoneticPr fontId="3" type="noConversion"/>
  </si>
  <si>
    <t>After Evaluation</t>
    <phoneticPr fontId="3" type="noConversion"/>
  </si>
  <si>
    <t>Before Evaluation</t>
    <phoneticPr fontId="3" type="noConversion"/>
  </si>
  <si>
    <t>#error</t>
    <phoneticPr fontId="4" type="noConversion"/>
  </si>
  <si>
    <t>Evaluation Date</t>
    <phoneticPr fontId="3" type="noConversion"/>
  </si>
  <si>
    <t>% Seg Correct:</t>
    <phoneticPr fontId="3" type="noConversion"/>
  </si>
  <si>
    <t>ID</t>
    <phoneticPr fontId="4" type="noConversion"/>
  </si>
  <si>
    <t>Accuracy</t>
  </si>
  <si>
    <t>Addition</t>
  </si>
  <si>
    <t>Major</t>
  </si>
  <si>
    <t>N/A</t>
  </si>
  <si>
    <t>Critical</t>
  </si>
  <si>
    <t>Duplication</t>
  </si>
  <si>
    <t>Place&amp;Name</t>
  </si>
  <si>
    <t>Attribute</t>
  </si>
  <si>
    <t>Number&amp;Time</t>
  </si>
  <si>
    <t>Sub_Issue_Type</t>
  </si>
  <si>
    <t>Issue_Type</t>
  </si>
  <si>
    <t>Issue Words</t>
  </si>
  <si>
    <t>Labels</t>
  </si>
  <si>
    <t>Severity</t>
  </si>
  <si>
    <t>Critical</t>
    <phoneticPr fontId="4" type="noConversion"/>
  </si>
  <si>
    <t>Major</t>
    <phoneticPr fontId="4" type="noConversion"/>
  </si>
  <si>
    <t>Minor</t>
    <phoneticPr fontId="4" type="noConversion"/>
  </si>
  <si>
    <t># Invalid Segments:</t>
    <phoneticPr fontId="4" type="noConversion"/>
  </si>
  <si>
    <t>% Invalid Segments:</t>
    <phoneticPr fontId="6" type="noConversion"/>
  </si>
  <si>
    <t>Severities ScoreCard</t>
    <phoneticPr fontId="4" type="noConversion"/>
  </si>
  <si>
    <t>Errors ScoreCard</t>
    <phoneticPr fontId="4" type="noConversion"/>
  </si>
  <si>
    <t>LQI:</t>
    <phoneticPr fontId="3" type="noConversion"/>
  </si>
  <si>
    <t>Results</t>
    <phoneticPr fontId="4" type="noConversion"/>
  </si>
  <si>
    <t>wordcount</t>
    <phoneticPr fontId="4" type="noConversion"/>
  </si>
  <si>
    <t>Positive_Negative_Aspect</t>
  </si>
  <si>
    <t>Invalid Source</t>
    <phoneticPr fontId="4" type="noConversion"/>
  </si>
  <si>
    <t>Invalid Target</t>
    <phoneticPr fontId="4" type="noConversion"/>
  </si>
  <si>
    <t>Invalid Target</t>
    <phoneticPr fontId="4" type="noConversion"/>
  </si>
  <si>
    <t>LQE Metrics</t>
    <phoneticPr fontId="1" type="noConversion"/>
  </si>
  <si>
    <t>Severity_Matrix</t>
    <phoneticPr fontId="15" type="noConversion"/>
  </si>
  <si>
    <t>Source Language</t>
  </si>
  <si>
    <t>(Optional)</t>
    <phoneticPr fontId="4" type="noConversion"/>
  </si>
  <si>
    <t>Score</t>
  </si>
  <si>
    <t>Event Entity-Subject</t>
  </si>
  <si>
    <t>Event Entity-Object</t>
  </si>
  <si>
    <t>Event Relation-Predicate</t>
  </si>
  <si>
    <t>Whole Sentence</t>
  </si>
  <si>
    <t>Grammar Function Words</t>
  </si>
  <si>
    <t>Minor</t>
    <phoneticPr fontId="1" type="noConversion"/>
  </si>
  <si>
    <t>Critical</t>
    <phoneticPr fontId="1" type="noConversion"/>
  </si>
  <si>
    <t>Critical</t>
    <phoneticPr fontId="1" type="noConversion"/>
  </si>
  <si>
    <t>Reason for Error (optional)</t>
  </si>
  <si>
    <t>Inaccuracy_internal</t>
  </si>
  <si>
    <t>Inaccuracy_external</t>
  </si>
  <si>
    <t>Word_Order</t>
  </si>
  <si>
    <t>Word_Form</t>
  </si>
  <si>
    <t>Word_From</t>
  </si>
  <si>
    <t>Inaccuracy_internal</t>
    <phoneticPr fontId="4" type="noConversion"/>
  </si>
  <si>
    <t>Inaccuracy_external</t>
    <phoneticPr fontId="4" type="noConversion"/>
  </si>
  <si>
    <t>Word_Form</t>
    <phoneticPr fontId="4" type="noConversion"/>
  </si>
  <si>
    <t>Word_Order</t>
    <phoneticPr fontId="4" type="noConversion"/>
  </si>
  <si>
    <t>Attribute</t>
    <phoneticPr fontId="4" type="noConversion"/>
  </si>
  <si>
    <t>Grammar Function Words</t>
    <phoneticPr fontId="4" type="noConversion"/>
  </si>
  <si>
    <t>0-3</t>
  </si>
  <si>
    <t>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t>
  </si>
  <si>
    <t>corry ' corey ' campbell , 21 , is the ringleader of a gang dubbed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t>
  </si>
  <si>
    <t>campbell was sentenced to 20 years prison , along with friend carl halin , 18</t>
  </si>
  <si>
    <t>his girlfriend sandra ng , 18 , received 23 months</t>
  </si>
  <si>
    <t>two others are awaiting sentencing</t>
  </si>
  <si>
    <t>1-3</t>
  </si>
  <si>
    <t>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t>
  </si>
  <si>
    <t>jack nicklaus gave the crowd something to cheer with a hole in one on the fourth during the par-3 contest .
nicklaus was playing alongside gary player and ben crenshaw as the first roar of masters week filled the skies in a sunswept georgia .
nicklaus became the youngest person to wear a green jacket in 1963 , and collected his sixth in 1986 .</t>
  </si>
  <si>
    <t>the crowd roared in celebration</t>
  </si>
  <si>
    <t>players cheer</t>
  </si>
  <si>
    <t>jack nicklaus gave the crowd something to cheer with a hole in one on the fourth during the par-3 contest .
nicklaus was playing alongside gary player and ben crenshaw as the first roar of masters week filled the skies in a sunswept georgia .
nicklaus became the youngest person to wear a green jacket in 1963 , and collected his sixth in 1986 .</t>
    <phoneticPr fontId="4" type="noConversion"/>
  </si>
  <si>
    <t>colombian camilo villegas later eclipsed nicklaus ' achievement</t>
  </si>
  <si>
    <t>villegas was beaten in a play-off by world no 74 kevin streelman</t>
  </si>
  <si>
    <t>3-3</t>
  </si>
  <si>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t>
  </si>
  <si>
    <t>the judge granted robert bates permission to go to the bahamas for a family vacation .
that decision prompted a response from the family of eric harris , the man bates killed .
bates ' preliminary hearing is scheduled for 10 a.m. july 2 .</t>
  </si>
  <si>
    <t>robert bates said he meant to subdue a suspect with a taser but accidentally shot him</t>
  </si>
  <si>
    <t>4-3</t>
  </si>
  <si>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t>
  </si>
  <si>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curry added nine assists , and thompson scored 26 to help golden state warriors beat portland trail blazers .
curry ( centre ) hit eight three-pointers to eclipse his previous nba best of 272 made in a single season .</t>
    <phoneticPr fontId="4" type="noConversion"/>
  </si>
  <si>
    <t>miami heat lost 78-89 vs chicago bulls in the eastern conference</t>
  </si>
  <si>
    <t>5-3</t>
  </si>
  <si>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t>
  </si>
  <si>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mcgregor is challenging jose aldo for his featherweight champion title in las vegas on july 11 .</t>
  </si>
  <si>
    <t>mcgregor grabbed aldo 's featherweight champion belt in dublin</t>
  </si>
  <si>
    <t>6-3</t>
  </si>
  <si>
    <t>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t>
  </si>
  <si>
    <t>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poor first effort , balotelli sends a perfectly-executed free-kick into the top corner .</t>
  </si>
  <si>
    <t>van velzen 's dead ball skills became apparent very quickly</t>
  </si>
  <si>
    <t>7-3</t>
    <phoneticPr fontId="4" type="noConversion"/>
  </si>
  <si>
    <t>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t>
  </si>
  <si>
    <t xml:space="preserve">
julie robert , a cultural studies professor at the university of technology sydney , said it was ' problematic ' that the prime minister , who she believes should be advocating against binge drinking , thought it acceptable to ' showcase his masculinity ' by skolling a beer .
mr abbott came under fire after the incident as anti-drinking campaigners said he was glorifying binge drinking .</t>
    <phoneticPr fontId="4" type="noConversion"/>
  </si>
  <si>
    <t xml:space="preserve">australian prime minister skols a beer with celebrating football players
</t>
    <phoneticPr fontId="4" type="noConversion"/>
  </si>
  <si>
    <t>7-3</t>
  </si>
  <si>
    <t>tony abbott drinking the beer in six seconds</t>
    <phoneticPr fontId="4" type="noConversion"/>
  </si>
  <si>
    <t xml:space="preserve">criticism also levelled at media and officials who made light of the event
</t>
    <phoneticPr fontId="4" type="noConversion"/>
  </si>
  <si>
    <t>8-3</t>
    <phoneticPr fontId="4" type="noConversion"/>
  </si>
  <si>
    <t>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t>
    <phoneticPr fontId="4" type="noConversion"/>
  </si>
  <si>
    <t>women who carry a mutated version of brca1 or another gene known as brca2 face a life-time risk of breast cancer by more than 60 per cent .
study indicates that following the example of the hollywood star cuts their risk of dying from breast cancer by more than 60 per cent</t>
    <phoneticPr fontId="4" type="noConversion"/>
  </si>
  <si>
    <t>60--70</t>
    <phoneticPr fontId="4" type="noConversion"/>
  </si>
  <si>
    <t>8-3</t>
  </si>
  <si>
    <t>but the theory does not apply for those with brca3 gene mutation</t>
  </si>
  <si>
    <t>experts said benefits of having ovaries removed lasted for up to 15 years</t>
    <phoneticPr fontId="4" type="noConversion"/>
  </si>
  <si>
    <t>9-3</t>
    <phoneticPr fontId="4" type="noConversion"/>
  </si>
  <si>
    <t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t>
    <phoneticPr fontId="4" type="noConversion"/>
  </si>
  <si>
    <t>indiana state department of health officials said on friday .
there are now 120 confirmed hiv cases and 10 preliminary positive cases tied to scott county .
health officials have said they expect the number of cases to rise as more people are tested .</t>
    <phoneticPr fontId="4" type="noConversion"/>
  </si>
  <si>
    <t>outbreak has occurred among intravenous drug users and primarily involves the use of the high-powered prescription painkiller opana</t>
  </si>
  <si>
    <t>gov. mike pence approved a short-term needle exchange program two weeks ago to help combat the problem</t>
  </si>
  <si>
    <t>10-3</t>
    <phoneticPr fontId="4" type="noConversion"/>
  </si>
  <si>
    <t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t>
    <phoneticPr fontId="4" type="noConversion"/>
  </si>
  <si>
    <t xml:space="preserve">
derek lowe , 38 , and tina lowe , 33 , were struck and killed by an amtrak train shortly before 10am on sunday in durham by a train heading north .
authorities say none of the 166 passengers on the train were injured , although a man who fell ill during the delay did receive treatment .
authorities say none of the 166 passengers on the train were injured .</t>
    <phoneticPr fontId="4" type="noConversion"/>
  </si>
  <si>
    <t>northbound train struck pair on property owned by norfolk-southern</t>
  </si>
  <si>
    <t>train no. 80 , the carolinian , was headed from charlotte to new york city</t>
  </si>
  <si>
    <t>they were homeless</t>
    <phoneticPr fontId="4" type="noConversion"/>
  </si>
  <si>
    <t>11-3</t>
    <phoneticPr fontId="4" type="noConversion"/>
  </si>
  <si>
    <t>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t>
    <phoneticPr fontId="4" type="noConversion"/>
  </si>
  <si>
    <t>arsenal fan made his girlfriend sit a test quizzing her about his favourite football club .
she posted snaps of the test to her twitter account , @ saskiaisabxlla , commenting ' boyfriend made me take an @ arsenal exam ! ' with emoticons showing she did n't know whether to laugh or cry .
oh , and ' calculators may be used ' .</t>
    <phoneticPr fontId="4" type="noConversion"/>
  </si>
  <si>
    <t>girlfriend avoids getting dumped after passing football test</t>
    <phoneticPr fontId="4" type="noConversion"/>
  </si>
  <si>
    <t>saskia got an ` a ' , but apparently needs to work on her player positions</t>
    <phoneticPr fontId="4" type="noConversion"/>
  </si>
  <si>
    <t>12-3</t>
    <phoneticPr fontId="4" type="noConversion"/>
  </si>
  <si>
    <t>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t>
    <phoneticPr fontId="4" type="noConversion"/>
  </si>
  <si>
    <t>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toro is now technically living in the us illegally after declining health forced him to retire .</t>
    <phoneticPr fontId="4" type="noConversion"/>
  </si>
  <si>
    <t>carlos toro was promised he could stay in the us but is facing deportation</t>
    <phoneticPr fontId="4" type="noConversion"/>
  </si>
  <si>
    <t>12-3</t>
  </si>
  <si>
    <t>being sent back to native country of colombia would be ` death sentence '</t>
    <phoneticPr fontId="4" type="noConversion"/>
  </si>
  <si>
    <t>toro informed on cocaine overlord carlos lehder of the medellin cartel</t>
    <phoneticPr fontId="4" type="noConversion"/>
  </si>
  <si>
    <t>also provided information on former dictator of panama manuel noriega</t>
    <phoneticPr fontId="4" type="noConversion"/>
  </si>
  <si>
    <t>he is hoping for visa or green card but ca n't yet collect social security</t>
    <phoneticPr fontId="4" type="noConversion"/>
  </si>
  <si>
    <t>13-3</t>
    <phoneticPr fontId="4" type="noConversion"/>
  </si>
  <si>
    <t>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t>
    <phoneticPr fontId="4" type="noConversion"/>
  </si>
  <si>
    <t xml:space="preserve">
rugby star mils muliaina has been arrested on suspicion of sexual assault .
the former all black mils muliaina was arrested last night after his team was defeated in the quarter finals of the european challenge cup .
he had come off injured during connacht 's defeat at gloucester last night .
he was held in cells overnight before being questioned for more than six hours .</t>
    <phoneticPr fontId="4" type="noConversion"/>
  </si>
  <si>
    <t>he denies assault allegations over alleged incident last month</t>
    <phoneticPr fontId="4" type="noConversion"/>
  </si>
  <si>
    <t>14-3</t>
    <phoneticPr fontId="4" type="noConversion"/>
  </si>
  <si>
    <t>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t>
    <phoneticPr fontId="4" type="noConversion"/>
  </si>
  <si>
    <t xml:space="preserve">
the internet corporation for assigned names and numbers , or ' icann , ' sent a letter on thursday to the u.s. federal trade commission and canada 's office of consumer affairs .
kevin spacey is reportedly among celebrities paying out to have their name removed from one of the '.sucks ' domains which opened on 30 march .
taylor swift has also had to spend defensively in the past to remove her name from '.porn ' and '.adult ' domains .
it has recommended charging $ 2,499 a year for the privilege .</t>
    <phoneticPr fontId="4" type="noConversion"/>
  </si>
  <si>
    <t>youtube , bing , visa , bank of america and yahoo among others targeted</t>
    <phoneticPr fontId="4" type="noConversion"/>
  </si>
  <si>
    <t>us regulator will see if the actions of vox populi registry ltd. were illegal</t>
    <phoneticPr fontId="4" type="noConversion"/>
  </si>
  <si>
    <t>15-3</t>
    <phoneticPr fontId="4" type="noConversion"/>
  </si>
  <si>
    <t>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t>
    <phoneticPr fontId="4" type="noConversion"/>
  </si>
  <si>
    <t>teenager set herself on fire after allegedly being raped by five men .
she was allegedly gang-raped on sunday when she went outside her house in kosi kalan , uttar pradesh 's mathura district , to relieve herself .
on tuesday she set herself on fire using kerosene , according to a neighbour .</t>
    <phoneticPr fontId="4" type="noConversion"/>
  </si>
  <si>
    <t>and suffered 70 per cent burns</t>
    <phoneticPr fontId="4" type="noConversion"/>
  </si>
  <si>
    <t>her brother apparently saw her covered in flames and threw water on her</t>
    <phoneticPr fontId="4" type="noConversion"/>
  </si>
  <si>
    <t>neighbour</t>
    <phoneticPr fontId="4" type="noConversion"/>
  </si>
  <si>
    <t>16-3</t>
    <phoneticPr fontId="4" type="noConversion"/>
  </si>
  <si>
    <t>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t>
    <phoneticPr fontId="4" type="noConversion"/>
  </si>
  <si>
    <t>police exhumed the boy 's body from his grave in norfolk last year .
the baby boy 's body was found wrapped in a blanket inside a sainsbury 's bag floating on a village pond .
the woman , who has not been named , was arrested on suspicion of infanticide but the charge was dropped after she explained how the baby had been stillborn .</t>
    <phoneticPr fontId="4" type="noConversion"/>
  </si>
  <si>
    <t>Accuracy</t>
    <phoneticPr fontId="4" type="noConversion"/>
  </si>
  <si>
    <t>cps may now charge her with failing to register the birth and preventing a lawful burial</t>
    <phoneticPr fontId="4" type="noConversion"/>
  </si>
  <si>
    <t>18-3</t>
    <phoneticPr fontId="4" type="noConversion"/>
  </si>
  <si>
    <t>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t>
    <phoneticPr fontId="4" type="noConversion"/>
  </si>
  <si>
    <t>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t>
    <phoneticPr fontId="4" type="noConversion"/>
  </si>
  <si>
    <t>mr hicks jumped out , sustaining head injuries , and now needs 24-hour care</t>
    <phoneticPr fontId="4" type="noConversion"/>
  </si>
  <si>
    <t>18-3</t>
  </si>
  <si>
    <t>judge rules mr hicks was unlawfully imprisoned and will now get damages</t>
    <phoneticPr fontId="4" type="noConversion"/>
  </si>
  <si>
    <t>20-3</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</si>
  <si>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t>
    <phoneticPr fontId="4" type="noConversion"/>
  </si>
  <si>
    <t>arsenal and liverpool fans left their seats empty at the emirates stadium .
protesters hope the image of empty seats will raise awareness of the struggles fans face to meet the rising costs of following their clubs .
supporters from both clubs say they are ' disgusted ' at the continuing rise of ticket prices .</t>
    <phoneticPr fontId="4" type="noConversion"/>
  </si>
  <si>
    <t>more protests are expected after the lunchtime kick-off at the emirates</t>
    <phoneticPr fontId="4" type="noConversion"/>
  </si>
  <si>
    <t>21-3</t>
  </si>
  <si>
    <t>( cnn ) tornado sirens blared wednesday night in kansas as several storms brought reports of twisters .
spotters reported a tornado about 6 miles northwest of goddard , which is less than 19 miles west of wichita .
that storm moved to the northeast , miss牯業圅湩㈳଀灁⹰敖獲潩楮ㄐ⸶⸰ㄱ㈳⸸〲㌴8䌉楬湥⹴摉ူۋċဃ嵥䁘䶡ᖺ隷鄲Ⓡ฀敄楶散伮䉳極摬թ㠱㘳2䐐癥捩⹥獏敖獲潩楮㄄⸰0䰌来捡⹹灁䥰つ鄀_x0002_䰌来捡⹹獏湅ぶ鄀_x0014_刐汥慥敳䄮摵敩据楥倍潲畤瑣潩彮䍄ᔀ敒敬獡⹥畁楤湥散片畯楰倊潲畤瑣潩n刏汥慥敳䌮慨湮汥ɩ䍄ఀ敒敬獡⹥潆歲ࡩ㤱㄰䨭湡ༀ敓獳潩⹮捅䕳慔楧∮摩䑲ぬ䕷畄杮捰⭆睋ㅒ牖乐摑䑴癨浗ㅊ匴坷㙈婌㵕"匍獥楳湯䘮慬獧0钑_x0003_匊獥楳湯䤮楤ㄤ㘹〴㐸ⴱ㜳㜸㐭摤ⵢ敡愴攭ㄵ㈲㜲㡥摢b匔獥楳湯䤮灭敲獳潩䥮つ쬐ଆ́_x0010__x0000__x0000__x0000__x0000__x0000__x0000__x0000__x0000_北獥楳湯䴮慥畳敲䕳慮汢摥రᴀ敓獳潩⹮慓灭楬杮汃敩瑮摉慖畬づꠈ앭닾㿠က獕牥吮湥湡䝴潲灵੩潃浭牥楣污ഀ獕牥吮湥湡䥴つ쬐ଆ́⼐苞ᙾ魄䒖䗁_x001B_愌瑣獟慴獴楟楤㔤䙃䘱䅁ⵅㄷ㑁㐭䈳ⴱ㘸〱㈭䙆ㄴ〰㔸〲5猇彴牦煥ͩ〳0猋慴獴敟楴敭൩㔱㈷㈴ㄶ㜳〴1猑慴獴牟汯畬彰楫摮ݩ湯潧湩g猋慴獴獟楴敭൩㔱㈷㈴㠵㜳㤳9_x0000_̩⸳䤰愉瑣獟慴獴쩱馠ﯔ껅ᇗ⊩㩯戴㑢㙤㝦慣捦攴㈹㈹㥦㈷捤㉡捤敤㈴ᗋĊᵩ楇慧祢整吠捥湨汯杯⁹潃Ⱞ䰠摴褮䠌ㄳ䴰匠′⸲0ᛋĊ쬀ਗ䤁挦愺㐱搸㔲ⴳ〱ㄷ㐭㔸ⵥ㠹㔸㐭晤慦㙡摤敡ꤲ圏湩潤獷䐮獥瑫灯쬀ਘ褁圏湩潤獷䐠獥瑫灯⺩〱〮ㄮ㌸㈶ㄮ愮摭㐶牦⹥㤱ㅨ牟汥慥敳ㄮ〹ㄳⴸ㈱㈰쬀ਙ꤁䔅䍘䱅ۉㄐ⸶⸰ㄱ㈳⸸〲㌴8ΉĊॉ湕敭整敲楤唇歮潮湷쬀ਠ⤁䔛呖圭湩潤獷䌭⬫中ⵯ⸳⸱ㄱㄮ⑉㈵ㅅ㡆䍆㘭㝅ⵆ䔴㜸㠭㘴ⴷ䕃䄳㌰㈸㍅䙁衱褅㜤䍄䈱ㅅⵆ㘹㐵㐭㕅ⵁ㜸䕂䐭ㄹ㠲〲㜱㜹D⇋Ċ٩〫㨸〰쬀ਥ_x0001_㳉愉瑣獟慴獴䛋Ċभᬊ䄊灰䈮慲据楨䘄牯k䄏灰䤮獮慴汬祔数0ґࠀ灁⹰慎敭թ硅散l䄌灰倮慬晴牯業圅湩㈳଀灁⹰敖獲潩楮ㄐ⸶⸰ㄱ㈳⸸〲㌴8䌉楬湥⹴摉ူۋċဃ嵥䁘䶡ᖺ隷鄲Ⓡ฀敄楶散伮䉳極摬թ㠱㘳2䐐癥捩⹥獏敖獲潩楮㄄⸰0䰌来捡⹹灁䥰つ鄀_x0002_䰌来捡⹹獏湅ぶ鄀_x0014_刐汥慥敳䄮摵敩据楥倍潲畤瑣潩彮䍄ᔀ敒敬獡⹥畁楤湥散片畯楰倊潲畤瑣潩n刏汥慥敳䌮慨湮汥ɩ䍄ఀ敒敬獡⹥潆歲ࡩ㤱㄰䨭湡ༀ敓獳潩⹮捅䕳慔楧∮摩䑲ぬ䕷畄杮捰⭆睋ㅒ牖乐摑䑴癨浗ㅊ匴坷㙈婌㵕"匍獥楳湯䘮慬獧0钑_x0003_匊獥楳湯䤮楤ㄤ㘹〴㐸ⴱ㜳㜸㐭摤ⵢ敡愴攭ㄵ㈲㜲㡥摢b匔獥楳湯䤮灭敲獳潩䥮つ쬐ଆ́_x0010__x0000__x0000__x0000__x0000__x0000__x0000__x0000__x0000_北獥楳湯䴮慥畳敲䕳慮汢摥రᴀ敓獳潩⹮慓灭楬杮汃敩瑮摉慖畬づꠈ앭닾㿠က獕牥吮湥湡䝴潲灵੩潃浭牥楣污ഀ獕牥吮湥湡䥴つ쬐ଆ́⼐苞ᙾ魄䒖䗁_x001B_愌瑣獟慴獴楟楤㔤䙃䘱䅁ⵅㄷ㑁㐭䈳ⴱ㘸〱㈭䙆ㄴ〰㔸〲5猇彴牦煥ͩ〳0猋慴獴敟楴敭൩㔱㈷㈴ㄶ㜳〴1猑慴獴牟汯畬彰楫摮ݩ湯潧湩g猋慴獴獟楴敭൩㔱㈷㈴㠵㜳㤳9_x0000_̩⸳䤰愉瑣獟慴獴쩱馠ﯔ껅ᇗ⊩㩯戴㑢㙤㝦慣捦攴㈹㈹㥦㈷捤㉡捤敤㈴ᗋĊᵩ楇慧祢整吠捥湨汯杯⁹潃Ⱞ䰠摴褮䠌ㄳ䴰匠′⸲0ᛋĊ쬀ਗ䤁挦愺㐱搸㔲ⴳ〱ㄷ㐭㔸ⵥ㠹㔸㐭晤慦㙡摤敡ꤲ圏湩潤獷䐮獥瑫灯쬀ਘ褁圏湩潤獷䐠獥瑫灯⺩〱〮ㄮ㌸㈶ㄮ愮摭㐶牦⹥㤱ㅨ牟汥慥敳ㄮ〹ㄳⴸ㈱㈰쬀ਙ꤁䔅䍘䱅ۉㄐ⸶⸰ㄱ㈳⸸〲㌴8ΉĊॉ湕敭整敲楤唇歮潮湷쬀ਠ⤁䔛呖圭湩潤獷䌭⬫中ⵯ⸳⸱ㄱㄮ⑉㈵ㅅ㡆䍆㘭㝅ⵆ䔴㜸㠭㘴ⴷ䕃䄳㌰㈸㍅䙁虱褅㜤䍄䈱ㅅⵆ㘹㐵㐭㕅ⵁ㜸䕂䐭ㄹ㠲〲㜱㜹D⇋Ċ٩〫㨸〰쬀ਥ_x0001_㳉愉瑣獟慴獴䛋Ċभᬊ䄊灰䈮慲据楨䘄牯k䄏灰䤮獮慴汬祔数0ґࠀ灁⹰慎敭թ硅散l䄌灰倮慬晴牯業圅湩㈳଀灁⹰敖獲潩楮ㄐ⸶⸰ㄱ㈳⸸〲㌴8䌉楬湥⹴摉ူۋċဃ嵥䁘䶡ᖺ隷鄲Ⓡ฀敄楶散伮䉳極摬թ㠱㘳2䐐癥捩⹥獏敖獲潩楮㄄⸰0䰌来捡⹹灁䥰つ鄀_x0002_䰌来捡⹹獏湅ぶ鄀_x0014_刐汥慥敳䄮摵敩据楥倍潲畤瑣潩彮䍄ᔀ敒敬獡⹥畁楤湥散片畯楰倊潲nti</t>
  </si>
  <si>
    <t>spotters reported a tornado about 6 miles northwest of goddard , which is less than 17 miles west of wichita .
storm moved to the northeast , missing the city , but posing potential risks to other communities .</t>
  </si>
  <si>
    <t>kansas spotters report at least four tornadoes</t>
    <phoneticPr fontId="4" type="noConversion"/>
  </si>
  <si>
    <t>( cnn ) tornado sirens blared wednesday night in kansas as several storms brought reports of twisters .
spotters reported a tornado about 6 miles northwest of goddard , which is less than 20 miles west of wichita .
that storm moved to the northeast , miss牯業圅湩㈳଀灁⹰敖獲潩楮ㄐ⸶⸰ㄱ㈳⸸〲㌴8䌉楬湥⹴摉ူۋċဃ嵥䁘䶡ᖺ隷鄲Ⓡ฀敄楶散伮䉳極摬թ㠱㘳2䐐癥捩⹥獏敖獲潩楮㄄⸰0䰌来捡⹹灁䥰つ鄀_x0002_䰌来捡⹹獏湅ぶ鄀_x0014_刐汥慥敳䄮摵敩据楥倍潲畤瑣潩彮䍄ᔀ敒敬獡⹥畁楤湥散片畯楰倊潲畤瑣潩n刏汥慥敳䌮慨湮汥ɩ䍄ఀ敒敬獡⹥潆歲ࡩ㤱㄰䨭湡ༀ敓獳潩⹮捅䕳慔楧∮摩䑲ぬ䕷畄杮捰⭆睋ㅒ牖乐摑䑴癨浗ㅊ匴坷㙈婌㵕"匍獥楳湯䘮慬獧0钑_x0003_匊獥楳湯䤮楤ㄤ㘹〴㐸ⴱ㜳㜸㐭摤ⵢ敡愴攭ㄵ㈲㜲㡥摢b匔獥楳湯䤮灭敲獳潩䥮つ쬐ଆ́_x0010__x0000__x0000__x0000__x0000__x0000__x0000__x0000__x0000_北獥楳湯䴮慥畳敲䕳慮汢摥రᴀ敓獳潩⹮慓灭楬杮汃敩瑮摉慖畬づꠈ앭닾㿠က獕牥吮湥湡䝴潲灵੩潃浭牥楣污ഀ獕牥吮湥湡䥴つ쬐ଆ́⼐苞ᙾ魄䒖䗁_x001B_愌瑣獟慴獴楟楤㔤䙃䘱䅁ⵅㄷ㑁㐭䈳ⴱ㘸〱㈭䙆ㄴ〰㔸〲5猇彴牦煥ͩ〳0猋慴獴敟楴敭൩㔱㈷㈴ㄶ㜳〴1猑慴獴牟汯畬彰楫摮ݩ湯潧湩g猋慴獴獟楴敭൩㔱㈷㈴㠵㜳㤳9_x0000_̩⸳䤰愉瑣獟慴獴쩱馠ﯔ껅ᇗ⊩㩯戴㑢㙤㝦慣捦攴㈹㈹㥦㈷捤㉡捤敤㈴ᗋĊᵩ楇慧祢整吠捥湨汯杯⁹潃Ⱞ䰠摴褮䠌ㄳ䴰匠′⸲0ᛋĊ쬀ਗ䤁挦愺㐱搸㔲ⴳ〱ㄷ㐭㔸ⵥ㠹㔸㐭晤慦㙡摤敡ꤲ圏湩潤獷䐮獥瑫灯쬀ਘ褁圏湩潤獷䐠獥瑫灯⺩〱〮ㄮ㌸㈶ㄮ愮摭㐶牦⹥㤱ㅨ牟汥慥敳ㄮ〹ㄳⴸ㈱㈰쬀ਙ꤁䔅䍘䱅ۉㄐ⸶⸰ㄱ㈳⸸〲㌴8ΉĊॉ湕敭整敲楤唇歮潮湷쬀ਠ⤁䔛呖圭湩潤獷䌭⬫中ⵯ⸳⸱ㄱㄮ⑉㈵ㅅ㡆䍆㘭㝅ⵆ䔴㜸㠭㘴ⴷ䕃䄳㌰㈸㍅䙁衱褅㜤䍄䈱ㅅⵆ㘹㐵㐭㕅ⵁ㜸䕂䐭ㄹ㠲〲㜱㜹D⇋Ċ٩〫㨸〰쬀ਥ_x0001_㳉愉瑣獟慴獴䛋Ċभᬊ䄊灰䈮慲据楨䘄牯k䄏灰䤮獮慴汬祔数0ґࠀ灁⹰慎敭թ硅散l䄌灰倮慬晴牯業圅湩㈳଀灁⹰敖獲潩楮ㄐ⸶⸰ㄱ㈳⸸〲㌴8䌉楬湥⹴摉ူۋċဃ嵥䁘䶡ᖺ隷鄲Ⓡ฀敄楶散伮䉳極摬թ㠱㘳2䐐癥捩⹥獏敖獲潩楮㄄⸰0䰌来捡⹹灁䥰つ鄀_x0002_䰌来捡⹹獏湅ぶ鄀_x0014_刐汥慥敳䄮摵敩据楥倍潲畤瑣潩彮䍄ᔀ敒敬獡⹥畁楤湥散片畯楰倊潲畤瑣潩n刏汥慥敳䌮慨湮汥ɩ䍄ఀ敒敬獡⹥潆歲ࡩ㤱㄰䨭湡ༀ敓獳潩⹮捅䕳慔楧∮摩䑲ぬ䕷畄杮捰⭆睋ㅒ牖乐摑䑴癨浗ㅊ匴坷㙈婌㵕"匍獥楳湯䘮慬獧0钑_x0003_匊獥楳湯䤮楤ㄤ㘹〴㐸ⴱ㜳㜸㐭摤ⵢ敡愴攭ㄵ㈲㜲㡥摢b匔獥楳湯䤮灭敲獳潩䥮つ쬐ଆ́_x0010__x0000__x0000__x0000__x0000__x0000__x0000__x0000__x0000_北獥楳湯䴮慥畳敲䕳慮汢摥రᴀ敓獳潩⹮慓灭楬杮汃敩瑮摉慖畬づꠈ앭닾㿠က獕牥吮湥湡䝴潲灵੩潃浭牥楣污ഀ獕牥吮湥湡䥴つ쬐ଆ́⼐苞ᙾ魄䒖䗁_x001B_愌瑣獟慴獴楟楤㔤䙃䘱䅁ⵅㄷ㑁㐭䈳ⴱ㘸〱㈭䙆ㄴ〰㔸〲5猇彴牦煥ͩ〳0猋慴獴敟楴敭൩㔱㈷㈴ㄶ㜳〴1猑慴獴牟汯畬彰楫摮ݩ湯潧湩g猋慴獴獟楴敭൩㔱㈷㈴㠵㜳㤳9_x0000_̩⸳䤰愉瑣獟慴獴쩱馠ﯔ껅ᇗ⊩㩯戴㑢㙤㝦慣捦攴㈹㈹㥦㈷捤㉡捤敤㈴ᗋĊᵩ楇慧祢整吠捥湨汯杯⁹潃Ⱞ䰠摴褮䠌ㄳ䴰匠′⸲0ᛋĊ쬀ਗ䤁挦愺㐱搸㔲ⴳ〱ㄷ㐭㔸ⵥ㠹㔸㐭晤慦㙡摤敡ꤲ圏湩潤獷䐮獥瑫灯쬀ਘ褁圏湩潤獷䐠獥瑫灯⺩〱〮ㄮ㌸㈶ㄮ愮摭㐶牦⹥㤱ㅨ牟汥慥敳ㄮ〹ㄳⴸ㈱㈰쬀ਙ꤁䔅䍘䱅ۉㄐ⸶⸰ㄱ㈳⸸〲㌴8ΉĊॉ湕敭整敲楤唇歮潮湷쬀ਠ⤁䔛呖圭湩潤獷䌭⬫中ⵯ⸳⸱ㄱㄮ⑉㈵ㅅ㡆䍆㘭㝅ⵆ䔴㜸㠭㘴ⴷ䕃䄳㌰㈸㍅䙁虱褅㜤䍄䈱ㅅⵆ㘹㐵㐭㕅ⵁ㜸䕂䐭ㄹ㠲〲㜱㜹D⇋Ċ٩〫㨸〰쬀ਥ_x0001_㳉愉瑣獟慴獴䛋Ċभᬊ䄊灰䈮慲据楨䘄牯k䄏灰䤮獮慴汬祔数0ґࠀ灁⹰慎敭թ硅散l䄌灰倮慬晴牯業圅湩㈳଀灁⹰敖獲潩楮ㄐ⸶⸰ㄱ㈳⸸〲㌴8䌉楬湥⹴摉ူۋċဃ嵥䁘䶡ᖺ隷鄲Ⓡ฀敄楶散伮䉳極摬թ㠱㘳2䐐癥捩⹥獏敖獲潩楮㄄⸰0䰌来捡⹹灁䥰つ鄀_x0002_䰌来捡⹹獏湅ぶ鄀_x0014_刐汥慥敳䄮摵敩据楥倍潲畤瑣潩彮䍄ᔀ敒敬獡⹥畁楤湥散片畯楰倊潲nti</t>
  </si>
  <si>
    <t>spotters reported a tornado about 6 miles northwest of goddard , which is less than 18 miles west of wichita .
storm moved to the northeast , missing the city , but posing potential risks to other communities .</t>
  </si>
  <si>
    <t>potosi , missouri , sees wind damage to roofs and some flooding</t>
    <phoneticPr fontId="4" type="noConversion"/>
  </si>
  <si>
    <t>( cnn ) tornado sirens blared wednesday night in kansas as several storms brought reports of twisters .
spotters reported a tornado about 6 miles northwest of goddard , which is less than 21 miles west of wichita .
that storm moved to the northeast , miss牯業圅湩㈳଀灁⹰敖獲潩楮ㄐ⸶⸰ㄱ㈳⸸〲㌴8䌉楬湥⹴摉ူۋċဃ嵥䁘䶡ᖺ隷鄲Ⓡ฀敄楶散伮䉳極摬թ㠱㘳2䐐癥捩⹥獏敖獲潩楮㄄⸰0䰌来捡⹹灁䥰つ鄀_x0002_䰌来捡⹹獏湅ぶ鄀_x0014_刐汥慥敳䄮摵敩据楥倍潲畤瑣潩彮䍄ᔀ敒敬獡⹥畁楤湥散片畯楰倊潲畤瑣潩n刏汥慥敳䌮慨湮汥ɩ䍄ఀ敒敬獡⹥潆歲ࡩ㤱㄰䨭湡ༀ敓獳潩⹮捅䕳慔楧∮摩䑲ぬ䕷畄杮捰⭆睋ㅒ牖乐摑䑴癨浗ㅊ匴坷㙈婌㵕"匍獥楳湯䘮慬獧0钑_x0003_匊獥楳湯䤮楤ㄤ㘹〴㐸ⴱ㜳㜸㐭摤ⵢ敡愴攭ㄵ㈲㜲㡥摢b匔獥楳湯䤮灭敲獳潩䥮つ쬐ଆ́_x0010__x0000__x0000__x0000__x0000__x0000__x0000__x0000__x0000_北獥楳湯䴮慥畳敲䕳慮汢摥రᴀ敓獳潩⹮慓灭楬杮汃敩瑮摉慖畬づꠈ앭닾㿠က獕牥吮湥湡䝴潲灵੩潃浭牥楣污ഀ獕牥吮湥湡䥴つ쬐ଆ́⼐苞ᙾ魄䒖䗁_x001B_愌瑣獟慴獴楟楤㔤䙃䘱䅁ⵅㄷ㑁㐭䈳ⴱ㘸〱㈭䙆ㄴ〰㔸〲5猇彴牦煥ͩ〳0猋慴獴敟楴敭൩㔱㈷㈴ㄶ㜳〴1猑慴獴牟汯畬彰楫摮ݩ湯潧湩g猋慴獴獟楴敭൩㔱㈷㈴㠵㜳㤳9_x0000_̩⸳䤰愉瑣獟慴獴쩱馠ﯔ껅ᇗ⊩㩯戴㑢㙤㝦慣捦攴㈹㈹㥦㈷捤㉡捤敤㈴ᗋĊᵩ楇慧祢整吠捥湨汯杯⁹潃Ⱞ䰠摴褮䠌ㄳ䴰匠′⸲0ᛋĊ쬀ਗ䤁挦愺㐱搸㔲ⴳ〱ㄷ㐭㔸ⵥ㠹㔸㐭晤慦㙡摤敡ꤲ圏湩潤獷䐮獥瑫灯쬀ਘ褁圏湩潤獷䐠獥瑫灯⺩〱〮ㄮ㌸㈶ㄮ愮摭㐶牦⹥㤱ㅨ牟汥慥敳ㄮ〹ㄳⴸ㈱㈰쬀ਙ꤁䔅䍘䱅ۉㄐ⸶⸰ㄱ㈳⸸〲㌴8ΉĊॉ湕敭整敲楤唇歮潮湷쬀ਠ⤁䔛呖圭湩潤獷䌭⬫中ⵯ⸳⸱ㄱㄮ⑉㈵ㅅ㡆䍆㘭㝅ⵆ䔴㜸㠭㘴ⴷ䕃䄳㌰㈸㍅䙁衱褅㜤䍄䈱ㅅⵆ㘹㐵㐭㕅ⵁ㜸䕂䐭ㄹ㠲〲㜱㜹D⇋Ċ٩〫㨸〰쬀ਥ_x0001_㳉愉瑣獟慴獴䛋Ċभᬊ䄊灰䈮慲据楨䘄牯k䄏灰䤮獮慴汬祔数0ґࠀ灁⹰慎敭թ硅散l䄌灰倮慬晴牯業圅湩㈳଀灁⹰敖獲潩楮ㄐ⸶⸰ㄱ㈳⸸〲㌴8䌉楬湥⹴摉ူۋċဃ嵥䁘䶡ᖺ隷鄲Ⓡ฀敄楶散伮䉳極摬թ㠱㘳2䐐癥捩⹥獏敖獲潩楮㄄⸰0䰌来捡⹹灁䥰つ鄀_x0002_䰌来捡⹹獏湅ぶ鄀_x0014_刐汥慥敳䄮摵敩据楥倍潲畤瑣潩彮䍄ᔀ敒敬獡⹥畁楤湥散片畯楰倊潲畤瑣潩n刏汥慥敳䌮慨湮汥ɩ䍄ఀ敒敬獡⹥潆歲ࡩ㤱㄰䨭湡ༀ敓獳潩⹮捅䕳慔楧∮摩䑲ぬ䕷畄杮捰⭆睋ㅒ牖乐摑䑴癨浗ㅊ匴坷㙈婌㵕"匍獥楳湯䘮慬獧0钑_x0003_匊獥楳湯䤮楤ㄤ㘹〴㐸ⴱ㜳㜸㐭摤ⵢ敡愴攭ㄵ㈲㜲㡥摢b匔獥楳湯䤮灭敲獳潩䥮つ쬐ଆ́_x0010__x0000__x0000__x0000__x0000__x0000__x0000__x0000__x0000_北獥楳湯䴮慥畳敲䕳慮汢摥రᴀ敓獳潩⹮慓灭楬杮汃敩瑮摉慖畬づꠈ앭닾㿠က獕牥吮湥湡䝴潲灵੩潃浭牥楣污ഀ獕牥吮湥湡䥴つ쬐ଆ́⼐苞ᙾ魄䒖䗁_x001B_愌瑣獟慴獴楟楤㔤䙃䘱䅁ⵅㄷ㑁㐭䈳ⴱ㘸〱㈭䙆ㄴ〰㔸〲5猇彴牦煥ͩ〳0猋慴獴敟楴敭൩㔱㈷㈴ㄶ㜳〴1猑慴獴牟汯畬彰楫摮ݩ湯潧湩g猋慴獴獟楴敭൩㔱㈷㈴㠵㜳㤳9_x0000_̩⸳䤰愉瑣獟慴獴쩱馠ﯔ껅ᇗ⊩㩯戴㑢㙤㝦慣捦攴㈹㈹㥦㈷捤㉡捤敤㈴ᗋĊᵩ楇慧祢整吠捥湨汯杯⁹潃Ⱞ䰠摴褮䠌ㄳ䴰匠′⸲0ᛋĊ쬀ਗ䤁挦愺㐱搸㔲ⴳ〱ㄷ㐭㔸ⵥ㠹㔸㐭晤慦㙡摤敡ꤲ圏湩潤獷䐮獥瑫灯쬀ਘ褁圏湩潤獷䐠獥瑫灯⺩〱〮ㄮ㌸㈶ㄮ愮摭㐶牦⹥㤱ㅨ牟汥慥敳ㄮ〹ㄳⴸ㈱㈰쬀ਙ꤁䔅䍘䱅ۉㄐ⸶⸰ㄱ㈳⸸〲㌴8ΉĊॉ湕敭整敲楤唇歮潮湷쬀ਠ⤁䔛呖圭湩潤獷䌭⬫中ⵯ⸳⸱ㄱㄮ⑉㈵ㅅ㡆䍆㘭㝅ⵆ䔴㜸㠭㘴ⴷ䕃䄳㌰㈸㍅䙁虱褅㜤䍄䈱ㅅⵆ㘹㐵㐭㕅ⵁ㜸䕂䐭ㄹ㠲〲㜱㜹D⇋Ċ٩〫㨸〰쬀ਥ_x0001_㳉愉瑣獟慴獴䛋Ċभᬊ䄊灰䈮慲据楨䘄牯k䄏灰䤮獮慴汬祔数0ґࠀ灁⹰慎敭թ硅散l䄌灰倮慬晴牯業圅湩㈳଀灁⹰敖獲潩楮ㄐ⸶⸰ㄱ㈳⸸〲㌴8䌉楬湥⹴摉ူۋċဃ嵥䁘䶡ᖺ隷鄲Ⓡ฀敄楶散伮䉳極摬թ㠱㘳2䐐癥捩⹥獏敖獲潩楮㄄⸰0䰌来捡⹹灁䥰つ鄀_x0002_䰌来捡⹹獏湅ぶ鄀_x0014_刐汥慥敳䄮摵敩据楥倍潲畤瑣潩彮䍄ᔀ敒敬獡⹥畁楤湥散片畯楰倊潲nti</t>
  </si>
  <si>
    <t>spotters reported a tornado about 6 miles northwest of goddard , which is less than 19 miles west of wichita .
storm moved to the northeast , missing the city , but posing potential risks to other communities .</t>
  </si>
  <si>
    <t>thursday 's forecast calls for more storms but to the east</t>
    <phoneticPr fontId="4" type="noConversion"/>
  </si>
  <si>
    <t>22-3</t>
    <phoneticPr fontId="4" type="noConversion"/>
  </si>
  <si>
    <t>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t>
    <phoneticPr fontId="4" type="noConversion"/>
  </si>
  <si>
    <t>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t>
    <phoneticPr fontId="4" type="noConversion"/>
  </si>
  <si>
    <t>neither of her parents were suitable candidates for partial liver transplant</t>
    <phoneticPr fontId="4" type="noConversion"/>
  </si>
  <si>
    <t>her maternal aunt shanell was the best chance she had at survival</t>
  </si>
  <si>
    <t>star underwent operation in leeds in november and has since recovered</t>
    <phoneticPr fontId="4" type="noConversion"/>
  </si>
  <si>
    <t>24-3</t>
    <phoneticPr fontId="4" type="noConversion"/>
  </si>
  <si>
    <t>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t>
    <phoneticPr fontId="4" type="noConversion"/>
  </si>
  <si>
    <t>chelsea stars aim to fire balls into the boot of a car from close range .
eden hazard and nathan ake paired up to take on loic remy and willian in a head-to-head challenge for the car manufacturers .
the pair were involved in the biggest misfortune of the day on their way to victory .</t>
    <phoneticPr fontId="4" type="noConversion"/>
  </si>
  <si>
    <t>willian accidentally smashes the wing mirror of one of the audi 's</t>
    <phoneticPr fontId="4" type="noConversion"/>
  </si>
  <si>
    <t>25-3</t>
  </si>
  <si>
    <t>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t>
    <phoneticPr fontId="4" type="noConversion"/>
  </si>
  <si>
    <t>shocking footage shows light general aviation aircraft approaching aero acres residential airpark .
despite the fact the aerostar plane travels at speed , its descent towards the landing strip appears normal until the video maker makes a startling observation .
suddenly the pilot re-engages the engines and rather unceremoniously takes off back into the air .</t>
    <phoneticPr fontId="4" type="noConversion"/>
  </si>
  <si>
    <t>filmmaker points out that the pilot has not deployed the landing gear</t>
    <phoneticPr fontId="4" type="noConversion"/>
  </si>
  <si>
    <t>plane touches down onto the tarmac and skids along the runway</t>
    <phoneticPr fontId="4" type="noConversion"/>
  </si>
  <si>
    <t>its propellers ricochet off the ground before pilot re-engages engines</t>
  </si>
  <si>
    <t>aircraft takes off and flies 100 miles away to fort lauderdale , florida</t>
    <phoneticPr fontId="4" type="noConversion"/>
  </si>
  <si>
    <t>26-3</t>
    <phoneticPr fontId="4" type="noConversion"/>
  </si>
  <si>
    <t>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t>
    <phoneticPr fontId="4" type="noConversion"/>
  </si>
  <si>
    <t>john timmons , 29 , and amanda murphy , 24 , were killed instantly in the crash on december 7 , 2013 .
prosecutors previously said that robert dellinger , 54 , told investigators he was trying to kill himself in december 2013 when he drove his pickup truck across a median at more than 100mph and plowed into an oncoming suv .
amanda murphy , who was eight months pregnant , and her fiance , 29-year-old jason timmons .</t>
    <phoneticPr fontId="4" type="noConversion"/>
  </si>
  <si>
    <t>were killed</t>
    <phoneticPr fontId="4" type="noConversion"/>
  </si>
  <si>
    <t>dellinger pleaded guilty in february to negligent homicide for their deaths , and to assault for the death of the fetus</t>
    <phoneticPr fontId="4" type="noConversion"/>
  </si>
  <si>
    <t>26-3</t>
  </si>
  <si>
    <t>he faces 12 to 24 years in prison when sentencing resumes Thursday</t>
    <phoneticPr fontId="4" type="noConversion"/>
  </si>
  <si>
    <t>deborah dellinger , defendant 's wife , described her husband from the witness stand as a ` man of ethics , integrity and friendship '</t>
    <phoneticPr fontId="4" type="noConversion"/>
  </si>
  <si>
    <t>27-3</t>
    <phoneticPr fontId="4" type="noConversion"/>
  </si>
  <si>
    <t>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t>
    <phoneticPr fontId="4" type="noConversion"/>
  </si>
  <si>
    <t>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 who has two years left on a £220,000-a-week deal , has come in for criticism .</t>
    <phoneticPr fontId="4" type="noConversion"/>
  </si>
  <si>
    <t>manchester city face west ham at upton park on sunday</t>
  </si>
  <si>
    <t>sam allardyce has warned aaron cresswell about joining manchester city</t>
  </si>
  <si>
    <t>28-3</t>
    <phoneticPr fontId="4" type="noConversion"/>
  </si>
  <si>
    <t>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t>
    <phoneticPr fontId="4" type="noConversion"/>
  </si>
  <si>
    <t>lacey spears of scottsville , kentucky , appeared emotionless as the verdict was read in the death of her son garnett-paul spears .
the boy 's father , chris hill , was not emotionless however and wrote of his wife 's sentence ; ' please put her in general population ! thats all im asking for ! because she wont make it .
garnett-paul spears ' ( left ) father chris hill lashed at his ex and the boy 's mother on facebook this week expressing his hope that she would die in prison .</t>
    <phoneticPr fontId="4" type="noConversion"/>
  </si>
  <si>
    <t>the 27-year-old spears force-fed heavy concentrations of sodium through the boy 's stomach tube</t>
  </si>
  <si>
    <t>judge who sentenced spears on wednesday said she suffers from a mental illness and said the crime was still ` unfathomable in its cruelty '</t>
  </si>
  <si>
    <t>29-3</t>
    <phoneticPr fontId="4" type="noConversion"/>
  </si>
  <si>
    <t>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t>
    <phoneticPr fontId="4" type="noConversion"/>
  </si>
  <si>
    <t>domenico rancadore , who has lived in britain for more than 20 years , was given a seven-year sentence by an italian court in 1999 for being a member of the cosa nostra .
but today it emerged that the 65-year-old 's case expired last october and his european arrest warrant is to be withdrawn .
italian law states that a sentence is extinguished once a period of more than double the time of the penalty has passed .</t>
    <phoneticPr fontId="4" type="noConversion"/>
  </si>
  <si>
    <t>he was convicted for role as a ` man of honour ' , taking bribes from builders</t>
  </si>
  <si>
    <t>in february the sicilian mafia fugitive lost battle against extradition to italy</t>
  </si>
  <si>
    <t>30-3</t>
    <phoneticPr fontId="4" type="noConversion"/>
  </si>
  <si>
    <t>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t>
    <phoneticPr fontId="4" type="noConversion"/>
  </si>
  <si>
    <t>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b strain b/phuket .
experts say the modified version of the vaccination is worth waiting for .</t>
    <phoneticPr fontId="4" type="noConversion"/>
  </si>
  <si>
    <t>high-risk groups in australia will be able to get free flu shots from april 20</t>
  </si>
  <si>
    <t>31-3</t>
    <phoneticPr fontId="4" type="noConversion"/>
  </si>
  <si>
    <t>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t>
    <phoneticPr fontId="4" type="noConversion"/>
  </si>
  <si>
    <t>ap mccoy’s mount in the grade one celebration chase at sandown on saturday .
paul nicholls-trained mr mole is bracketed with irish raider special tiara and nicky henderson’s sprinter sacre , who will be ridden by cheltenham gold cup winner nico de boinville in the absence of injured barry geraghty .
mr mole will be mccoy’s last ride in a grade one race .</t>
    <phoneticPr fontId="4" type="noConversion"/>
  </si>
  <si>
    <t>has been</t>
  </si>
  <si>
    <t>installed</t>
  </si>
  <si>
    <t>31-3</t>
  </si>
  <si>
    <t>7-2</t>
    <phoneticPr fontId="4" type="noConversion"/>
  </si>
  <si>
    <t>co-favourites</t>
  </si>
  <si>
    <t>32-3</t>
  </si>
  <si>
    <t>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t>
    <phoneticPr fontId="4" type="noConversion"/>
  </si>
  <si>
    <t>illinois gov .bruce rauner has proposed eliminating the state historic preservation agency that manages sites including the tomb .
illinois faces a financial crisis and gov .
bruce rauner participates in ceremonies honoring president abraham lincoln at the lincoln tomb in springfield , illinois .</t>
    <phoneticPr fontId="4" type="noConversion"/>
  </si>
  <si>
    <t>caretakers of lincoln 's tomb are on the defensive over an unflattering magazine critique and looming budget cuts</t>
    <phoneticPr fontId="4" type="noConversion"/>
  </si>
  <si>
    <t>the site was pilloried in this month 's issue of national geographic magazine as having ` all the historical character of an office lobby '</t>
  </si>
  <si>
    <t>rauner would roll the agency into another department</t>
  </si>
  <si>
    <t>lincoln 's tomb was designed by vermont sculptor larkin mead , who won a national contest</t>
  </si>
  <si>
    <t>it was dedicated by president ulysses s. grant in 1874</t>
  </si>
  <si>
    <t>the tomb was reconstructed in both 1899 and 1930</t>
  </si>
  <si>
    <t>33-3</t>
  </si>
  <si>
    <t>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t>
    <phoneticPr fontId="4" type="noConversion"/>
  </si>
  <si>
    <t>virginia trimble ritter 's daughter , marcia , was raped and choked to death by jerome sydney barrett in 1975 .
marcia 's body was found 33 days after she disappeared and ritter 's then-husband advised her against seeing the body and the crime scene photos .
charlie , who died in 1989 , wanted their last memory to be of her running in and out of the house , ' the real marcia .
but ritter told the tennessean , last year it was a decision she now regrets .</t>
    <phoneticPr fontId="4" type="noConversion"/>
  </si>
  <si>
    <t>the case was nashville 's most notorious unsolved murder for 33 years</t>
  </si>
  <si>
    <t>ritter , who did not see her daughter 's body at the time , recently asked to see the photos investigators took at the scene</t>
  </si>
  <si>
    <t>after seeing the photos , ritter said she shouted , ` if i had a gun i 'd kill him ! '</t>
  </si>
  <si>
    <t>34-3</t>
    <phoneticPr fontId="4" type="noConversion"/>
  </si>
  <si>
    <t>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t>
    <phoneticPr fontId="4" type="noConversion"/>
  </si>
  <si>
    <t>jcno jeans , popular at nineties raves , are threatening to make a comeback .
the return of the highly impractical jeans , which featured giant leg openings approaching 50in , has us contemplating the retro fashion nineties and noughties trends that should be left in the past .</t>
    <phoneticPr fontId="4" type="noConversion"/>
  </si>
  <si>
    <t>other 90s/00s trends here to stay include uggs , velour and corsets</t>
  </si>
  <si>
    <t>35-3</t>
    <phoneticPr fontId="4" type="noConversion"/>
  </si>
  <si>
    <t>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t>
    <phoneticPr fontId="4" type="noConversion"/>
  </si>
  <si>
    <t>rory mcilroy believes it is ' unthinkable ' that he will not win the masters at some point to complete the career grand slam .
mcilroy is looking to claim his first green jacket and become just the sixth player to win all four major titles after gene sarazen , ben hogan , gary player , jack nicklaus and tiger woods .
mcilroy has just one top-10 finish to his name in six masters appearances .</t>
    <phoneticPr fontId="4" type="noConversion"/>
  </si>
  <si>
    <t>final-round collapse at augusta national in 2011 was the most important day of career , mcilroy reveals</t>
  </si>
  <si>
    <t>35-3</t>
  </si>
  <si>
    <t>the northern irishman finished joint eighth last year</t>
  </si>
  <si>
    <t>37-3</t>
    <phoneticPr fontId="4" type="noConversion"/>
  </si>
  <si>
    <t>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t>
    <phoneticPr fontId="4" type="noConversion"/>
  </si>
  <si>
    <t>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klopp will officially cease to be dortmund manager on june 30 .</t>
    <phoneticPr fontId="4" type="noConversion"/>
  </si>
  <si>
    <t>he has denied that he wants to take a break because of exhaustion</t>
  </si>
  <si>
    <t>klopp has won two bundesliga titles and the german cup at dortmund</t>
  </si>
  <si>
    <t>he has admitted that he is no longer the perfect manager for the club</t>
  </si>
  <si>
    <t>36-3</t>
  </si>
  <si>
    <t>(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t>
    <phoneticPr fontId="4" type="noConversion"/>
  </si>
  <si>
    <t>amanda curtis , ceo of a fashion company , snapped the lucky shot .
families will have to find a new way to cheer up mourners .
they seem to spawn a new trend every other week .</t>
    <phoneticPr fontId="4" type="noConversion"/>
  </si>
  <si>
    <t>what do funeral strippers , a quadruple rainbow and kylie jenner have in common ? they all trended this week !</t>
  </si>
  <si>
    <t>40-3</t>
  </si>
  <si>
    <t>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t>
    <phoneticPr fontId="4" type="noConversion"/>
  </si>
  <si>
    <t>two gunman shot her dead at point-blank range late friday .
she is in a hospital but is expected to be released on time for her daughter 's funeral .
no one has claimed responsibility for her shooting .</t>
    <phoneticPr fontId="4" type="noConversion"/>
  </si>
  <si>
    <t>she hosted a controversial discussion on the disappearance of people</t>
  </si>
  <si>
    <t>she knew what she was doing was dangerous and had received death threats before</t>
  </si>
  <si>
    <t>mahmud loved books , jimi hendrix and discussions about human rights</t>
  </si>
  <si>
    <t>41-3</t>
  </si>
  <si>
    <t>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t>
    <phoneticPr fontId="4" type="noConversion"/>
  </si>
  <si>
    <t>ex-juvenile offender shaun andrew mckerry , dubbed boomerang boy or homing pigeon boy in his youth , burst into shildon post office and stores , county durham , at 8pm on march 15 .
masked 31-year-old waved an axe as he demanded cash from terrified assistant andrea brighty , but he did not see owner sab dhillon 's rugby tackle which dropped him to the floor , sending shelves and produce tumbling .
blood can be seen coming from the would-be robber 's nose as mr dhillon gestures to his wife to drop the weapon .</t>
    <phoneticPr fontId="4" type="noConversion"/>
  </si>
  <si>
    <t>an axe-wielding robber has been jailed for attempting to rob a corner shop</t>
  </si>
  <si>
    <t>shaun andrew mckerry , 31 , had been arrested 80 times by the age of 15</t>
  </si>
  <si>
    <t>42-3</t>
  </si>
  <si>
    <t>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t>
    <phoneticPr fontId="4" type="noConversion"/>
  </si>
  <si>
    <t>mangu ram was 14 when he fled to kashmir as a refugee - now an old man , for the past 70 years he has been denied citizenship rights .
it is almost 70 years since he fled the violence that followed the partition of india , and he is still regarded as a second class citizen in indian kashmir .</t>
    <phoneticPr fontId="4" type="noConversion"/>
  </si>
  <si>
    <t>thousands of people caught in poverty because successive governments refuse to change their refugee status</t>
  </si>
  <si>
    <t>laws mean that the west pakistan refugees living in jammur and kashmir can not vote in elections or own property</t>
  </si>
  <si>
    <t>hopes that election of hindu nationalist party as a coalition partner could herald historic change for the community</t>
  </si>
  <si>
    <t>43-3</t>
    <phoneticPr fontId="4" type="noConversion"/>
  </si>
  <si>
    <t>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t>
    <phoneticPr fontId="4" type="noConversion"/>
  </si>
  <si>
    <t>joshua finbow , 23 , of gosport , hampshire , charged with gang rape .
two of the accused , simon radford , craig stoner , 24 , and craig stoner , 35 , had been playing for the royal navy ice hockey team in a tournament at the shearwater naval base just east of halifax .
darren smalley , 35 , of gosport , hampshire , arrives at court today .</t>
    <phoneticPr fontId="4" type="noConversion"/>
  </si>
  <si>
    <t>gosport</t>
  </si>
  <si>
    <t>43-3</t>
  </si>
  <si>
    <t>craig stoner</t>
  </si>
  <si>
    <t>darren smalley</t>
  </si>
  <si>
    <t>four royal navy sailors are bailed following hearing nova scotia , canada</t>
  </si>
  <si>
    <t>they are charged with raping a 21-year-old woman at military base party</t>
  </si>
  <si>
    <t>44-3</t>
    <phoneticPr fontId="4" type="noConversion"/>
  </si>
  <si>
    <t>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t>
    <phoneticPr fontId="4" type="noConversion"/>
  </si>
  <si>
    <t>fc tokyo forward yoshinori muto has admitted that he is still considering a move to chelsea as he wants to join a club where he will ' play and develop ' .
chelsea have made an offer for muto according to fc tokyo president naoki ogane .
chelsea would look to loan muto to partner club vitesse arnhem next season .</t>
    <phoneticPr fontId="4" type="noConversion"/>
  </si>
  <si>
    <t>chelsea would look to loan muto to partner club vitesse arnhem next season .</t>
  </si>
  <si>
    <t>muto 's former manager , ranko popovic , says his potential is ` amazing '</t>
  </si>
  <si>
    <t>44-3</t>
  </si>
  <si>
    <t>jose mourinho has admitted that he is aware of the japan international</t>
  </si>
  <si>
    <t>45-3</t>
    <phoneticPr fontId="4" type="noConversion"/>
  </si>
  <si>
    <t>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t>
    <phoneticPr fontId="4" type="noConversion"/>
  </si>
  <si>
    <t>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t>
    <phoneticPr fontId="4" type="noConversion"/>
  </si>
  <si>
    <t>his mother valerie jackson has to regularly cover him in creams to try and prevent his skin drying out .</t>
  </si>
  <si>
    <t>mother valerie jackson is regularly accused of ` scalding or burning ' him</t>
  </si>
  <si>
    <t>says rj faces cruel taunts from bullies - most of whom are ignorant adults</t>
  </si>
  <si>
    <t>46-3</t>
    <phoneticPr fontId="4" type="noConversion"/>
  </si>
  <si>
    <t>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t>
    <phoneticPr fontId="4" type="noConversion"/>
  </si>
  <si>
    <t>stuart lancaster must be free to pick his best players , no matter where in the world they are playing overseas .
the world cup is simply about the world’s best coming together and ridiculous rules like this demean it .
toulon’s steffon armitage came off the bench against leinster on sunday .</t>
    <phoneticPr fontId="4" type="noConversion"/>
  </si>
  <si>
    <t>stuart lancaster must be free to pick his best players , no matter where in the world they are playing overseas .</t>
  </si>
  <si>
    <t>the world cup is simply about the world’s best coming together and ridiculous rules like this demean it .</t>
  </si>
  <si>
    <t>46-3</t>
  </si>
  <si>
    <t>toulon’s steffon armitage came off the bench against leinster on sunday .</t>
    <phoneticPr fontId="4" type="noConversion"/>
  </si>
  <si>
    <t>australia have seen sense by revamping their overseas selection policy</t>
    <phoneticPr fontId="4" type="noConversion"/>
  </si>
  <si>
    <t>it leaves england looking old-fashioned and they need to react</t>
  </si>
  <si>
    <t>england need the best squad possible for the forthcoming world cup</t>
  </si>
  <si>
    <t>47-3</t>
    <phoneticPr fontId="4" type="noConversion"/>
  </si>
  <si>
    <t>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t>
    <phoneticPr fontId="4" type="noConversion"/>
  </si>
  <si>
    <t>campaigners against the new protein world ' are you beach body ready ? transport for london ( tfl ) has revealed that the controversial posters around the london underground featuring a bikini-clad model called renee somerfield are being removed .</t>
    <phoneticPr fontId="4" type="noConversion"/>
  </si>
  <si>
    <t>tfl say protein world has come to end of three-week ad placement period</t>
  </si>
  <si>
    <t>48-3</t>
    <phoneticPr fontId="4" type="noConversion"/>
  </si>
  <si>
    <t>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t>
    <phoneticPr fontId="4" type="noConversion"/>
  </si>
  <si>
    <t>developers at open garden have built a small device designed to make these off-the-grid networks stronger .
its firechat app paved the way for chatting to friends without the need for the web or even a mobile signal .
now developers at open garden have built greenstone - a small egg-shaped gadget that acts like a beacon , or a booster .</t>
    <phoneticPr fontId="4" type="noConversion"/>
  </si>
  <si>
    <t>both use an ios feature called multipeer connectivity framework ( mcf )</t>
  </si>
  <si>
    <t>instead of sending messages using a mobile signal , the free app and gadget create a localised network where each mobile becomes a ` node '</t>
  </si>
  <si>
    <t>49-3</t>
    <phoneticPr fontId="4" type="noConversion"/>
  </si>
  <si>
    <t>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t>
    <phoneticPr fontId="4" type="noConversion"/>
  </si>
  <si>
    <t>prime minister david cameron has written to first great western to request it ' urgently reviews ' plans to increase fares on trains running through his witney constituency .
passengers travelling from charlbury , the oxfordshire station nearest to his constituency home , can currently purchase an off-peak return to london during the evening peak period .</t>
    <phoneticPr fontId="4" type="noConversion"/>
  </si>
  <si>
    <t>passengers travelling from charlbury , the oxfordshire station nearest to his constituency home , can currently purchase an off-peak return to london during the evening peak period .</t>
  </si>
  <si>
    <t>passengers in his witney constituency could face increases of up to 87 % comes after mr cameron pledged to freeze fares for whole of next term</t>
  </si>
  <si>
    <t>49-3</t>
  </si>
  <si>
    <t>other sharp hikes include virgin 's service between stafford and liverpool</t>
  </si>
  <si>
    <t>50-3</t>
    <phoneticPr fontId="4" type="noConversion"/>
  </si>
  <si>
    <t>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t>
    <phoneticPr fontId="4" type="noConversion"/>
  </si>
  <si>
    <t>burlesque performer lillian bustle explained in her ted talk that ' fat ' is just another word - and using it does n't have to be an insult .
she insists that the word does n't have to be used as a synonym for ' ugly ' .</t>
    <phoneticPr fontId="4" type="noConversion"/>
  </si>
  <si>
    <t>she says she likes performing burlesque because it helps open people up to liking different body types</t>
  </si>
  <si>
    <t>the dancer says she 's thrilled at the positive reception her ted talk has received , adding that she believes it means ` body-positivity ' is working</t>
  </si>
  <si>
    <t>51-3</t>
    <phoneticPr fontId="4" type="noConversion"/>
  </si>
  <si>
    <t>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t>
    <phoneticPr fontId="4" type="noConversion"/>
  </si>
  <si>
    <t>former soldier john young , 66 , and his new wife elaine , 54 , were sat in the front room of their home in oldham , greater manchester .
when one brick smashed the glass , mr young went and opened his front door to remonstrate with the attackers only to be struck in his left eye by another brick .
he suffered an open wound to his forehead and a serious injury to his left eye .</t>
    <phoneticPr fontId="4" type="noConversion"/>
  </si>
  <si>
    <t>52-3</t>
    <phoneticPr fontId="4" type="noConversion"/>
  </si>
  <si>
    <t>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t>
    <phoneticPr fontId="4" type="noConversion"/>
  </si>
  <si>
    <t>theo walcott has been pictured on a different kind of bench with his team-mates as he was pictured for a photoshoot with calum chambers , jack wilshere , mikel arteta , david ospina , david ospina , mathieu flamini and mesut ozil .
walcott and co , along with runway model olga sherer , have posed for an official portrait for paris ' oldest fashion house - lanvin - the club 's official tailor since 2013 .
walcott , who has been named on arsenal 's substitutes ' bench for 17 of their 33 barclays premier league games , came on for the last six minutes .</t>
    <phoneticPr fontId="4" type="noConversion"/>
  </si>
  <si>
    <t>walcott and co , along with runway model olga sherer , have posed for an official portrait for paris ' oldest fashion house - lanvin - the club 's official tailor since 2013 .</t>
  </si>
  <si>
    <t>53-3</t>
    <phoneticPr fontId="4" type="noConversion"/>
  </si>
  <si>
    <t>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t>
    <phoneticPr fontId="4" type="noConversion"/>
  </si>
  <si>
    <t>tom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he will be available for the start of the season and has now committed himself to the county until the end of the 2016 season .</t>
    <phoneticPr fontId="4" type="noConversion"/>
  </si>
  <si>
    <t>54-3</t>
    <phoneticPr fontId="4" type="noConversion"/>
  </si>
  <si>
    <t>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t>
    <phoneticPr fontId="4" type="noConversion"/>
  </si>
  <si>
    <t>legendary make-up effects artist rick baker will be auctioned off at the hilton universal city in los angeles , california , and on propstore.com this may 29 .
the grinch costume from the jim carrey film how the grinch stole christmas is listed at $ 8,000 .</t>
    <phoneticPr fontId="4" type="noConversion"/>
  </si>
  <si>
    <t>rick baker</t>
  </si>
  <si>
    <t>the grinch costume from the jim carrey film how the grinch stole christmas is listed at $ 8,000 .</t>
  </si>
  <si>
    <t>54-3</t>
  </si>
  <si>
    <t>more than 400 items from rick baker 's cinovation studio will be auctioned</t>
  </si>
  <si>
    <t>artist has worked on hits like men in black , batman forever and gremlins</t>
  </si>
  <si>
    <t>baker worked on michael jackson 's moonwalker film and thriller video</t>
  </si>
  <si>
    <t>this is first time these items from 64-year-old 's collection open to public</t>
  </si>
  <si>
    <t>56-3</t>
    <phoneticPr fontId="4" type="noConversion"/>
  </si>
  <si>
    <t>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t>
    <phoneticPr fontId="4" type="noConversion"/>
  </si>
  <si>
    <t>harley renshaw was diagnosed with cancer in his kidney , neck , lungs and bones .
but his ninja turtle mask helped him feel stronger while he was having radiotherapy .
hospital staff were amazed when the youngster asked if he could decorate the mask that holds him still while having his treatment .</t>
    <phoneticPr fontId="4" type="noConversion"/>
  </si>
  <si>
    <t>hospital staff were amazed when the youngster asked if he could decorate the mask that holds him still while having his treatment .</t>
  </si>
  <si>
    <t>harley renshaw has been given the all clear after battling cancer for a year</t>
  </si>
  <si>
    <t>56-3</t>
  </si>
  <si>
    <t>he underwent months of gruelling chemotherapy and radiotherapy</t>
    <phoneticPr fontId="4" type="noConversion"/>
  </si>
  <si>
    <t>57-3</t>
    <phoneticPr fontId="4" type="noConversion"/>
  </si>
  <si>
    <t>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t>
    <phoneticPr fontId="4" type="noConversion"/>
  </si>
  <si>
    <t>carwyn scott-howell was skiing with his family when he became separated from his mother and headed into dense woodland where he fell over a 164ft drop .
footprints in the snow eventually led police to his body , investigators revealed .
they also described how the boy’s mother cari , 44 , desperately tried to find her missing son .</t>
    <phoneticPr fontId="4" type="noConversion"/>
  </si>
  <si>
    <t>footprints in the snow eventually led police to his body , investigators revealed .</t>
  </si>
  <si>
    <t>they also described how the boy’s mother cari , 44 , desperately tried to find her missing son .</t>
  </si>
  <si>
    <t>57-3</t>
  </si>
  <si>
    <t>thought he may have entered woodland as thought it was shortcut to hotel</t>
  </si>
  <si>
    <t>family described him as a ` very daring , outgoing , determined little boy '</t>
  </si>
  <si>
    <t>58-3</t>
    <phoneticPr fontId="4" type="noConversion"/>
  </si>
  <si>
    <t>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t>
    <phoneticPr fontId="4" type="noConversion"/>
  </si>
  <si>
    <t>jack grealish must concentrate on his aston villa career .
sherwood is now at the centre of a tug of war between the republic of ireland .
but sherwood wants grealish to focus on continuing to force his way into the villa first team .</t>
    <phoneticPr fontId="4" type="noConversion"/>
  </si>
  <si>
    <t>sherwood</t>
  </si>
  <si>
    <t>and</t>
    <phoneticPr fontId="4" type="noConversion"/>
  </si>
  <si>
    <t>58-3</t>
  </si>
  <si>
    <t>england</t>
    <phoneticPr fontId="4" type="noConversion"/>
  </si>
  <si>
    <t>grealish will make a decision over international future at end of the season</t>
  </si>
  <si>
    <t>jack grealish must concentrate on his aston villa career .</t>
    <phoneticPr fontId="4" type="noConversion"/>
  </si>
  <si>
    <t>59-3</t>
    <phoneticPr fontId="4" type="noConversion"/>
  </si>
  <si>
    <t>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t>
    <phoneticPr fontId="4" type="noConversion"/>
  </si>
  <si>
    <t>laura scurr , 15 , has spoken out about the pressures on young girls .
she has spoken about pressures put on teenagers to be a ' size zero ' .
laura became so obsessed with having the perfect figure she would hide food down the side of her bed .</t>
    <phoneticPr fontId="4" type="noConversion"/>
  </si>
  <si>
    <t xml:space="preserve">to be </t>
    <phoneticPr fontId="4" type="noConversion"/>
  </si>
  <si>
    <t>a</t>
    <phoneticPr fontId="4" type="noConversion"/>
  </si>
  <si>
    <t>59-3</t>
  </si>
  <si>
    <t>size zero</t>
    <phoneticPr fontId="4" type="noConversion"/>
  </si>
  <si>
    <t>she has spoken about pressures put on teenagers to be a ' size zero ' .</t>
  </si>
  <si>
    <t>laura became so obsessed with having the perfect figure she would hide food down the side of her bed .</t>
  </si>
  <si>
    <t>at 13 , laura scurr went on a diet which would turn into a scary obsession</t>
  </si>
  <si>
    <t>laura developed anorexia and would survive on one piece of fruit a day</t>
  </si>
  <si>
    <t>now 15 she has overcome the disorder and is battling back</t>
  </si>
  <si>
    <t>60-3</t>
    <phoneticPr fontId="4" type="noConversion"/>
  </si>
  <si>
    <t>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t>
    <phoneticPr fontId="4" type="noConversion"/>
  </si>
  <si>
    <t>high landings fees give an insight into some of the most unexpectedly popular transport hubs for the rich and famous , from salzburg , in austria , to darwin , in australia .
the trip is a more affordable £8,835 ( $ 13,253 ) from london to cannes and £8,895 ( £13,343 ) from london to nice .</t>
    <phoneticPr fontId="4" type="noConversion"/>
  </si>
  <si>
    <t>high landings fees give an insight into some of the most unexpectedly popular transport hubs for the rich and famous , from salzburg , in austria , to darwin , in australia .</t>
  </si>
  <si>
    <t>the trip is a more affordable £8,835 ( $ 13,253 ) from london to cannes and £8,895 ( £13,343 ) from london to nice .</t>
  </si>
  <si>
    <t>60-3</t>
  </si>
  <si>
    <t>the richest compiled a list of the top airport landing charges</t>
  </si>
  <si>
    <t>prices are based on landing a private 767-400 jet carrier</t>
  </si>
  <si>
    <t>61-3</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</si>
  <si>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t>
    <phoneticPr fontId="4" type="noConversion"/>
  </si>
  <si>
    <t>raheem sterling was told in no uncertain terms by liverpool supporters .
the new gingham design , presented to supporters at anfield on friday , is the first offering from us sports brand new balance , who struck a record-breaking £300million four-year kit deal to replace sister company warrior as liverpool 's suppliers .
new balance struck a record-breaking £300million four-year kit deal to replace sister company warrior as liverpool 's suppliers .</t>
    <phoneticPr fontId="4" type="noConversion"/>
  </si>
  <si>
    <t>that they expect him to remain at the club this summer on the day he was parading the club 's new home kit at anfield .</t>
  </si>
  <si>
    <t>new balance struck a record-breaking £300million four-year kit deal to replace sister company warrior as liverpool 's suppliers .</t>
  </si>
  <si>
    <t>61-3</t>
  </si>
  <si>
    <t>midfielder has been linked with a move away from liverpool after refusing to sign new # 100,000-a-week contract</t>
  </si>
  <si>
    <t>new balance struck a record-breaking # 300m four-year kit deal to replace sister company warrior at liverpool</t>
  </si>
  <si>
    <t>captain steven gerrard did not model new strip as he prepares to leave for la galaxy in the summer</t>
  </si>
  <si>
    <t>62-3</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</si>
  <si>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1989 by a points landslide , thereby retaining the world super-middleweight title .
but sugar ray took most pride from the trilogy from forcing duran to say no mas .
he said : ` to me , making roberto duran to quit was better than knocking him out . '</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</si>
  <si>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t>
    <phoneticPr fontId="4" type="noConversion"/>
  </si>
  <si>
    <t>evaluating the greatest ever fights is a complex variable of several factors including not only the quality and excitement of the action but the political , social and cultural undertones .</t>
  </si>
  <si>
    <t>in the sixth of a series of 12 fights that shaped boxing history , we have sugar ray leonard v roberto duran</t>
  </si>
  <si>
    <t>62-3</t>
  </si>
  <si>
    <t>leonard humiliated his opponent until he said ` no mas ' - no more</t>
  </si>
  <si>
    <t>it took duran three years to reclaim his mantle as a hero in panama</t>
  </si>
  <si>
    <t>63-3</t>
    <phoneticPr fontId="4" type="noConversion"/>
  </si>
  <si>
    <t>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t>
    <phoneticPr fontId="4" type="noConversion"/>
  </si>
  <si>
    <t>university of manchester researchers have revealed an hd dark matter map of mysterious dark matter has been produced .
it is the first in a series of maps of the cosmos that will eventually allow a 3d view of dark matter across one eighth of the night sky .
the map was created using data captured by the dark energy camera , a 570-megapixel imaging device that is the primary instrument for the dark energy survey .</t>
    <phoneticPr fontId="4" type="noConversion"/>
  </si>
  <si>
    <t>it is the first in a series of maps of the cosmos that will eventually allow a 3d view of dark matter across one eighth of the night sky .</t>
  </si>
  <si>
    <t>the map was created using data captured by the dark energy camera , a 570-megapixel imaging device that is the primary instrument for the dark energy survey .</t>
  </si>
  <si>
    <t>63-3</t>
  </si>
  <si>
    <t>it shows clumps of mystery particles across 0.4 per cent of the sky</t>
  </si>
  <si>
    <t>the goal is to eventually map 12.5 per cent over five years</t>
  </si>
  <si>
    <t>results could help reveal how galaxies form in the universe</t>
  </si>
  <si>
    <t>64-3</t>
    <phoneticPr fontId="4" type="noConversion"/>
  </si>
  <si>
    <t>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t>
    <phoneticPr fontId="4" type="noConversion"/>
  </si>
  <si>
    <t>katie gallegos from clackamas county , oregon , decided to take cooper the dog to a mcdonald 's drive-thru for an ice cream with his pal daisy .
but while the small female pup takes a few ladylike licks , cooper gobbles the rest of the cone up in one bite .</t>
    <phoneticPr fontId="4" type="noConversion"/>
  </si>
  <si>
    <t>gallegos says ice cream is a weekly treat for her pets</t>
  </si>
  <si>
    <t>65-3</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</si>
  <si>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</si>
  <si>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chelsea are in early discussions over a possible partnership with belgian club royal mouscron-peruwelz .</t>
    <phoneticPr fontId="4" type="noConversion"/>
  </si>
  <si>
    <t>mouscron , in belgium 's pro league , had a partnership with lille but the french side are now poised to link up with another belgian club , ostend , leaving room for a new deal and chelsea are the preferred option .</t>
  </si>
  <si>
    <t>chelsea are in early discussions over a possible partnership with belgian club royal mouscron-peruwelz .</t>
  </si>
  <si>
    <t>65-3</t>
  </si>
  <si>
    <t>the pro league 's royal mouscron-peruwelz are the prospective partners</t>
  </si>
  <si>
    <t>chelsea already have an agreement with vitesse arnheim in holland</t>
  </si>
  <si>
    <t>66-3</t>
    <phoneticPr fontId="4" type="noConversion"/>
  </si>
  <si>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$ 4.6 billion</t>
  </si>
  <si>
    <t>the global coffeehouse chain said in an update on its site that stores are expected to open for ' business as usual ' saturday .
earlier in the day , a young barrista named jaleel working at a starbucks coffeehouse on 8th street in manhattan told daily mail their system went down at around 7.30pm .</t>
    <phoneticPr fontId="4" type="noConversion"/>
  </si>
  <si>
    <t>earlier in the day , a young barrista named jaleel working at a starbucks coffeehouse on 8th street in manhattan told daily mail their system went down at around 7.30pm .</t>
  </si>
  <si>
    <t>point-of-sale shutdown is effecting 8,000 starbucks locations in us and canada</t>
  </si>
  <si>
    <t>66-3</t>
  </si>
  <si>
    <t>company said in statement glitch was caused by a failure during a daily system refresh</t>
  </si>
  <si>
    <t>glitch also affected starbucks ' evolution fresh and teavana stores</t>
  </si>
  <si>
    <t>many starbucks locations closed their doors so as not to give away free drinks</t>
  </si>
  <si>
    <t>67-3</t>
    <phoneticPr fontId="4" type="noConversion"/>
  </si>
  <si>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2009 .
pacquiao is promoted by bob arum 's top rank company .
actor mark wahlberg is a big fan of pacquiao .</t>
  </si>
  <si>
    <t>floyd mayweather and manny pacquiao are less than two weeks away from playing their part in the richest fight in boxing history .
sportsmail takes a look at the two men 's achievements , in and out of the ring , ahead of their $ 300m mega-fight on may 2 .</t>
    <phoneticPr fontId="4" type="noConversion"/>
  </si>
  <si>
    <t>sportsmail takes a look at the two men 's achievements , in and out of the ring , ahead of their $ 300m mega-fight on may 2 .</t>
  </si>
  <si>
    <t>the two men will split a $ 300m purse , with mayweather taking 60 per cent</t>
  </si>
  <si>
    <t>69-3</t>
    <phoneticPr fontId="4" type="noConversion"/>
  </si>
  <si>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25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phoneticPr fontId="4" type="noConversion"/>
  </si>
  <si>
    <t>locations in ceredigion , powys and pembrokeshire are being used to radicalise muslims .
those involved in such activities ' take part in seemingly ordinary activities ' in the community but ' have an ulterior motive , detective constable gareth jones said .
dc jones stressed that issues surrounding terrorism were not confined to large cities .</t>
    <phoneticPr fontId="4" type="noConversion"/>
  </si>
  <si>
    <t>dc jones stressed that issues surrounding terrorism were not confined to large cities .</t>
  </si>
  <si>
    <t>70-3</t>
    <phoneticPr fontId="4" type="noConversion"/>
  </si>
  <si>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phoneticPr fontId="4" type="noConversion"/>
  </si>
  <si>
    <t>manchester united have made an official approach for memphis depay .
the red devils have made a move over the holland international .
louis van gaal keen to make him one of his first signings this summer .</t>
    <phoneticPr fontId="4" type="noConversion"/>
  </si>
  <si>
    <t>the red devils have made a move over the holland international .</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</si>
  <si>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3-3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</si>
  <si>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louis van gaal keen to make him one of his first signings this summer .</t>
  </si>
  <si>
    <t>70-3</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</si>
  <si>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3-4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</si>
  <si>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memphis depay has scored 20 goals in 26 league games for psv this term</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</si>
  <si>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3-5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</si>
  <si>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psv beat heerenveen to lift their first eredivisie title in seven years</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</si>
  <si>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3-6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</si>
  <si>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paris-saint germain are also interested in the highly-rated 21-year-old</t>
  </si>
  <si>
    <t>71-3</t>
    <phoneticPr fontId="4" type="noConversion"/>
  </si>
  <si>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60 vertebrae</t>
  </si>
  <si>
    <t>the omura 's whale was discovered on a remote exmouth beach in wa .
it is the first sighting of the species in wa and only the second in australia .
environment minister albert jacob said the find was ' highly significant ' for whale scientists because very little was known about the species .</t>
    <phoneticPr fontId="4" type="noConversion"/>
  </si>
  <si>
    <t>environment minister albert jacob said the find was ' highly significant ' for whale scientists because very little was known about the species .</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</si>
  <si>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61 vertebrae</t>
  </si>
  <si>
    <t>it was washed up on the beach by tropical cyclone olwyn</t>
  </si>
  <si>
    <t>71-3</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</si>
  <si>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62 vertebrae</t>
  </si>
  <si>
    <t>authorities found it hard at first to identify the 5.68 m juvenile female</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</si>
  <si>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63 vertebrae</t>
  </si>
  <si>
    <t>however dna profiling confirmed it was an omura 's whale</t>
  </si>
  <si>
    <t>72-3</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</si>
  <si>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16 ) : on for abraham and showed explosive pace straight away but was let down by a hurried attempt at a finish which flew over the bar .
isaiah brown holds off a tackle from fikayo tomori , during another impressive display for the young forward</t>
  </si>
  <si>
    <t>norwegian international has been on the bench for long periods .
tammy abraham smashes chelsea into the lead with a fierce drive into the top corner .
christian haug goes up for the ball under pressure from chelsea forwards during the youth cup final .</t>
    <phoneticPr fontId="4" type="noConversion"/>
  </si>
  <si>
    <t>norwegian international has been on the bench for long periods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</si>
  <si>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17 ) : on for abraham and showed explosive pace straight away but was let down by a hurried attempt at a finish which flew over the bar .
isaiah brown holds off a tackle from fikayo tomori , during another impressive display for the young forward</t>
  </si>
  <si>
    <t>tammy abraham smashes chelsea into the lead with a fierce drive into the top corner .</t>
  </si>
  <si>
    <t>72-3</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</si>
  <si>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18 ) : on for abraham and showed explosive pace straight away but was let down by a hurried attempt at a finish which flew over the bar .
isaiah brown holds off a tackle from fikayo tomori , during another impressive display for the young forward</t>
  </si>
  <si>
    <t>christian haug goes up for the ball under pressure from chelsea forwards during the youth cup final .</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</si>
  <si>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19 ) : on for abraham and showed explosive pace straight away but was let down by a hurried attempt at a finish which flew over the bar .
isaiah brown holds off a tackle from fikayo tomori , during another impressive display for the young forward</t>
  </si>
  <si>
    <t>chelsea forward tammy abraham nets first-half double for chelsea</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</si>
  <si>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20 ) : on for abraham and showed explosive pace straight away but was let down by a hurried attempt at a finish which flew over the bar .
isaiah brown holds off a tackle from fikayo tomori , during another impressive display for the young forward</t>
  </si>
  <si>
    <t>dominic solanke adds a third late on as chelsea look set to win trophy</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</si>
  <si>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21 ) : on for abraham and showed explosive pace straight away but was let down by a hurried attempt at a finish which flew over the bar .
isaiah brown holds off a tackle from fikayo tomori , during another impressive display for the young forward</t>
  </si>
  <si>
    <t>manchester city struggle without injured star thierry ambrose</t>
  </si>
  <si>
    <t>73-3</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</si>
  <si>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2001 .
correction : an earlier version of this article incorrectly stated that canadians elected their first female prime minister , kim campbell .</t>
  </si>
  <si>
    <t>hillary clinton should n't be president because her hormones might make her so irrational she 'll start an unnecessary war .
if rios is concerned about hormones impacting decisions in the oval office , she 'd be better off worrying about the male candidates for president .</t>
    <phoneticPr fontId="4" type="noConversion"/>
  </si>
  <si>
    <t>rios</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</si>
  <si>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2002 .
correction : an earlier version of this article incorrectly stated that canadians elected their first female prime minister , kim campbell .</t>
  </si>
  <si>
    <t>think</t>
    <phoneticPr fontId="4" type="noConversion"/>
  </si>
  <si>
    <t>73-3</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</si>
  <si>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2003 .
correction : an earlier version of this article incorrectly stated that canadians elected their first female prime minister , kim campbell .</t>
  </si>
  <si>
    <t>if rios is concerned about hormones impacting decisions in the oval office , she 'd be better off worrying about the male candidates for president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</si>
  <si>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2004 .
correction : an earlier version of this article incorrectly stated that canadians elected their first female prime minister , kim campbell .</t>
  </si>
  <si>
    <t xml:space="preserve"> what 's scary is that the bias against women in the workplace is still going strong in 2015</t>
    <phoneticPr fontId="4" type="noConversion"/>
  </si>
  <si>
    <t>74-3</t>
    <phoneticPr fontId="4" type="noConversion"/>
  </si>
  <si>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$ 42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</si>
  <si>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marco rubio told face the nation after admitting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t>
    <phoneticPr fontId="4" type="noConversion"/>
  </si>
  <si>
    <t>the florida senator told bob schieffer that he was n't against gay marriage , but believes the ' definition of the institution of marriage should be between one man and one woman ' .</t>
  </si>
  <si>
    <t>senator told face the nation same-sex marriage is n't a constitutional right</t>
  </si>
  <si>
    <t>74-3</t>
  </si>
  <si>
    <t>added that it should be left up to the states to decide whether to allow it</t>
  </si>
  <si>
    <t>75-3</t>
    <phoneticPr fontId="4" type="noConversion"/>
  </si>
  <si>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1994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</si>
  <si>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robert hardy is selling off his collection of antiques including a diorama of the battle of agincourt .
the star , known for appearing in all creatures great and playing winston churchill several times , is auctioning off more than 200 items he has collected over his career .
tolkien and is now an expert on the longbow .</t>
    <phoneticPr fontId="4" type="noConversion"/>
  </si>
  <si>
    <t>tolkien</t>
  </si>
  <si>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1995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</si>
  <si>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robert hardy is selling off his collection of antiques including a diorama of the battle of agincourt .
the star , known for appearing in all creatures great and playing winston churchill several times , is auctioning off more than 201 items he has collected over his career .
tolkien and is now an expert on the longbow .</t>
  </si>
  <si>
    <t>tolkien and is now an expert on the longbow .</t>
  </si>
  <si>
    <t>75-3</t>
  </si>
  <si>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</si>
  <si>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robert hardy is selling off his collection of antiques including a diorama of the battle of agincourt .
the star , known for appearing in all creatures great and playing winston churchill several times , is auctioning off more than 202 items he has collected over his career .
tolkien and is now an expert on the longbow .</t>
  </si>
  <si>
    <t>robert hardy , 89 , is a military enthusiast who studied english literature under j.r.r. tolkien</t>
    <phoneticPr fontId="4" type="noConversion"/>
  </si>
  <si>
    <t>76-3</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</si>
  <si>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208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</si>
  <si>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pablo , 27 , and latvian ilze , 31 , are off to a flying start .
they approach their first year of their open-ended odyssey on the road .
spanish pablo , 27 , and ilze , 31 , stop for a picture in bosnia .</t>
    <phoneticPr fontId="4" type="noConversion"/>
  </si>
  <si>
    <t>pablo , 27 , and latvian ilze , 31 , are off to a flying start .</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</si>
  <si>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209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</si>
  <si>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pablo , 27 , and latvian ilze , 31 , are off to a flying start .
they approach their first year of their open-ended odyssey on the road .
spanish pablo , 27 , and ilze , 32 , stop for a picture in bosnia .</t>
  </si>
  <si>
    <t>they approach their first year of their open-ended odyssey on the road .</t>
  </si>
  <si>
    <t>76-3</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</si>
  <si>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210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</si>
  <si>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pablo , 27 , and latvian ilze , 31 , are off to a flying start .
they approach their first year of their open-ended odyssey on the road .
spanish pablo , 27 , and ilze , 33 , stop for a picture in bosnia .</t>
  </si>
  <si>
    <t>spanish pablo , 27 , and ilze , 31 , stop for a picture in bosnia .</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</si>
  <si>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211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</si>
  <si>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pablo , 27 , and latvian ilze , 31 , are off to a flying start .
they approach their first year of their open-ended odyssey on the road .
spanish pablo , 27 , and ilze , 34 , stop for a picture in bosnia .</t>
  </si>
  <si>
    <t>pablo mandado and ilze zebolde left london last year on a quest to explore the world on bicycles</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</si>
  <si>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212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</si>
  <si>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pablo , 27 , and latvian ilze , 31 , are off to a flying start .
they approach their first year of their open-ended odyssey on the road .
spanish pablo , 27 , and ilze , 35 , stop for a picture in bosnia .</t>
  </si>
  <si>
    <t>they camp or stay with couchsurfing and warmshowers hosts and spent an average $ 2.99 per day</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</si>
  <si>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213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</si>
  <si>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pablo , 27 , and latvian ilze , 31 , are off to a flying start .
they approach their first year of their open-ended odyssey on the road .
spanish pablo , 27 , and ilze , 36 , stop for a picture in bosnia .</t>
  </si>
  <si>
    <t>they saved up for their travels , which they share on their website , while working in english restaurants</t>
  </si>
  <si>
    <t>77-3</t>
    <phoneticPr fontId="4" type="noConversion"/>
  </si>
  <si>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407-656-3643 .</t>
  </si>
  <si>
    <t>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t>
    <phoneticPr fontId="4" type="noConversion"/>
  </si>
  <si>
    <t>the body was discovered at the west colonial drive home when an out-of-state family member called in a well-being check .</t>
  </si>
  <si>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407-656-3644 .</t>
  </si>
  <si>
    <t>police say michael scott shemansky came to their attention after he failed to appear for a supervised visit with his son on the same day mother sandra shemansky , 58 , was found dead at the home they shared in winter garden .
the body was discovered at the west colonial drive home when an out-of-state family member called in a well-being check .
wkmg reports that an initial investigation determined there was foul play .</t>
  </si>
  <si>
    <t>wkmg reports that an initial investigation determined there was foul play .</t>
  </si>
  <si>
    <t>77-3</t>
  </si>
  <si>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t>
  </si>
  <si>
    <t>police say michael scott shemansky came to their attention after he failed to appear for a supervised visit with his son on the same day mother sandra shemansky , 59 , was found dead at the home they shared in winter garden .
the body was discovered at the west colonial drive home when an out-of-state family member called in a well-being check .
wkmg reports that an initial investigation determined there was foul play .</t>
  </si>
  <si>
    <t>michael shemansky was going through a difficult divorce and neighbors believe the stress may have caused him to snap</t>
  </si>
  <si>
    <t>78-3</t>
    <phoneticPr fontId="4" type="noConversion"/>
  </si>
  <si>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</si>
  <si>
    <t>james evans who runs premiere photo allegedly did n't apologize for the racial slur and told the couple to ' sue ' him .
the couple , who does not wish to be identified , hired attorney cathy hale to sue james evans the owner of premiere photos for allegedly providing a photo booth that printed , ' poor n***** party ' on the bottom of the pictures .
hale says that when the husband heard about the photos at the wedding he was horrified and called james evans of premiere photo .</t>
    <phoneticPr fontId="4" type="noConversion"/>
  </si>
  <si>
    <t xml:space="preserve">hale says that when the husband heard about the photos at the wedding he was horrified and called james evans of premiere photo </t>
  </si>
  <si>
    <t>the couple rented a photo booth for the wedding and the bride 's sister noticed the racial slur but chose not to tell the couple on their special day</t>
  </si>
  <si>
    <t>79-3</t>
    <phoneticPr fontId="4" type="noConversion"/>
  </si>
  <si>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2016 iaaf world athletics championships in moscow</t>
  </si>
  <si>
    <t>eugene in the united states has been awarded the rights to host the 2021 iaaf world championships .
the decision was taken by the international association of athletics federations council .
eugene failed last november in its bid to host the 2019 event .</t>
    <phoneticPr fontId="4" type="noConversion"/>
  </si>
  <si>
    <t>the decision was taken by the international association of athletics federations council .</t>
  </si>
  <si>
    <t>the sport 's governing body iaaf bypassed the normal bidding process</t>
  </si>
  <si>
    <t>80-3</t>
    <phoneticPr fontId="4" type="noConversion"/>
  </si>
  <si>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2022 campaign that champions people at the heart and soul of the game by putting grassroots clubs on the global stage .</t>
  </si>
  <si>
    <t>mike brown admitted he would adopt a ' cautious ' approach in recovering from his latest concussion setback .
the england full-back remains unsure when he will return after pulling out of harlequins ' aviva premiership clash with saracens last weekend .
northampton wing george north has been advised by leading medics not to play again this season after suffering four quick-fire concussions , while ireland 's johnny sexton was stood down for 12 weeks earlier this term .</t>
    <phoneticPr fontId="4" type="noConversion"/>
  </si>
  <si>
    <t>northampton wing george north has been advised by leading medics not to play again this season after suffering four quick-fire concussions , while ireland 's johnny sexton was stood down for 12 weeks earlier this term .</t>
  </si>
  <si>
    <t>81-3</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</si>
  <si>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£ 58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</si>
  <si>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playboy mehmet hassan , 56 , after spotting him flashing a roll of £50 notes at a casino in london 's west end .
the care assistant , from gillingham , kent , used her good looks to befriend the poker player , who showered her with gifts , cash and trips to fancy restaurants .
judge william kennedy today described the attack as ' pitiless and wicked ' .</t>
    <phoneticPr fontId="4" type="noConversion"/>
  </si>
  <si>
    <t>leonie granger , 25 , targeted playboy mehmet hassan , 56 , after spotting him flashing a roll of £50 notes at a casino in london 's west end .</t>
    <phoneticPr fontId="4" type="noConversion"/>
  </si>
  <si>
    <t>the care assistant , from gillingham , kent , used her good looks to befriend the poker player , who showered her with gifts , cash and trips to fancy restaurants .</t>
    <phoneticPr fontId="4" type="noConversion"/>
  </si>
  <si>
    <t>81-3</t>
  </si>
  <si>
    <t>judge william kennedy today described the attack as ' pitiless and wicked ' .</t>
    <phoneticPr fontId="4" type="noConversion"/>
  </si>
  <si>
    <t>leonie granger , 25 , has been jailed for 16 years for luring gambler to death</t>
  </si>
  <si>
    <r>
      <t>went to his flat and let in boyfriend kyrron jackson and nicholas chandler</t>
    </r>
    <r>
      <rPr>
        <sz val="11"/>
        <color rgb="FF000000"/>
        <rFont val="宋体"/>
        <family val="2"/>
        <charset val="134"/>
      </rPr>
      <t>，</t>
    </r>
    <r>
      <rPr>
        <sz val="11"/>
        <color indexed="8"/>
        <rFont val="Arial"/>
        <family val="2"/>
      </rPr>
      <t>they kicked mr hassan to death and stole some of his gambling winnings</t>
    </r>
    <phoneticPr fontId="4" type="noConversion"/>
  </si>
  <si>
    <t>granger convicted of manslaughter and two men found guilty of murder</t>
    <phoneticPr fontId="4" type="noConversion"/>
  </si>
  <si>
    <t>82-3</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</si>
  <si>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9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</si>
  <si>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research has revealed that the frequency with britons are having sex has been in decline since the emergence of the internet .
it comes after professor david spiegelhalter , a statistician at cambridge university , revealed in a new book how a typical heterosexual couple was now having sex three times a month .</t>
    <phoneticPr fontId="4" type="noConversion"/>
  </si>
  <si>
    <t>the figure in 2000 was four times a month and five times a month in 1990</t>
  </si>
  <si>
    <t>83-3</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</si>
  <si>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3-13 win over hull city , but that was his first in five games
mourinho is looking to guide his team over the line in the premier league title race , with fabregas a key cog</t>
  </si>
  <si>
    <t>cesc fabregas captained spain on tuesday but his poor form continued .
the 27-year-old spoke of his happiness in south west london earlier this week .
he was one of the worst players on the pitch again in his country 's 2-0 defeat by holland .</t>
    <phoneticPr fontId="4" type="noConversion"/>
  </si>
  <si>
    <t>the 27-year-old spoke of his happiness in south west london earlier this week .</t>
  </si>
  <si>
    <t>thierry henry 's mark of 20 in 2002-03 is four more than fabregas ' total</t>
  </si>
  <si>
    <t>84-3</t>
    <phoneticPr fontId="4" type="noConversion"/>
  </si>
  <si>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£ 600,007 .
the dogs are seen with a model</t>
  </si>
  <si>
    <t>tibetan mastiffs are now so unpopular in china they are being sent to slaughterhouses .
tibetan mastiffs has had a huge impact on the breed 's popularity .
mastiffs are also being stolen from the streets by ruthless gangs .</t>
    <phoneticPr fontId="4" type="noConversion"/>
  </si>
  <si>
    <t>tibetan mastiffs has had a huge impact on the breed 's popularity .</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</si>
  <si>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£ 600,008 .
the dogs are seen with a model</t>
  </si>
  <si>
    <t>mastiffs are also being stolen from the streets by ruthless gangs .</t>
  </si>
  <si>
    <t>84-3</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</si>
  <si>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£ 600,009 .
the dogs are seen with a model</t>
  </si>
  <si>
    <t>tibetan mastiffs had been status symbols for china 's wealthiest</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</si>
  <si>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£ 600,010 .
the dogs are seen with a model</t>
  </si>
  <si>
    <t>they were given as gifts to grateful officials by businessmen</t>
  </si>
  <si>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£ 600,011 .
the dogs are seen with a model</t>
  </si>
  <si>
    <t>but an anti-corruption drive means the breed is now shunned</t>
  </si>
  <si>
    <t>85-3</t>
    <phoneticPr fontId="4" type="noConversion"/>
  </si>
  <si>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2016-20 season .</t>
  </si>
  <si>
    <t>west ham are discussing a deal for jamaican starlet deshane beckford .
the 17-year-old forward was invited to train with west ham 's academy earlier this month .
beckford has been linked with a host of european clubs .</t>
    <phoneticPr fontId="4" type="noConversion"/>
  </si>
  <si>
    <t>the 17-year-old forward was invited to train with west ham 's academy earlier this month .</t>
  </si>
  <si>
    <t>west ham season tickets to cost as little as # 289</t>
  </si>
  <si>
    <t>87-3</t>
    <phoneticPr fontId="4" type="noConversion"/>
  </si>
  <si>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t>
    <phoneticPr fontId="4" type="noConversion"/>
  </si>
  <si>
    <t>survey led to calls for a campaign to stem sexist or threatening behaviour on buses and trains .
every woman surveyed in paris claimed to have been a victim of some kind of sexual harassment on the city’s public transport .</t>
    <phoneticPr fontId="4" type="noConversion"/>
  </si>
  <si>
    <t>half of those interviewed had been assaulted before they were 18</t>
  </si>
  <si>
    <t>88-3</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</si>
  <si>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58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</si>
  <si>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40 , was beaten by balaclava-clad protesters armed with iron bars on ropes .
he was admitted to hospital with concussion and broken teeth and his face was swollen .
wiltshire police confirmed they had stopped the investigation pending further information .</t>
    <phoneticPr fontId="4" type="noConversion"/>
  </si>
  <si>
    <t>he was admitted to hospital with concussion and broken teeth and his face was swollen .</t>
  </si>
  <si>
    <t>attack happened as 30 riders and hounds were chasing artificial scent</t>
  </si>
  <si>
    <t>88-3</t>
  </si>
  <si>
    <t>wiltshire police handed video footage and some names of saboteurs</t>
  </si>
  <si>
    <t>89-3</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</si>
  <si>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32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</si>
  <si>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leeds-based direct line is running a competition called # everydayfix .
they asked groups to design products to deal with common problems .
the products were designed as part of the direct line everyday fix design makeathon .</t>
    <phoneticPr fontId="4" type="noConversion"/>
  </si>
  <si>
    <t>the products were designed as part of the direct line everyday fix design makeathon .</t>
  </si>
  <si>
    <t>these include forgetting to lock the door and running out of battery</t>
  </si>
  <si>
    <t>89-3</t>
  </si>
  <si>
    <t>you can vote for your favourite design and the winner will be crowdfunded</t>
  </si>
  <si>
    <t>90-3</t>
    <phoneticPr fontId="4" type="noConversion"/>
  </si>
  <si>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</si>
  <si>
    <t>gary locke has been given the role on a permanent basis after signing a three-year deal .
the former hearts boss joined the club as assistant boss to allan johnston .
gary locke has been given the job at kilmarnock on a permanent basis .</t>
    <phoneticPr fontId="4" type="noConversion"/>
  </si>
  <si>
    <t>gary locke has been given the job at kilmarnock on a permanent basis .</t>
  </si>
  <si>
    <t>locke has won two and drawn four of his seven games in charge</t>
  </si>
  <si>
    <t>93-3</t>
    <phoneticPr fontId="4" type="noConversion"/>
  </si>
  <si>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t>
  </si>
  <si>
    <t>vera baird donated £500,000 to victims first northumbria , a charity which supports crime victims in her area .
the pair now face a ministry of justice probe as critics accuse them of concocting ' a soap opera ' within the force .
critics have described her selection of charity as ' inappropriate ' and a conflict of interest .</t>
    <phoneticPr fontId="4" type="noConversion"/>
  </si>
  <si>
    <t>critics have described her selection of charity as ' inappropriate ' and a conflict of interest .</t>
  </si>
  <si>
    <t>police and crime commissioner is a director at the newly set-up charity</t>
  </si>
  <si>
    <t>chief constable sue sim is also on the organisation 's board of directors</t>
  </si>
  <si>
    <t>94-3</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</si>
  <si>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2021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</si>
  <si>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1978 .
gadahn was one of its most prominent members .</t>
    <phoneticPr fontId="4" type="noConversion"/>
  </si>
  <si>
    <t>adam gadahn , 36 , was killed in january in a u.s. government counterterrorism operation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</si>
  <si>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2022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</si>
  <si>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1979 .
gadahn was one of its most prominent members .</t>
  </si>
  <si>
    <t>94-3</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</si>
  <si>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2023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</si>
  <si>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1980 .
gadahn was one of its most prominent members .</t>
  </si>
  <si>
    <t>neither he nor ahmed farouq -- another u.s. citizen and al qaeda operative who died in 1978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</si>
  <si>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2024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</si>
  <si>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1981 .
gadahn was one of its most prominent members .</t>
  </si>
  <si>
    <t xml:space="preserve">gadahn was one of its most prominent members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</si>
  <si>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2025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</si>
  <si>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1982 .
gadahn was one of its most prominent members .</t>
  </si>
  <si>
    <t>in his final known video , adam gadahn called for governments of pakistan and saudi arabia to be overthrown</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</si>
  <si>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2026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</si>
  <si>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1983 .
gadahn was one of its most prominent members .</t>
  </si>
  <si>
    <t>he was raised in california and said he was of jewish ancestry</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</si>
  <si>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2027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</si>
  <si>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1984 .
gadahn was one of its most prominent members .</t>
  </si>
  <si>
    <t>he converted to islam in 1995 , left u.s. in 1998 and joined al qaeda , becoming a spokesman</t>
  </si>
  <si>
    <t>featherweight champion title in las vegas on july 11 .</t>
  </si>
  <si>
    <t>after a poor first effort , balotelli sends a perfectly-executed free-kick into the top corner .</t>
  </si>
  <si>
    <t>julie robert , a cultural studies professor at the university of technology sydney , said it was ' problematic ' that the prime minister , who she believes should be advocating against binge drinking , thought it acceptable to ' showcase his masculinity ' by skolling a beer .</t>
    <phoneticPr fontId="4" type="noConversion"/>
  </si>
  <si>
    <t>indiana state department of health officials said on friday .</t>
  </si>
  <si>
    <t>authorities say none of the 166 passengers on the train were injured .</t>
    <phoneticPr fontId="4" type="noConversion"/>
  </si>
  <si>
    <t>oh , and ' calculators may be used ' .</t>
    <phoneticPr fontId="4" type="noConversion"/>
  </si>
  <si>
    <t>carlos toro , 66 , worked as a mid-level member of the medellin cartel in the 1980s when a confrontation with his boss caused him to flee from colombia fearing for his life .</t>
    <phoneticPr fontId="4" type="noConversion"/>
  </si>
  <si>
    <t>toro came to the united states and eventually began working for the dea as an informant after providing information about a number of his former bosses and associates .</t>
    <phoneticPr fontId="4" type="noConversion"/>
  </si>
  <si>
    <t>toro is now technically living in the us illegally after declining health forced him to retire .</t>
    <phoneticPr fontId="4" type="noConversion"/>
  </si>
  <si>
    <t>the internet corporation for assigned names and numbers , or ' icann , ' sent a letter on thursday to the u.s. federal trade commission and canada 's office of consumer affairs .</t>
    <phoneticPr fontId="4" type="noConversion"/>
  </si>
  <si>
    <t>taylor swift has also had to spend defensively in the past to remove her name from '.porn ' and '.adult ' domains .</t>
    <phoneticPr fontId="4" type="noConversion"/>
  </si>
  <si>
    <t>the baby boy 's body was found wrapped in a blanket inside a sainsbury 's bag floating on a village pond .</t>
    <phoneticPr fontId="4" type="noConversion"/>
  </si>
  <si>
    <t>17-3</t>
    <phoneticPr fontId="4" type="noConversion"/>
  </si>
  <si>
    <t>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t>
    <phoneticPr fontId="4" type="noConversion"/>
  </si>
  <si>
    <t>louis van gaal says he has been dreaming of beating rivals city in sunday 's derby at old trafford but will have to do so without robin van persie .
van persie said he was fit to feature in the game against city on sunday after ankle trouble but van gaal has ruled him out .
van gaal said : ' most of the players are fit but being fit for me is different ' .</t>
    <phoneticPr fontId="4" type="noConversion"/>
  </si>
  <si>
    <t>van gaal said : ' most of the players are fit but being fit for me is different ' .</t>
    <phoneticPr fontId="4" type="noConversion"/>
  </si>
  <si>
    <t>but when mr hicks objected , the driver continued on for almost a mile , leading him to jump from the vehicle while it was travelling at more than 20mph .</t>
    <phoneticPr fontId="4" type="noConversion"/>
  </si>
  <si>
    <t>21-3</t>
    <phoneticPr fontId="4" type="noConversion"/>
  </si>
  <si>
    <t>( cnn ) tornado sirens blared wednesday night in kansas as several storms brought reports of twisters .
spotters reported a tornado about 6 miles northwest of goddard , which is less than 17 miles west of wichita .
that storm moved to the northeast , miss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.nti</t>
  </si>
  <si>
    <t>spotters reported a tornado about 6 miles northwest of goddard , which is less than 15 miles west of wichita .
storm moved to the northeast , missing the city , but posing potential risks to other communities .</t>
    <phoneticPr fontId="4" type="noConversion"/>
  </si>
  <si>
    <t>spotters reported a tornado about 6 miles northwest of goddard , which is less than 15 miles west of wichita .</t>
    <phoneticPr fontId="4" type="noConversion"/>
  </si>
  <si>
    <t>( cnn ) tornado sirens blared wednesday night in kansas as several storms brought reports of twisters .
spotters reported a tornado about 6 miles northwest of goddard , which is less than 18 miles west of wichita .
that storm moved to the northeast , miss倮慬晴牯業圅湩㈳଀灁⹰敖獲潩楮ㄐ⸶⸰ㄱ㈳⸸〲㌴8䌉楬湥⹴摉ူۋċဃ嵥䁘䶡ᖺ隷鄲Ⓡ฀敄楶散伮䉳極摬թ㠱㘳2䐐癥捩⹥獏敖獲潩楮㄄⸰0䰌来捡⹹灁䥰つ鄀_x0002_䰌来捡⹹獏湅ぶ鄀_x0014_刐汥慥敳䄮摵敩据楥倍潲畤瑣潩彮䍄ᔀ敒敬獡⹥畁楤湥散片畯楰倊潲畤瑣潩n刏汥慥敳䌮慨湮汥ɩ䍄ఀ敒敬獡⹥潆歲ࡩ㤱㄰䨭湡ༀ敓獳潩⹮捅䕳慔楧∮摩䑲ぬ䕷畄杮捰⭆睋ㅒ牖乐摑䑴癨浗ㅊ匴坷㙈婌㵕"匍獥楳湯䘮慬獧0钑_x0003_匊獥楳湯䤮楤ㄤ㘹〴㐸ⴱ㜳㜸㐭摤ⵢ敡愴攭ㄵ㈲㜲㡥摢b匔獥楳湯䤮灭敲獳潩䥮つ쬐ଆ́_x0010__x0000__x0000__x0000__x0000__x0000__x0000__x0000__x0000_北獥楳湯䴮慥畳敲䕳慮汢摥రᴀ敓獳潩⹮慓灭楬杮汃敩瑮摉慖畬づꠈ앭닾㿠က獕牥吮湥湡䝴潲灵੩潃浭牥楣污ഀ獕牥吮湥湡䥴つ쬐ଆ́⼐苞ᙾ魄䒖䗁_x001B_愌瑣獟慴獴楟楤㔤䙃䘱䅁ⵅㄷ㑁㐭䈳ⴱ㘸〱㈭䙆ㄴ〰㔸〲5猇彴牦煥ͩ〳0猋慴獴敟楴敭൩㔱㈷㈴ㄶ㜳〴1猑慴獴牟汯畬彰楫摮ݩ湯潧湩g猋慴獴獟楴敭൩㔱㈷㈴㠵㜳㤳9_x0000_̩⸳䤰愉瑣獟慴獴쩱馠ﯔ껅ᇗ⊩㩯戴㑢㙤㝦慣捦攴㈹㈹㥦㈷捤㉡捤敤㈴ᗋĊᵩ楇慧祢整吠捥湨汯杯⁹潃Ⱞ䰠摴褮䠌ㄳ䴰匠′⸲0ᛋĊ쬀ਗ䤁挦愺㐱搸㔲ⴳ〱ㄷ㐭㔸ⵥ㠹㔸㐭晤慦㙡摤敡ꤲ圏湩潤獷䐮獥瑫灯쬀ਘ褁圏湩潤獷䐠獥瑫灯⺩〱〮ㄮ㌸㈶ㄮ愮摭㐶牦⹥㤱ㅨ牟汥慥敳ㄮ〹ㄳⴸ㈱㈰쬀ਙ꤁䔅䍘䱅ۉㄐ⸶⸰ㄱ㈳⸸〲㌴8ΉĊॉ湕敭整敲楤唇歮潮湷쬀ਠ⤁䔛呖圭湩潤獷䌭⬫中ⵯ⸳⸱ㄱㄮ⑉㈵ㅅ㡆䍆㘭㝅ⵆ䔴㜸㠭㘴ⴷ䕃䄳㌰㈸㍅䙁衱褅㜤䍄䈱ㅅⵆ㘹㐵㐭㕅ⵁ㜸䕂䐭ㄹ㠲〲㜱㜹D⇋Ċ٩〫㨸〰쬀ਥ_x0001_㳉愉瑣獟慴獴䛋Ċभᬊ䄊灰䈮慲据楨䘄牯k䄏灰䤮獮慴汬祔数0ґࠀ灁⹰慎敭թ硅散l䄌灰倮慬晴牯業圅湩㈳଀灁⹰敖獲潩楮ㄐ⸶⸰ㄱ㈳⸸〲㌴8䌉楬湥⹴摉ူۋċဃ嵥䁘䶡ᖺ隷鄲Ⓡ฀敄楶散伮䉳極摬թ㠱㘳2䐐癥捩⹥獏敖獲潩楮㄄⸰0䰌来捡⹹灁䥰つ鄀_x0002_䰌来捡⹹獏湅ぶ鄀_x0014_刐汥慥敳䄮摵敩据楥倍潲畤瑣潩彮䍄ᔀ敒敬獡⹥畁楤湥散片畯楰倊潲畤瑣潩n刏汥慥敳䌮慨湮汥ɩ䍄ఀ敒敬獡⹥潆歲ࡩ㤱㄰䨭湡ༀ敓獳潩⹮捅䕳慔楧∮摩䑲ぬ䕷畄杮捰⭆睋ㅒ牖乐摑䑴癨浗ㅊ匴坷㙈婌㵕"匍獥楳湯䘮慬獧0钑_x0003_匊獥楳湯䤮楤ㄤ㘹〴㐸ⴱ㜳㜸㐭摤ⵢ敡愴攭ㄵ㈲㜲㡥摢b匔獥楳湯䤮灭敲獳潩䥮つ쬐ଆ́_x0010__x0000__x0000__x0000__x0000__x0000__x0000__x0000__x0000_北獥楳湯䴮慥畳敲䕳慮汢摥రᴀ敓獳潩⹮慓灭楬杮汃敩瑮摉慖畬づꠈ앭닾㿠က獕牥吮湥湡䝴潲灵੩潃浭牥楣污ഀ獕牥吮湥湡䥴つ쬐ଆ́⼐苞ᙾ魄䒖䗁_x001B_愌瑣獟慴獴楟楤㔤䙃䘱䅁ⵅㄷ㑁㐭䈳ⴱ㘸〱㈭䙆ㄴ〰㔸〲5猇彴牦煥ͩ〳0猋慴獴敟楴敭൩㔱㈷㈴ㄶ㜳〴1猑慴獴牟汯畬彰楫摮ݩ湯潧湩g猋慴獴獟楴敭൩㔱㈷㈴㠵㜳㤳9_x0000_̩⸳䤰愉瑣獟慴獴쩱馠ﯔ껅ᇗ⊩㩯戴㑢㙤㝦慣捦攴㈹㈹㥦㈷捤㉡捤敤㈴ᗋĊᵩ楇慧祢整吠捥湨汯杯⁹潃Ⱞ䰠摴褮䠌ㄳ䴰匠′⸲0ᛋĊ쬀ਗ䤁挦愺㐱搸㔲ⴳ〱ㄷ㐭㔸ⵥ㠹㔸㐭晤慦㙡摤敡ꤲ圏湩潤獷䐮獥瑫灯쬀ਘ褁圏湩潤獷䐠獥瑫灯⺩〱〮ㄮ㌸㈶ㄮ愮摭㐶牦⹥㤱ㅨ牟汥慥敳ㄮ〹ㄳⴸ㈱㈰쬀ਙ꤁䔅䍘䱅ۉㄐ⸶⸰ㄱ㈳⸸〲㌴8ΉĊॉ湕敭整敲楤唇歮潮湷쬀ਠ⤁䔛呖圭湩潤獷䌭⬫中ⵯ⸳⸱ㄱㄮ⑉㈵ㅅ㡆䍆㘭㝅ⵆ䔴㜸㠭㘴ⴷ䕃䄳㌰㈸㍅䙁虱褅㜤䍄䈱ㅅⵆ㘹㐵㐭㕅ⵁ㜸䕂䐭ㄹ㠲〲㜱㜹D⇋Ċ٩〫㨸〰쬀ਥ_x0001_㳉愉瑣獟慴獴䛋Ċभᬊ䄊灰䈮慲据楨䘄牯k䄏灰䤮獮慴汬祔数0ґࠀ灁⹰慎敭թ硅散l䄌灰倮慬晴牯業圅湩㈳଀灁⹰敖獲潩楮ㄐ⸶⸰ㄱ㈳⸸〲㌴8䌉楬湥⹴摉ူۋċဃ嵥䁘䶡ᖺ隷鄲Ⓡ฀敄楶散伮䉳極摬թ㠱㘳2䐐癥捩⹥獏敖獲潩楮㄄⸰0䰌来捡⹹灁䥰つ鄀_x0002_䰌来捡⹹獏湅ぶ鄀_x0014_刐汥慥敳䄮摵敩据楥倍潲畤瑣潩彮䍄ᔀ敒敬獡⹥畁楤湥散片畯楰倊潲</t>
  </si>
  <si>
    <t>spotters reported a tornado about 6 miles northwest of goddard , which is less than 16 miles west of wichita .
storm moved to the northeast , missing the city , but posing potential risks to other communities .</t>
    <phoneticPr fontId="4" type="noConversion"/>
  </si>
  <si>
    <t>storm moved to the northeast , missing the city , but posing potential risks to other communities .</t>
    <phoneticPr fontId="4" type="noConversion"/>
  </si>
  <si>
    <t>23-3</t>
    <phoneticPr fontId="4" type="noConversion"/>
  </si>
  <si>
    <t>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t>
    <phoneticPr fontId="4" type="noConversion"/>
  </si>
  <si>
    <t>luke rockhold is ready to be the bull to lyoto machida 's matador when the middleweights collide in new jersey on saturday .
the californian is bidding for his fourth consecutive victory since losing to vitor belfort two years ago and has a title shot in his sights .</t>
    <phoneticPr fontId="4" type="noConversion"/>
  </si>
  <si>
    <t>chelsea stars aim to fire balls into the boot of a car from close range .</t>
    <phoneticPr fontId="4" type="noConversion"/>
  </si>
  <si>
    <t>the pair were involved in the biggest misfortune of the day on their way to victory .</t>
    <phoneticPr fontId="4" type="noConversion"/>
  </si>
  <si>
    <t>25-3</t>
    <phoneticPr fontId="4" type="noConversion"/>
  </si>
  <si>
    <t>despite the fact the aerostar plane travels at speed , its descent towards the landing strip appears normal until the video maker makes a startling observation .</t>
  </si>
  <si>
    <t>suddenly the pilot re-engages the engines and rather unceremoniously takes off back into the air .</t>
    <phoneticPr fontId="4" type="noConversion"/>
  </si>
  <si>
    <t>27-3</t>
  </si>
  <si>
    <t>toure , who has two years left on a £220,000-a-week deal , has come in for criticism .</t>
  </si>
  <si>
    <t>left</t>
    <phoneticPr fontId="4" type="noConversion"/>
  </si>
  <si>
    <t>garnett-paul spears ' ( left ) father chris hill lashed at his ex and the boy 's mother on facebook this week expressing his hope that she would die in prison .</t>
  </si>
  <si>
    <t>italian law states that a sentence is extinguished once a period of more than double the time of the penalty has passed .</t>
  </si>
  <si>
    <t>influenza a strain h3n2</t>
  </si>
  <si>
    <t>experts say the modified version of the vaccination is worth waiting for .</t>
    <phoneticPr fontId="4" type="noConversion"/>
  </si>
  <si>
    <t>as</t>
    <phoneticPr fontId="4" type="noConversion"/>
  </si>
  <si>
    <t>one</t>
    <phoneticPr fontId="4" type="noConversion"/>
  </si>
  <si>
    <t>of</t>
    <phoneticPr fontId="4" type="noConversion"/>
  </si>
  <si>
    <t>three</t>
    <phoneticPr fontId="4" type="noConversion"/>
  </si>
  <si>
    <t>32-3</t>
    <phoneticPr fontId="4" type="noConversion"/>
  </si>
  <si>
    <t>illinois faces a financial crisis</t>
  </si>
  <si>
    <t>bruce rauner participates in ceremonies honoring president abraham lincoln at the lincoln tomb in springfield , illinois .</t>
  </si>
  <si>
    <t>33-3</t>
    <phoneticPr fontId="4" type="noConversion"/>
  </si>
  <si>
    <t>marcia 's body was found 33 days after she disappeared and ritter 's then-husband advised her against seeing the body and the crime scene photos .</t>
  </si>
  <si>
    <t>charlie , who died in 1989 , wanted their last memory to be of her running in and out of the house , ' the real marcia .</t>
  </si>
  <si>
    <t>but ritter told the tennessean , last year it was a decision she now regrets .</t>
  </si>
  <si>
    <t>rory mcilroy believes it is ' unthinkable ' that he will not win the masters at some point to complete the career grand slam .</t>
  </si>
  <si>
    <t>klopp was immediately installed as the bookmakers ' favourite to replace manuel pellegrini at manchester city , although it is understood that the struggling premier league champions have no plans to make such a move .</t>
  </si>
  <si>
    <t>klopp will officially cease to be dortmund manager on june 30 .</t>
  </si>
  <si>
    <t>36-3</t>
    <phoneticPr fontId="4" type="noConversion"/>
  </si>
  <si>
    <t>amanda curtis , ceo of a fashion company , snapped the lucky shot .</t>
  </si>
  <si>
    <t>families will have to find a new way to cheer up mourners .</t>
  </si>
  <si>
    <t>they seem to spawn a new trend every other week .</t>
  </si>
  <si>
    <t>38-3</t>
  </si>
  <si>
    <t>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t>
    <phoneticPr fontId="4" type="noConversion"/>
  </si>
  <si>
    <t>serena williams strikes a pose next to her cake after recording her 700th career victory .
the day following andy murray’s 500th win another huge cake was wheeled out to mark williams reaching the semi-final with a 7-6 , 1-6 , 6-3 progression over germany’s sabine lisicki .
williams’s hopes of another meeting with sister venus were dashed by her elder sibling’s defeat to carla suarez navarro .</t>
    <phoneticPr fontId="4" type="noConversion"/>
  </si>
  <si>
    <t>williams’s hopes of another meeting with sister venus were dashed by her elder sibling’s defeat to carla suarez navarro .</t>
  </si>
  <si>
    <t>39-3</t>
    <phoneticPr fontId="4" type="noConversion"/>
  </si>
  <si>
    <t>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t>
    <phoneticPr fontId="4" type="noConversion"/>
  </si>
  <si>
    <t>272 youngsters left disabled by foetal alcohol syndrome were hospitalised in england .
but the actual number affected by their mother ' s drinking could be far greater , experts have warned .
research by the world health organisation suggests that at least one in 100 babies born in the uk could suffer learning , behavioural and physical problems .</t>
    <phoneticPr fontId="4" type="noConversion"/>
  </si>
  <si>
    <t>40-3</t>
    <phoneticPr fontId="4" type="noConversion"/>
  </si>
  <si>
    <t>two gunman shot her dead at point-blank range late friday .</t>
  </si>
  <si>
    <t>she is in a hospital but is expected to be released on time for her daughter 's funeral .</t>
  </si>
  <si>
    <t>no one has claimed responsibility for her shooting .</t>
  </si>
  <si>
    <t>41-3</t>
    <phoneticPr fontId="4" type="noConversion"/>
  </si>
  <si>
    <t xml:space="preserve">blood can be seen coming from the would-be robber 's nose as mr dhillon gestures to his wife to drop the weapon </t>
  </si>
  <si>
    <t>masked 31-year-old waved an axe as he demanded cash from terrified assistant andrea brighty , but he did not see owner sab dhillon 's rugby tackle which dropped him to the floor , sending shelves and produce tumbling .</t>
    <phoneticPr fontId="4" type="noConversion"/>
  </si>
  <si>
    <t>42-3</t>
    <phoneticPr fontId="4" type="noConversion"/>
  </si>
  <si>
    <t>mangu ram was 14 when he fled to kashmir as a refugee - now an old man , for the past 70 years he has been denied citizenship rights .</t>
  </si>
  <si>
    <t>it is almost 70 years since he fled the violence that followed the partition of india , and he is still regarded as a second class citizen in indian kashmir .</t>
  </si>
  <si>
    <t>joshua finbow , 23 , of gosport , hampshire , charged with gang rape .</t>
  </si>
  <si>
    <t>darren smalley , 35 , of gosport , hampshire , arrives at court today .</t>
  </si>
  <si>
    <t>jessica kemp , 32 , has slammed seminole county elementary in eustis .</t>
  </si>
  <si>
    <t>it is used as a holiday home by residents between may and november .</t>
  </si>
  <si>
    <t>twelve fire teams were deployed to fight the blaze but could only battle it from the outside , it lasted past 8pm .</t>
  </si>
  <si>
    <t>mark cantor of jazz-on-film.com and some volunteers put together a video of `` soundies '' .</t>
  </si>
  <si>
    <t>thanks to filmmakers , barker -- now 102 -- finally saw herself dance .</t>
  </si>
  <si>
    <t>left hard hats at home and opted for one of her favourite scarves instead .</t>
  </si>
  <si>
    <t>because of her hair</t>
  </si>
  <si>
    <t>two french male tourists allegedly ignited an aerosol spray with a lighter causing a large flame to make contact with a quokka on rottnest island off perth in western australia on april 3 .</t>
  </si>
  <si>
    <t>both have been charged for animal cruelty and appear in court on april 17 .</t>
  </si>
  <si>
    <t>pama was granted conditional bail and is set to return to court may 18 .</t>
  </si>
  <si>
    <t>bradley cooper was nominated for his portrayal of chris kyle , a navy seal and the most lethal sniper in u.s. military history .</t>
  </si>
  <si>
    <t>kyle was fatally shot at a texas shooting range in 2013 .</t>
  </si>
  <si>
    <t>the university of michigan has decided to proceed with a screening of the film `` american sniper '' .</t>
  </si>
  <si>
    <t>some complained about the film 's depiction of the iraq war .</t>
  </si>
  <si>
    <t>a petition asked the university not to show the bradley cooper film .</t>
  </si>
  <si>
    <t>but police set up a sting operation , sending one of their undercover officers to pose as a hitman during a meeting with simonova in the russian city of moscow .</t>
  </si>
  <si>
    <t>part of £1,400 offered for a ' hit ' , police arrested the 52-year-old in her car .</t>
  </si>
  <si>
    <t>now faces 15 years in prison after being charged with attempted murder .</t>
  </si>
  <si>
    <t>it 's not the first time this look has made a comeback since the seventies .</t>
  </si>
  <si>
    <t>lou tried the out the trend seven years ago with a stella mccartney flared jean .</t>
  </si>
  <si>
    <t>louise and emma say to avoid being drowned by too much fabric try a high heeled shoe</t>
  </si>
  <si>
    <t>he claimed that he never discusses footballing issues with his wife .</t>
  </si>
  <si>
    <t>he also claims that he is essentially a ' very good person ' despite his antics .</t>
  </si>
  <si>
    <t>haskell posted the image dressed as downey jr. 's character iron man .</t>
  </si>
  <si>
    <t>haskell returned to london wasps for the 2012 season and is captain .</t>
  </si>
  <si>
    <t>with fans queuing up to see the a-list cast which includes robert downey jr. , chris hemsworth and scarlett johansson .</t>
  </si>
  <si>
    <t>contestants told to `` come on down ! '' on the april 1 edition of `` the price is right '' encountered not host drew carey .</t>
  </si>
  <si>
    <t>bob barker</t>
  </si>
  <si>
    <t>barker , 91 , had retired as host in 2007 .</t>
  </si>
  <si>
    <t>lewis ferguson has just a cut on his nose to show for his ordeal .</t>
  </si>
  <si>
    <t>secret service bosses also suspended his security clearance .</t>
  </si>
  <si>
    <t>duo</t>
  </si>
  <si>
    <t>as soon as the camera captured the image , mr saeed had to flee for his life .</t>
  </si>
  <si>
    <t>the lion charged at the intrepid photographer as he closed the car 's door .</t>
  </si>
  <si>
    <t>dani alves keeps a close eye on almeria midfielder edgar mendez during barca 's game on wednesday .</t>
  </si>
  <si>
    <t>alves has been linked with manchester united and manchester city .</t>
  </si>
  <si>
    <t>dani alves looks set to leave barcelona this summer after his representative confirmed the brazilian right-back had rejected the club 's final contract offer .</t>
  </si>
  <si>
    <t>alves has enjoyed seven successful years at barcelona , winning four spanish titles and the champions league twice .</t>
  </si>
  <si>
    <t>paramedics who responded to the scene were unable to revive her and she was pronounced dead that evening .</t>
  </si>
  <si>
    <t>nypd has released images of a heart tattoo with the name ` monique ' found on an unnamed woman who died in brooklyn last month .</t>
  </si>
  <si>
    <t>suicide attack hit group around 10 a.m. local time , police say .</t>
  </si>
  <si>
    <t>no other organization has so far claimed responsibility .</t>
  </si>
  <si>
    <t>an afghan lawmaker taking part in the protests in the city of khost was among the 64 people wounded , said faizullah ghairat , the provincial police chief .</t>
  </si>
  <si>
    <t>taliban spokesman zabiullah mujahid denied his group was responsible for the attack .</t>
  </si>
  <si>
    <t>hannah and alex needed a place to live after they moved back to new zealand from the uk in 2009</t>
  </si>
  <si>
    <t>alice is the name of the queen 's aunt , who passed away in 2004 aged 102 , while charlotte is favoured as a nod to william 's father charles .</t>
  </si>
  <si>
    <t>alice and charlotte were the second favourite names if it 's a girl .</t>
  </si>
  <si>
    <t>if it 's a boy , then the favourite name is james , followed by alexander .</t>
  </si>
  <si>
    <t>the findings come after the general secretary of the national association of head teachers said he was dubious about using technology as a teaching aid in non-it classes .</t>
  </si>
  <si>
    <t>research into the effects of the devices on literacy levels suggests the best outcome comes from youngsters sharing devices .</t>
  </si>
  <si>
    <t>nina moric , 38 , posted photographs on her instagram account which has more than 40,000 users .</t>
  </si>
  <si>
    <t>she told followers on instagram her fall was due to ' low blood pressure ' .</t>
  </si>
  <si>
    <t>the clip featured on the people 's daily online shows the young animal taking unsteady steps , wobbling about with its snout to the ground , foraging for food .</t>
  </si>
  <si>
    <t>it is not the first animal with two legs instead of four to win plaudits in china .</t>
  </si>
  <si>
    <t>villagers have flocked to see the two-legged animal in qionglai city .</t>
  </si>
  <si>
    <t>a video released online and has captured the hearts of thousands .</t>
  </si>
  <si>
    <t>state emergency service was deluged with calls for assistance last week and has more than 4,000 jobs from the 24,196 requests still to be completed .</t>
  </si>
  <si>
    <t>locals survey the damage and destruction caused by flooding in dungog in the nsw hunter region .</t>
  </si>
  <si>
    <t>the ses says it is concerned about the impact this will have on communities hard hit by last week 's storms - particularly in the hunter .</t>
  </si>
  <si>
    <t>residents urged to prepare their homes to prevent more damage .</t>
  </si>
  <si>
    <t>phillips , a front-outside tire changer for dayle coyne racing , was injuried when he was struck by the car of francesco dracone , who had come in on lap 25 for tires and fuel .</t>
  </si>
  <si>
    <t>phillips received stitches for a cut on his leg and has been released .</t>
  </si>
  <si>
    <t>dracone did not finish the race and wound up 23rd .</t>
  </si>
  <si>
    <t>milton vieira severiano , 32 , dragging the limp body of dancer cicera alves de sena , 29 , into the garden of their apartment in eastern brazil .</t>
  </si>
  <si>
    <t>cicera alves de sena belonged to a dance group called jaula das gostozuedas which i have been to see and am a big fan of .</t>
  </si>
  <si>
    <t>he later confessed the crime to police who found guns in his getaway car .</t>
  </si>
  <si>
    <t>(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</si>
  <si>
    <t>she told cnn on monday that she remained in the same neurological state she has been in for nearly three months .</t>
  </si>
  <si>
    <t>brown 's mother says bobbi kristina brown 's condition has improved</t>
  </si>
  <si>
    <t>she said ' people get on with their lives ' and while she had n't found a husband , nor had children , she felt increasingly isolated .</t>
  </si>
  <si>
    <t>she thinks we need to acknowledge this link to tackle the increasing rate of australian women who are being negatively affected by stress and anxiety .</t>
  </si>
  <si>
    <t>anxiety , stress , loneliness and a thyroid disease made her feel worthless</t>
  </si>
  <si>
    <t>one in three australian women will experience anxiety in their lifetime</t>
  </si>
  <si>
    <t>grealish says he 'll carry on that way after making his first premier league start on tuesday night .</t>
  </si>
  <si>
    <t>grealish actually wears children 's shinpads underneath .</t>
  </si>
  <si>
    <t>she was set to go to trial in multnomah county circuit court this week .</t>
  </si>
  <si>
    <t>boyfriend 's ex was injecting drugs in her bathroom when she came home</t>
  </si>
  <si>
    <t>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t>
  </si>
  <si>
    <t>martin skrtel has praised the impact and example gerrard has set during his time at liverpool .
reds captain gerrard is aiming to end his liverpool career by making the fa cup final and beating arsenal .
skrtel was signed by rafael benitez from zenit st petersburg seven years ago .</t>
  </si>
  <si>
    <t>skrtel believes the club do have players that could eventually replace him .</t>
  </si>
  <si>
    <t>skrtel was signed by rafael benitez from zenit st petersburg seven years ago .</t>
  </si>
  <si>
    <t>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t>
  </si>
  <si>
    <t>jessica kemp from eustis says teachers at seminole county elementary warned they would remove kindergartner logan from class because the oils smelled and were a distraction to youngsters around him .
the 32-year-old says she applies the liquid to his head and neck as it helps him keep calm and focused .</t>
  </si>
  <si>
    <t>school district have said they will not suspend him as it 's a ' health issue ' .</t>
  </si>
  <si>
    <t>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t>
  </si>
  <si>
    <t>new figures show that the art of washing your own car appears to be dying out in britain with a thrid of men admitting they have never picked up a bucket or chamois leather to clean their own motor .</t>
  </si>
  <si>
    <t>only 12 per cent that have cleaned their own car say they do it regularly .</t>
  </si>
  <si>
    <t>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t>
  </si>
  <si>
    <t>ninety condos on the beach in westhampton were obliterated by flames on wednesday afternoon .
it is not known what started the blaze , which was so intense it melted the paint off nearby buildings .
it is used as a holiday home by residents between may and november .</t>
  </si>
  <si>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</si>
  <si>
    <t>barker was a dancer in such new york nightspots as the cotton club and the cafe zanzibar in the 1930s and 1940s .
she had never seen herself dancing -- until now .
mark cantor of jazz-on-film.com and some volunteers put together a video of `` soundies '' .</t>
  </si>
  <si>
    <t>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t>
  </si>
  <si>
    <t>the monarch , 88 , was spotted trotting through windsor great park aboard her faithful black fell pony , carltonlima emma .
the queen , who has never worn riding helmets , has been encouraged to wear one because of her hair .</t>
  </si>
  <si>
    <t>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t>
  </si>
  <si>
    <t>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t>
  </si>
  <si>
    <t>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t>
  </si>
  <si>
    <t>leon yeaman , 55 , was allegedly killed by a single punch in the head from shift worker phillip pama , 28 , during a row in front of their north brisbane homes .
mr yeaman was reportedly in his yard on muller road making a lot of noise at around 9pm thursday night .
pama , a married father of three , works a 3 am shift at a nearby warehouse and was sleeping at the time he was making a commotion .</t>
  </si>
  <si>
    <t>pama , a married father of three , works a 3 am shift at a nearby warehouse and was sleeping at the time he was making a commotion .</t>
  </si>
  <si>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t>
  </si>
  <si>
    <t>bradley cooper was nominated for his portrayal of chris kyle , a navy seal and the most lethal sniper in u.s. military history .
kyle was fatally shot at a texas shooting range in 2013 .</t>
  </si>
  <si>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t>
  </si>
  <si>
    <t>yulia simonova , 52 , wanted to hire a hitman to torture and kill damian vanya in exchange for 100,000 rubles ( £1,400 ) .
but police set up a sting operation , sending one of their undercover officers to pose as a hitman during a meeting with simonova in the russian city of moscow .
part of £1,400 offered for a ' hit ' , police arrested the 52-year-old in her car .</t>
  </si>
  <si>
    <t>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t>
  </si>
  <si>
    <t>louise redknapp says that a wide-leg trouser can come as a welcome relief from the skinny jean .
it 's not the first time this look has made a comeback since the seventies .
lou tried the out the trend seven years ago with a stella mccartney flared jean .</t>
  </si>
  <si>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</si>
  <si>
    <t>jose mourinho has revealed that he has a strong faith in god .
he said that he and his family ' know about poverty ' and have been privileged to have worked with the word food programme as an ambassador against hunger .</t>
  </si>
  <si>
    <t>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t>
  </si>
  <si>
    <t>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haskell posted the image dressed as downey jr. 's character iron man .</t>
  </si>
  <si>
    <t>(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t>
  </si>
  <si>
    <t>a tv legend returned to doing what he does best .
contestants told to `` come on down ! '' on the april 1 edition of `` the price is right '' encountered not host drew carey .</t>
  </si>
  <si>
    <t>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t>
  </si>
  <si>
    <t>lewis ferguson has just a cut on his nose to show for his ordeal .
the 18-year-old was mucking out as usual , just a cut on the nose to show for the fall which has made him an internet sensation .</t>
  </si>
  <si>
    <t>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t>
  </si>
  <si>
    <t>agent arthur baldwin was taken into custody at 12:30am on friday .
he has been hit with a felony charge of attempted burglary and another of destruction of property .
agent baldwin is posted to the foreign missions branch , which is attached to the state department and deals with the united states ' diplomatic activities .</t>
  </si>
  <si>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t>
  </si>
  <si>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love to have them line up on the la bombonera pitch .</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</si>
  <si>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</si>
  <si>
    <t>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t>
  </si>
  <si>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t>
  </si>
  <si>
    <t>dani alves keeps a close eye on almeria midfielder edgar mendez during barca 's game on wednesday .
alves has been unable to agree a new deal with the catalan club and will leave the nou camp this summer .
alves has been linked with manchester united and manchester city .</t>
  </si>
  <si>
    <t>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t>
  </si>
  <si>
    <t>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t>
  </si>
  <si>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t>
  </si>
  <si>
    <t>suicide attack hit group around 10 a.m. local time , police say .
suicide attack kills 17 people and wounding dozens more , police say .
no other organization has so far claimed responsibility .</t>
  </si>
  <si>
    <t>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t>
  </si>
  <si>
    <t>hannah and alex purchased a 1986 hino flatbed and undertook their year and a half labor of love .
the result was a solar-powered two-bedroom , wood and steel home that now allows them to live almost self-sufficiently in nelson , new zealand .</t>
  </si>
  <si>
    <t>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t>
  </si>
  <si>
    <t>12 per cent of people questioned thought that the child should be named after william 's mother - diana the princess of wales .
alice is the name of the queen 's aunt , who passed away in 2004 aged 102 , while charlotte is favoured as a nod to william 's father charles .</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</si>
  <si>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t>
  </si>
  <si>
    <t>the findings come after the general secretary of the national association of head teachers said he was dubious about using technology as a teaching aid in non-it classes .
research into the effects of the devices on literacy levels suggests the best outcome comes from youngsters sharing devices .
shared ipad students scored around 30 points higher than students who used the device on their own and non-ipad users .</t>
  </si>
  <si>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</si>
  <si>
    <t>nina moric , 38 , posted photographs on her instagram account which has more than 40,000 users .
italian media reported that ms moric tried to take her own life and was found by her mother in the luxury apartment she shares with her boyfriend in milan .
ms moric told her fans she was well and had no intention to end her own life .</t>
  </si>
  <si>
    <t>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t>
  </si>
  <si>
    <t>the piglet was born with its back legs missing and has mastered the art of balancing on its front trotters .
the clip featured on the people 's daily online shows the young animal taking unsteady steps , wobbling about with its snout to the ground , foraging for food .
it is not the first animal with two legs instead of four to win plaudits in china .</t>
  </si>
  <si>
    <t>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t>
  </si>
  <si>
    <t>meteorologists say early indicators show that an east coast low – the same weather system that lashed the state 's east coast for three days last week could hit the region , with heavy rain possible from thursday .
state emergency service was deluged with calls for assistance last week and has more than 4,000 jobs from the 24,196 requests still to be completed .
locals survey the damage and destruction caused by flooding in dungog in the nsw hunter region .</t>
  </si>
  <si>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t>
  </si>
  <si>
    <t>todd phillips , a front-outside tire changer for dayle coyne racing , was injuried when he was struck by the car of francesco dracone , who had come in on lap 25 for tires and fuel .
phillips , a front-outside tire changer for dayle coyne racing , was injuried when he was struck by the car of francesco dracone , who had come in on lap 25 for tires and fuel .</t>
  </si>
  <si>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t>
  </si>
  <si>
    <t>russia are on the brink of making the fed cup final with a 2-0 lead after anastasia pavlyuchenkova saved a match point to beat germany 's sabine lisicki on saturday .
pavlyuchenkova saved the match point in the second set before going on to beat lisicki 4-6 , 7-6 ( 4 ) , 7-6 , after svetlana kuznetsova beat julia goerges in straight sets .
anastasia pavlyuchenkova of russia beat germany 's sabine lisicki for a 2-0 lead in their fed cup tie .</t>
  </si>
  <si>
    <t>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t>
  </si>
  <si>
    <t>milton vieira severiano , 32 , dragging the limp body of dancer cicera alves de sena , 29 , into the garden of their apartment in eastern brazil .
horrific cctv footage has emerged of a husband smashing his dancer wife 's head into concrete paving 11 times then shooting her in the face five times .
cicera alves de sena belonged to a dance group called jaula das gostozuedas which i have been to see and am a big fan of .</t>
  </si>
  <si>
    <t>bobbi kristina brown , the daughter of bobby brown and whitney houston , has `` global and irreversible brain damage , '' her grandmother says .
she told cnn on monday that she remained in the same neurological state she has been in for nearly three months .</t>
  </si>
  <si>
    <t>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t>
  </si>
  <si>
    <t>sarah wilson opened up in a candid interview about how her battle with mental illness drove her to believe her life was n't worth living .
she said ' people get on with their lives ' and while she had n't found a husband , nor had children , she felt increasingly isolated .
she thinks we need to acknowledge this link to tackle the increasing rate of australian women who are being negatively affected by stress and anxiety .</t>
  </si>
  <si>
    <t>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t>
  </si>
  <si>
    <t>jack grealish is renowned for keeping his stockings just above the roll of his shinpads .
grealish says he 'll carry on that way after making his first premier league start on tuesday night .
grealish was pleased to have finally made his first premier league start for villa .</t>
  </si>
  <si>
    <t>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t>
  </si>
  <si>
    <t>elena curtin of portland was seven-months pregnant when she was charged with second-degree assault after she struck her boyfriend 's ex in the head and arm with a crowbar in november 2014 .
elena curtin of portland , oregon , was seven-months pregnant when she was charged with second-degree assault after she struck her boyfriend 's ex in the head and arm with a crowbar in november 2014
curtin was charged after coming home and finding her boyfriend 's ex-girlfriend shooting heroin in her bathroom</t>
  </si>
  <si>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t>
    <phoneticPr fontId="4" type="noConversion"/>
  </si>
  <si>
    <t>the blast occurred at an oil storage facility monday night after an oil leak .
the plant , located in zhangzhou city , produces paraxylene ( px ) .
local media has not reported any toxic chemical spill .</t>
    <phoneticPr fontId="4" type="noConversion"/>
  </si>
  <si>
    <t>the plant , located in zhangzhou city , produces paraxylene ( px ) .</t>
  </si>
  <si>
    <t>local media has not reported any toxic chemical spill .</t>
  </si>
  <si>
    <t>a blast rocks a chemical plant in china 's southeastern fujian province for the second time in two years .</t>
  </si>
  <si>
    <t>six were injured after the explosion and are being hospitalized .</t>
  </si>
  <si>
    <t>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t>
    <phoneticPr fontId="4" type="noConversion"/>
  </si>
  <si>
    <t>gemma the pit bull was filmed at home in california being fed some treats .
but in a bid to trick her , her owner throws a broccoli spear into the mix .
she then proceeds to spit it out on the floor .</t>
    <phoneticPr fontId="4" type="noConversion"/>
  </si>
  <si>
    <t>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t>
    <phoneticPr fontId="4" type="noConversion"/>
  </si>
  <si>
    <t>witness robert kushner lost his varsity coaching job at a private academy .
he told jurors tuesday that some of the undercover officers on trial had stolen $ 81,000 in cash and 7 pounds of marijuana from him during a 2007 arrest .
kushner had passed a background check when he was arrested again in 2011 and sentenced to four years of probation .</t>
    <phoneticPr fontId="4" type="noConversion"/>
  </si>
  <si>
    <t>he told jurors tuesday that some of the undercover officers on trial had stolen $ 81,000 in cash and 7 pounds of marijuana from him during a 2007 arrest .</t>
  </si>
  <si>
    <t>kushner had passed a background check when he was arrested again in 2011 and sentenced to four years of probation .</t>
  </si>
  <si>
    <t>kushner , 32 , is one of more than a dozen former drug dealers testifying for the federal government about allegations of police wrongdoing .</t>
  </si>
  <si>
    <t>kushner had passed a background check when he was hired to coach basketball in 2010 .</t>
  </si>
  <si>
    <t>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t>
    <phoneticPr fontId="4" type="noConversion"/>
  </si>
  <si>
    <t>hsbc has apologised after a link on its official website .
the porn site took over the address after the awards were scrapped in 2011 and the organisers allowed its registration on hsbc.com.hk to retire .
hsbc yesterday removed the hyperlink from its main website after realising its embarrassing mistake .</t>
    <phoneticPr fontId="4" type="noConversion"/>
  </si>
  <si>
    <t>directed visitors to a pornographic page .</t>
  </si>
  <si>
    <t>hsbc yesterday removed the hyperlink from its main website after realising its embarrassing mistake .</t>
  </si>
  <si>
    <t xml:space="preserve"> denied association with the page .</t>
  </si>
  <si>
    <t>graphic images appeared on defunct young entrepreneurs awards sites .</t>
  </si>
  <si>
    <t>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t>
    <phoneticPr fontId="4" type="noConversion"/>
  </si>
  <si>
    <t>california-based youtube user lionel hutz filmed his young son chasing the family feline around the garden in a bid to get some rest .
footage shows the cat licking his fur before his human friend comes along and plonks himself on top .</t>
    <phoneticPr fontId="4" type="noConversion"/>
  </si>
  <si>
    <t>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t>
    <phoneticPr fontId="4" type="noConversion"/>
  </si>
  <si>
    <t>a 13-year-old maryland boy called 911 after a fire broke out on the first floor of his home in clinton .
the boy called 911 before 7am after he smelled smoke and told the dispatcher the siblings were trapped in the room because it was too hot to get out through the hallway .
prince george’s county firefighters were able to enter the room by going through the home and breaking a window , according to the washington post .</t>
    <phoneticPr fontId="4" type="noConversion"/>
  </si>
  <si>
    <t>a 13-year-old maryland boy called 911 after a fire broke out on the first floor of his home in clinton .</t>
  </si>
  <si>
    <t>prince george’s county firefighters were able to enter the room by going through the home and breaking a window , according to the washington post .</t>
  </si>
  <si>
    <t>siblings saved and three other people in the home escaped without injury</t>
  </si>
  <si>
    <t>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t>
    <phoneticPr fontId="4" type="noConversion"/>
  </si>
  <si>
    <t>mohammed abu khdeir 's name appeared this week on the wall at jerusalem 's mount herzl .
abu khdeir , 16 , was beaten and burned alive by three israelis in july .
almagor 's organization wrote a letter to the national insurance institute of israel .</t>
    <phoneticPr fontId="4" type="noConversion"/>
  </si>
  <si>
    <t>almagor 's organization wrote a letter to the national insurance institute of israel .</t>
  </si>
  <si>
    <t>his father and a terror victim advocacy group objected to his being included in the list .</t>
  </si>
  <si>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t>
    <phoneticPr fontId="4" type="noConversion"/>
  </si>
  <si>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caused by millions of plankton omitting light .</t>
    <phoneticPr fontId="4" type="noConversion"/>
  </si>
  <si>
    <t>amazing pictures have emerged of blue fluorescent algae lighting up australia 's east coast .</t>
  </si>
  <si>
    <t>a similar display was shown in sydney 's manly beach back in august 2014 .</t>
  </si>
  <si>
    <t>iain suthers , of university of new south wales , says the algae blossoms in the spring and the autumn .</t>
  </si>
  <si>
    <t>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t>
    <phoneticPr fontId="4" type="noConversion"/>
  </si>
  <si>
    <t>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khan had come under increasing pressure to take on british rival and ibf welterweight champion chris algieri on may 30 .</t>
    <phoneticPr fontId="4" type="noConversion"/>
  </si>
  <si>
    <t>earlier this week the bolton-born fighter announced his return to the ring .</t>
  </si>
  <si>
    <t>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t>
    <phoneticPr fontId="4" type="noConversion"/>
  </si>
  <si>
    <t>breast cancer patients may be spared chemotherapy thanks to new tests that pinpoint genetic ' markers ' .
after surgery , the cancer cells are sent to a lab where they are screened .
women can be told within days whether they have a high or low risk of the disease returning .</t>
    <phoneticPr fontId="4" type="noConversion"/>
  </si>
  <si>
    <t>after surgery , the cancer cells are sent to a lab where they are screened .</t>
  </si>
  <si>
    <t>they are available privately for £ 2,500 and may be rolled out soon on nhs</t>
  </si>
  <si>
    <t>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t>
    <phoneticPr fontId="4" type="noConversion"/>
  </si>
  <si>
    <t>bondi 's icebergs club pool was drained on thursday to create a unique catwalk for mercedes-benz fashion week australia .
the label had no trouble securing the show-stopping location .
ten pieces is headed up by icebergs restaurateur maurice terzini and his partner lucy hinckfuss .</t>
    <phoneticPr fontId="4" type="noConversion"/>
  </si>
  <si>
    <t>guests sat in and around the pool to take in the capsule collection of monochrome unisex pieces .</t>
    <phoneticPr fontId="4" type="noConversion"/>
  </si>
  <si>
    <t>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t>
    <phoneticPr fontId="4" type="noConversion"/>
  </si>
  <si>
    <t>more than 25 women have been airlifted from royal navy ships because of pregnancy .
at least one woman was airlifted from hms illustrious , which was nicknamed ' hms lusty ' by the crew before it was decommissioned last year .
eighteen other ships - including hms enterprise and hms richmond - had emergency evacuations .</t>
    <phoneticPr fontId="4" type="noConversion"/>
  </si>
  <si>
    <t>more than 25 women have been airlifted from royal navy ships because of pregnancy .</t>
  </si>
  <si>
    <t>eighteen other ships - including hms enterprise and hms richmond - had emergency evacuations .</t>
  </si>
  <si>
    <t>hms ocean had five women removed in nine years , according to new data .</t>
  </si>
  <si>
    <t>mod spokesman confirmed there was a strict ' no touching ' rule in place .</t>
  </si>
  <si>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t>
    <phoneticPr fontId="4" type="noConversion"/>
  </si>
  <si>
    <t>tom o’carroll , a leading member of the notorious paedophile information exchange , has joined the supporters of the media pressure group hacked off .
the organisation , set up in the wake of the phone-hacking scandal , is campaigning against what it sees as the ‘ biased and unfair’ independent press standards organisation .
it wants mps to set up a statutory body to regulate the press , as recommended by the leveson inquiry .</t>
    <phoneticPr fontId="4" type="noConversion"/>
  </si>
  <si>
    <t>the organisation , set up in the wake of the phone-hacking scandal , is campaigning against what it sees as the ‘ biased and unfair’ independent press standards organisation .</t>
  </si>
  <si>
    <t>it wants mps to set up a statutory body to regulate the press , as recommended by the leveson inquiry .</t>
  </si>
  <si>
    <t>69-year-old former key activist jailed in 1981 for ' corrupting public morals ' .</t>
  </si>
  <si>
    <t>pie was formed in 1974 to campaign for sex with children to be legalised .</t>
  </si>
  <si>
    <t>his attendance at the meeting is likely to be an embarrassment for group .</t>
  </si>
  <si>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t>
    <phoneticPr fontId="4" type="noConversion"/>
  </si>
  <si>
    <t>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plant in kagoshima prefecture .</t>
    <phoneticPr fontId="4" type="noConversion"/>
  </si>
  <si>
    <t>the drone is sparking terrorism concerns</t>
  </si>
  <si>
    <t>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t>
    <phoneticPr fontId="4" type="noConversion"/>
  </si>
  <si>
    <t>five-year-old mai zizhuo has been shooting hoops since he was two and a half years old , reported the people 's daily online .
the five-year-old child is called mai zizhuo and he has been shanghai-born yao ming , who played for nba 's houston rockets from 2002 to 2011 .</t>
    <phoneticPr fontId="4" type="noConversion"/>
  </si>
  <si>
    <t>he</t>
  </si>
  <si>
    <t>he has been shanghai-born yao ming , who played for nba 's houston rockets from 2002 to 2011</t>
  </si>
  <si>
    <t>the five-year-old child is called mai zizhuo</t>
  </si>
  <si>
    <t>video shows him shooting the hoops and dribbling two basketballs .</t>
  </si>
  <si>
    <t>his incredible skills have won him legions of fans around china .</t>
  </si>
  <si>
    <t>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t>
    <phoneticPr fontId="4" type="noConversion"/>
  </si>
  <si>
    <t>lu xincai , who lives in zhejiang province in eastern china , says he is scared his mother will get lost if he leaves her at home by herself because she suffers from the degenerative disease .
he ties a sash around both of their waists to make sure she does n't fall off .</t>
    <phoneticPr fontId="4" type="noConversion"/>
  </si>
  <si>
    <t>lu xincai says no one else can look after his 84-year-old mother .</t>
  </si>
  <si>
    <t>now she goes with him to work on the backseat of his motorbike .</t>
  </si>
  <si>
    <t>she 's now been given her own room at the bank where he works .</t>
  </si>
  <si>
    <t>95-3</t>
  </si>
  <si>
    <t>96-3</t>
  </si>
  <si>
    <t>97-3</t>
  </si>
  <si>
    <t>98-3</t>
  </si>
  <si>
    <t>99-3</t>
  </si>
  <si>
    <t>100-3</t>
  </si>
  <si>
    <t>101-3</t>
  </si>
  <si>
    <t>102-3</t>
  </si>
  <si>
    <t>103-3</t>
  </si>
  <si>
    <t>104-3</t>
  </si>
  <si>
    <t>105-3</t>
  </si>
  <si>
    <t>106-3</t>
  </si>
  <si>
    <t>107-3</t>
  </si>
  <si>
    <t>108-3</t>
  </si>
  <si>
    <t>109-3</t>
  </si>
  <si>
    <t>110-3</t>
  </si>
  <si>
    <t>111-3</t>
  </si>
  <si>
    <t>112-3</t>
  </si>
  <si>
    <t>113-3</t>
  </si>
  <si>
    <t>114-3</t>
  </si>
  <si>
    <t>115-3</t>
  </si>
  <si>
    <t>116-3</t>
  </si>
  <si>
    <t>117-3</t>
  </si>
  <si>
    <t>118-3</t>
  </si>
  <si>
    <t>119-3</t>
  </si>
  <si>
    <t>120-3</t>
  </si>
  <si>
    <t>121-3</t>
  </si>
  <si>
    <t>122-3</t>
  </si>
  <si>
    <t>123-3</t>
  </si>
  <si>
    <t>124-3</t>
  </si>
  <si>
    <t>125-3</t>
  </si>
  <si>
    <t>126-3</t>
  </si>
  <si>
    <t>127-3</t>
  </si>
  <si>
    <t>128-3</t>
  </si>
  <si>
    <t>129-3</t>
  </si>
  <si>
    <t>130-3</t>
  </si>
  <si>
    <t>131-3</t>
  </si>
  <si>
    <t>132-3</t>
  </si>
  <si>
    <t>133-3</t>
  </si>
  <si>
    <t>134-3</t>
  </si>
  <si>
    <t>135-3</t>
  </si>
  <si>
    <t>136-3</t>
  </si>
  <si>
    <t>137-3</t>
  </si>
  <si>
    <t>138-3</t>
  </si>
  <si>
    <t>139-3</t>
  </si>
  <si>
    <t>140-3</t>
  </si>
  <si>
    <t>141-3</t>
  </si>
  <si>
    <t>142-3</t>
  </si>
  <si>
    <t>143-3</t>
  </si>
  <si>
    <t>144-3</t>
  </si>
  <si>
    <t>2-3</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</si>
  <si>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t>
  </si>
  <si>
    <t>jamar nicholson and his friends were hanging out in an alleyway in south l.a. before school on february 10 when two police officers working for the lapd 's criminal gang-homicide unit approached the boys with their guns drawn .
nicholson was shot in the back by officer miguel gutierrez and is in pain but he says he and his friends feel lucky to be alive .
nicholson was standing next to the unidentified teenager who was holding the replica of the gun .</t>
  </si>
  <si>
    <t>jamar nicholson and his friends were hanging out in an alleyway in south l.a. before school on february 10 when two police officers working for the lapd 's criminal gang-homicide unit approached the boys with their guns drawn .</t>
  </si>
  <si>
    <t>but he says he and his friends feel lucky to be alive .</t>
  </si>
  <si>
    <t>nicholson was standing next to the unidentified teenager who was holding the replica of the gun .</t>
  </si>
  <si>
    <t>nicholson and his friend jason huerta , 17 , are suing the city of los angeles for $ 20m</t>
  </si>
  <si>
    <t>officer miguel gutierrez who shot nicholson has returned to duty but the incident is under investigation</t>
  </si>
  <si>
    <t>19-3</t>
  </si>
  <si>
    <t>(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t>
  </si>
  <si>
    <t>heavy drinking among americans rose 17.2 percent between 2005 and 2012 .
the centers for disease control and prevention defines heavy drinking as exceeding an average of one drink per day during the past month for women and two drinks .</t>
  </si>
  <si>
    <t>the centers for disease control and prevention defines heavy drinking as exceeding an average of one drink per day during the past month for women and two drinks .</t>
  </si>
  <si>
    <t>the increase is driven largely by women 's drinking habits</t>
  </si>
  <si>
    <t>it 's now more acceptable for women to drink the way men traditionally have , says one expert</t>
  </si>
  <si>
    <t>55-3</t>
  </si>
  <si>
    <t>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t>
  </si>
  <si>
    <t>passenger filmed the driver on a bus in auckland , new zealand .
in the footage the driver can be seen flicking through pages of the newspaper while the bus is in motion .
ritchies boss andrew ritchie said he was embarrassed by the ' idiot ' driver 's actions .</t>
  </si>
  <si>
    <t>68-3</t>
  </si>
  <si>
    <t>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t>
  </si>
  <si>
    <t>doctors are putting the health of women and their babies at risk by performing caesarean sections too readily .
un officials warn the procedure should only be carried out when ‘ medically necessary’ because it can lead to infections and even death .</t>
  </si>
  <si>
    <t>just over a quarter of women giving birth in england now have a caesarean and the rate has more than doubled since the early 1990s .</t>
  </si>
  <si>
    <t>86-3</t>
  </si>
  <si>
    <t>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t>
  </si>
  <si>
    <t>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couple 's daughter , ciera robarge , in court last month ) said her mom did not deserve this .</t>
  </si>
  <si>
    <t>her badly decomposed body , with her hands and head detached , was found 10 days later in unity .</t>
  </si>
  <si>
    <t>the couple 's daughter , ciera robarge , in court last month ) said her mom did not deserve this .</t>
  </si>
  <si>
    <t>robarge has already served two years behind bars which means he could be eligible for parole in about 28 years</t>
  </si>
  <si>
    <t>91-3</t>
  </si>
  <si>
    <t>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t>
  </si>
  <si>
    <t>michelle filkins , 44 , of west wareham has been charged with breaking and entering , larceny over $ 250 , and malicious destruction of property .
she was discovered at the court street property in edgartown by owner mark conklin on april 17 .
filkins was arrested on april 17 after owner mark conklin found her sitting in his summer home .</t>
  </si>
  <si>
    <t>she was discovered at the court street property in edgartown by owner mark conklin on april 17 .</t>
  </si>
  <si>
    <t>a neighbor told police he saw filkins outside with items from the house and that she appeared to be having a yard sale or giving the items away</t>
  </si>
  <si>
    <t>92-3</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</si>
  <si>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t>
  </si>
  <si>
    <t>the drugs , whose value is estimated at more than $ 105 million , are the biggest cocaine seizure ever carried out by french authorities .
officers arrested one venezuelan and two spanish citizens who were on board the vessel .</t>
  </si>
  <si>
    <t>french customs officers say they have seized more than 2 tons of cocaine aboard</t>
  </si>
  <si>
    <t>145-3</t>
  </si>
  <si>
    <t>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t>
  </si>
  <si>
    <t>the phone , which belonged to bella crooke from melbourne , was handed in to albury police station on sunday morning .
police officers on duty realised the phone was unlocked and used it to post selfies and photos of the phone in various locations around the police station .
officers from albury police station on the nsw-victoria border posted selfies on a woman 's facebook page saying she could come and collect her phone after it was handed in on sunday morning .</t>
  </si>
  <si>
    <t>officers from albury police station on the nsw-victoria border posted selfies on a woman 's facebook page saying she could come and collect her phone after it was handed in on sunday morning .</t>
  </si>
  <si>
    <t>bella crooke lost the phone on saturday at a friend 's birthday party</t>
  </si>
  <si>
    <t>146-3</t>
  </si>
  <si>
    <t>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t>
  </si>
  <si>
    <t>staff heard the baby crying in the ladies ' toilet at a chinese burger bar .
workers who found the baby , who was wrapped in a shirt , was still attached to the umbilical cord and placenta .
she was arrested after receiving medical attention and faces charges of neglect .</t>
  </si>
  <si>
    <t>but was otherwise fine</t>
  </si>
  <si>
    <t>147-3</t>
  </si>
  <si>
    <t>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t>
  </si>
  <si>
    <t>a five-day old baby hippopotamus is lifted up into the air as it gets caught up in a deadly fight between two adults .
the calf 's mother watched in horror as the hippo was flung into the air before being dragged along the surface of the water in the isimangaliso wetland park , in eastern south africa .
her decision proved fatal for the baby when one of the brawling adults grabbed the calf between its jaws .</t>
  </si>
  <si>
    <t>her decision proved fatal for the baby when one of the brawling adults grabbed the calf between its jaws .</t>
  </si>
  <si>
    <t>adult hippos had been fighting for hours before attacking the baby in the isimangaliso wetland park</t>
  </si>
  <si>
    <t>148-3</t>
  </si>
  <si>
    <t>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t>
  </si>
  <si>
    <t>ian rogers , 36 , became hooked on all things paranormal as a child and took part in his first ghost hunt in the year 2000 .
since then he has spent hundreds of pounds on the creepy collection ... and he 's on the hunt for more to add .
ian , who is single , became interested in the supernatural as a child and now is hooked on haunted dolls .</t>
  </si>
  <si>
    <t>ian rogers , 36 , became hooked on all things paranormal as a child and took part in his first ghost hunt in the year 2000 .</t>
  </si>
  <si>
    <t>ian , who is single , became interested in the supernatural as a child and now is hooked on haunted dolls .</t>
  </si>
  <si>
    <t>the dolls are said to be haunted with the spirits of dead people</t>
  </si>
  <si>
    <t>149-3</t>
  </si>
  <si>
    <t>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t>
  </si>
  <si>
    <t>the knightsbridge flat , london , is on sale for a fraction of the price of neighbouring homes .
the cost would work out at £191,000 per year , or £15,000 per month - which is around the going rate for renting a three-bedroom flat in the area .
the property is being sold by russell simpson for £575,000 - the same price as a three-bedroom house in stanmore , middlesex .</t>
  </si>
  <si>
    <t>property experts said if a buyer decides to extend the lease , the property could be worth upwards of £ 6 million</t>
  </si>
  <si>
    <t>but renewal would not come cheap with the cost for a new 90-year lease estimated at between £ 3.35 and £ 4.5 million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</si>
</sst>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00_ ;_ * \-#,##0.00_ ;_ * &quot;-&quot;??_ ;_ @_ "/>
    <numFmt numFmtId="165" formatCode="00_ "/>
    <numFmt numFmtId="166" formatCode="0.000000000000_ "/>
    <numFmt numFmtId="167" formatCode="_-* #,##0.0_-;\-* #,##0.0_-;_-* &quot;-&quot;??_-;_-@_-"/>
  </numFmts>
  <fonts count="36">
    <font>
      <sz val="12"/>
      <color indexed="8"/>
      <name val="宋体"/>
      <charset val="134"/>
    </font>
    <font>
      <sz val="11"/>
      <color theme="1"/>
      <name val="Calibri"/>
      <family val="2"/>
      <scheme val="minor"/>
    </font>
    <font>
      <sz val="11"/>
      <color theme="1"/>
      <name val="Calibri"/>
      <family val="2"/>
      <scheme val="minor"/>
    </font>
    <font>
      <sz val="11"/>
      <color theme="1"/>
      <name val="Calibri"/>
      <family val="2"/>
      <scheme val="minor"/>
    </font>
    <font>
      <sz val="9"/>
      <name val="宋体"/>
      <family val="3"/>
      <charset val="134"/>
    </font>
    <font>
      <sz val="10"/>
      <name val="Arial"/>
      <family val="2"/>
    </font>
    <font>
      <sz val="11"/>
      <color theme="1"/>
      <name val="宋体"/>
      <family val="3"/>
      <charset val="134"/>
    </font>
    <font>
      <u/>
      <sz val="12"/>
      <color theme="10"/>
      <name val="宋体"/>
      <family val="3"/>
      <charset val="134"/>
    </font>
    <font>
      <u/>
      <sz val="12"/>
      <color theme="11"/>
      <name val="宋体"/>
      <family val="3"/>
      <charset val="134"/>
    </font>
    <font>
      <sz val="12"/>
      <color indexed="8"/>
      <name val="宋体"/>
      <family val="3"/>
      <charset val="134"/>
    </font>
    <font>
      <sz val="11"/>
      <color theme="1"/>
      <name val="Calibri"/>
      <family val="2"/>
      <charset val="134"/>
      <scheme val="minor"/>
    </font>
    <font>
      <sz val="11"/>
      <color theme="1"/>
      <name val="Arial"/>
      <family val="2"/>
    </font>
    <font>
      <sz val="10"/>
      <color theme="1"/>
      <name val="Arial"/>
      <family val="2"/>
    </font>
    <font>
      <b/>
      <sz val="10"/>
      <name val="Arial"/>
      <family val="2"/>
    </font>
    <font>
      <b/>
      <sz val="10"/>
      <color theme="1"/>
      <name val="Arial"/>
      <family val="2"/>
    </font>
    <font>
      <sz val="9"/>
      <name val="宋体"/>
      <family val="3"/>
      <charset val="134"/>
    </font>
    <font>
      <b/>
      <sz val="11"/>
      <name val="Arial"/>
      <family val="2"/>
    </font>
    <font>
      <sz val="11"/>
      <color indexed="8"/>
      <name val="Arial"/>
      <family val="2"/>
    </font>
    <font>
      <b/>
      <sz val="11"/>
      <color indexed="8"/>
      <name val="Arial"/>
      <family val="2"/>
    </font>
    <font>
      <b/>
      <u/>
      <sz val="11"/>
      <color theme="1"/>
      <name val="Arial"/>
      <family val="2"/>
    </font>
    <font>
      <b/>
      <sz val="11"/>
      <color theme="1"/>
      <name val="Arial"/>
      <family val="2"/>
    </font>
    <font>
      <b/>
      <sz val="9"/>
      <name val="Arial"/>
      <family val="2"/>
    </font>
    <font>
      <sz val="12"/>
      <color rgb="FF000000"/>
      <name val="Arial"/>
      <family val="2"/>
    </font>
    <font>
      <sz val="9"/>
      <name val="Arial"/>
      <family val="2"/>
    </font>
    <font>
      <sz val="10"/>
      <color rgb="FF000000"/>
      <name val="Arial"/>
      <family val="2"/>
    </font>
    <font>
      <b/>
      <sz val="12"/>
      <color rgb="FF000000"/>
      <name val="Arial"/>
      <family val="2"/>
    </font>
    <font>
      <b/>
      <sz val="9"/>
      <color rgb="FF000000"/>
      <name val="Arial"/>
      <family val="2"/>
    </font>
    <font>
      <sz val="12"/>
      <color indexed="8"/>
      <name val="Arial"/>
      <family val="2"/>
    </font>
    <font>
      <sz val="11"/>
      <color theme="0" tint="-0.14999847407452621"/>
      <name val="Arial"/>
      <family val="2"/>
    </font>
    <font>
      <sz val="11"/>
      <color theme="0"/>
      <name val="Arial"/>
      <family val="2"/>
    </font>
    <font>
      <sz val="12"/>
      <color indexed="8"/>
      <name val="宋体"/>
      <family val="3"/>
      <charset val="134"/>
    </font>
    <font>
      <sz val="9"/>
      <color theme="1" tint="0.499984740745262"/>
      <name val="Arial"/>
      <family val="2"/>
    </font>
    <font>
      <b/>
      <sz val="12"/>
      <color theme="1"/>
      <name val="Arial"/>
      <family val="2"/>
    </font>
    <font>
      <sz val="12"/>
      <color rgb="FF000000"/>
      <name val="Calibri"/>
      <family val="2"/>
    </font>
    <font>
      <sz val="11"/>
      <color rgb="FF000000"/>
      <name val="宋体"/>
      <family val="2"/>
      <charset val="134"/>
    </font>
    <font>
      <sz val="11"/>
      <name val="Arial"/>
      <family val="2"/>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7"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s>
  <cellStyleXfs count="211">
    <xf numFmtId="0" fontId="0" fillId="0" borderId="0"/>
    <xf numFmtId="0" fontId="6" fillId="0" borderId="0"/>
    <xf numFmtId="0" fontId="5" fillId="0" borderId="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9"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30" fillId="0" borderId="0" applyFont="0" applyFill="0" applyBorder="0" applyAlignment="0" applyProtection="0">
      <alignment vertical="center"/>
    </xf>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25">
    <xf numFmtId="0" fontId="0" fillId="0" borderId="0" xfId="0"/>
    <xf numFmtId="49" fontId="11" fillId="0" borderId="1" xfId="0" applyNumberFormat="1" applyFont="1" applyBorder="1" applyAlignment="1">
      <alignment wrapText="1"/>
    </xf>
    <xf numFmtId="0" fontId="12" fillId="0" borderId="0" xfId="180" applyFont="1" applyAlignment="1">
      <alignment vertical="center"/>
    </xf>
    <xf numFmtId="0" fontId="5" fillId="0" borderId="1" xfId="180" applyFont="1" applyFill="1" applyBorder="1" applyAlignment="1">
      <alignment vertical="center"/>
    </xf>
    <xf numFmtId="0" fontId="13" fillId="0" borderId="1" xfId="180" applyFont="1" applyFill="1" applyBorder="1" applyAlignment="1">
      <alignment vertical="center"/>
    </xf>
    <xf numFmtId="0" fontId="13" fillId="2" borderId="1" xfId="180" applyFont="1" applyFill="1" applyBorder="1" applyAlignment="1">
      <alignment vertical="center"/>
    </xf>
    <xf numFmtId="0" fontId="12" fillId="0" borderId="0" xfId="0" applyFont="1" applyAlignment="1">
      <alignment vertical="center"/>
    </xf>
    <xf numFmtId="0" fontId="12" fillId="4" borderId="1" xfId="0" applyFont="1" applyFill="1" applyBorder="1" applyAlignment="1">
      <alignment vertical="center"/>
    </xf>
    <xf numFmtId="0" fontId="14" fillId="4" borderId="1" xfId="0" applyFont="1" applyFill="1" applyBorder="1" applyAlignment="1">
      <alignment vertical="center"/>
    </xf>
    <xf numFmtId="0" fontId="13" fillId="2" borderId="1" xfId="0" applyFont="1" applyFill="1" applyBorder="1" applyAlignment="1">
      <alignment vertical="center"/>
    </xf>
    <xf numFmtId="0" fontId="5" fillId="0" borderId="1" xfId="0" applyFont="1" applyFill="1" applyBorder="1" applyAlignment="1">
      <alignment vertical="center"/>
    </xf>
    <xf numFmtId="0" fontId="12" fillId="0" borderId="1" xfId="0" applyFont="1" applyBorder="1" applyAlignment="1">
      <alignment vertical="center"/>
    </xf>
    <xf numFmtId="0" fontId="16" fillId="3" borderId="1" xfId="0" applyFont="1" applyFill="1" applyBorder="1" applyAlignment="1" applyProtection="1">
      <alignment horizontal="center" vertical="center" wrapText="1"/>
      <protection locked="0"/>
    </xf>
    <xf numFmtId="0" fontId="16" fillId="0" borderId="1" xfId="0" applyFont="1" applyBorder="1" applyAlignment="1">
      <alignment horizontal="center" vertical="center" wrapText="1"/>
    </xf>
    <xf numFmtId="0" fontId="17" fillId="0" borderId="1" xfId="0" applyFont="1" applyBorder="1" applyAlignment="1" applyProtection="1">
      <alignment horizontal="left" vertical="center" wrapText="1"/>
      <protection locked="0"/>
    </xf>
    <xf numFmtId="0" fontId="17" fillId="0" borderId="1" xfId="0" applyFont="1" applyBorder="1" applyAlignment="1">
      <alignment vertical="center"/>
    </xf>
    <xf numFmtId="1" fontId="18" fillId="0" borderId="1" xfId="0" applyNumberFormat="1" applyFont="1" applyBorder="1" applyAlignment="1">
      <alignment horizontal="left" vertical="center"/>
    </xf>
    <xf numFmtId="0" fontId="18" fillId="0" borderId="1" xfId="0" applyFont="1" applyBorder="1" applyAlignment="1">
      <alignment horizontal="center" vertical="center"/>
    </xf>
    <xf numFmtId="165" fontId="17" fillId="0" borderId="1" xfId="0" applyNumberFormat="1" applyFont="1" applyBorder="1" applyAlignment="1">
      <alignment horizontal="center" vertical="center"/>
    </xf>
    <xf numFmtId="1" fontId="17" fillId="0" borderId="1" xfId="0" applyNumberFormat="1" applyFont="1" applyBorder="1" applyAlignment="1">
      <alignment horizontal="left" vertical="center"/>
    </xf>
    <xf numFmtId="0" fontId="17" fillId="0" borderId="1" xfId="0" applyFont="1" applyBorder="1" applyAlignment="1">
      <alignment wrapText="1"/>
    </xf>
    <xf numFmtId="0" fontId="17" fillId="0" borderId="0" xfId="0" applyFont="1" applyBorder="1" applyAlignment="1">
      <alignment vertical="center"/>
    </xf>
    <xf numFmtId="1" fontId="17" fillId="0" borderId="0" xfId="0" applyNumberFormat="1" applyFont="1" applyBorder="1" applyAlignment="1">
      <alignment horizontal="left" vertical="center"/>
    </xf>
    <xf numFmtId="0" fontId="17" fillId="0" borderId="0" xfId="0" applyFont="1" applyBorder="1" applyAlignment="1">
      <alignment horizontal="center" vertical="center"/>
    </xf>
    <xf numFmtId="49" fontId="17" fillId="0" borderId="0" xfId="0" applyNumberFormat="1" applyFont="1" applyBorder="1" applyAlignment="1">
      <alignment horizontal="left" vertical="top" wrapText="1"/>
    </xf>
    <xf numFmtId="0" fontId="17" fillId="0" borderId="0" xfId="0" applyFont="1" applyBorder="1" applyAlignment="1" applyProtection="1">
      <alignment horizontal="left" vertical="center" wrapText="1"/>
      <protection locked="0"/>
    </xf>
    <xf numFmtId="0" fontId="11" fillId="0" borderId="0" xfId="180" applyFont="1">
      <alignment vertical="center"/>
    </xf>
    <xf numFmtId="0" fontId="11" fillId="0" borderId="1" xfId="180" applyFont="1" applyBorder="1" applyAlignment="1">
      <alignment horizontal="right" vertical="center"/>
    </xf>
    <xf numFmtId="0" fontId="11" fillId="0" borderId="0" xfId="180" applyFont="1" applyAlignment="1">
      <alignment horizontal="right" vertical="center"/>
    </xf>
    <xf numFmtId="14" fontId="11" fillId="0" borderId="1" xfId="180" applyNumberFormat="1" applyFont="1" applyBorder="1" applyAlignment="1">
      <alignment horizontal="right" vertical="center"/>
    </xf>
    <xf numFmtId="0" fontId="11" fillId="0" borderId="5" xfId="180" applyFont="1" applyBorder="1">
      <alignment vertical="center"/>
    </xf>
    <xf numFmtId="0" fontId="26" fillId="0" borderId="11" xfId="180" applyFont="1" applyFill="1" applyBorder="1" applyAlignment="1">
      <alignment horizontal="right"/>
    </xf>
    <xf numFmtId="0" fontId="27" fillId="0" borderId="0" xfId="0" applyFont="1"/>
    <xf numFmtId="0" fontId="11" fillId="0" borderId="0" xfId="180" applyFont="1" applyBorder="1">
      <alignment vertical="center"/>
    </xf>
    <xf numFmtId="0" fontId="11" fillId="0" borderId="0" xfId="180" applyFont="1" applyBorder="1" applyAlignment="1">
      <alignment horizontal="right" vertical="center"/>
    </xf>
    <xf numFmtId="0" fontId="28" fillId="0" borderId="0" xfId="180" applyFont="1">
      <alignment vertical="center"/>
    </xf>
    <xf numFmtId="2" fontId="29" fillId="0" borderId="0" xfId="180" applyNumberFormat="1" applyFont="1">
      <alignment vertical="center"/>
    </xf>
    <xf numFmtId="0" fontId="29" fillId="0" borderId="0" xfId="180" applyFont="1">
      <alignment vertical="center"/>
    </xf>
    <xf numFmtId="166" fontId="29" fillId="0" borderId="0" xfId="180" applyNumberFormat="1" applyFont="1">
      <alignment vertical="center"/>
    </xf>
    <xf numFmtId="0" fontId="11" fillId="0" borderId="0" xfId="180" applyFont="1" applyBorder="1" applyAlignment="1">
      <alignment horizontal="center" vertical="center"/>
    </xf>
    <xf numFmtId="0" fontId="19" fillId="0" borderId="0" xfId="180" applyFont="1">
      <alignment vertical="center"/>
    </xf>
    <xf numFmtId="0" fontId="16" fillId="2" borderId="0" xfId="180" applyFont="1" applyFill="1" applyAlignment="1">
      <alignment horizontal="right" vertical="center"/>
    </xf>
    <xf numFmtId="164" fontId="20" fillId="2" borderId="0" xfId="203" applyFont="1" applyFill="1" applyAlignment="1">
      <alignment horizontal="right" vertical="center"/>
    </xf>
    <xf numFmtId="167" fontId="20" fillId="2" borderId="0" xfId="182" applyNumberFormat="1" applyFont="1" applyFill="1" applyAlignment="1">
      <alignment horizontal="right" vertical="center"/>
    </xf>
    <xf numFmtId="10" fontId="20" fillId="2" borderId="0" xfId="181" applyNumberFormat="1" applyFont="1" applyFill="1" applyAlignment="1">
      <alignment horizontal="right" vertical="center"/>
    </xf>
    <xf numFmtId="0" fontId="21" fillId="10" borderId="6" xfId="180" applyFont="1" applyFill="1" applyBorder="1" applyAlignment="1">
      <alignment vertical="center"/>
    </xf>
    <xf numFmtId="0" fontId="21" fillId="10" borderId="11" xfId="180" applyFont="1" applyFill="1" applyBorder="1" applyAlignment="1">
      <alignment vertical="center"/>
    </xf>
    <xf numFmtId="0" fontId="21" fillId="10" borderId="15" xfId="180" applyFont="1" applyFill="1" applyBorder="1" applyAlignment="1">
      <alignment vertical="center"/>
    </xf>
    <xf numFmtId="0" fontId="23" fillId="6" borderId="2" xfId="180" applyFont="1" applyFill="1" applyBorder="1" applyAlignment="1">
      <alignment horizontal="right"/>
    </xf>
    <xf numFmtId="0" fontId="23" fillId="6" borderId="1" xfId="180" applyFont="1" applyFill="1" applyBorder="1" applyAlignment="1">
      <alignment horizontal="right"/>
    </xf>
    <xf numFmtId="0" fontId="23" fillId="6" borderId="9" xfId="180" applyFont="1" applyFill="1" applyBorder="1" applyAlignment="1">
      <alignment horizontal="right"/>
    </xf>
    <xf numFmtId="0" fontId="31" fillId="7" borderId="1" xfId="180" applyFont="1" applyFill="1" applyBorder="1" applyAlignment="1">
      <alignment horizontal="right"/>
    </xf>
    <xf numFmtId="0" fontId="23" fillId="9" borderId="1" xfId="180" applyFont="1" applyFill="1" applyBorder="1" applyAlignment="1">
      <alignment horizontal="right"/>
    </xf>
    <xf numFmtId="0" fontId="23" fillId="9" borderId="9" xfId="180" applyFont="1" applyFill="1" applyBorder="1" applyAlignment="1">
      <alignment horizontal="right"/>
    </xf>
    <xf numFmtId="0" fontId="23" fillId="9" borderId="2" xfId="180" applyFont="1" applyFill="1" applyBorder="1" applyAlignment="1">
      <alignment horizontal="right"/>
    </xf>
    <xf numFmtId="0" fontId="23" fillId="5" borderId="2" xfId="180" applyFont="1" applyFill="1" applyBorder="1" applyAlignment="1">
      <alignment horizontal="right"/>
    </xf>
    <xf numFmtId="0" fontId="23" fillId="5" borderId="1" xfId="180" applyFont="1" applyFill="1" applyBorder="1" applyAlignment="1">
      <alignment horizontal="right"/>
    </xf>
    <xf numFmtId="0" fontId="23" fillId="5" borderId="9" xfId="180" applyFont="1" applyFill="1" applyBorder="1" applyAlignment="1">
      <alignment horizontal="right"/>
    </xf>
    <xf numFmtId="0" fontId="20" fillId="6" borderId="1" xfId="180" applyFont="1" applyFill="1" applyBorder="1" applyAlignment="1">
      <alignment horizontal="center" vertical="center"/>
    </xf>
    <xf numFmtId="0" fontId="20" fillId="5" borderId="1" xfId="180" applyFont="1" applyFill="1" applyBorder="1" applyAlignment="1">
      <alignment horizontal="center" vertical="center"/>
    </xf>
    <xf numFmtId="0" fontId="20" fillId="9" borderId="1" xfId="180" applyFont="1" applyFill="1" applyBorder="1" applyAlignment="1">
      <alignment horizontal="center" vertical="center"/>
    </xf>
    <xf numFmtId="0" fontId="5" fillId="0" borderId="2" xfId="180" applyFont="1" applyFill="1" applyBorder="1" applyAlignment="1"/>
    <xf numFmtId="0" fontId="5" fillId="0" borderId="1" xfId="180" applyFont="1" applyFill="1" applyBorder="1" applyAlignment="1"/>
    <xf numFmtId="0" fontId="24" fillId="0" borderId="9" xfId="180" applyFont="1" applyFill="1" applyBorder="1" applyAlignment="1"/>
    <xf numFmtId="0" fontId="26" fillId="0" borderId="12" xfId="180" applyFont="1" applyFill="1" applyBorder="1" applyAlignment="1"/>
    <xf numFmtId="0" fontId="21" fillId="0" borderId="14" xfId="180" applyFont="1" applyFill="1" applyBorder="1" applyAlignment="1"/>
    <xf numFmtId="0" fontId="21" fillId="0" borderId="13" xfId="180" applyFont="1" applyFill="1" applyBorder="1" applyAlignment="1"/>
    <xf numFmtId="0" fontId="20" fillId="0" borderId="0" xfId="180" applyFont="1" applyBorder="1" applyAlignment="1">
      <alignment horizontal="right" vertical="center"/>
    </xf>
    <xf numFmtId="0" fontId="32" fillId="8" borderId="1" xfId="180" applyFont="1" applyFill="1" applyBorder="1" applyAlignment="1">
      <alignment horizontal="center" vertical="center"/>
    </xf>
    <xf numFmtId="2" fontId="32" fillId="0" borderId="1" xfId="180" applyNumberFormat="1" applyFont="1" applyFill="1" applyBorder="1" applyAlignment="1">
      <alignment horizontal="center" vertical="center"/>
    </xf>
    <xf numFmtId="0" fontId="27" fillId="0" borderId="1" xfId="0" applyFont="1" applyBorder="1"/>
    <xf numFmtId="2" fontId="27" fillId="0" borderId="1" xfId="0" applyNumberFormat="1" applyFont="1" applyBorder="1"/>
    <xf numFmtId="0" fontId="10" fillId="0" borderId="0" xfId="180">
      <alignment vertical="center"/>
    </xf>
    <xf numFmtId="0" fontId="20" fillId="11" borderId="1" xfId="180" applyFont="1" applyFill="1" applyBorder="1" applyAlignment="1">
      <alignment horizontal="center" vertical="center"/>
    </xf>
    <xf numFmtId="0" fontId="13" fillId="0" borderId="0" xfId="180" applyFont="1" applyFill="1" applyBorder="1" applyAlignment="1">
      <alignment vertical="center"/>
    </xf>
    <xf numFmtId="0" fontId="5" fillId="0" borderId="0" xfId="180" applyFont="1" applyFill="1" applyBorder="1" applyAlignment="1">
      <alignment vertical="center"/>
    </xf>
    <xf numFmtId="0" fontId="12" fillId="0" borderId="0" xfId="0" applyFont="1" applyBorder="1" applyAlignment="1">
      <alignment vertical="center"/>
    </xf>
    <xf numFmtId="1" fontId="11" fillId="0" borderId="1" xfId="180" applyNumberFormat="1" applyFont="1" applyBorder="1" applyAlignment="1">
      <alignment horizontal="right" vertical="center"/>
    </xf>
    <xf numFmtId="49" fontId="11" fillId="0" borderId="1" xfId="0" applyNumberFormat="1" applyFont="1" applyBorder="1" applyAlignment="1"/>
    <xf numFmtId="49" fontId="17" fillId="0" borderId="1" xfId="0" applyNumberFormat="1" applyFont="1" applyBorder="1" applyAlignment="1">
      <alignment horizontal="left" vertical="center"/>
    </xf>
    <xf numFmtId="49" fontId="6" fillId="0" borderId="1" xfId="0" applyNumberFormat="1" applyFont="1" applyBorder="1" applyAlignment="1"/>
    <xf numFmtId="0" fontId="17" fillId="0" borderId="1" xfId="0" applyFont="1" applyBorder="1" applyAlignment="1" applyProtection="1">
      <alignment horizontal="left" vertical="center"/>
      <protection locked="0"/>
    </xf>
    <xf numFmtId="0" fontId="17" fillId="0" borderId="0" xfId="0" applyFont="1" applyBorder="1" applyAlignment="1" applyProtection="1">
      <alignment horizontal="left" vertical="center"/>
      <protection locked="0"/>
    </xf>
    <xf numFmtId="0" fontId="17" fillId="0" borderId="1" xfId="0" applyFont="1" applyBorder="1" applyAlignment="1"/>
    <xf numFmtId="49" fontId="35" fillId="0" borderId="1" xfId="0" applyNumberFormat="1" applyFont="1" applyBorder="1" applyAlignment="1">
      <alignment horizontal="left" vertical="center"/>
    </xf>
    <xf numFmtId="165" fontId="35" fillId="0" borderId="1" xfId="0" applyNumberFormat="1" applyFont="1" applyBorder="1" applyAlignment="1">
      <alignment horizontal="center" vertical="center"/>
    </xf>
    <xf numFmtId="0" fontId="35" fillId="0" borderId="1" xfId="0" applyFont="1" applyBorder="1" applyAlignment="1"/>
    <xf numFmtId="0" fontId="35" fillId="0" borderId="1" xfId="0" applyFont="1" applyBorder="1" applyAlignment="1" applyProtection="1">
      <alignment horizontal="left" vertical="center"/>
      <protection locked="0"/>
    </xf>
    <xf numFmtId="49" fontId="35" fillId="0" borderId="1" xfId="0" applyNumberFormat="1" applyFont="1" applyBorder="1" applyAlignment="1" applyProtection="1">
      <alignment horizontal="left" vertical="center"/>
      <protection locked="0"/>
    </xf>
    <xf numFmtId="49" fontId="17" fillId="0" borderId="1" xfId="0" applyNumberFormat="1" applyFont="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17" fillId="0" borderId="0" xfId="0" applyFont="1" applyAlignment="1">
      <alignment vertical="center"/>
    </xf>
    <xf numFmtId="0" fontId="17" fillId="0" borderId="1" xfId="0" applyFont="1" applyBorder="1" applyAlignment="1">
      <alignment horizontal="left" vertical="center"/>
    </xf>
    <xf numFmtId="0" fontId="19" fillId="0" borderId="0" xfId="180" applyFont="1" applyAlignment="1">
      <alignment horizontal="center" vertical="center"/>
    </xf>
    <xf numFmtId="0" fontId="25" fillId="0" borderId="6" xfId="180" applyFont="1" applyFill="1" applyBorder="1" applyAlignment="1">
      <alignment horizontal="center" vertical="center"/>
    </xf>
    <xf numFmtId="0" fontId="25" fillId="0" borderId="11" xfId="180" applyFont="1" applyFill="1" applyBorder="1" applyAlignment="1">
      <alignment horizontal="center" vertical="center"/>
    </xf>
    <xf numFmtId="0" fontId="22" fillId="0" borderId="8" xfId="180" applyFont="1" applyFill="1" applyBorder="1" applyAlignment="1">
      <alignment horizontal="center" vertical="center"/>
    </xf>
    <xf numFmtId="0" fontId="22" fillId="0" borderId="7" xfId="180" applyFont="1" applyFill="1" applyBorder="1" applyAlignment="1">
      <alignment horizontal="center" vertical="center"/>
    </xf>
    <xf numFmtId="0" fontId="22" fillId="0" borderId="16" xfId="180" applyFont="1" applyFill="1" applyBorder="1" applyAlignment="1">
      <alignment horizontal="center" vertical="center"/>
    </xf>
    <xf numFmtId="0" fontId="13" fillId="4" borderId="1" xfId="180" applyFont="1" applyFill="1" applyBorder="1" applyAlignment="1">
      <alignment horizontal="center" vertical="center"/>
    </xf>
    <xf numFmtId="0" fontId="13" fillId="0" borderId="3" xfId="180" applyFont="1" applyBorder="1" applyAlignment="1">
      <alignment horizontal="center" vertical="center"/>
    </xf>
    <xf numFmtId="0" fontId="13" fillId="0" borderId="4" xfId="180" applyFont="1" applyBorder="1" applyAlignment="1">
      <alignment horizontal="center" vertical="center"/>
    </xf>
    <xf numFmtId="0" fontId="13" fillId="0" borderId="10" xfId="180" applyFont="1" applyBorder="1" applyAlignment="1">
      <alignment horizontal="center" vertical="center"/>
    </xf>
    <xf numFmtId="0" fontId="16" fillId="0" borderId="1" xfId="0" applyFont="1" applyBorder="1" applyAlignment="1">
      <alignment horizontal="center" vertical="center"/>
    </xf>
    <xf numFmtId="0" fontId="16" fillId="3" borderId="1" xfId="0" applyFont="1" applyFill="1" applyBorder="1" applyAlignment="1" applyProtection="1">
      <alignment horizontal="center" vertical="center"/>
      <protection locked="0"/>
    </xf>
    <xf numFmtId="49" fontId="9" fillId="0" borderId="0" xfId="0" applyNumberFormat="1" applyFont="1" applyAlignment="1"/>
    <xf numFmtId="0" fontId="11" fillId="0" borderId="1" xfId="0" applyFont="1" applyBorder="1" applyAlignment="1"/>
    <xf numFmtId="49" fontId="17" fillId="0" borderId="1" xfId="0" applyNumberFormat="1" applyFont="1" applyFill="1" applyBorder="1" applyAlignment="1">
      <alignment horizontal="left" vertical="center"/>
    </xf>
    <xf numFmtId="165" fontId="17" fillId="0" borderId="1" xfId="0" applyNumberFormat="1" applyFont="1" applyFill="1" applyBorder="1" applyAlignment="1">
      <alignment horizontal="center" vertical="center"/>
    </xf>
    <xf numFmtId="0" fontId="17" fillId="0" borderId="1" xfId="0" applyFont="1" applyFill="1" applyBorder="1" applyAlignment="1"/>
    <xf numFmtId="0" fontId="17" fillId="0" borderId="1" xfId="0" applyFont="1" applyFill="1" applyBorder="1" applyAlignment="1" applyProtection="1">
      <alignment horizontal="left" vertical="center"/>
      <protection locked="0"/>
    </xf>
    <xf numFmtId="0" fontId="17" fillId="0" borderId="1" xfId="0" applyFont="1" applyFill="1" applyBorder="1" applyAlignment="1">
      <alignment vertical="center"/>
    </xf>
    <xf numFmtId="0" fontId="17" fillId="0" borderId="0" xfId="0" applyFont="1" applyFill="1" applyBorder="1" applyAlignment="1">
      <alignment vertical="center"/>
    </xf>
    <xf numFmtId="49" fontId="11" fillId="0" borderId="1" xfId="0" applyNumberFormat="1" applyFont="1" applyFill="1" applyBorder="1" applyAlignment="1"/>
    <xf numFmtId="49" fontId="6" fillId="0" borderId="1" xfId="0" applyNumberFormat="1" applyFont="1" applyFill="1" applyBorder="1" applyAlignment="1"/>
    <xf numFmtId="0" fontId="17" fillId="0" borderId="1" xfId="0" quotePrefix="1" applyFont="1" applyFill="1" applyBorder="1" applyAlignment="1" applyProtection="1">
      <alignment horizontal="left" vertical="center"/>
      <protection locked="0"/>
    </xf>
    <xf numFmtId="49" fontId="18" fillId="0" borderId="1" xfId="0" applyNumberFormat="1" applyFont="1" applyFill="1" applyBorder="1" applyAlignment="1">
      <alignment horizontal="left" vertical="center"/>
    </xf>
    <xf numFmtId="49" fontId="35" fillId="0" borderId="1" xfId="0" applyNumberFormat="1" applyFont="1" applyFill="1" applyBorder="1" applyAlignment="1">
      <alignment horizontal="left" vertical="center"/>
    </xf>
    <xf numFmtId="49" fontId="11" fillId="0" borderId="1" xfId="0" applyNumberFormat="1" applyFont="1" applyFill="1" applyBorder="1" applyAlignment="1">
      <alignment wrapText="1"/>
    </xf>
    <xf numFmtId="1" fontId="17" fillId="0" borderId="1" xfId="0" applyNumberFormat="1" applyFont="1" applyFill="1" applyBorder="1" applyAlignment="1">
      <alignment horizontal="left" vertical="center"/>
    </xf>
    <xf numFmtId="49" fontId="9" fillId="0" borderId="1" xfId="0" applyNumberFormat="1" applyFont="1" applyFill="1" applyBorder="1"/>
    <xf numFmtId="0" fontId="17" fillId="0" borderId="1" xfId="0" applyFont="1" applyFill="1" applyBorder="1" applyAlignment="1">
      <alignment horizontal="left" vertical="center"/>
    </xf>
    <xf numFmtId="0" fontId="11" fillId="0" borderId="1" xfId="0" applyFont="1" applyFill="1" applyBorder="1"/>
    <xf numFmtId="49" fontId="27" fillId="0" borderId="1" xfId="0" applyNumberFormat="1" applyFont="1" applyFill="1" applyBorder="1"/>
    <xf numFmtId="49" fontId="27" fillId="0" borderId="0" xfId="0" applyNumberFormat="1" applyFont="1" applyFill="1"/>
  </cellXfs>
  <cellStyles count="211">
    <cellStyle name="Comma 2" xfId="182" xr:uid="{00000000-0005-0000-0000-000001000000}"/>
    <cellStyle name="Normal 2" xfId="1" xr:uid="{00000000-0005-0000-0000-0000C9000000}"/>
    <cellStyle name="Normal 2 2" xfId="2" xr:uid="{00000000-0005-0000-0000-0000CA000000}"/>
    <cellStyle name="Normal 3" xfId="3" xr:uid="{00000000-0005-0000-0000-0000CB000000}"/>
    <cellStyle name="Normal 3 2" xfId="163" xr:uid="{00000000-0005-0000-0000-0000CC000000}"/>
    <cellStyle name="Normal 4" xfId="165" xr:uid="{00000000-0005-0000-0000-0000CD000000}"/>
    <cellStyle name="Normal 5" xfId="180" xr:uid="{00000000-0005-0000-0000-0000CE000000}"/>
    <cellStyle name="Normal 6" xfId="204" xr:uid="{00000000-0005-0000-0000-0000CF000000}"/>
    <cellStyle name="Percent 2" xfId="4" xr:uid="{00000000-0005-0000-0000-0000D0000000}"/>
    <cellStyle name="Percent 2 2" xfId="164" xr:uid="{00000000-0005-0000-0000-0000D1000000}"/>
    <cellStyle name="Percent 3" xfId="181" xr:uid="{00000000-0005-0000-0000-0000D2000000}"/>
    <cellStyle name="千位分隔" xfId="203" builtinId="3"/>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已访问的超链接" xfId="72" builtinId="9" hidden="1"/>
    <cellStyle name="已访问的超链接" xfId="74" builtinId="9" hidden="1"/>
    <cellStyle name="已访问的超链接" xfId="76" builtinId="9" hidden="1"/>
    <cellStyle name="已访问的超链接" xfId="78" builtinId="9" hidden="1"/>
    <cellStyle name="已访问的超链接" xfId="80" builtinId="9" hidden="1"/>
    <cellStyle name="已访问的超链接" xfId="82" builtinId="9" hidden="1"/>
    <cellStyle name="已访问的超链接" xfId="84" builtinId="9" hidden="1"/>
    <cellStyle name="已访问的超链接" xfId="86" builtinId="9" hidden="1"/>
    <cellStyle name="已访问的超链接" xfId="88" builtinId="9" hidden="1"/>
    <cellStyle name="已访问的超链接" xfId="90" builtinId="9" hidden="1"/>
    <cellStyle name="已访问的超链接" xfId="92" builtinId="9" hidden="1"/>
    <cellStyle name="已访问的超链接" xfId="94" builtinId="9" hidden="1"/>
    <cellStyle name="已访问的超链接" xfId="96" builtinId="9" hidden="1"/>
    <cellStyle name="已访问的超链接" xfId="98" builtinId="9" hidden="1"/>
    <cellStyle name="已访问的超链接" xfId="100" builtinId="9" hidden="1"/>
    <cellStyle name="已访问的超链接" xfId="102" builtinId="9" hidden="1"/>
    <cellStyle name="已访问的超链接" xfId="104" builtinId="9" hidden="1"/>
    <cellStyle name="已访问的超链接" xfId="106" builtinId="9" hidden="1"/>
    <cellStyle name="已访问的超链接" xfId="108" builtinId="9" hidden="1"/>
    <cellStyle name="已访问的超链接" xfId="110" builtinId="9" hidden="1"/>
    <cellStyle name="已访问的超链接" xfId="112" builtinId="9" hidden="1"/>
    <cellStyle name="已访问的超链接" xfId="114" builtinId="9" hidden="1"/>
    <cellStyle name="已访问的超链接" xfId="116" builtinId="9" hidden="1"/>
    <cellStyle name="已访问的超链接" xfId="118" builtinId="9" hidden="1"/>
    <cellStyle name="已访问的超链接" xfId="120" builtinId="9" hidden="1"/>
    <cellStyle name="已访问的超链接" xfId="122" builtinId="9" hidden="1"/>
    <cellStyle name="已访问的超链接" xfId="124" builtinId="9" hidden="1"/>
    <cellStyle name="已访问的超链接" xfId="126" builtinId="9" hidden="1"/>
    <cellStyle name="已访问的超链接" xfId="128" builtinId="9" hidden="1"/>
    <cellStyle name="已访问的超链接" xfId="130" builtinId="9" hidden="1"/>
    <cellStyle name="已访问的超链接" xfId="132" builtinId="9" hidden="1"/>
    <cellStyle name="已访问的超链接" xfId="134" builtinId="9" hidden="1"/>
    <cellStyle name="已访问的超链接" xfId="136" builtinId="9" hidden="1"/>
    <cellStyle name="已访问的超链接" xfId="138" builtinId="9" hidden="1"/>
    <cellStyle name="已访问的超链接" xfId="140" builtinId="9" hidden="1"/>
    <cellStyle name="已访问的超链接" xfId="142" builtinId="9" hidden="1"/>
    <cellStyle name="已访问的超链接" xfId="144" builtinId="9" hidden="1"/>
    <cellStyle name="已访问的超链接" xfId="146" builtinId="9" hidden="1"/>
    <cellStyle name="已访问的超链接" xfId="148" builtinId="9" hidden="1"/>
    <cellStyle name="已访问的超链接" xfId="150" builtinId="9" hidden="1"/>
    <cellStyle name="已访问的超链接" xfId="152" builtinId="9" hidden="1"/>
    <cellStyle name="已访问的超链接" xfId="154" builtinId="9" hidden="1"/>
    <cellStyle name="已访问的超链接" xfId="156" builtinId="9" hidden="1"/>
    <cellStyle name="已访问的超链接" xfId="158" builtinId="9" hidden="1"/>
    <cellStyle name="已访问的超链接" xfId="160" builtinId="9" hidden="1"/>
    <cellStyle name="已访问的超链接" xfId="162" builtinId="9" hidden="1"/>
    <cellStyle name="已访问的超链接" xfId="167" builtinId="9" hidden="1"/>
    <cellStyle name="已访问的超链接" xfId="169" builtinId="9" hidden="1"/>
    <cellStyle name="已访问的超链接" xfId="171" builtinId="9" hidden="1"/>
    <cellStyle name="已访问的超链接" xfId="173" builtinId="9" hidden="1"/>
    <cellStyle name="已访问的超链接" xfId="175" builtinId="9" hidden="1"/>
    <cellStyle name="已访问的超链接" xfId="177" builtinId="9" hidden="1"/>
    <cellStyle name="已访问的超链接" xfId="179" builtinId="9" hidden="1"/>
    <cellStyle name="已访问的超链接" xfId="184" builtinId="9" hidden="1"/>
    <cellStyle name="已访问的超链接" xfId="186" builtinId="9" hidden="1"/>
    <cellStyle name="已访问的超链接" xfId="188" builtinId="9" hidden="1"/>
    <cellStyle name="已访问的超链接" xfId="190" builtinId="9" hidden="1"/>
    <cellStyle name="已访问的超链接" xfId="192" builtinId="9" hidden="1"/>
    <cellStyle name="已访问的超链接" xfId="194" builtinId="9" hidden="1"/>
    <cellStyle name="已访问的超链接" xfId="196" builtinId="9" hidden="1"/>
    <cellStyle name="已访问的超链接" xfId="198" builtinId="9" hidden="1"/>
    <cellStyle name="已访问的超链接" xfId="200" builtinId="9" hidden="1"/>
    <cellStyle name="已访问的超链接" xfId="202" builtinId="9" hidden="1"/>
    <cellStyle name="已访问的超链接" xfId="206" builtinId="9" hidden="1"/>
    <cellStyle name="已访问的超链接" xfId="208" builtinId="9" hidden="1"/>
    <cellStyle name="已访问的超链接" xfId="210" builtinId="9" hidden="1"/>
    <cellStyle name="常规" xfId="0" builtinId="0"/>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超链接" xfId="71" builtinId="8" hidden="1"/>
    <cellStyle name="超链接" xfId="73" builtinId="8" hidden="1"/>
    <cellStyle name="超链接" xfId="75" builtinId="8" hidden="1"/>
    <cellStyle name="超链接" xfId="77" builtinId="8" hidden="1"/>
    <cellStyle name="超链接" xfId="79" builtinId="8" hidden="1"/>
    <cellStyle name="超链接" xfId="81" builtinId="8" hidden="1"/>
    <cellStyle name="超链接" xfId="83" builtinId="8" hidden="1"/>
    <cellStyle name="超链接" xfId="85" builtinId="8" hidden="1"/>
    <cellStyle name="超链接" xfId="87" builtinId="8" hidden="1"/>
    <cellStyle name="超链接" xfId="89" builtinId="8" hidden="1"/>
    <cellStyle name="超链接" xfId="91" builtinId="8" hidden="1"/>
    <cellStyle name="超链接" xfId="93" builtinId="8" hidden="1"/>
    <cellStyle name="超链接" xfId="95" builtinId="8" hidden="1"/>
    <cellStyle name="超链接" xfId="97" builtinId="8" hidden="1"/>
    <cellStyle name="超链接" xfId="99" builtinId="8" hidden="1"/>
    <cellStyle name="超链接" xfId="101" builtinId="8" hidden="1"/>
    <cellStyle name="超链接" xfId="103" builtinId="8" hidden="1"/>
    <cellStyle name="超链接" xfId="105" builtinId="8" hidden="1"/>
    <cellStyle name="超链接" xfId="107" builtinId="8" hidden="1"/>
    <cellStyle name="超链接" xfId="109" builtinId="8" hidden="1"/>
    <cellStyle name="超链接" xfId="111" builtinId="8" hidden="1"/>
    <cellStyle name="超链接" xfId="113" builtinId="8" hidden="1"/>
    <cellStyle name="超链接" xfId="115" builtinId="8" hidden="1"/>
    <cellStyle name="超链接" xfId="117" builtinId="8" hidden="1"/>
    <cellStyle name="超链接" xfId="119" builtinId="8" hidden="1"/>
    <cellStyle name="超链接" xfId="121" builtinId="8" hidden="1"/>
    <cellStyle name="超链接" xfId="123" builtinId="8" hidden="1"/>
    <cellStyle name="超链接" xfId="125" builtinId="8" hidden="1"/>
    <cellStyle name="超链接" xfId="127" builtinId="8" hidden="1"/>
    <cellStyle name="超链接" xfId="129" builtinId="8" hidden="1"/>
    <cellStyle name="超链接" xfId="131" builtinId="8" hidden="1"/>
    <cellStyle name="超链接" xfId="133" builtinId="8" hidden="1"/>
    <cellStyle name="超链接" xfId="135" builtinId="8" hidden="1"/>
    <cellStyle name="超链接" xfId="137" builtinId="8" hidden="1"/>
    <cellStyle name="超链接" xfId="139" builtinId="8" hidden="1"/>
    <cellStyle name="超链接" xfId="141" builtinId="8" hidden="1"/>
    <cellStyle name="超链接" xfId="143" builtinId="8" hidden="1"/>
    <cellStyle name="超链接" xfId="145" builtinId="8" hidden="1"/>
    <cellStyle name="超链接" xfId="147" builtinId="8" hidden="1"/>
    <cellStyle name="超链接" xfId="149" builtinId="8" hidden="1"/>
    <cellStyle name="超链接" xfId="151" builtinId="8" hidden="1"/>
    <cellStyle name="超链接" xfId="153" builtinId="8" hidden="1"/>
    <cellStyle name="超链接" xfId="155" builtinId="8" hidden="1"/>
    <cellStyle name="超链接" xfId="157" builtinId="8" hidden="1"/>
    <cellStyle name="超链接" xfId="159" builtinId="8" hidden="1"/>
    <cellStyle name="超链接" xfId="161" builtinId="8" hidden="1"/>
    <cellStyle name="超链接" xfId="166" builtinId="8" hidden="1"/>
    <cellStyle name="超链接" xfId="168" builtinId="8" hidden="1"/>
    <cellStyle name="超链接" xfId="170" builtinId="8" hidden="1"/>
    <cellStyle name="超链接" xfId="172" builtinId="8" hidden="1"/>
    <cellStyle name="超链接" xfId="174" builtinId="8" hidden="1"/>
    <cellStyle name="超链接" xfId="176" builtinId="8" hidden="1"/>
    <cellStyle name="超链接" xfId="178" builtinId="8" hidden="1"/>
    <cellStyle name="超链接" xfId="183" builtinId="8" hidden="1"/>
    <cellStyle name="超链接" xfId="185" builtinId="8" hidden="1"/>
    <cellStyle name="超链接" xfId="187" builtinId="8" hidden="1"/>
    <cellStyle name="超链接" xfId="189" builtinId="8" hidden="1"/>
    <cellStyle name="超链接" xfId="191" builtinId="8" hidden="1"/>
    <cellStyle name="超链接" xfId="193" builtinId="8" hidden="1"/>
    <cellStyle name="超链接" xfId="195" builtinId="8" hidden="1"/>
    <cellStyle name="超链接" xfId="197" builtinId="8" hidden="1"/>
    <cellStyle name="超链接" xfId="199" builtinId="8" hidden="1"/>
    <cellStyle name="超链接" xfId="201" builtinId="8" hidden="1"/>
    <cellStyle name="超链接" xfId="205" builtinId="8" hidden="1"/>
    <cellStyle name="超链接" xfId="207" builtinId="8" hidden="1"/>
    <cellStyle name="超链接" xfId="209" builtinId="8" hidden="1"/>
  </cellStyles>
  <dxfs count="619">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0</xdr:row>
          <xdr:rowOff>22860</xdr:rowOff>
        </xdr:from>
        <xdr:to>
          <xdr:col>10</xdr:col>
          <xdr:colOff>1013460</xdr:colOff>
          <xdr:row>0</xdr:row>
          <xdr:rowOff>365760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Copy Row</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L36"/>
  <sheetViews>
    <sheetView showGridLines="0" tabSelected="1" topLeftCell="A10" zoomScale="80" zoomScaleNormal="80" zoomScalePageLayoutView="110" workbookViewId="0">
      <selection activeCell="C32" sqref="C32"/>
    </sheetView>
  </sheetViews>
  <sheetFormatPr defaultColWidth="7.69921875" defaultRowHeight="13.8"/>
  <cols>
    <col min="1" max="1" width="3.19921875" style="26" customWidth="1"/>
    <col min="2" max="2" width="16.69921875" style="26" bestFit="1" customWidth="1"/>
    <col min="3" max="3" width="24" style="26" bestFit="1" customWidth="1"/>
    <col min="4" max="5" width="16.69921875" style="26" customWidth="1"/>
    <col min="6" max="6" width="17.5" style="26" customWidth="1"/>
    <col min="7" max="9" width="16.69921875" style="26" customWidth="1"/>
    <col min="10" max="10" width="21.69921875" style="26" customWidth="1"/>
    <col min="11" max="12" width="16.69921875" style="26" customWidth="1"/>
    <col min="13" max="16384" width="7.69921875" style="26"/>
  </cols>
  <sheetData>
    <row r="2" spans="2:11">
      <c r="B2" s="93" t="s">
        <v>16</v>
      </c>
      <c r="C2" s="93"/>
      <c r="E2" s="93" t="s">
        <v>15</v>
      </c>
      <c r="F2" s="93"/>
      <c r="H2" s="93" t="s">
        <v>49</v>
      </c>
      <c r="I2" s="93"/>
    </row>
    <row r="4" spans="2:11">
      <c r="B4" s="26" t="s">
        <v>18</v>
      </c>
      <c r="C4" s="27"/>
      <c r="E4" s="26" t="s">
        <v>14</v>
      </c>
      <c r="F4" s="41">
        <f>COUNTA('Error Log'!A:A)-1</f>
        <v>459</v>
      </c>
      <c r="H4" s="26" t="s">
        <v>42</v>
      </c>
      <c r="I4" s="42">
        <f>H18</f>
        <v>78.47690086621752</v>
      </c>
      <c r="K4" s="35"/>
    </row>
    <row r="5" spans="2:11">
      <c r="C5" s="28"/>
      <c r="F5" s="28"/>
      <c r="K5" s="36">
        <f>I4</f>
        <v>78.47690086621752</v>
      </c>
    </row>
    <row r="6" spans="2:11">
      <c r="B6" s="26" t="s">
        <v>51</v>
      </c>
      <c r="C6" s="29"/>
      <c r="D6" s="26" t="s">
        <v>52</v>
      </c>
      <c r="E6" s="26" t="s">
        <v>9</v>
      </c>
      <c r="F6" s="41">
        <f>L36</f>
        <v>451</v>
      </c>
      <c r="H6" s="26" t="s">
        <v>12</v>
      </c>
      <c r="I6" s="43">
        <f>IF(C8=0,"0",1000*(F6/C8))</f>
        <v>54.258902791145331</v>
      </c>
      <c r="K6" s="37">
        <v>1</v>
      </c>
    </row>
    <row r="7" spans="2:11">
      <c r="C7" s="28"/>
      <c r="F7" s="28"/>
      <c r="I7" s="28"/>
      <c r="K7" s="38">
        <f>200-(K5+K6)</f>
        <v>120.52309913378248</v>
      </c>
    </row>
    <row r="8" spans="2:11">
      <c r="B8" s="26" t="s">
        <v>11</v>
      </c>
      <c r="C8" s="77">
        <f>SUM('Scores per segment'!D:D)</f>
        <v>8312</v>
      </c>
      <c r="E8" s="26" t="s">
        <v>38</v>
      </c>
      <c r="F8" s="41" t="e">
        <f>#REF!</f>
        <v>#REF!</v>
      </c>
      <c r="H8" s="26" t="s">
        <v>39</v>
      </c>
      <c r="I8" s="44" t="str">
        <f>IF(C10=0,"0",(F8/C10))</f>
        <v>0</v>
      </c>
      <c r="K8" s="37"/>
    </row>
    <row r="9" spans="2:11">
      <c r="C9" s="28"/>
      <c r="I9" s="28"/>
      <c r="K9" s="37"/>
    </row>
    <row r="10" spans="2:11">
      <c r="B10" s="26" t="s">
        <v>10</v>
      </c>
      <c r="C10" s="27">
        <f>COUNT('Scores per segment'!A:A)</f>
        <v>0</v>
      </c>
      <c r="E10" s="26" t="s">
        <v>13</v>
      </c>
      <c r="F10" s="41">
        <f>COUNTIFS('Error Log'!D:D,"*",'Error Log'!E:E,"")</f>
        <v>8</v>
      </c>
      <c r="H10" s="26" t="s">
        <v>19</v>
      </c>
      <c r="I10" s="44" t="str">
        <f>IF(C10=0,"0",(F10/C10))</f>
        <v>0</v>
      </c>
    </row>
    <row r="11" spans="2:11">
      <c r="C11" s="34"/>
    </row>
    <row r="12" spans="2:11" ht="14.4" thickBot="1">
      <c r="B12" s="30"/>
      <c r="C12" s="30"/>
      <c r="D12" s="30"/>
      <c r="E12" s="30"/>
      <c r="F12" s="30"/>
      <c r="G12" s="30"/>
      <c r="H12" s="30"/>
      <c r="I12" s="30"/>
    </row>
    <row r="13" spans="2:11" ht="14.4" thickTop="1">
      <c r="B13" s="33"/>
      <c r="C13" s="33"/>
      <c r="D13" s="33"/>
      <c r="E13" s="33"/>
      <c r="F13" s="33"/>
      <c r="G13" s="33"/>
      <c r="H13" s="33"/>
      <c r="I13" s="33"/>
      <c r="J13" s="33"/>
    </row>
    <row r="15" spans="2:11">
      <c r="D15" s="40" t="s">
        <v>40</v>
      </c>
    </row>
    <row r="16" spans="2:11">
      <c r="C16" s="34"/>
    </row>
    <row r="17" spans="2:12" ht="15.6">
      <c r="C17" s="39"/>
      <c r="D17" s="58" t="s">
        <v>35</v>
      </c>
      <c r="E17" s="59" t="s">
        <v>36</v>
      </c>
      <c r="F17" s="60" t="s">
        <v>37</v>
      </c>
      <c r="G17" s="73" t="s">
        <v>48</v>
      </c>
      <c r="H17" s="68" t="s">
        <v>53</v>
      </c>
    </row>
    <row r="18" spans="2:12" ht="15.6">
      <c r="C18" s="67" t="s">
        <v>43</v>
      </c>
      <c r="D18" s="58">
        <f>COUNTIF('Error Log'!$J:$J,D$17)</f>
        <v>271</v>
      </c>
      <c r="E18" s="59">
        <f>COUNTIF('Error Log'!$J:$J,E$17)</f>
        <v>172</v>
      </c>
      <c r="F18" s="60">
        <f>COUNTIF('Error Log'!$J:$J,F$17)</f>
        <v>8</v>
      </c>
      <c r="G18" s="73">
        <f>COUNTIF('Error Log'!$F:$F,"Target")</f>
        <v>0</v>
      </c>
      <c r="H18" s="69">
        <f>SUMPRODUCT('Scores per segment'!J:J,'Scores per segment'!D:D)/SUM('Scores per segment'!D:D)</f>
        <v>78.47690086621752</v>
      </c>
    </row>
    <row r="21" spans="2:12">
      <c r="C21" s="34"/>
    </row>
    <row r="22" spans="2:12" ht="14.4" thickBot="1">
      <c r="B22" s="30"/>
      <c r="C22" s="30"/>
      <c r="D22" s="30"/>
      <c r="E22" s="30"/>
      <c r="F22" s="30"/>
      <c r="G22" s="30"/>
      <c r="H22" s="30"/>
      <c r="I22" s="30"/>
      <c r="J22" s="30"/>
      <c r="K22" s="30"/>
      <c r="L22" s="30"/>
    </row>
    <row r="23" spans="2:12" ht="14.4" thickTop="1">
      <c r="B23" s="33"/>
      <c r="C23" s="33"/>
      <c r="D23" s="33"/>
      <c r="E23" s="33"/>
      <c r="F23" s="33"/>
      <c r="G23" s="33"/>
      <c r="H23" s="33"/>
      <c r="I23" s="33"/>
      <c r="J23" s="33"/>
      <c r="K23" s="33"/>
      <c r="L23" s="33"/>
    </row>
    <row r="24" spans="2:12">
      <c r="B24" s="33"/>
      <c r="C24" s="33"/>
      <c r="D24" s="33"/>
      <c r="E24" s="33"/>
      <c r="F24" s="33"/>
      <c r="G24" s="33"/>
      <c r="H24" s="33"/>
      <c r="I24" s="33"/>
      <c r="J24" s="33"/>
      <c r="K24" s="33"/>
      <c r="L24" s="33"/>
    </row>
    <row r="25" spans="2:12">
      <c r="B25" s="33"/>
      <c r="D25" s="40" t="s">
        <v>41</v>
      </c>
      <c r="E25" s="33"/>
      <c r="F25" s="33"/>
      <c r="G25" s="33"/>
      <c r="H25" s="33"/>
      <c r="I25" s="33"/>
      <c r="J25" s="33"/>
      <c r="K25" s="33"/>
      <c r="L25" s="33"/>
    </row>
    <row r="26" spans="2:12" ht="14.4" thickBot="1">
      <c r="B26" s="33"/>
      <c r="C26" s="33"/>
      <c r="D26" s="33"/>
      <c r="E26" s="33"/>
      <c r="F26" s="33"/>
      <c r="G26" s="33"/>
      <c r="H26" s="33"/>
      <c r="I26" s="33"/>
      <c r="J26" s="33"/>
      <c r="K26" s="33"/>
      <c r="L26" s="33"/>
    </row>
    <row r="27" spans="2:12" ht="14.4" thickBot="1">
      <c r="B27" s="45" t="s">
        <v>31</v>
      </c>
      <c r="C27" s="46" t="s">
        <v>30</v>
      </c>
      <c r="D27" s="46" t="s">
        <v>54</v>
      </c>
      <c r="E27" s="46" t="s">
        <v>55</v>
      </c>
      <c r="F27" s="46" t="s">
        <v>56</v>
      </c>
      <c r="G27" s="46" t="s">
        <v>29</v>
      </c>
      <c r="H27" s="46" t="s">
        <v>27</v>
      </c>
      <c r="I27" s="46" t="s">
        <v>72</v>
      </c>
      <c r="J27" s="46" t="s">
        <v>73</v>
      </c>
      <c r="K27" s="46" t="s">
        <v>57</v>
      </c>
      <c r="L27" s="47" t="s">
        <v>6</v>
      </c>
    </row>
    <row r="28" spans="2:12">
      <c r="B28" s="98" t="s">
        <v>8</v>
      </c>
      <c r="C28" s="61" t="s">
        <v>22</v>
      </c>
      <c r="D28" s="48">
        <f>COUNTIFS('Error Log'!$E:$E,$B$28,'Error Log'!$F:$F,$C28,'Error Log'!$G:$G,D$27)</f>
        <v>0</v>
      </c>
      <c r="E28" s="48">
        <f>COUNTIFS('Error Log'!$E:$E,$B$28,'Error Log'!$F:$F,$C28,'Error Log'!$G:$G,E$27)</f>
        <v>0</v>
      </c>
      <c r="F28" s="55">
        <f>COUNTIFS('Error Log'!$E:$E,$B$28,'Error Log'!$F:$F,$C28,'Error Log'!$G:$G,F$27)</f>
        <v>0</v>
      </c>
      <c r="G28" s="55">
        <f>COUNTIFS('Error Log'!$E:$E,$B$28,'Error Log'!$F:$F,$C28,'Error Log'!$G:$G,G$27)</f>
        <v>0</v>
      </c>
      <c r="H28" s="55">
        <f>COUNTIFS('Error Log'!$E:$E,$B$28,'Error Log'!$F:$F,$C28,'Error Log'!$G:$G,H$27)</f>
        <v>0</v>
      </c>
      <c r="I28" s="55">
        <f>COUNTIFS('Error Log'!$E:$E,$B$28,'Error Log'!$F:$F,$C28,'Error Log'!$G:$G,I$27)</f>
        <v>1</v>
      </c>
      <c r="J28" s="48">
        <f>COUNTIFS('Error Log'!$E:$E,$B$28,'Error Log'!$F:$F,$C28,'Error Log'!$G:$G,J$27)</f>
        <v>0</v>
      </c>
      <c r="K28" s="54">
        <f>COUNTIFS('Error Log'!$E:$E,$B$28,'Error Log'!$F:$F,$C28,'Error Log'!$G:$G,K$27)</f>
        <v>153</v>
      </c>
      <c r="L28" s="65">
        <f t="shared" ref="L28:L35" si="0">SUM(D28:K28)</f>
        <v>154</v>
      </c>
    </row>
    <row r="29" spans="2:12">
      <c r="B29" s="97"/>
      <c r="C29" s="62" t="s">
        <v>7</v>
      </c>
      <c r="D29" s="49">
        <f>COUNTIFS('Error Log'!$E:$E,$B$28,'Error Log'!$F:$F,$C29,'Error Log'!$G:$G,D$27)</f>
        <v>1</v>
      </c>
      <c r="E29" s="49">
        <f>COUNTIFS('Error Log'!$E:$E,$B$28,'Error Log'!$F:$F,$C29,'Error Log'!$G:$G,E$27)</f>
        <v>1</v>
      </c>
      <c r="F29" s="56">
        <f>COUNTIFS('Error Log'!$E:$E,$B$28,'Error Log'!$F:$F,$C29,'Error Log'!$G:$G,F$27)</f>
        <v>5</v>
      </c>
      <c r="G29" s="56">
        <f>COUNTIFS('Error Log'!$E:$E,$B$28,'Error Log'!$F:$F,$C29,'Error Log'!$G:$G,G$27)</f>
        <v>1</v>
      </c>
      <c r="H29" s="56">
        <f>COUNTIFS('Error Log'!$E:$E,$B$28,'Error Log'!$F:$F,$C29,'Error Log'!$G:$G,H$27)</f>
        <v>3</v>
      </c>
      <c r="I29" s="56">
        <f>COUNTIFS('Error Log'!$E:$E,$B$28,'Error Log'!$F:$F,$C29,'Error Log'!$G:$G,I$27)</f>
        <v>3</v>
      </c>
      <c r="J29" s="51">
        <f>COUNTIFS('Error Log'!$E:$E,$B$28,'Error Log'!$F:$F,$C29,'Error Log'!$G:$G,J$27)</f>
        <v>6</v>
      </c>
      <c r="K29" s="52">
        <f>COUNTIFS('Error Log'!$E:$E,$B$28,'Error Log'!$F:$F,$C29,'Error Log'!$G:$G,K$27)</f>
        <v>250</v>
      </c>
      <c r="L29" s="66">
        <f t="shared" si="0"/>
        <v>270</v>
      </c>
    </row>
    <row r="30" spans="2:12">
      <c r="B30" s="97"/>
      <c r="C30" s="62" t="s">
        <v>68</v>
      </c>
      <c r="D30" s="49">
        <f>COUNTIFS('Error Log'!$E:$E,$B$28,'Error Log'!$F:$F,$C30,'Error Log'!$G:$G,D$27)</f>
        <v>5</v>
      </c>
      <c r="E30" s="49">
        <f>COUNTIFS('Error Log'!$E:$E,$B$28,'Error Log'!$F:$F,$C30,'Error Log'!$G:$G,E$27)</f>
        <v>1</v>
      </c>
      <c r="F30" s="56">
        <f>COUNTIFS('Error Log'!$E:$E,$B$28,'Error Log'!$F:$F,$C30,'Error Log'!$G:$G,F$27)</f>
        <v>0</v>
      </c>
      <c r="G30" s="56">
        <f>COUNTIFS('Error Log'!$E:$E,$B$28,'Error Log'!$F:$F,$C30,'Error Log'!$G:$G,G$27)</f>
        <v>3</v>
      </c>
      <c r="H30" s="56">
        <f>COUNTIFS('Error Log'!$E:$E,$B$28,'Error Log'!$F:$F,$C30,'Error Log'!$G:$G,H$27)</f>
        <v>4</v>
      </c>
      <c r="I30" s="56">
        <f>COUNTIFS('Error Log'!$E:$E,$B$28,'Error Log'!$F:$F,$C30,'Error Log'!$G:$G,I$27)</f>
        <v>1</v>
      </c>
      <c r="J30" s="49">
        <f>COUNTIFS('Error Log'!$E:$E,$B$28,'Error Log'!$F:$F,$C30,'Error Log'!$G:$G,J$27)</f>
        <v>2</v>
      </c>
      <c r="K30" s="52">
        <f>COUNTIFS('Error Log'!$E:$E,$B$28,'Error Log'!$F:$F,$C30,'Error Log'!$G:$G,K$27)</f>
        <v>0</v>
      </c>
      <c r="L30" s="66">
        <f t="shared" si="0"/>
        <v>16</v>
      </c>
    </row>
    <row r="31" spans="2:12">
      <c r="B31" s="97"/>
      <c r="C31" s="62" t="s">
        <v>69</v>
      </c>
      <c r="D31" s="49">
        <f>COUNTIFS('Error Log'!$E:$E,$B$28,'Error Log'!$F:$F,$C31,'Error Log'!$G:$G,D$27)</f>
        <v>0</v>
      </c>
      <c r="E31" s="49">
        <f>COUNTIFS('Error Log'!$E:$E,$B$28,'Error Log'!$F:$F,$C31,'Error Log'!$G:$G,E$27)</f>
        <v>0</v>
      </c>
      <c r="F31" s="56">
        <f>COUNTIFS('Error Log'!$E:$E,$B$28,'Error Log'!$F:$F,$C31,'Error Log'!$G:$G,F$27)</f>
        <v>0</v>
      </c>
      <c r="G31" s="56">
        <f>COUNTIFS('Error Log'!$E:$E,$B$28,'Error Log'!$F:$F,$C31,'Error Log'!$G:$G,G$27)</f>
        <v>0</v>
      </c>
      <c r="H31" s="56">
        <f>COUNTIFS('Error Log'!$E:$E,$B$28,'Error Log'!$F:$F,$C31,'Error Log'!$G:$G,H$27)</f>
        <v>0</v>
      </c>
      <c r="I31" s="56">
        <f>COUNTIFS('Error Log'!$E:$E,$B$28,'Error Log'!$F:$F,$C31,'Error Log'!$G:$G,I$27)</f>
        <v>0</v>
      </c>
      <c r="J31" s="49">
        <f>COUNTIFS('Error Log'!$E:$E,$B$28,'Error Log'!$F:$F,$C31,'Error Log'!$G:$G,J$27)</f>
        <v>0</v>
      </c>
      <c r="K31" s="52">
        <f>COUNTIFS('Error Log'!$E:$E,$B$28,'Error Log'!$F:$F,$C31,'Error Log'!$G:$G,K$27)</f>
        <v>0</v>
      </c>
      <c r="L31" s="66">
        <f t="shared" ref="L31" si="1">SUM(D31:K31)</f>
        <v>0</v>
      </c>
    </row>
    <row r="32" spans="2:12" ht="14.4" thickBot="1">
      <c r="B32" s="97"/>
      <c r="C32" s="62" t="s">
        <v>45</v>
      </c>
      <c r="D32" s="51">
        <f>COUNTIFS('Error Log'!$E:$E,$B$28,'Error Log'!$F:$F,$C32,'Error Log'!$G:$G,D$27)</f>
        <v>0</v>
      </c>
      <c r="E32" s="51">
        <f>COUNTIFS('Error Log'!$E:$E,$B$28,'Error Log'!$F:$F,$C32,'Error Log'!$G:$G,E$27)</f>
        <v>0</v>
      </c>
      <c r="F32" s="51">
        <f>COUNTIFS('Error Log'!$E:$E,$B$28,'Error Log'!$F:$F,$C32,'Error Log'!$G:$G,F$27)</f>
        <v>0</v>
      </c>
      <c r="G32" s="51">
        <f>COUNTIFS('Error Log'!$E:$E,$B$28,'Error Log'!$F:$F,$C32,'Error Log'!$G:$G,G$27)</f>
        <v>0</v>
      </c>
      <c r="H32" s="51">
        <f>COUNTIFS('Error Log'!$E:$E,$B$28,'Error Log'!$F:$F,$C32,'Error Log'!$G:$G,H$27)</f>
        <v>0</v>
      </c>
      <c r="I32" s="51">
        <f>COUNTIFS('Error Log'!$E:$E,$B$28,'Error Log'!$F:$F,$C32,'Error Log'!$G:$G,I$27)</f>
        <v>0</v>
      </c>
      <c r="J32" s="49">
        <f>COUNTIFS('Error Log'!$E:$E,$B$28,'Error Log'!$F:$F,$C32,'Error Log'!$G:$G,J$27)</f>
        <v>0</v>
      </c>
      <c r="K32" s="52">
        <f>COUNTIFS('Error Log'!$E:$E,$B$28,'Error Log'!$F:$F,$C32,'Error Log'!$G:$G,K$27)</f>
        <v>0</v>
      </c>
      <c r="L32" s="66">
        <f t="shared" si="0"/>
        <v>0</v>
      </c>
    </row>
    <row r="33" spans="2:12">
      <c r="B33" s="96" t="s">
        <v>2</v>
      </c>
      <c r="C33" s="63" t="s">
        <v>71</v>
      </c>
      <c r="D33" s="57">
        <f>COUNTIFS('Error Log'!$E:$E,$B$33,'Error Log'!$F:$F,$C33,'Error Log'!$G:$G,D$27)</f>
        <v>0</v>
      </c>
      <c r="E33" s="53">
        <f>COUNTIFS('Error Log'!$E:$E,$B$33,'Error Log'!$F:$F,$C33,'Error Log'!$G:$G,E$27)</f>
        <v>0</v>
      </c>
      <c r="F33" s="53">
        <f>COUNTIFS('Error Log'!$E:$E,$B$33,'Error Log'!$F:$F,$C33,'Error Log'!$G:$G,F$27)</f>
        <v>0</v>
      </c>
      <c r="G33" s="53">
        <f>COUNTIFS('Error Log'!$E:$E,$B$33,'Error Log'!$F:$F,$C33,'Error Log'!$G:$G,G$27)</f>
        <v>0</v>
      </c>
      <c r="H33" s="53">
        <f>COUNTIFS('Error Log'!$E:$E,$B$33,'Error Log'!$F:$F,$C33,'Error Log'!$G:$G,H$27)</f>
        <v>0</v>
      </c>
      <c r="I33" s="53">
        <f>COUNTIFS('Error Log'!$E:$E,$B$33,'Error Log'!$F:$F,$C33,'Error Log'!$G:$G,I$27)</f>
        <v>0</v>
      </c>
      <c r="J33" s="50">
        <f>COUNTIFS('Error Log'!$E:$E,$B$33,'Error Log'!$F:$F,$C33,'Error Log'!$G:$G,J$27)</f>
        <v>0</v>
      </c>
      <c r="K33" s="53">
        <f>COUNTIFS('Error Log'!$E:$E,$B$33,'Error Log'!$F:$F,$C33,'Error Log'!$G:$G,K$27)</f>
        <v>0</v>
      </c>
      <c r="L33" s="65">
        <f t="shared" si="0"/>
        <v>0</v>
      </c>
    </row>
    <row r="34" spans="2:12">
      <c r="B34" s="97"/>
      <c r="C34" s="62" t="s">
        <v>26</v>
      </c>
      <c r="D34" s="52">
        <f>COUNTIFS('Error Log'!$E:$E,$B$33,'Error Log'!$F:$F,$C34,'Error Log'!$G:$G,D$27)</f>
        <v>0</v>
      </c>
      <c r="E34" s="52">
        <f>COUNTIFS('Error Log'!$E:$E,$B$33,'Error Log'!$F:$F,$C34,'Error Log'!$G:$G,E$27)</f>
        <v>0</v>
      </c>
      <c r="F34" s="52">
        <f>COUNTIFS('Error Log'!$E:$E,$B$33,'Error Log'!$F:$F,$C34,'Error Log'!$G:$G,F$27)</f>
        <v>0</v>
      </c>
      <c r="G34" s="52">
        <f>COUNTIFS('Error Log'!$E:$E,$B$33,'Error Log'!$F:$F,$C34,'Error Log'!$G:$G,G$27)</f>
        <v>0</v>
      </c>
      <c r="H34" s="52">
        <f>COUNTIFS('Error Log'!$E:$E,$B$33,'Error Log'!$F:$F,$C34,'Error Log'!$G:$G,H$27)</f>
        <v>0</v>
      </c>
      <c r="I34" s="52">
        <f>COUNTIFS('Error Log'!$E:$E,$B$33,'Error Log'!$F:$F,$C34,'Error Log'!$G:$G,I$27)</f>
        <v>0</v>
      </c>
      <c r="J34" s="51">
        <f>COUNTIFS('Error Log'!$E:$E,$B$33,'Error Log'!$F:$F,$C34,'Error Log'!$G:$G,J$27)</f>
        <v>0</v>
      </c>
      <c r="K34" s="52">
        <f>COUNTIFS('Error Log'!$E:$E,$B$33,'Error Log'!$F:$F,$C34,'Error Log'!$G:$G,K$27)</f>
        <v>11</v>
      </c>
      <c r="L34" s="66">
        <f t="shared" si="0"/>
        <v>11</v>
      </c>
    </row>
    <row r="35" spans="2:12" ht="14.4" thickBot="1">
      <c r="B35" s="97"/>
      <c r="C35" s="62" t="s">
        <v>70</v>
      </c>
      <c r="D35" s="56">
        <f>COUNTIFS('Error Log'!$E:$E,$B$33,'Error Log'!$F:$F,$C35,'Error Log'!$G:$G,D$27)</f>
        <v>0</v>
      </c>
      <c r="E35" s="52">
        <f>COUNTIFS('Error Log'!$E:$E,$B$33,'Error Log'!$F:$F,$C35,'Error Log'!$G:$G,E$27)</f>
        <v>0</v>
      </c>
      <c r="F35" s="52">
        <f>COUNTIFS('Error Log'!$E:$E,$B$33,'Error Log'!$F:$F,$C35,'Error Log'!$G:$G,F$27)</f>
        <v>0</v>
      </c>
      <c r="G35" s="52">
        <f>COUNTIFS('Error Log'!$E:$E,$B$33,'Error Log'!$F:$F,$C35,'Error Log'!$G:$G,G$27)</f>
        <v>0</v>
      </c>
      <c r="H35" s="52">
        <f>COUNTIFS('Error Log'!$E:$E,$B$33,'Error Log'!$F:$F,$C35,'Error Log'!$G:$G,H$27)</f>
        <v>0</v>
      </c>
      <c r="I35" s="52">
        <f>COUNTIFS('Error Log'!$E:$E,$B$33,'Error Log'!$F:$F,$C35,'Error Log'!$G:$G,I$27)</f>
        <v>0</v>
      </c>
      <c r="J35" s="51">
        <f>COUNTIFS('Error Log'!$E:$E,$B$33,'Error Log'!$F:$F,$C35,'Error Log'!$G:$G,J$27)</f>
        <v>0</v>
      </c>
      <c r="K35" s="52">
        <f>COUNTIFS('Error Log'!$E:$E,$B$33,'Error Log'!$F:$F,$C35,'Error Log'!$G:$G,K$27)</f>
        <v>0</v>
      </c>
      <c r="L35" s="66">
        <f t="shared" si="0"/>
        <v>0</v>
      </c>
    </row>
    <row r="36" spans="2:12" ht="16.2" thickBot="1">
      <c r="B36" s="94" t="s">
        <v>6</v>
      </c>
      <c r="C36" s="95"/>
      <c r="D36" s="31">
        <f>SUM(D28:D35)</f>
        <v>6</v>
      </c>
      <c r="E36" s="31">
        <f>SUM(E28:E35)</f>
        <v>2</v>
      </c>
      <c r="F36" s="31">
        <f>SUM(F28:F35)</f>
        <v>5</v>
      </c>
      <c r="G36" s="31">
        <f>SUM(G28:G35)</f>
        <v>4</v>
      </c>
      <c r="H36" s="31">
        <f>SUM(H28:H35)</f>
        <v>7</v>
      </c>
      <c r="I36" s="31">
        <f>SUM(I28:I35)</f>
        <v>5</v>
      </c>
      <c r="J36" s="31">
        <f>SUM(J28:J35)</f>
        <v>8</v>
      </c>
      <c r="K36" s="31">
        <f>SUM(K28:K35)</f>
        <v>414</v>
      </c>
      <c r="L36" s="64">
        <f>SUM(L28:L35)</f>
        <v>451</v>
      </c>
    </row>
  </sheetData>
  <mergeCells count="6">
    <mergeCell ref="B2:C2"/>
    <mergeCell ref="E2:F2"/>
    <mergeCell ref="H2:I2"/>
    <mergeCell ref="B36:C36"/>
    <mergeCell ref="B33:B35"/>
    <mergeCell ref="B28:B32"/>
  </mergeCells>
  <phoneticPr fontId="4" type="noConversion"/>
  <pageMargins left="0.7" right="0.7" top="0.75" bottom="0.75" header="0.3" footer="0.3"/>
  <pageSetup paperSize="9" orientation="portrait" horizontalDpi="4294967292" verticalDpi="4294967292"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K825"/>
  <sheetViews>
    <sheetView showGridLines="0" zoomScaleNormal="100" zoomScalePageLayoutView="80" workbookViewId="0">
      <pane ySplit="1" topLeftCell="A2" activePane="bottomLeft" state="frozen"/>
      <selection pane="bottomLeft" activeCell="A160" sqref="A160:XFD165"/>
    </sheetView>
  </sheetViews>
  <sheetFormatPr defaultColWidth="11" defaultRowHeight="13.8"/>
  <cols>
    <col min="1" max="1" width="10.19921875" style="22" customWidth="1"/>
    <col min="2" max="2" width="10" style="23" bestFit="1" customWidth="1"/>
    <col min="3" max="3" width="19.19921875" style="24" customWidth="1"/>
    <col min="4" max="4" width="42.69921875" style="24" customWidth="1"/>
    <col min="5" max="5" width="14.69921875" style="25" bestFit="1" customWidth="1"/>
    <col min="6" max="6" width="13.69921875" style="25" bestFit="1" customWidth="1"/>
    <col min="7" max="7" width="12.8984375" style="25" customWidth="1"/>
    <col min="8" max="8" width="19.5" style="25" customWidth="1"/>
    <col min="9" max="9" width="11.09765625" style="25" customWidth="1"/>
    <col min="10" max="10" width="13.19921875" style="21" customWidth="1"/>
    <col min="11" max="11" width="17.19921875" style="21" customWidth="1"/>
    <col min="12" max="16384" width="11" style="21"/>
  </cols>
  <sheetData>
    <row r="1" spans="1:11">
      <c r="A1" s="16" t="s">
        <v>20</v>
      </c>
      <c r="B1" s="17" t="s">
        <v>17</v>
      </c>
      <c r="C1" s="103" t="s">
        <v>4</v>
      </c>
      <c r="D1" s="103" t="s">
        <v>5</v>
      </c>
      <c r="E1" s="104" t="s">
        <v>0</v>
      </c>
      <c r="F1" s="104" t="s">
        <v>3</v>
      </c>
      <c r="G1" s="104" t="s">
        <v>33</v>
      </c>
      <c r="H1" s="104" t="s">
        <v>32</v>
      </c>
      <c r="I1" s="104" t="s">
        <v>62</v>
      </c>
      <c r="J1" s="104" t="s">
        <v>34</v>
      </c>
    </row>
    <row r="2" spans="1:11" ht="14.4">
      <c r="A2" s="78" t="s">
        <v>74</v>
      </c>
      <c r="B2" s="18">
        <v>1</v>
      </c>
      <c r="C2" s="80" t="s">
        <v>75</v>
      </c>
      <c r="D2" s="78" t="s">
        <v>76</v>
      </c>
      <c r="E2" s="81" t="s">
        <v>21</v>
      </c>
      <c r="F2" s="81" t="s">
        <v>7</v>
      </c>
      <c r="G2" s="81" t="s">
        <v>57</v>
      </c>
      <c r="H2" s="81" t="s">
        <v>77</v>
      </c>
      <c r="I2" s="81"/>
      <c r="J2" s="15" t="str">
        <f>IF(E2="Invalid_Segment","Invalid",IFERROR(INDEX(Severity_Matrix!$C$3:$M$10,MATCH('Error Log'!$F2,Severity_Matrix!$B$3:$B$10,0),MATCH('Error Log'!$G2,Severity_Matrix!$C$2:$M$2,0)),"No errors"))</f>
        <v>Critical</v>
      </c>
      <c r="K2" s="1"/>
    </row>
    <row r="3" spans="1:11" ht="14.4">
      <c r="A3" s="78" t="s">
        <v>74</v>
      </c>
      <c r="B3" s="18">
        <v>2</v>
      </c>
      <c r="C3" s="80" t="s">
        <v>75</v>
      </c>
      <c r="D3" s="78" t="s">
        <v>76</v>
      </c>
      <c r="E3" s="81" t="s">
        <v>21</v>
      </c>
      <c r="F3" s="81" t="s">
        <v>7</v>
      </c>
      <c r="G3" s="81" t="s">
        <v>57</v>
      </c>
      <c r="H3" s="81" t="s">
        <v>78</v>
      </c>
      <c r="I3" s="81"/>
      <c r="J3" s="15" t="str">
        <f>IF(E3="Invalid_Segment","Invalid",IFERROR(INDEX(Severity_Matrix!$C$3:$M$10,MATCH('Error Log'!$F3,Severity_Matrix!$B$3:$B$10,0),MATCH('Error Log'!$G3,Severity_Matrix!$C$2:$M$2,0)),"No errors"))</f>
        <v>Critical</v>
      </c>
      <c r="K3" s="1"/>
    </row>
    <row r="4" spans="1:11" ht="14.4">
      <c r="A4" s="78" t="s">
        <v>74</v>
      </c>
      <c r="B4" s="18">
        <v>3</v>
      </c>
      <c r="C4" s="80" t="s">
        <v>75</v>
      </c>
      <c r="D4" s="78" t="s">
        <v>76</v>
      </c>
      <c r="E4" s="81" t="s">
        <v>21</v>
      </c>
      <c r="F4" s="81" t="s">
        <v>7</v>
      </c>
      <c r="G4" s="81" t="s">
        <v>57</v>
      </c>
      <c r="H4" s="81" t="s">
        <v>79</v>
      </c>
      <c r="I4" s="81"/>
      <c r="J4" s="15" t="str">
        <f>IF(E4="Invalid_Segment","Invalid",IFERROR(INDEX(Severity_Matrix!$C$3:$M$10,MATCH('Error Log'!$F4,Severity_Matrix!$B$3:$B$10,0),MATCH('Error Log'!$G4,Severity_Matrix!$C$2:$M$2,0)),"No errors"))</f>
        <v>Critical</v>
      </c>
      <c r="K4" s="1"/>
    </row>
    <row r="5" spans="1:11" ht="14.4">
      <c r="A5" s="78" t="s">
        <v>80</v>
      </c>
      <c r="B5" s="18">
        <v>1</v>
      </c>
      <c r="C5" s="80" t="s">
        <v>81</v>
      </c>
      <c r="D5" s="78" t="s">
        <v>82</v>
      </c>
      <c r="E5" s="81" t="s">
        <v>21</v>
      </c>
      <c r="F5" s="81" t="s">
        <v>7</v>
      </c>
      <c r="G5" s="81" t="s">
        <v>57</v>
      </c>
      <c r="H5" s="81" t="s">
        <v>83</v>
      </c>
      <c r="I5" s="81"/>
      <c r="J5" s="15" t="str">
        <f>IF(E5="Invalid_Segment","Invalid",IFERROR(INDEX(Severity_Matrix!$C$3:$M$10,MATCH('Error Log'!$F5,Severity_Matrix!$B$3:$B$10,0),MATCH('Error Log'!$G5,Severity_Matrix!$C$2:$M$2,0)),"No errors"))</f>
        <v>Critical</v>
      </c>
      <c r="K5" s="1"/>
    </row>
    <row r="6" spans="1:11" ht="14.4">
      <c r="A6" s="78" t="s">
        <v>80</v>
      </c>
      <c r="B6" s="18">
        <v>2</v>
      </c>
      <c r="C6" s="80" t="s">
        <v>81</v>
      </c>
      <c r="D6" s="78" t="s">
        <v>82</v>
      </c>
      <c r="E6" s="81" t="s">
        <v>21</v>
      </c>
      <c r="F6" s="81" t="s">
        <v>7</v>
      </c>
      <c r="G6" s="81" t="s">
        <v>57</v>
      </c>
      <c r="H6" s="81" t="s">
        <v>84</v>
      </c>
      <c r="I6" s="81"/>
      <c r="J6" s="15" t="str">
        <f>IF(E6="Invalid_Segment","Invalid",IFERROR(INDEX(Severity_Matrix!$C$3:$M$10,MATCH('Error Log'!$F6,Severity_Matrix!$B$3:$B$10,0),MATCH('Error Log'!$G6,Severity_Matrix!$C$2:$M$2,0)),"No errors"))</f>
        <v>Critical</v>
      </c>
      <c r="K6" s="1"/>
    </row>
    <row r="7" spans="1:11" ht="14.4">
      <c r="A7" s="78" t="s">
        <v>80</v>
      </c>
      <c r="B7" s="18">
        <v>3</v>
      </c>
      <c r="C7" s="80" t="s">
        <v>81</v>
      </c>
      <c r="D7" s="78" t="s">
        <v>85</v>
      </c>
      <c r="E7" s="81" t="s">
        <v>21</v>
      </c>
      <c r="F7" s="81" t="s">
        <v>7</v>
      </c>
      <c r="G7" s="81" t="s">
        <v>57</v>
      </c>
      <c r="H7" s="81" t="s">
        <v>86</v>
      </c>
      <c r="I7" s="81"/>
      <c r="J7" s="15" t="str">
        <f>IF(E7="Invalid_Segment","Invalid",IFERROR(INDEX(Severity_Matrix!$C$3:$M$10,MATCH('Error Log'!$F7,Severity_Matrix!$B$3:$B$10,0),MATCH('Error Log'!$G7,Severity_Matrix!$C$2:$M$2,0)),"No errors"))</f>
        <v>Critical</v>
      </c>
      <c r="K7" s="1"/>
    </row>
    <row r="8" spans="1:11" ht="14.4">
      <c r="A8" s="78" t="s">
        <v>80</v>
      </c>
      <c r="B8" s="18">
        <v>4</v>
      </c>
      <c r="C8" s="80" t="s">
        <v>81</v>
      </c>
      <c r="D8" s="78" t="s">
        <v>82</v>
      </c>
      <c r="E8" s="81" t="s">
        <v>21</v>
      </c>
      <c r="F8" s="81" t="s">
        <v>7</v>
      </c>
      <c r="G8" s="81" t="s">
        <v>57</v>
      </c>
      <c r="H8" s="81" t="s">
        <v>87</v>
      </c>
      <c r="I8" s="81"/>
      <c r="J8" s="15" t="str">
        <f>IF(E8="Invalid_Segment","Invalid",IFERROR(INDEX(Severity_Matrix!$C$3:$M$10,MATCH('Error Log'!$F8,Severity_Matrix!$B$3:$B$10,0),MATCH('Error Log'!$G8,Severity_Matrix!$C$2:$M$2,0)),"No errors"))</f>
        <v>Critical</v>
      </c>
      <c r="K8" s="1"/>
    </row>
    <row r="9" spans="1:11" ht="14.4">
      <c r="A9" s="78" t="s">
        <v>88</v>
      </c>
      <c r="B9" s="18">
        <v>1</v>
      </c>
      <c r="C9" s="80" t="s">
        <v>89</v>
      </c>
      <c r="D9" s="78" t="s">
        <v>90</v>
      </c>
      <c r="E9" s="81" t="s">
        <v>21</v>
      </c>
      <c r="F9" s="81" t="s">
        <v>7</v>
      </c>
      <c r="G9" s="81" t="s">
        <v>57</v>
      </c>
      <c r="H9" s="81" t="s">
        <v>91</v>
      </c>
      <c r="I9" s="81"/>
      <c r="J9" s="15" t="str">
        <f>IF(E9="Invalid_Segment","Invalid",IFERROR(INDEX(Severity_Matrix!$C$3:$M$10,MATCH('Error Log'!$F9,Severity_Matrix!$B$3:$B$10,0),MATCH('Error Log'!$G9,Severity_Matrix!$C$2:$M$2,0)),"No errors"))</f>
        <v>Critical</v>
      </c>
      <c r="K9" s="1"/>
    </row>
    <row r="10" spans="1:11" ht="14.4">
      <c r="A10" s="78" t="s">
        <v>92</v>
      </c>
      <c r="B10" s="18">
        <v>1</v>
      </c>
      <c r="C10" s="80" t="s">
        <v>93</v>
      </c>
      <c r="D10" s="78" t="s">
        <v>94</v>
      </c>
      <c r="E10" s="81" t="s">
        <v>21</v>
      </c>
      <c r="F10" s="81" t="s">
        <v>7</v>
      </c>
      <c r="G10" s="81" t="s">
        <v>57</v>
      </c>
      <c r="H10" s="81" t="s">
        <v>95</v>
      </c>
      <c r="I10" s="81"/>
      <c r="J10" s="15" t="str">
        <f>IF(E10="Invalid_Segment","Invalid",IFERROR(INDEX(Severity_Matrix!$C$3:$M$10,MATCH('Error Log'!$F10,Severity_Matrix!$B$3:$B$10,0),MATCH('Error Log'!$G10,Severity_Matrix!$C$2:$M$2,0)),"No errors"))</f>
        <v>Critical</v>
      </c>
      <c r="K10" s="1"/>
    </row>
    <row r="11" spans="1:11" ht="14.4">
      <c r="A11" s="78" t="s">
        <v>96</v>
      </c>
      <c r="B11" s="18">
        <v>1</v>
      </c>
      <c r="C11" s="80" t="s">
        <v>97</v>
      </c>
      <c r="D11" s="78" t="s">
        <v>98</v>
      </c>
      <c r="E11" s="81" t="s">
        <v>2</v>
      </c>
      <c r="F11" s="81" t="s">
        <v>26</v>
      </c>
      <c r="G11" s="81" t="s">
        <v>57</v>
      </c>
      <c r="H11" s="81" t="s">
        <v>661</v>
      </c>
      <c r="I11" s="81"/>
      <c r="J11" s="15" t="str">
        <f>IF(E11="Invalid_Segment","Invalid",IFERROR(INDEX(Severity_Matrix!$C$3:$M$10,MATCH('Error Log'!$F11,Severity_Matrix!$B$3:$B$10,0),MATCH('Error Log'!$G11,Severity_Matrix!$C$2:$M$2,0)),"No errors"))</f>
        <v>Major</v>
      </c>
      <c r="K11" s="1"/>
    </row>
    <row r="12" spans="1:11" ht="14.4">
      <c r="A12" s="78" t="s">
        <v>96</v>
      </c>
      <c r="B12" s="18">
        <v>2</v>
      </c>
      <c r="C12" s="80" t="s">
        <v>97</v>
      </c>
      <c r="D12" s="78" t="s">
        <v>98</v>
      </c>
      <c r="E12" s="81" t="s">
        <v>21</v>
      </c>
      <c r="F12" s="81" t="s">
        <v>7</v>
      </c>
      <c r="G12" s="81" t="s">
        <v>57</v>
      </c>
      <c r="H12" s="81" t="s">
        <v>99</v>
      </c>
      <c r="I12" s="81"/>
      <c r="J12" s="15" t="str">
        <f>IF(E12="Invalid_Segment","Invalid",IFERROR(INDEX(Severity_Matrix!$C$3:$M$10,MATCH('Error Log'!$F12,Severity_Matrix!$B$3:$B$10,0),MATCH('Error Log'!$G12,Severity_Matrix!$C$2:$M$2,0)),"No errors"))</f>
        <v>Critical</v>
      </c>
      <c r="K12" s="1"/>
    </row>
    <row r="13" spans="1:11">
      <c r="A13" s="78" t="s">
        <v>100</v>
      </c>
      <c r="B13" s="18">
        <v>1</v>
      </c>
      <c r="C13" s="78" t="s">
        <v>101</v>
      </c>
      <c r="D13" s="78" t="s">
        <v>102</v>
      </c>
      <c r="E13" s="81" t="s">
        <v>21</v>
      </c>
      <c r="F13" s="81" t="s">
        <v>7</v>
      </c>
      <c r="G13" s="81" t="s">
        <v>57</v>
      </c>
      <c r="H13" s="81" t="s">
        <v>103</v>
      </c>
      <c r="I13" s="81"/>
      <c r="J13" s="15" t="str">
        <f>IF(E13="Invalid_Segment","Invalid",IFERROR(INDEX(Severity_Matrix!$C$3:$M$10,MATCH('Error Log'!$F13,Severity_Matrix!$B$3:$B$10,0),MATCH('Error Log'!$G13,Severity_Matrix!$C$2:$M$2,0)),"No errors"))</f>
        <v>Critical</v>
      </c>
      <c r="K13" s="1"/>
    </row>
    <row r="14" spans="1:11">
      <c r="A14" s="78" t="s">
        <v>100</v>
      </c>
      <c r="B14" s="18">
        <v>2</v>
      </c>
      <c r="C14" s="78" t="s">
        <v>101</v>
      </c>
      <c r="D14" s="78" t="s">
        <v>102</v>
      </c>
      <c r="E14" s="81" t="s">
        <v>21</v>
      </c>
      <c r="F14" s="81" t="s">
        <v>22</v>
      </c>
      <c r="G14" s="81" t="s">
        <v>57</v>
      </c>
      <c r="H14" s="81" t="s">
        <v>662</v>
      </c>
      <c r="I14" s="81"/>
      <c r="J14" s="15" t="str">
        <f>IF(E14="Invalid_Segment","Invalid",IFERROR(INDEX(Severity_Matrix!$C$3:$M$10,MATCH('Error Log'!$F14,Severity_Matrix!$B$3:$B$10,0),MATCH('Error Log'!$G14,Severity_Matrix!$C$2:$M$2,0)),"No errors"))</f>
        <v>Major</v>
      </c>
      <c r="K14" s="1"/>
    </row>
    <row r="15" spans="1:11">
      <c r="A15" s="78" t="s">
        <v>104</v>
      </c>
      <c r="B15" s="18">
        <v>1</v>
      </c>
      <c r="C15" s="78" t="s">
        <v>105</v>
      </c>
      <c r="D15" s="78" t="s">
        <v>106</v>
      </c>
      <c r="E15" s="81" t="s">
        <v>21</v>
      </c>
      <c r="F15" s="81" t="s">
        <v>22</v>
      </c>
      <c r="G15" s="81" t="s">
        <v>57</v>
      </c>
      <c r="H15" s="81" t="s">
        <v>663</v>
      </c>
      <c r="I15" s="81"/>
      <c r="J15" s="15" t="str">
        <f>IF(E15="Invalid_Segment","Invalid",IFERROR(INDEX(Severity_Matrix!$C$3:$M$10,MATCH('Error Log'!$F15,Severity_Matrix!$B$3:$B$10,0),MATCH('Error Log'!$G15,Severity_Matrix!$C$2:$M$2,0)),"No errors"))</f>
        <v>Major</v>
      </c>
      <c r="K15" s="1"/>
    </row>
    <row r="16" spans="1:11">
      <c r="A16" s="78" t="s">
        <v>104</v>
      </c>
      <c r="B16" s="18">
        <v>2</v>
      </c>
      <c r="C16" s="78" t="s">
        <v>105</v>
      </c>
      <c r="D16" s="78" t="s">
        <v>106</v>
      </c>
      <c r="E16" s="81" t="s">
        <v>21</v>
      </c>
      <c r="F16" s="81" t="s">
        <v>7</v>
      </c>
      <c r="G16" s="81" t="s">
        <v>57</v>
      </c>
      <c r="H16" s="81" t="s">
        <v>107</v>
      </c>
      <c r="I16" s="81"/>
      <c r="J16" s="15" t="str">
        <f>IF(E16="Invalid_Segment","Invalid",IFERROR(INDEX(Severity_Matrix!$C$3:$M$10,MATCH('Error Log'!$F16,Severity_Matrix!$B$3:$B$10,0),MATCH('Error Log'!$G16,Severity_Matrix!$C$2:$M$2,0)),"No errors"))</f>
        <v>Critical</v>
      </c>
      <c r="K16" s="1"/>
    </row>
    <row r="17" spans="1:11">
      <c r="A17" s="78" t="s">
        <v>108</v>
      </c>
      <c r="B17" s="18">
        <v>3</v>
      </c>
      <c r="C17" s="78" t="s">
        <v>105</v>
      </c>
      <c r="D17" s="78" t="s">
        <v>106</v>
      </c>
      <c r="E17" s="81" t="s">
        <v>21</v>
      </c>
      <c r="F17" s="81" t="s">
        <v>7</v>
      </c>
      <c r="G17" s="81" t="s">
        <v>57</v>
      </c>
      <c r="H17" s="81" t="s">
        <v>109</v>
      </c>
      <c r="I17" s="81"/>
      <c r="J17" s="15" t="str">
        <f>IF(E17="Invalid_Segment","Invalid",IFERROR(INDEX(Severity_Matrix!$C$3:$M$10,MATCH('Error Log'!$F17,Severity_Matrix!$B$3:$B$10,0),MATCH('Error Log'!$G17,Severity_Matrix!$C$2:$M$2,0)),"No errors"))</f>
        <v>Critical</v>
      </c>
      <c r="K17" s="1"/>
    </row>
    <row r="18" spans="1:11">
      <c r="A18" s="78" t="s">
        <v>108</v>
      </c>
      <c r="B18" s="18">
        <v>4</v>
      </c>
      <c r="C18" s="78" t="s">
        <v>105</v>
      </c>
      <c r="D18" s="78" t="s">
        <v>106</v>
      </c>
      <c r="E18" s="81" t="s">
        <v>21</v>
      </c>
      <c r="F18" s="81" t="s">
        <v>7</v>
      </c>
      <c r="G18" s="81" t="s">
        <v>57</v>
      </c>
      <c r="H18" s="81" t="s">
        <v>110</v>
      </c>
      <c r="I18" s="81"/>
      <c r="J18" s="15" t="str">
        <f>IF(E18="Invalid_Segment","Invalid",IFERROR(INDEX(Severity_Matrix!$C$3:$M$10,MATCH('Error Log'!$F18,Severity_Matrix!$B$3:$B$10,0),MATCH('Error Log'!$G18,Severity_Matrix!$C$2:$M$2,0)),"No errors"))</f>
        <v>Critical</v>
      </c>
      <c r="K18" s="1"/>
    </row>
    <row r="19" spans="1:11">
      <c r="A19" s="78" t="s">
        <v>111</v>
      </c>
      <c r="B19" s="18">
        <v>1</v>
      </c>
      <c r="C19" s="78" t="s">
        <v>112</v>
      </c>
      <c r="D19" s="78" t="s">
        <v>113</v>
      </c>
      <c r="E19" s="81" t="s">
        <v>21</v>
      </c>
      <c r="F19" s="81" t="s">
        <v>63</v>
      </c>
      <c r="G19" s="81" t="s">
        <v>29</v>
      </c>
      <c r="H19" s="81" t="s">
        <v>114</v>
      </c>
      <c r="I19" s="81"/>
      <c r="J19" s="15" t="str">
        <f>IF(E19="Invalid_Segment","Invalid",IFERROR(INDEX(Severity_Matrix!$C$3:$M$10,MATCH('Error Log'!$F19,Severity_Matrix!$B$3:$B$10,0),MATCH('Error Log'!$G19,Severity_Matrix!$C$2:$M$2,0)),"No errors"))</f>
        <v>Critical</v>
      </c>
      <c r="K19" s="1"/>
    </row>
    <row r="20" spans="1:11">
      <c r="A20" s="78" t="s">
        <v>115</v>
      </c>
      <c r="B20" s="18">
        <v>2</v>
      </c>
      <c r="C20" s="78" t="s">
        <v>112</v>
      </c>
      <c r="D20" s="78" t="s">
        <v>113</v>
      </c>
      <c r="E20" s="81" t="s">
        <v>21</v>
      </c>
      <c r="F20" s="81" t="s">
        <v>7</v>
      </c>
      <c r="G20" s="81" t="s">
        <v>57</v>
      </c>
      <c r="H20" s="81" t="s">
        <v>116</v>
      </c>
      <c r="I20" s="81"/>
      <c r="J20" s="15" t="str">
        <f>IF(E20="Invalid_Segment","Invalid",IFERROR(INDEX(Severity_Matrix!$C$3:$M$10,MATCH('Error Log'!$F20,Severity_Matrix!$B$3:$B$10,0),MATCH('Error Log'!$G20,Severity_Matrix!$C$2:$M$2,0)),"No errors"))</f>
        <v>Critical</v>
      </c>
      <c r="K20" s="1"/>
    </row>
    <row r="21" spans="1:11">
      <c r="A21" s="78" t="s">
        <v>115</v>
      </c>
      <c r="B21" s="18">
        <v>3</v>
      </c>
      <c r="C21" s="78" t="s">
        <v>112</v>
      </c>
      <c r="D21" s="78" t="s">
        <v>113</v>
      </c>
      <c r="E21" s="81" t="s">
        <v>21</v>
      </c>
      <c r="F21" s="81" t="s">
        <v>7</v>
      </c>
      <c r="G21" s="81" t="s">
        <v>57</v>
      </c>
      <c r="H21" s="81" t="s">
        <v>117</v>
      </c>
      <c r="I21" s="81"/>
      <c r="J21" s="15" t="str">
        <f>IF(E21="Invalid_Segment","Invalid",IFERROR(INDEX(Severity_Matrix!$C$3:$M$10,MATCH('Error Log'!$F21,Severity_Matrix!$B$3:$B$10,0),MATCH('Error Log'!$G21,Severity_Matrix!$C$2:$M$2,0)),"No errors"))</f>
        <v>Critical</v>
      </c>
      <c r="K21" s="1"/>
    </row>
    <row r="22" spans="1:11">
      <c r="A22" s="78" t="s">
        <v>118</v>
      </c>
      <c r="B22" s="18">
        <v>1</v>
      </c>
      <c r="C22" s="78" t="s">
        <v>119</v>
      </c>
      <c r="D22" s="78" t="s">
        <v>120</v>
      </c>
      <c r="E22" s="81" t="s">
        <v>21</v>
      </c>
      <c r="F22" s="81" t="s">
        <v>22</v>
      </c>
      <c r="G22" s="81" t="s">
        <v>57</v>
      </c>
      <c r="H22" s="81" t="s">
        <v>664</v>
      </c>
      <c r="I22" s="81"/>
      <c r="J22" s="15" t="str">
        <f>IF(E22="Invalid_Segment","Invalid",IFERROR(INDEX(Severity_Matrix!$C$3:$M$10,MATCH('Error Log'!$F22,Severity_Matrix!$B$3:$B$10,0),MATCH('Error Log'!$G22,Severity_Matrix!$C$2:$M$2,0)),"No errors"))</f>
        <v>Major</v>
      </c>
      <c r="K22" s="1"/>
    </row>
    <row r="23" spans="1:11">
      <c r="A23" s="78" t="s">
        <v>118</v>
      </c>
      <c r="B23" s="18">
        <v>2</v>
      </c>
      <c r="C23" s="78" t="s">
        <v>119</v>
      </c>
      <c r="D23" s="78" t="s">
        <v>120</v>
      </c>
      <c r="E23" s="81" t="s">
        <v>21</v>
      </c>
      <c r="F23" s="81" t="s">
        <v>7</v>
      </c>
      <c r="G23" s="81" t="s">
        <v>57</v>
      </c>
      <c r="H23" s="81" t="s">
        <v>121</v>
      </c>
      <c r="I23" s="81"/>
      <c r="J23" s="15" t="str">
        <f>IF(E23="Invalid_Segment","Invalid",IFERROR(INDEX(Severity_Matrix!$C$3:$M$10,MATCH('Error Log'!$F23,Severity_Matrix!$B$3:$B$10,0),MATCH('Error Log'!$G23,Severity_Matrix!$C$2:$M$2,0)),"No errors"))</f>
        <v>Critical</v>
      </c>
      <c r="K23" s="1"/>
    </row>
    <row r="24" spans="1:11">
      <c r="A24" s="78" t="s">
        <v>118</v>
      </c>
      <c r="B24" s="18">
        <v>3</v>
      </c>
      <c r="C24" s="78" t="s">
        <v>119</v>
      </c>
      <c r="D24" s="78" t="s">
        <v>120</v>
      </c>
      <c r="E24" s="81" t="s">
        <v>21</v>
      </c>
      <c r="F24" s="81" t="s">
        <v>7</v>
      </c>
      <c r="G24" s="81" t="s">
        <v>57</v>
      </c>
      <c r="H24" s="81" t="s">
        <v>122</v>
      </c>
      <c r="I24" s="81"/>
      <c r="J24" s="15" t="str">
        <f>IF(E24="Invalid_Segment","Invalid",IFERROR(INDEX(Severity_Matrix!$C$3:$M$10,MATCH('Error Log'!$F24,Severity_Matrix!$B$3:$B$10,0),MATCH('Error Log'!$G24,Severity_Matrix!$C$2:$M$2,0)),"No errors"))</f>
        <v>Critical</v>
      </c>
      <c r="K24" s="1"/>
    </row>
    <row r="25" spans="1:11">
      <c r="A25" s="78" t="s">
        <v>123</v>
      </c>
      <c r="B25" s="18">
        <v>1</v>
      </c>
      <c r="C25" s="78" t="s">
        <v>124</v>
      </c>
      <c r="D25" s="78" t="s">
        <v>125</v>
      </c>
      <c r="E25" s="81" t="s">
        <v>2</v>
      </c>
      <c r="F25" s="81" t="s">
        <v>26</v>
      </c>
      <c r="G25" s="81" t="s">
        <v>57</v>
      </c>
      <c r="H25" s="81" t="s">
        <v>665</v>
      </c>
      <c r="I25" s="81"/>
      <c r="J25" s="15" t="str">
        <f>IF(E25="Invalid_Segment","Invalid",IFERROR(INDEX(Severity_Matrix!$C$3:$M$10,MATCH('Error Log'!$F25,Severity_Matrix!$B$3:$B$10,0),MATCH('Error Log'!$G25,Severity_Matrix!$C$2:$M$2,0)),"No errors"))</f>
        <v>Major</v>
      </c>
      <c r="K25" s="1"/>
    </row>
    <row r="26" spans="1:11">
      <c r="A26" s="78" t="s">
        <v>123</v>
      </c>
      <c r="B26" s="18">
        <v>2</v>
      </c>
      <c r="C26" s="78" t="s">
        <v>124</v>
      </c>
      <c r="D26" s="78" t="s">
        <v>125</v>
      </c>
      <c r="E26" s="81" t="s">
        <v>21</v>
      </c>
      <c r="F26" s="81" t="s">
        <v>7</v>
      </c>
      <c r="G26" s="81" t="s">
        <v>57</v>
      </c>
      <c r="H26" s="81" t="s">
        <v>126</v>
      </c>
      <c r="I26" s="81"/>
      <c r="J26" s="15" t="str">
        <f>IF(E26="Invalid_Segment","Invalid",IFERROR(INDEX(Severity_Matrix!$C$3:$M$10,MATCH('Error Log'!$F26,Severity_Matrix!$B$3:$B$10,0),MATCH('Error Log'!$G26,Severity_Matrix!$C$2:$M$2,0)),"No errors"))</f>
        <v>Critical</v>
      </c>
      <c r="K26" s="1"/>
    </row>
    <row r="27" spans="1:11">
      <c r="A27" s="78" t="s">
        <v>123</v>
      </c>
      <c r="B27" s="18">
        <v>3</v>
      </c>
      <c r="C27" s="78" t="s">
        <v>124</v>
      </c>
      <c r="D27" s="78" t="s">
        <v>125</v>
      </c>
      <c r="E27" s="81" t="s">
        <v>21</v>
      </c>
      <c r="F27" s="81" t="s">
        <v>7</v>
      </c>
      <c r="G27" s="81" t="s">
        <v>57</v>
      </c>
      <c r="H27" s="81" t="s">
        <v>127</v>
      </c>
      <c r="I27" s="81"/>
      <c r="J27" s="15" t="str">
        <f>IF(E27="Invalid_Segment","Invalid",IFERROR(INDEX(Severity_Matrix!$C$3:$M$10,MATCH('Error Log'!$F27,Severity_Matrix!$B$3:$B$10,0),MATCH('Error Log'!$G27,Severity_Matrix!$C$2:$M$2,0)),"No errors"))</f>
        <v>Critical</v>
      </c>
      <c r="K27" s="1"/>
    </row>
    <row r="28" spans="1:11">
      <c r="A28" s="78" t="s">
        <v>123</v>
      </c>
      <c r="B28" s="18">
        <v>4</v>
      </c>
      <c r="C28" s="78" t="s">
        <v>124</v>
      </c>
      <c r="D28" s="78" t="s">
        <v>125</v>
      </c>
      <c r="E28" s="81" t="s">
        <v>21</v>
      </c>
      <c r="F28" s="81" t="s">
        <v>7</v>
      </c>
      <c r="G28" s="81" t="s">
        <v>57</v>
      </c>
      <c r="H28" s="81" t="s">
        <v>128</v>
      </c>
      <c r="I28" s="81"/>
      <c r="J28" s="15" t="str">
        <f>IF(E28="Invalid_Segment","Invalid",IFERROR(INDEX(Severity_Matrix!$C$3:$M$10,MATCH('Error Log'!$F28,Severity_Matrix!$B$3:$B$10,0),MATCH('Error Log'!$G28,Severity_Matrix!$C$2:$M$2,0)),"No errors"))</f>
        <v>Critical</v>
      </c>
      <c r="K28" s="1"/>
    </row>
    <row r="29" spans="1:11">
      <c r="A29" s="78" t="s">
        <v>129</v>
      </c>
      <c r="B29" s="18">
        <v>1</v>
      </c>
      <c r="C29" s="78" t="s">
        <v>130</v>
      </c>
      <c r="D29" s="78" t="s">
        <v>131</v>
      </c>
      <c r="E29" s="81" t="s">
        <v>21</v>
      </c>
      <c r="F29" s="81" t="s">
        <v>22</v>
      </c>
      <c r="G29" s="81" t="s">
        <v>57</v>
      </c>
      <c r="H29" s="81" t="s">
        <v>666</v>
      </c>
      <c r="I29" s="81"/>
      <c r="J29" s="15" t="str">
        <f>IF(E29="Invalid_Segment","Invalid",IFERROR(INDEX(Severity_Matrix!$C$3:$M$10,MATCH('Error Log'!$F29,Severity_Matrix!$B$3:$B$10,0),MATCH('Error Log'!$G29,Severity_Matrix!$C$2:$M$2,0)),"No errors"))</f>
        <v>Major</v>
      </c>
      <c r="K29" s="1"/>
    </row>
    <row r="30" spans="1:11">
      <c r="A30" s="78" t="s">
        <v>129</v>
      </c>
      <c r="B30" s="18">
        <v>2</v>
      </c>
      <c r="C30" s="78" t="s">
        <v>130</v>
      </c>
      <c r="D30" s="78" t="s">
        <v>131</v>
      </c>
      <c r="E30" s="81" t="s">
        <v>21</v>
      </c>
      <c r="F30" s="81" t="s">
        <v>7</v>
      </c>
      <c r="G30" s="81" t="s">
        <v>57</v>
      </c>
      <c r="H30" s="81" t="s">
        <v>132</v>
      </c>
      <c r="I30" s="81"/>
      <c r="J30" s="15" t="str">
        <f>IF(E30="Invalid_Segment","Invalid",IFERROR(INDEX(Severity_Matrix!$C$3:$M$10,MATCH('Error Log'!$F30,Severity_Matrix!$B$3:$B$10,0),MATCH('Error Log'!$G30,Severity_Matrix!$C$2:$M$2,0)),"No errors"))</f>
        <v>Critical</v>
      </c>
      <c r="K30" s="1"/>
    </row>
    <row r="31" spans="1:11">
      <c r="A31" s="78" t="s">
        <v>129</v>
      </c>
      <c r="B31" s="18">
        <v>3</v>
      </c>
      <c r="C31" s="78" t="s">
        <v>130</v>
      </c>
      <c r="D31" s="78" t="s">
        <v>131</v>
      </c>
      <c r="E31" s="81" t="s">
        <v>21</v>
      </c>
      <c r="F31" s="81" t="s">
        <v>7</v>
      </c>
      <c r="G31" s="81" t="s">
        <v>57</v>
      </c>
      <c r="H31" s="81" t="s">
        <v>133</v>
      </c>
      <c r="I31" s="81"/>
      <c r="J31" s="15" t="str">
        <f>IF(E31="Invalid_Segment","Invalid",IFERROR(INDEX(Severity_Matrix!$C$3:$M$10,MATCH('Error Log'!$F31,Severity_Matrix!$B$3:$B$10,0),MATCH('Error Log'!$G31,Severity_Matrix!$C$2:$M$2,0)),"No errors"))</f>
        <v>Critical</v>
      </c>
      <c r="K31" s="1"/>
    </row>
    <row r="32" spans="1:11">
      <c r="A32" s="78" t="s">
        <v>134</v>
      </c>
      <c r="B32" s="18">
        <v>1</v>
      </c>
      <c r="C32" s="78" t="s">
        <v>135</v>
      </c>
      <c r="D32" s="78" t="s">
        <v>136</v>
      </c>
      <c r="E32" s="81" t="s">
        <v>21</v>
      </c>
      <c r="F32" s="81" t="s">
        <v>22</v>
      </c>
      <c r="G32" s="81" t="s">
        <v>57</v>
      </c>
      <c r="H32" s="81" t="s">
        <v>667</v>
      </c>
      <c r="I32" s="81"/>
      <c r="J32" s="15" t="str">
        <f>IF(E32="Invalid_Segment","Invalid",IFERROR(INDEX(Severity_Matrix!$C$3:$M$10,MATCH('Error Log'!$F32,Severity_Matrix!$B$3:$B$10,0),MATCH('Error Log'!$G32,Severity_Matrix!$C$2:$M$2,0)),"No errors"))</f>
        <v>Major</v>
      </c>
      <c r="K32" s="1"/>
    </row>
    <row r="33" spans="1:11">
      <c r="A33" s="78" t="s">
        <v>134</v>
      </c>
      <c r="B33" s="18">
        <v>2</v>
      </c>
      <c r="C33" s="78" t="s">
        <v>135</v>
      </c>
      <c r="D33" s="78" t="s">
        <v>136</v>
      </c>
      <c r="E33" s="81" t="s">
        <v>21</v>
      </c>
      <c r="F33" s="81" t="s">
        <v>22</v>
      </c>
      <c r="G33" s="81" t="s">
        <v>57</v>
      </c>
      <c r="H33" s="81" t="s">
        <v>668</v>
      </c>
      <c r="I33" s="81"/>
      <c r="J33" s="15" t="str">
        <f>IF(E33="Invalid_Segment","Invalid",IFERROR(INDEX(Severity_Matrix!$C$3:$M$10,MATCH('Error Log'!$F33,Severity_Matrix!$B$3:$B$10,0),MATCH('Error Log'!$G33,Severity_Matrix!$C$2:$M$2,0)),"No errors"))</f>
        <v>Major</v>
      </c>
      <c r="K33" s="1"/>
    </row>
    <row r="34" spans="1:11">
      <c r="A34" s="78" t="s">
        <v>134</v>
      </c>
      <c r="B34" s="18">
        <v>3</v>
      </c>
      <c r="C34" s="78" t="s">
        <v>135</v>
      </c>
      <c r="D34" s="78" t="s">
        <v>136</v>
      </c>
      <c r="E34" s="81" t="s">
        <v>21</v>
      </c>
      <c r="F34" s="81" t="s">
        <v>22</v>
      </c>
      <c r="G34" s="81" t="s">
        <v>57</v>
      </c>
      <c r="H34" s="81" t="s">
        <v>669</v>
      </c>
      <c r="I34" s="81"/>
      <c r="J34" s="15" t="str">
        <f>IF(E34="Invalid_Segment","Invalid",IFERROR(INDEX(Severity_Matrix!$C$3:$M$10,MATCH('Error Log'!$F34,Severity_Matrix!$B$3:$B$10,0),MATCH('Error Log'!$G34,Severity_Matrix!$C$2:$M$2,0)),"No errors"))</f>
        <v>Major</v>
      </c>
      <c r="K34" s="1"/>
    </row>
    <row r="35" spans="1:11">
      <c r="A35" s="78" t="s">
        <v>134</v>
      </c>
      <c r="B35" s="18">
        <v>4</v>
      </c>
      <c r="C35" s="78" t="s">
        <v>135</v>
      </c>
      <c r="D35" s="78" t="s">
        <v>136</v>
      </c>
      <c r="E35" s="81" t="s">
        <v>21</v>
      </c>
      <c r="F35" s="81" t="s">
        <v>7</v>
      </c>
      <c r="G35" s="81" t="s">
        <v>57</v>
      </c>
      <c r="H35" s="81" t="s">
        <v>137</v>
      </c>
      <c r="I35" s="81"/>
      <c r="J35" s="15" t="str">
        <f>IF(E35="Invalid_Segment","Invalid",IFERROR(INDEX(Severity_Matrix!$C$3:$M$10,MATCH('Error Log'!$F35,Severity_Matrix!$B$3:$B$10,0),MATCH('Error Log'!$G35,Severity_Matrix!$C$2:$M$2,0)),"No errors"))</f>
        <v>Critical</v>
      </c>
      <c r="K35" s="1"/>
    </row>
    <row r="36" spans="1:11">
      <c r="A36" s="78" t="s">
        <v>138</v>
      </c>
      <c r="B36" s="18">
        <v>5</v>
      </c>
      <c r="C36" s="78" t="s">
        <v>135</v>
      </c>
      <c r="D36" s="78" t="s">
        <v>136</v>
      </c>
      <c r="E36" s="81" t="s">
        <v>21</v>
      </c>
      <c r="F36" s="81" t="s">
        <v>7</v>
      </c>
      <c r="G36" s="81" t="s">
        <v>57</v>
      </c>
      <c r="H36" s="81" t="s">
        <v>139</v>
      </c>
      <c r="I36" s="81"/>
      <c r="J36" s="15" t="str">
        <f>IF(E36="Invalid_Segment","Invalid",IFERROR(INDEX(Severity_Matrix!$C$3:$M$10,MATCH('Error Log'!$F36,Severity_Matrix!$B$3:$B$10,0),MATCH('Error Log'!$G36,Severity_Matrix!$C$2:$M$2,0)),"No errors"))</f>
        <v>Critical</v>
      </c>
      <c r="K36" s="1"/>
    </row>
    <row r="37" spans="1:11">
      <c r="A37" s="78" t="s">
        <v>138</v>
      </c>
      <c r="B37" s="18">
        <v>6</v>
      </c>
      <c r="C37" s="78" t="s">
        <v>135</v>
      </c>
      <c r="D37" s="78" t="s">
        <v>136</v>
      </c>
      <c r="E37" s="81" t="s">
        <v>21</v>
      </c>
      <c r="F37" s="81" t="s">
        <v>7</v>
      </c>
      <c r="G37" s="81" t="s">
        <v>57</v>
      </c>
      <c r="H37" s="81" t="s">
        <v>140</v>
      </c>
      <c r="I37" s="81"/>
      <c r="J37" s="15" t="str">
        <f>IF(E37="Invalid_Segment","Invalid",IFERROR(INDEX(Severity_Matrix!$C$3:$M$10,MATCH('Error Log'!$F37,Severity_Matrix!$B$3:$B$10,0),MATCH('Error Log'!$G37,Severity_Matrix!$C$2:$M$2,0)),"No errors"))</f>
        <v>Critical</v>
      </c>
      <c r="K37" s="1"/>
    </row>
    <row r="38" spans="1:11">
      <c r="A38" s="78" t="s">
        <v>138</v>
      </c>
      <c r="B38" s="18">
        <v>7</v>
      </c>
      <c r="C38" s="78" t="s">
        <v>135</v>
      </c>
      <c r="D38" s="78" t="s">
        <v>136</v>
      </c>
      <c r="E38" s="81" t="s">
        <v>21</v>
      </c>
      <c r="F38" s="81" t="s">
        <v>7</v>
      </c>
      <c r="G38" s="81" t="s">
        <v>57</v>
      </c>
      <c r="H38" s="81" t="s">
        <v>141</v>
      </c>
      <c r="I38" s="81"/>
      <c r="J38" s="15" t="str">
        <f>IF(E38="Invalid_Segment","Invalid",IFERROR(INDEX(Severity_Matrix!$C$3:$M$10,MATCH('Error Log'!$F38,Severity_Matrix!$B$3:$B$10,0),MATCH('Error Log'!$G38,Severity_Matrix!$C$2:$M$2,0)),"No errors"))</f>
        <v>Critical</v>
      </c>
      <c r="K38" s="1"/>
    </row>
    <row r="39" spans="1:11">
      <c r="A39" s="78" t="s">
        <v>138</v>
      </c>
      <c r="B39" s="18">
        <v>8</v>
      </c>
      <c r="C39" s="78" t="s">
        <v>135</v>
      </c>
      <c r="D39" s="78" t="s">
        <v>136</v>
      </c>
      <c r="E39" s="81" t="s">
        <v>21</v>
      </c>
      <c r="F39" s="81" t="s">
        <v>7</v>
      </c>
      <c r="G39" s="81" t="s">
        <v>57</v>
      </c>
      <c r="H39" s="81" t="s">
        <v>142</v>
      </c>
      <c r="I39" s="81"/>
      <c r="J39" s="15" t="str">
        <f>IF(E39="Invalid_Segment","Invalid",IFERROR(INDEX(Severity_Matrix!$C$3:$M$10,MATCH('Error Log'!$F39,Severity_Matrix!$B$3:$B$10,0),MATCH('Error Log'!$G39,Severity_Matrix!$C$2:$M$2,0)),"No errors"))</f>
        <v>Critical</v>
      </c>
      <c r="K39" s="1"/>
    </row>
    <row r="40" spans="1:11">
      <c r="A40" s="78" t="s">
        <v>143</v>
      </c>
      <c r="B40" s="18">
        <v>1</v>
      </c>
      <c r="C40" s="78" t="s">
        <v>144</v>
      </c>
      <c r="D40" s="78" t="s">
        <v>145</v>
      </c>
      <c r="E40" s="81" t="s">
        <v>21</v>
      </c>
      <c r="F40" s="81" t="s">
        <v>7</v>
      </c>
      <c r="G40" s="81" t="s">
        <v>57</v>
      </c>
      <c r="H40" s="81" t="s">
        <v>146</v>
      </c>
      <c r="I40" s="81"/>
      <c r="J40" s="15" t="str">
        <f>IF(E40="Invalid_Segment","Invalid",IFERROR(INDEX(Severity_Matrix!$C$3:$M$10,MATCH('Error Log'!$F40,Severity_Matrix!$B$3:$B$10,0),MATCH('Error Log'!$G40,Severity_Matrix!$C$2:$M$2,0)),"No errors"))</f>
        <v>Critical</v>
      </c>
      <c r="K40" s="1"/>
    </row>
    <row r="41" spans="1:11">
      <c r="A41" s="78" t="s">
        <v>147</v>
      </c>
      <c r="B41" s="18">
        <v>1</v>
      </c>
      <c r="C41" s="78" t="s">
        <v>148</v>
      </c>
      <c r="D41" s="78" t="s">
        <v>149</v>
      </c>
      <c r="E41" s="81" t="s">
        <v>21</v>
      </c>
      <c r="F41" s="81" t="s">
        <v>22</v>
      </c>
      <c r="G41" s="81" t="s">
        <v>57</v>
      </c>
      <c r="H41" s="81" t="s">
        <v>670</v>
      </c>
      <c r="I41" s="81"/>
      <c r="J41" s="15" t="str">
        <f>IF(E41="Invalid_Segment","Invalid",IFERROR(INDEX(Severity_Matrix!$C$3:$M$10,MATCH('Error Log'!$F41,Severity_Matrix!$B$3:$B$10,0),MATCH('Error Log'!$G41,Severity_Matrix!$C$2:$M$2,0)),"No errors"))</f>
        <v>Major</v>
      </c>
      <c r="K41" s="1"/>
    </row>
    <row r="42" spans="1:11">
      <c r="A42" s="78" t="s">
        <v>147</v>
      </c>
      <c r="B42" s="18">
        <v>2</v>
      </c>
      <c r="C42" s="78" t="s">
        <v>148</v>
      </c>
      <c r="D42" s="78" t="s">
        <v>149</v>
      </c>
      <c r="E42" s="81" t="s">
        <v>21</v>
      </c>
      <c r="F42" s="81" t="s">
        <v>22</v>
      </c>
      <c r="G42" s="81" t="s">
        <v>57</v>
      </c>
      <c r="H42" s="81" t="s">
        <v>671</v>
      </c>
      <c r="I42" s="81"/>
      <c r="J42" s="15" t="str">
        <f>IF(E42="Invalid_Segment","Invalid",IFERROR(INDEX(Severity_Matrix!$C$3:$M$10,MATCH('Error Log'!$F42,Severity_Matrix!$B$3:$B$10,0),MATCH('Error Log'!$G42,Severity_Matrix!$C$2:$M$2,0)),"No errors"))</f>
        <v>Major</v>
      </c>
      <c r="K42" s="1"/>
    </row>
    <row r="43" spans="1:11">
      <c r="A43" s="78" t="s">
        <v>147</v>
      </c>
      <c r="B43" s="18">
        <v>3</v>
      </c>
      <c r="C43" s="78" t="s">
        <v>148</v>
      </c>
      <c r="D43" s="78" t="s">
        <v>149</v>
      </c>
      <c r="E43" s="81" t="s">
        <v>21</v>
      </c>
      <c r="F43" s="81" t="s">
        <v>7</v>
      </c>
      <c r="G43" s="81" t="s">
        <v>57</v>
      </c>
      <c r="H43" s="82" t="s">
        <v>150</v>
      </c>
      <c r="I43" s="81"/>
      <c r="J43" s="15" t="str">
        <f>IF(E43="Invalid_Segment","Invalid",IFERROR(INDEX(Severity_Matrix!$C$3:$M$10,MATCH('Error Log'!$F43,Severity_Matrix!$B$3:$B$10,0),MATCH('Error Log'!$G43,Severity_Matrix!$C$2:$M$2,0)),"No errors"))</f>
        <v>Critical</v>
      </c>
      <c r="K43" s="1"/>
    </row>
    <row r="44" spans="1:11">
      <c r="A44" s="78" t="s">
        <v>147</v>
      </c>
      <c r="B44" s="18">
        <v>4</v>
      </c>
      <c r="C44" s="78" t="s">
        <v>148</v>
      </c>
      <c r="D44" s="78" t="s">
        <v>149</v>
      </c>
      <c r="E44" s="81" t="s">
        <v>21</v>
      </c>
      <c r="F44" s="81" t="s">
        <v>7</v>
      </c>
      <c r="G44" s="81" t="s">
        <v>57</v>
      </c>
      <c r="H44" s="81" t="s">
        <v>151</v>
      </c>
      <c r="I44" s="81"/>
      <c r="J44" s="15" t="str">
        <f>IF(E44="Invalid_Segment","Invalid",IFERROR(INDEX(Severity_Matrix!$C$3:$M$10,MATCH('Error Log'!$F44,Severity_Matrix!$B$3:$B$10,0),MATCH('Error Log'!$G44,Severity_Matrix!$C$2:$M$2,0)),"No errors"))</f>
        <v>Critical</v>
      </c>
      <c r="K44" s="1"/>
    </row>
    <row r="45" spans="1:11">
      <c r="A45" s="78" t="s">
        <v>152</v>
      </c>
      <c r="B45" s="18">
        <v>1</v>
      </c>
      <c r="C45" s="78" t="s">
        <v>153</v>
      </c>
      <c r="D45" s="78" t="s">
        <v>154</v>
      </c>
      <c r="E45" s="81" t="s">
        <v>21</v>
      </c>
      <c r="F45" s="81" t="s">
        <v>7</v>
      </c>
      <c r="G45" s="81" t="s">
        <v>57</v>
      </c>
      <c r="H45" s="81" t="s">
        <v>155</v>
      </c>
      <c r="I45" s="81"/>
      <c r="J45" s="15" t="str">
        <f>IF(E45="Invalid_Segment","Invalid",IFERROR(INDEX(Severity_Matrix!$C$3:$M$10,MATCH('Error Log'!$F45,Severity_Matrix!$B$3:$B$10,0),MATCH('Error Log'!$G45,Severity_Matrix!$C$2:$M$2,0)),"No errors"))</f>
        <v>Critical</v>
      </c>
      <c r="K45" s="1"/>
    </row>
    <row r="46" spans="1:11">
      <c r="A46" s="78" t="s">
        <v>152</v>
      </c>
      <c r="B46" s="18">
        <v>2</v>
      </c>
      <c r="C46" s="78" t="s">
        <v>153</v>
      </c>
      <c r="D46" s="78" t="s">
        <v>154</v>
      </c>
      <c r="E46" s="81" t="s">
        <v>21</v>
      </c>
      <c r="F46" s="81" t="s">
        <v>7</v>
      </c>
      <c r="G46" s="81" t="s">
        <v>57</v>
      </c>
      <c r="H46" s="81" t="s">
        <v>156</v>
      </c>
      <c r="I46" s="81"/>
      <c r="J46" s="15" t="str">
        <f>IF(E46="Invalid_Segment","Invalid",IFERROR(INDEX(Severity_Matrix!$C$3:$M$10,MATCH('Error Log'!$F46,Severity_Matrix!$B$3:$B$10,0),MATCH('Error Log'!$G46,Severity_Matrix!$C$2:$M$2,0)),"No errors"))</f>
        <v>Critical</v>
      </c>
      <c r="K46" s="1"/>
    </row>
    <row r="47" spans="1:11">
      <c r="A47" s="78" t="s">
        <v>152</v>
      </c>
      <c r="B47" s="18">
        <v>3</v>
      </c>
      <c r="C47" s="78" t="s">
        <v>153</v>
      </c>
      <c r="D47" s="78" t="s">
        <v>154</v>
      </c>
      <c r="E47" s="81" t="s">
        <v>21</v>
      </c>
      <c r="F47" s="81" t="s">
        <v>63</v>
      </c>
      <c r="G47" s="81" t="s">
        <v>55</v>
      </c>
      <c r="H47" s="81" t="s">
        <v>157</v>
      </c>
      <c r="I47" s="81"/>
      <c r="J47" s="15" t="str">
        <f>IF(E47="Invalid_Segment","Invalid",IFERROR(INDEX(Severity_Matrix!$C$3:$M$10,MATCH('Error Log'!$F47,Severity_Matrix!$B$3:$B$10,0),MATCH('Error Log'!$G47,Severity_Matrix!$C$2:$M$2,0)),"No errors"))</f>
        <v>Critical</v>
      </c>
      <c r="K47" s="1"/>
    </row>
    <row r="48" spans="1:11">
      <c r="A48" s="78" t="s">
        <v>158</v>
      </c>
      <c r="B48" s="18">
        <v>1</v>
      </c>
      <c r="C48" s="18" t="s">
        <v>159</v>
      </c>
      <c r="D48" s="78" t="s">
        <v>160</v>
      </c>
      <c r="E48" s="81" t="s">
        <v>21</v>
      </c>
      <c r="F48" s="81" t="s">
        <v>22</v>
      </c>
      <c r="G48" s="81" t="s">
        <v>57</v>
      </c>
      <c r="H48" s="81" t="s">
        <v>672</v>
      </c>
      <c r="I48" s="81"/>
      <c r="J48" s="15" t="str">
        <f>IF(E48="Invalid_Segment","Invalid",IFERROR(INDEX(Severity_Matrix!$C$3:$M$10,MATCH('Error Log'!$F48,Severity_Matrix!$B$3:$B$10,0),MATCH('Error Log'!$G48,Severity_Matrix!$C$2:$M$2,0)),"No errors"))</f>
        <v>Major</v>
      </c>
      <c r="K48" s="1"/>
    </row>
    <row r="49" spans="1:11">
      <c r="A49" s="78" t="s">
        <v>158</v>
      </c>
      <c r="B49" s="18">
        <v>2</v>
      </c>
      <c r="C49" s="18" t="s">
        <v>159</v>
      </c>
      <c r="D49" s="78" t="s">
        <v>160</v>
      </c>
      <c r="E49" s="81" t="s">
        <v>161</v>
      </c>
      <c r="F49" s="81" t="s">
        <v>7</v>
      </c>
      <c r="G49" s="81" t="s">
        <v>57</v>
      </c>
      <c r="H49" s="81" t="s">
        <v>162</v>
      </c>
      <c r="I49" s="81"/>
      <c r="J49" s="15" t="str">
        <f>IF(E49="Invalid_Segment","Invalid",IFERROR(INDEX(Severity_Matrix!$C$3:$M$10,MATCH('Error Log'!$F49,Severity_Matrix!$B$3:$B$10,0),MATCH('Error Log'!$G49,Severity_Matrix!$C$2:$M$2,0)),"No errors"))</f>
        <v>Critical</v>
      </c>
      <c r="K49" s="1"/>
    </row>
    <row r="50" spans="1:11">
      <c r="A50" s="78" t="s">
        <v>673</v>
      </c>
      <c r="B50" s="18">
        <v>1</v>
      </c>
      <c r="C50" s="78" t="s">
        <v>674</v>
      </c>
      <c r="D50" s="78" t="s">
        <v>675</v>
      </c>
      <c r="E50" s="81" t="s">
        <v>21</v>
      </c>
      <c r="F50" s="81" t="s">
        <v>22</v>
      </c>
      <c r="G50" s="81" t="s">
        <v>57</v>
      </c>
      <c r="H50" s="81" t="s">
        <v>676</v>
      </c>
      <c r="I50" s="81"/>
      <c r="J50" s="15" t="str">
        <f>IF(E50="Invalid_Segment","Invalid",IFERROR(INDEX(Severity_Matrix!$C$3:$M$10,MATCH('Error Log'!$F50,Severity_Matrix!$B$3:$B$10,0),MATCH('Error Log'!$G50,Severity_Matrix!$C$2:$M$2,0)),"No errors"))</f>
        <v>Major</v>
      </c>
      <c r="K50" s="1"/>
    </row>
    <row r="51" spans="1:11">
      <c r="A51" s="78" t="s">
        <v>163</v>
      </c>
      <c r="B51" s="18">
        <v>1</v>
      </c>
      <c r="C51" s="78" t="s">
        <v>164</v>
      </c>
      <c r="D51" s="78" t="s">
        <v>165</v>
      </c>
      <c r="E51" s="81" t="s">
        <v>21</v>
      </c>
      <c r="F51" s="81" t="s">
        <v>7</v>
      </c>
      <c r="G51" s="81" t="s">
        <v>57</v>
      </c>
      <c r="H51" s="81" t="s">
        <v>166</v>
      </c>
      <c r="I51" s="81"/>
      <c r="J51" s="15" t="str">
        <f>IF(E51="Invalid_Segment","Invalid",IFERROR(INDEX(Severity_Matrix!$C$3:$M$10,MATCH('Error Log'!$F51,Severity_Matrix!$B$3:$B$10,0),MATCH('Error Log'!$G51,Severity_Matrix!$C$2:$M$2,0)),"No errors"))</f>
        <v>Critical</v>
      </c>
      <c r="K51" s="1"/>
    </row>
    <row r="52" spans="1:11">
      <c r="A52" s="78" t="s">
        <v>163</v>
      </c>
      <c r="B52" s="18">
        <v>2</v>
      </c>
      <c r="C52" s="78" t="s">
        <v>164</v>
      </c>
      <c r="D52" s="78" t="s">
        <v>165</v>
      </c>
      <c r="E52" s="81" t="s">
        <v>21</v>
      </c>
      <c r="F52" s="81" t="s">
        <v>22</v>
      </c>
      <c r="G52" s="81" t="s">
        <v>57</v>
      </c>
      <c r="H52" s="81" t="s">
        <v>677</v>
      </c>
      <c r="I52" s="81"/>
      <c r="J52" s="15" t="str">
        <f>IF(E52="Invalid_Segment","Invalid",IFERROR(INDEX(Severity_Matrix!$C$3:$M$10,MATCH('Error Log'!$F52,Severity_Matrix!$B$3:$B$10,0),MATCH('Error Log'!$G52,Severity_Matrix!$C$2:$M$2,0)),"No errors"))</f>
        <v>Major</v>
      </c>
      <c r="K52" s="79"/>
    </row>
    <row r="53" spans="1:11">
      <c r="A53" s="78" t="s">
        <v>167</v>
      </c>
      <c r="B53" s="18">
        <v>3</v>
      </c>
      <c r="C53" s="78" t="s">
        <v>164</v>
      </c>
      <c r="D53" s="78" t="s">
        <v>165</v>
      </c>
      <c r="E53" s="81" t="s">
        <v>21</v>
      </c>
      <c r="F53" s="81" t="s">
        <v>7</v>
      </c>
      <c r="G53" s="81" t="s">
        <v>57</v>
      </c>
      <c r="H53" s="81" t="s">
        <v>168</v>
      </c>
      <c r="I53" s="81"/>
      <c r="J53" s="15" t="str">
        <f>IF(E53="Invalid_Segment","Invalid",IFERROR(INDEX(Severity_Matrix!$C$3:$M$10,MATCH('Error Log'!$F53,Severity_Matrix!$B$3:$B$10,0),MATCH('Error Log'!$G53,Severity_Matrix!$C$2:$M$2,0)),"No errors"))</f>
        <v>Critical</v>
      </c>
      <c r="K53" s="79"/>
    </row>
    <row r="54" spans="1:11">
      <c r="A54" s="78" t="s">
        <v>169</v>
      </c>
      <c r="B54" s="18">
        <v>1</v>
      </c>
      <c r="C54" s="78" t="s">
        <v>170</v>
      </c>
      <c r="D54" s="78" t="s">
        <v>171</v>
      </c>
      <c r="E54" s="81" t="s">
        <v>21</v>
      </c>
      <c r="F54" s="81" t="s">
        <v>7</v>
      </c>
      <c r="G54" s="81" t="s">
        <v>57</v>
      </c>
      <c r="H54" s="81" t="s">
        <v>172</v>
      </c>
      <c r="I54" s="81"/>
      <c r="J54" s="15" t="str">
        <f>IF(E54="Invalid_Segment","Invalid",IFERROR(INDEX(Severity_Matrix!$C$3:$M$10,MATCH('Error Log'!$F54,Severity_Matrix!$B$3:$B$10,0),MATCH('Error Log'!$G54,Severity_Matrix!$C$2:$M$2,0)),"No errors"))</f>
        <v>Critical</v>
      </c>
      <c r="K54" s="79"/>
    </row>
    <row r="55" spans="1:11">
      <c r="A55" s="79" t="s">
        <v>678</v>
      </c>
      <c r="B55" s="18">
        <v>1</v>
      </c>
      <c r="C55" s="78" t="s">
        <v>679</v>
      </c>
      <c r="D55" s="83" t="s">
        <v>680</v>
      </c>
      <c r="E55" s="81" t="s">
        <v>21</v>
      </c>
      <c r="F55" s="81" t="s">
        <v>22</v>
      </c>
      <c r="G55" s="81" t="s">
        <v>57</v>
      </c>
      <c r="H55" s="81" t="s">
        <v>681</v>
      </c>
      <c r="I55" s="81"/>
      <c r="J55" s="15" t="str">
        <f>IF(E55="Invalid_Segment","Invalid",IFERROR(INDEX(Severity_Matrix!$C$3:$M$10,MATCH('Error Log'!$F55,Severity_Matrix!$B$3:$B$10,0),MATCH('Error Log'!$G55,Severity_Matrix!$C$2:$M$2,0)),"No errors"))</f>
        <v>Major</v>
      </c>
      <c r="K55" s="79"/>
    </row>
    <row r="56" spans="1:11">
      <c r="A56" s="79" t="s">
        <v>678</v>
      </c>
      <c r="B56" s="18">
        <v>2</v>
      </c>
      <c r="C56" s="78" t="s">
        <v>682</v>
      </c>
      <c r="D56" s="83" t="s">
        <v>683</v>
      </c>
      <c r="E56" s="81" t="s">
        <v>21</v>
      </c>
      <c r="F56" s="81" t="s">
        <v>22</v>
      </c>
      <c r="G56" s="81" t="s">
        <v>57</v>
      </c>
      <c r="H56" s="81" t="s">
        <v>684</v>
      </c>
      <c r="I56" s="81"/>
      <c r="J56" s="15" t="str">
        <f>IF(E56="Invalid_Segment","Invalid",IFERROR(INDEX(Severity_Matrix!$C$3:$M$10,MATCH('Error Log'!$F56,Severity_Matrix!$B$3:$B$10,0),MATCH('Error Log'!$G56,Severity_Matrix!$C$2:$M$2,0)),"No errors"))</f>
        <v>Major</v>
      </c>
      <c r="K56" s="79"/>
    </row>
    <row r="57" spans="1:11">
      <c r="A57" s="79" t="s">
        <v>173</v>
      </c>
      <c r="B57" s="18">
        <v>3</v>
      </c>
      <c r="C57" s="78" t="s">
        <v>174</v>
      </c>
      <c r="D57" s="83" t="s">
        <v>175</v>
      </c>
      <c r="E57" s="81" t="s">
        <v>21</v>
      </c>
      <c r="F57" s="81" t="s">
        <v>7</v>
      </c>
      <c r="G57" s="81" t="s">
        <v>57</v>
      </c>
      <c r="H57" s="81" t="s">
        <v>176</v>
      </c>
      <c r="I57" s="81"/>
      <c r="J57" s="15" t="str">
        <f>IF(E57="Invalid_Segment","Invalid",IFERROR(INDEX(Severity_Matrix!$C$3:$M$10,MATCH('Error Log'!$F57,Severity_Matrix!$B$3:$B$10,0),MATCH('Error Log'!$G57,Severity_Matrix!$C$2:$M$2,0)),"No errors"))</f>
        <v>Critical</v>
      </c>
      <c r="K57" s="79"/>
    </row>
    <row r="58" spans="1:11">
      <c r="A58" s="79" t="s">
        <v>173</v>
      </c>
      <c r="B58" s="18">
        <v>4</v>
      </c>
      <c r="C58" s="78" t="s">
        <v>177</v>
      </c>
      <c r="D58" s="83" t="s">
        <v>178</v>
      </c>
      <c r="E58" s="81" t="s">
        <v>21</v>
      </c>
      <c r="F58" s="81" t="s">
        <v>7</v>
      </c>
      <c r="G58" s="81" t="s">
        <v>57</v>
      </c>
      <c r="H58" s="81" t="s">
        <v>179</v>
      </c>
      <c r="I58" s="81"/>
      <c r="J58" s="15" t="str">
        <f>IF(E58="Invalid_Segment","Invalid",IFERROR(INDEX(Severity_Matrix!$C$3:$M$10,MATCH('Error Log'!$F58,Severity_Matrix!$B$3:$B$10,0),MATCH('Error Log'!$G58,Severity_Matrix!$C$2:$M$2,0)),"No errors"))</f>
        <v>Critical</v>
      </c>
      <c r="K58" s="79"/>
    </row>
    <row r="59" spans="1:11">
      <c r="A59" s="79" t="s">
        <v>173</v>
      </c>
      <c r="B59" s="18">
        <v>5</v>
      </c>
      <c r="C59" s="78" t="s">
        <v>180</v>
      </c>
      <c r="D59" s="83" t="s">
        <v>181</v>
      </c>
      <c r="E59" s="81" t="s">
        <v>21</v>
      </c>
      <c r="F59" s="81" t="s">
        <v>7</v>
      </c>
      <c r="G59" s="81" t="s">
        <v>57</v>
      </c>
      <c r="H59" s="81" t="s">
        <v>182</v>
      </c>
      <c r="I59" s="81"/>
      <c r="J59" s="15" t="str">
        <f>IF(E59="Invalid_Segment","Invalid",IFERROR(INDEX(Severity_Matrix!$C$3:$M$10,MATCH('Error Log'!$F59,Severity_Matrix!$B$3:$B$10,0),MATCH('Error Log'!$G59,Severity_Matrix!$C$2:$M$2,0)),"No errors"))</f>
        <v>Critical</v>
      </c>
      <c r="K59" s="79"/>
    </row>
    <row r="60" spans="1:11">
      <c r="A60" s="79" t="s">
        <v>183</v>
      </c>
      <c r="B60" s="18">
        <v>1</v>
      </c>
      <c r="C60" s="83" t="s">
        <v>184</v>
      </c>
      <c r="D60" s="83" t="s">
        <v>185</v>
      </c>
      <c r="E60" s="81" t="s">
        <v>21</v>
      </c>
      <c r="F60" s="81" t="s">
        <v>7</v>
      </c>
      <c r="G60" s="81" t="s">
        <v>57</v>
      </c>
      <c r="H60" s="81" t="s">
        <v>186</v>
      </c>
      <c r="I60" s="81"/>
      <c r="J60" s="15" t="str">
        <f>IF(E60="Invalid_Segment","Invalid",IFERROR(INDEX(Severity_Matrix!$C$3:$M$10,MATCH('Error Log'!$F60,Severity_Matrix!$B$3:$B$10,0),MATCH('Error Log'!$G60,Severity_Matrix!$C$2:$M$2,0)),"No errors"))</f>
        <v>Critical</v>
      </c>
      <c r="K60" s="79"/>
    </row>
    <row r="61" spans="1:11">
      <c r="A61" s="79" t="s">
        <v>183</v>
      </c>
      <c r="B61" s="18">
        <v>2</v>
      </c>
      <c r="C61" s="83" t="s">
        <v>184</v>
      </c>
      <c r="D61" s="83" t="s">
        <v>185</v>
      </c>
      <c r="E61" s="81" t="s">
        <v>21</v>
      </c>
      <c r="F61" s="81" t="s">
        <v>7</v>
      </c>
      <c r="G61" s="81" t="s">
        <v>57</v>
      </c>
      <c r="H61" s="81" t="s">
        <v>187</v>
      </c>
      <c r="I61" s="81"/>
      <c r="J61" s="15" t="str">
        <f>IF(E61="Invalid_Segment","Invalid",IFERROR(INDEX(Severity_Matrix!$C$3:$M$10,MATCH('Error Log'!$F61,Severity_Matrix!$B$3:$B$10,0),MATCH('Error Log'!$G61,Severity_Matrix!$C$2:$M$2,0)),"No errors"))</f>
        <v>Critical</v>
      </c>
      <c r="K61" s="79"/>
    </row>
    <row r="62" spans="1:11">
      <c r="A62" s="79" t="s">
        <v>183</v>
      </c>
      <c r="B62" s="18">
        <v>3</v>
      </c>
      <c r="C62" s="83" t="s">
        <v>184</v>
      </c>
      <c r="D62" s="83" t="s">
        <v>185</v>
      </c>
      <c r="E62" s="81" t="s">
        <v>21</v>
      </c>
      <c r="F62" s="81" t="s">
        <v>7</v>
      </c>
      <c r="G62" s="81" t="s">
        <v>57</v>
      </c>
      <c r="H62" s="81" t="s">
        <v>188</v>
      </c>
      <c r="I62" s="81"/>
      <c r="J62" s="15" t="str">
        <f>IF(E62="Invalid_Segment","Invalid",IFERROR(INDEX(Severity_Matrix!$C$3:$M$10,MATCH('Error Log'!$F62,Severity_Matrix!$B$3:$B$10,0),MATCH('Error Log'!$G62,Severity_Matrix!$C$2:$M$2,0)),"No errors"))</f>
        <v>Critical</v>
      </c>
      <c r="K62" s="79"/>
    </row>
    <row r="63" spans="1:11">
      <c r="A63" s="79" t="s">
        <v>685</v>
      </c>
      <c r="B63" s="18">
        <v>1</v>
      </c>
      <c r="C63" s="83" t="s">
        <v>686</v>
      </c>
      <c r="D63" s="83" t="s">
        <v>687</v>
      </c>
      <c r="E63" s="81"/>
      <c r="F63" s="81"/>
      <c r="G63" s="81"/>
      <c r="H63" s="81"/>
      <c r="I63" s="81"/>
      <c r="J63" s="15" t="str">
        <f>IF(E63="Invalid_Segment","Invalid",IFERROR(INDEX(Severity_Matrix!$C$3:$M$10,MATCH('Error Log'!$F63,Severity_Matrix!$B$3:$B$10,0),MATCH('Error Log'!$G63,Severity_Matrix!$C$2:$M$2,0)),"No errors"))</f>
        <v>No errors</v>
      </c>
      <c r="K63" s="79"/>
    </row>
    <row r="64" spans="1:11">
      <c r="A64" s="79" t="s">
        <v>189</v>
      </c>
      <c r="B64" s="18">
        <v>1</v>
      </c>
      <c r="C64" s="83" t="s">
        <v>190</v>
      </c>
      <c r="D64" s="83" t="s">
        <v>191</v>
      </c>
      <c r="E64" s="81" t="s">
        <v>21</v>
      </c>
      <c r="F64" s="81" t="s">
        <v>22</v>
      </c>
      <c r="G64" s="81" t="s">
        <v>57</v>
      </c>
      <c r="H64" s="81" t="s">
        <v>688</v>
      </c>
      <c r="I64" s="81"/>
      <c r="J64" s="15" t="str">
        <f>IF(E64="Invalid_Segment","Invalid",IFERROR(INDEX(Severity_Matrix!$C$3:$M$10,MATCH('Error Log'!$F64,Severity_Matrix!$B$3:$B$10,0),MATCH('Error Log'!$G64,Severity_Matrix!$C$2:$M$2,0)),"No errors"))</f>
        <v>Major</v>
      </c>
      <c r="K64" s="79"/>
    </row>
    <row r="65" spans="1:11">
      <c r="A65" s="79" t="s">
        <v>189</v>
      </c>
      <c r="B65" s="18">
        <v>2</v>
      </c>
      <c r="C65" s="83" t="s">
        <v>190</v>
      </c>
      <c r="D65" s="83" t="s">
        <v>191</v>
      </c>
      <c r="E65" s="81" t="s">
        <v>21</v>
      </c>
      <c r="F65" s="81" t="s">
        <v>22</v>
      </c>
      <c r="G65" s="81" t="s">
        <v>57</v>
      </c>
      <c r="H65" s="81" t="s">
        <v>689</v>
      </c>
      <c r="I65" s="81"/>
      <c r="J65" s="15" t="str">
        <f>IF(E65="Invalid_Segment","Invalid",IFERROR(INDEX(Severity_Matrix!$C$3:$M$10,MATCH('Error Log'!$F65,Severity_Matrix!$B$3:$B$10,0),MATCH('Error Log'!$G65,Severity_Matrix!$C$2:$M$2,0)),"No errors"))</f>
        <v>Major</v>
      </c>
      <c r="K65" s="79"/>
    </row>
    <row r="66" spans="1:11">
      <c r="A66" s="79" t="s">
        <v>189</v>
      </c>
      <c r="B66" s="18">
        <v>3</v>
      </c>
      <c r="C66" s="83" t="s">
        <v>190</v>
      </c>
      <c r="D66" s="83" t="s">
        <v>191</v>
      </c>
      <c r="E66" s="81" t="s">
        <v>21</v>
      </c>
      <c r="F66" s="81" t="s">
        <v>7</v>
      </c>
      <c r="G66" s="81" t="s">
        <v>57</v>
      </c>
      <c r="H66" s="81" t="s">
        <v>192</v>
      </c>
      <c r="I66" s="81"/>
      <c r="J66" s="15" t="str">
        <f>IF(E66="Invalid_Segment","Invalid",IFERROR(INDEX(Severity_Matrix!$C$3:$M$10,MATCH('Error Log'!$F66,Severity_Matrix!$B$3:$B$10,0),MATCH('Error Log'!$G66,Severity_Matrix!$C$2:$M$2,0)),"No errors"))</f>
        <v>Critical</v>
      </c>
      <c r="K66" s="79"/>
    </row>
    <row r="67" spans="1:11">
      <c r="A67" s="79" t="s">
        <v>690</v>
      </c>
      <c r="B67" s="18">
        <v>1</v>
      </c>
      <c r="C67" s="83" t="s">
        <v>194</v>
      </c>
      <c r="D67" s="83" t="s">
        <v>195</v>
      </c>
      <c r="E67" s="81" t="s">
        <v>21</v>
      </c>
      <c r="F67" s="81" t="s">
        <v>22</v>
      </c>
      <c r="G67" s="81" t="s">
        <v>57</v>
      </c>
      <c r="H67" s="81" t="s">
        <v>691</v>
      </c>
      <c r="I67" s="81"/>
      <c r="J67" s="15" t="str">
        <f>IF(E67="Invalid_Segment","Invalid",IFERROR(INDEX(Severity_Matrix!$C$3:$M$10,MATCH('Error Log'!$F67,Severity_Matrix!$B$3:$B$10,0),MATCH('Error Log'!$G67,Severity_Matrix!$C$2:$M$2,0)),"No errors"))</f>
        <v>Major</v>
      </c>
      <c r="K67" s="79"/>
    </row>
    <row r="68" spans="1:11">
      <c r="A68" s="79" t="s">
        <v>690</v>
      </c>
      <c r="B68" s="18">
        <v>2</v>
      </c>
      <c r="C68" s="83" t="s">
        <v>194</v>
      </c>
      <c r="D68" s="83" t="s">
        <v>195</v>
      </c>
      <c r="E68" s="81" t="s">
        <v>21</v>
      </c>
      <c r="F68" s="81" t="s">
        <v>22</v>
      </c>
      <c r="G68" s="81" t="s">
        <v>57</v>
      </c>
      <c r="H68" s="81" t="s">
        <v>692</v>
      </c>
      <c r="I68" s="81"/>
      <c r="J68" s="15" t="str">
        <f>IF(E68="Invalid_Segment","Invalid",IFERROR(INDEX(Severity_Matrix!$C$3:$M$10,MATCH('Error Log'!$F68,Severity_Matrix!$B$3:$B$10,0),MATCH('Error Log'!$G68,Severity_Matrix!$C$2:$M$2,0)),"No errors"))</f>
        <v>Major</v>
      </c>
      <c r="K68" s="79"/>
    </row>
    <row r="69" spans="1:11">
      <c r="A69" s="79" t="s">
        <v>193</v>
      </c>
      <c r="B69" s="18">
        <v>3</v>
      </c>
      <c r="C69" s="83" t="s">
        <v>194</v>
      </c>
      <c r="D69" s="83" t="s">
        <v>195</v>
      </c>
      <c r="E69" s="81" t="s">
        <v>21</v>
      </c>
      <c r="F69" s="81" t="s">
        <v>7</v>
      </c>
      <c r="G69" s="81" t="s">
        <v>57</v>
      </c>
      <c r="H69" s="81" t="s">
        <v>196</v>
      </c>
      <c r="I69" s="81"/>
      <c r="J69" s="15" t="str">
        <f>IF(E69="Invalid_Segment","Invalid",IFERROR(INDEX(Severity_Matrix!$C$3:$M$10,MATCH('Error Log'!$F69,Severity_Matrix!$B$3:$B$10,0),MATCH('Error Log'!$G69,Severity_Matrix!$C$2:$M$2,0)),"No errors"))</f>
        <v>Critical</v>
      </c>
      <c r="K69" s="79"/>
    </row>
    <row r="70" spans="1:11">
      <c r="A70" s="79" t="s">
        <v>193</v>
      </c>
      <c r="B70" s="18">
        <v>4</v>
      </c>
      <c r="C70" s="83" t="s">
        <v>194</v>
      </c>
      <c r="D70" s="83" t="s">
        <v>195</v>
      </c>
      <c r="E70" s="81" t="s">
        <v>21</v>
      </c>
      <c r="F70" s="81" t="s">
        <v>7</v>
      </c>
      <c r="G70" s="81" t="s">
        <v>57</v>
      </c>
      <c r="H70" s="81" t="s">
        <v>197</v>
      </c>
      <c r="I70" s="81"/>
      <c r="J70" s="15" t="str">
        <f>IF(E70="Invalid_Segment","Invalid",IFERROR(INDEX(Severity_Matrix!$C$3:$M$10,MATCH('Error Log'!$F70,Severity_Matrix!$B$3:$B$10,0),MATCH('Error Log'!$G70,Severity_Matrix!$C$2:$M$2,0)),"No errors"))</f>
        <v>Critical</v>
      </c>
      <c r="K70" s="79"/>
    </row>
    <row r="71" spans="1:11">
      <c r="A71" s="79" t="s">
        <v>193</v>
      </c>
      <c r="B71" s="18">
        <v>5</v>
      </c>
      <c r="C71" s="83" t="s">
        <v>194</v>
      </c>
      <c r="D71" s="83" t="s">
        <v>195</v>
      </c>
      <c r="E71" s="81" t="s">
        <v>21</v>
      </c>
      <c r="F71" s="81" t="s">
        <v>7</v>
      </c>
      <c r="G71" s="81" t="s">
        <v>57</v>
      </c>
      <c r="H71" s="81" t="s">
        <v>198</v>
      </c>
      <c r="I71" s="81"/>
      <c r="J71" s="15" t="str">
        <f>IF(E71="Invalid_Segment","Invalid",IFERROR(INDEX(Severity_Matrix!$C$3:$M$10,MATCH('Error Log'!$F71,Severity_Matrix!$B$3:$B$10,0),MATCH('Error Log'!$G71,Severity_Matrix!$C$2:$M$2,0)),"No errors"))</f>
        <v>Critical</v>
      </c>
      <c r="K71" s="79"/>
    </row>
    <row r="72" spans="1:11">
      <c r="A72" s="79" t="s">
        <v>193</v>
      </c>
      <c r="B72" s="18">
        <v>6</v>
      </c>
      <c r="C72" s="83" t="s">
        <v>194</v>
      </c>
      <c r="D72" s="83" t="s">
        <v>195</v>
      </c>
      <c r="E72" s="81" t="s">
        <v>21</v>
      </c>
      <c r="F72" s="81" t="s">
        <v>7</v>
      </c>
      <c r="G72" s="81" t="s">
        <v>57</v>
      </c>
      <c r="H72" s="81" t="s">
        <v>199</v>
      </c>
      <c r="I72" s="81"/>
      <c r="J72" s="15" t="str">
        <f>IF(E72="Invalid_Segment","Invalid",IFERROR(INDEX(Severity_Matrix!$C$3:$M$10,MATCH('Error Log'!$F72,Severity_Matrix!$B$3:$B$10,0),MATCH('Error Log'!$G72,Severity_Matrix!$C$2:$M$2,0)),"No errors"))</f>
        <v>Critical</v>
      </c>
      <c r="K72" s="79"/>
    </row>
    <row r="73" spans="1:11">
      <c r="A73" s="79" t="s">
        <v>200</v>
      </c>
      <c r="B73" s="18">
        <v>1</v>
      </c>
      <c r="C73" s="83" t="s">
        <v>201</v>
      </c>
      <c r="D73" s="83" t="s">
        <v>202</v>
      </c>
      <c r="E73" s="81" t="s">
        <v>21</v>
      </c>
      <c r="F73" s="81" t="s">
        <v>7</v>
      </c>
      <c r="G73" s="81" t="s">
        <v>56</v>
      </c>
      <c r="H73" s="81" t="s">
        <v>203</v>
      </c>
      <c r="I73" s="81"/>
      <c r="J73" s="15" t="str">
        <f>IF(E73="Invalid_Segment","Invalid",IFERROR(INDEX(Severity_Matrix!$C$3:$M$10,MATCH('Error Log'!$F73,Severity_Matrix!$B$3:$B$10,0),MATCH('Error Log'!$G73,Severity_Matrix!$C$2:$M$2,0)),"No errors"))</f>
        <v>Critical</v>
      </c>
      <c r="K73" s="79"/>
    </row>
    <row r="74" spans="1:11">
      <c r="A74" s="79" t="s">
        <v>200</v>
      </c>
      <c r="B74" s="18">
        <v>2</v>
      </c>
      <c r="C74" s="83" t="s">
        <v>201</v>
      </c>
      <c r="D74" s="83" t="s">
        <v>202</v>
      </c>
      <c r="E74" s="81" t="s">
        <v>21</v>
      </c>
      <c r="F74" s="81" t="s">
        <v>7</v>
      </c>
      <c r="G74" s="81" t="s">
        <v>57</v>
      </c>
      <c r="H74" s="81" t="s">
        <v>204</v>
      </c>
      <c r="I74" s="81"/>
      <c r="J74" s="15" t="str">
        <f>IF(E74="Invalid_Segment","Invalid",IFERROR(INDEX(Severity_Matrix!$C$3:$M$10,MATCH('Error Log'!$F74,Severity_Matrix!$B$3:$B$10,0),MATCH('Error Log'!$G74,Severity_Matrix!$C$2:$M$2,0)),"No errors"))</f>
        <v>Critical</v>
      </c>
      <c r="K74" s="79"/>
    </row>
    <row r="75" spans="1:11">
      <c r="A75" s="79" t="s">
        <v>205</v>
      </c>
      <c r="B75" s="18">
        <v>3</v>
      </c>
      <c r="C75" s="83" t="s">
        <v>201</v>
      </c>
      <c r="D75" s="83" t="s">
        <v>202</v>
      </c>
      <c r="E75" s="81" t="s">
        <v>21</v>
      </c>
      <c r="F75" s="81" t="s">
        <v>7</v>
      </c>
      <c r="G75" s="81" t="s">
        <v>57</v>
      </c>
      <c r="H75" s="81" t="s">
        <v>206</v>
      </c>
      <c r="I75" s="81"/>
      <c r="J75" s="15" t="str">
        <f>IF(E75="Invalid_Segment","Invalid",IFERROR(INDEX(Severity_Matrix!$C$3:$M$10,MATCH('Error Log'!$F75,Severity_Matrix!$B$3:$B$10,0),MATCH('Error Log'!$G75,Severity_Matrix!$C$2:$M$2,0)),"No errors"))</f>
        <v>Critical</v>
      </c>
      <c r="K75" s="79"/>
    </row>
    <row r="76" spans="1:11">
      <c r="A76" s="79" t="s">
        <v>205</v>
      </c>
      <c r="B76" s="18">
        <v>4</v>
      </c>
      <c r="C76" s="83" t="s">
        <v>201</v>
      </c>
      <c r="D76" s="83" t="s">
        <v>202</v>
      </c>
      <c r="E76" s="81" t="s">
        <v>21</v>
      </c>
      <c r="F76" s="81" t="s">
        <v>7</v>
      </c>
      <c r="G76" s="81" t="s">
        <v>57</v>
      </c>
      <c r="H76" s="81" t="s">
        <v>207</v>
      </c>
      <c r="I76" s="81"/>
      <c r="J76" s="15" t="str">
        <f>IF(E76="Invalid_Segment","Invalid",IFERROR(INDEX(Severity_Matrix!$C$3:$M$10,MATCH('Error Log'!$F76,Severity_Matrix!$B$3:$B$10,0),MATCH('Error Log'!$G76,Severity_Matrix!$C$2:$M$2,0)),"No errors"))</f>
        <v>Critical</v>
      </c>
      <c r="K76" s="79"/>
    </row>
    <row r="77" spans="1:11">
      <c r="A77" s="79" t="s">
        <v>208</v>
      </c>
      <c r="B77" s="18">
        <v>1</v>
      </c>
      <c r="C77" s="83" t="s">
        <v>209</v>
      </c>
      <c r="D77" s="83" t="s">
        <v>210</v>
      </c>
      <c r="E77" s="81" t="s">
        <v>21</v>
      </c>
      <c r="F77" s="81" t="s">
        <v>7</v>
      </c>
      <c r="G77" s="81" t="s">
        <v>57</v>
      </c>
      <c r="H77" s="81" t="s">
        <v>211</v>
      </c>
      <c r="I77" s="81"/>
      <c r="J77" s="15" t="str">
        <f>IF(E77="Invalid_Segment","Invalid",IFERROR(INDEX(Severity_Matrix!$C$3:$M$10,MATCH('Error Log'!$F77,Severity_Matrix!$B$3:$B$10,0),MATCH('Error Log'!$G77,Severity_Matrix!$C$2:$M$2,0)),"No errors"))</f>
        <v>Critical</v>
      </c>
      <c r="K77" s="79"/>
    </row>
    <row r="78" spans="1:11">
      <c r="A78" s="79" t="s">
        <v>208</v>
      </c>
      <c r="B78" s="18">
        <v>2</v>
      </c>
      <c r="C78" s="83" t="s">
        <v>209</v>
      </c>
      <c r="D78" s="83" t="s">
        <v>210</v>
      </c>
      <c r="E78" s="81" t="s">
        <v>21</v>
      </c>
      <c r="F78" s="81" t="s">
        <v>7</v>
      </c>
      <c r="G78" s="81" t="s">
        <v>57</v>
      </c>
      <c r="H78" s="81" t="s">
        <v>212</v>
      </c>
      <c r="I78" s="81"/>
      <c r="J78" s="15" t="str">
        <f>IF(E78="Invalid_Segment","Invalid",IFERROR(INDEX(Severity_Matrix!$C$3:$M$10,MATCH('Error Log'!$F78,Severity_Matrix!$B$3:$B$10,0),MATCH('Error Log'!$G78,Severity_Matrix!$C$2:$M$2,0)),"No errors"))</f>
        <v>Critical</v>
      </c>
      <c r="K78" s="79"/>
    </row>
    <row r="79" spans="1:11">
      <c r="A79" s="79" t="s">
        <v>693</v>
      </c>
      <c r="B79" s="18">
        <v>3</v>
      </c>
      <c r="C79" s="83" t="s">
        <v>209</v>
      </c>
      <c r="D79" s="83" t="s">
        <v>210</v>
      </c>
      <c r="E79" s="81" t="s">
        <v>21</v>
      </c>
      <c r="F79" s="81" t="s">
        <v>22</v>
      </c>
      <c r="G79" s="81" t="s">
        <v>57</v>
      </c>
      <c r="H79" s="81" t="s">
        <v>694</v>
      </c>
      <c r="I79" s="81"/>
      <c r="J79" s="15" t="str">
        <f>IF(E79="Invalid_Segment","Invalid",IFERROR(INDEX(Severity_Matrix!$C$3:$M$10,MATCH('Error Log'!$F79,Severity_Matrix!$B$3:$B$10,0),MATCH('Error Log'!$G79,Severity_Matrix!$C$2:$M$2,0)),"No errors"))</f>
        <v>Major</v>
      </c>
      <c r="K79" s="79"/>
    </row>
    <row r="80" spans="1:11">
      <c r="A80" s="79" t="s">
        <v>213</v>
      </c>
      <c r="B80" s="18">
        <v>1</v>
      </c>
      <c r="C80" s="83" t="s">
        <v>214</v>
      </c>
      <c r="D80" s="83" t="s">
        <v>215</v>
      </c>
      <c r="E80" s="81" t="s">
        <v>21</v>
      </c>
      <c r="F80" s="81" t="s">
        <v>22</v>
      </c>
      <c r="G80" s="81" t="s">
        <v>28</v>
      </c>
      <c r="H80" s="81" t="s">
        <v>695</v>
      </c>
      <c r="I80" s="81"/>
      <c r="J80" s="15" t="str">
        <f>IF(E80="Invalid_Segment","Invalid",IFERROR(INDEX(Severity_Matrix!$C$3:$M$10,MATCH('Error Log'!$F80,Severity_Matrix!$B$3:$B$10,0),MATCH('Error Log'!$G80,Severity_Matrix!$C$2:$M$2,0)),"No errors"))</f>
        <v>Major</v>
      </c>
      <c r="K80" s="79"/>
    </row>
    <row r="81" spans="1:11">
      <c r="A81" s="79" t="s">
        <v>213</v>
      </c>
      <c r="B81" s="18">
        <v>2</v>
      </c>
      <c r="C81" s="83" t="s">
        <v>214</v>
      </c>
      <c r="D81" s="83" t="s">
        <v>215</v>
      </c>
      <c r="E81" s="81" t="s">
        <v>21</v>
      </c>
      <c r="F81" s="81" t="s">
        <v>22</v>
      </c>
      <c r="G81" s="81" t="s">
        <v>57</v>
      </c>
      <c r="H81" s="81" t="s">
        <v>696</v>
      </c>
      <c r="I81" s="81"/>
      <c r="J81" s="15" t="str">
        <f>IF(E81="Invalid_Segment","Invalid",IFERROR(INDEX(Severity_Matrix!$C$3:$M$10,MATCH('Error Log'!$F81,Severity_Matrix!$B$3:$B$10,0),MATCH('Error Log'!$G81,Severity_Matrix!$C$2:$M$2,0)),"No errors"))</f>
        <v>Major</v>
      </c>
      <c r="K81" s="79"/>
    </row>
    <row r="82" spans="1:11">
      <c r="A82" s="79" t="s">
        <v>213</v>
      </c>
      <c r="B82" s="18">
        <v>3</v>
      </c>
      <c r="C82" s="83" t="s">
        <v>214</v>
      </c>
      <c r="D82" s="83" t="s">
        <v>215</v>
      </c>
      <c r="E82" s="81" t="s">
        <v>21</v>
      </c>
      <c r="F82" s="81" t="s">
        <v>7</v>
      </c>
      <c r="G82" s="81" t="s">
        <v>57</v>
      </c>
      <c r="H82" s="81" t="s">
        <v>216</v>
      </c>
      <c r="I82" s="81"/>
      <c r="J82" s="15" t="str">
        <f>IF(E82="Invalid_Segment","Invalid",IFERROR(INDEX(Severity_Matrix!$C$3:$M$10,MATCH('Error Log'!$F82,Severity_Matrix!$B$3:$B$10,0),MATCH('Error Log'!$G82,Severity_Matrix!$C$2:$M$2,0)),"No errors"))</f>
        <v>Critical</v>
      </c>
      <c r="K82" s="79"/>
    </row>
    <row r="83" spans="1:11">
      <c r="A83" s="79" t="s">
        <v>213</v>
      </c>
      <c r="B83" s="18">
        <v>4</v>
      </c>
      <c r="C83" s="83" t="s">
        <v>214</v>
      </c>
      <c r="D83" s="83" t="s">
        <v>215</v>
      </c>
      <c r="E83" s="81" t="s">
        <v>21</v>
      </c>
      <c r="F83" s="81" t="s">
        <v>7</v>
      </c>
      <c r="G83" s="81" t="s">
        <v>57</v>
      </c>
      <c r="H83" s="81" t="s">
        <v>217</v>
      </c>
      <c r="I83" s="81"/>
      <c r="J83" s="15" t="str">
        <f>IF(E83="Invalid_Segment","Invalid",IFERROR(INDEX(Severity_Matrix!$C$3:$M$10,MATCH('Error Log'!$F83,Severity_Matrix!$B$3:$B$10,0),MATCH('Error Log'!$G83,Severity_Matrix!$C$2:$M$2,0)),"No errors"))</f>
        <v>Critical</v>
      </c>
      <c r="K83" s="79"/>
    </row>
    <row r="84" spans="1:11">
      <c r="A84" s="79" t="s">
        <v>218</v>
      </c>
      <c r="B84" s="18">
        <v>1</v>
      </c>
      <c r="C84" s="83" t="s">
        <v>219</v>
      </c>
      <c r="D84" s="83" t="s">
        <v>220</v>
      </c>
      <c r="E84" s="81" t="s">
        <v>21</v>
      </c>
      <c r="F84" s="81" t="s">
        <v>22</v>
      </c>
      <c r="G84" s="81" t="s">
        <v>57</v>
      </c>
      <c r="H84" s="81" t="s">
        <v>697</v>
      </c>
      <c r="I84" s="81"/>
      <c r="J84" s="15" t="str">
        <f>IF(E84="Invalid_Segment","Invalid",IFERROR(INDEX(Severity_Matrix!$C$3:$M$10,MATCH('Error Log'!$F84,Severity_Matrix!$B$3:$B$10,0),MATCH('Error Log'!$G84,Severity_Matrix!$C$2:$M$2,0)),"No errors"))</f>
        <v>Major</v>
      </c>
      <c r="K84" s="79"/>
    </row>
    <row r="85" spans="1:11">
      <c r="A85" s="79" t="s">
        <v>218</v>
      </c>
      <c r="B85" s="18">
        <v>2</v>
      </c>
      <c r="C85" s="83" t="s">
        <v>219</v>
      </c>
      <c r="D85" s="83" t="s">
        <v>220</v>
      </c>
      <c r="E85" s="81" t="s">
        <v>21</v>
      </c>
      <c r="F85" s="81" t="s">
        <v>7</v>
      </c>
      <c r="G85" s="81" t="s">
        <v>57</v>
      </c>
      <c r="H85" s="81" t="s">
        <v>221</v>
      </c>
      <c r="I85" s="81"/>
      <c r="J85" s="15" t="str">
        <f>IF(E85="Invalid_Segment","Invalid",IFERROR(INDEX(Severity_Matrix!$C$3:$M$10,MATCH('Error Log'!$F85,Severity_Matrix!$B$3:$B$10,0),MATCH('Error Log'!$G85,Severity_Matrix!$C$2:$M$2,0)),"No errors"))</f>
        <v>Critical</v>
      </c>
      <c r="K85" s="79"/>
    </row>
    <row r="86" spans="1:11">
      <c r="A86" s="79" t="s">
        <v>218</v>
      </c>
      <c r="B86" s="18">
        <v>3</v>
      </c>
      <c r="C86" s="83" t="s">
        <v>219</v>
      </c>
      <c r="D86" s="83" t="s">
        <v>220</v>
      </c>
      <c r="E86" s="81" t="s">
        <v>21</v>
      </c>
      <c r="F86" s="81" t="s">
        <v>7</v>
      </c>
      <c r="G86" s="81" t="s">
        <v>57</v>
      </c>
      <c r="H86" s="81" t="s">
        <v>222</v>
      </c>
      <c r="I86" s="81"/>
      <c r="J86" s="15" t="str">
        <f>IF(E86="Invalid_Segment","Invalid",IFERROR(INDEX(Severity_Matrix!$C$3:$M$10,MATCH('Error Log'!$F86,Severity_Matrix!$B$3:$B$10,0),MATCH('Error Log'!$G86,Severity_Matrix!$C$2:$M$2,0)),"No errors"))</f>
        <v>Critical</v>
      </c>
      <c r="K86" s="79"/>
    </row>
    <row r="87" spans="1:11">
      <c r="A87" s="79" t="s">
        <v>223</v>
      </c>
      <c r="B87" s="18">
        <v>1</v>
      </c>
      <c r="C87" s="83" t="s">
        <v>224</v>
      </c>
      <c r="D87" s="83" t="s">
        <v>225</v>
      </c>
      <c r="E87" s="81" t="s">
        <v>21</v>
      </c>
      <c r="F87" s="81" t="s">
        <v>7</v>
      </c>
      <c r="G87" s="81" t="s">
        <v>58</v>
      </c>
      <c r="H87" s="81" t="s">
        <v>379</v>
      </c>
      <c r="I87" s="81"/>
      <c r="J87" s="15" t="str">
        <f>IF(E87="Invalid_Segment","Invalid",IFERROR(INDEX(Severity_Matrix!$C$3:$M$10,MATCH('Error Log'!$F87,Severity_Matrix!$B$3:$B$10,0),MATCH('Error Log'!$G87,Severity_Matrix!$C$2:$M$2,0)),"No errors"))</f>
        <v>Minor</v>
      </c>
      <c r="K87" s="79"/>
    </row>
    <row r="88" spans="1:11">
      <c r="A88" s="79" t="s">
        <v>223</v>
      </c>
      <c r="B88" s="18">
        <v>2</v>
      </c>
      <c r="C88" s="83" t="s">
        <v>224</v>
      </c>
      <c r="D88" s="83" t="s">
        <v>225</v>
      </c>
      <c r="E88" s="81" t="s">
        <v>21</v>
      </c>
      <c r="F88" s="81" t="s">
        <v>7</v>
      </c>
      <c r="G88" s="81" t="s">
        <v>27</v>
      </c>
      <c r="H88" s="81" t="s">
        <v>698</v>
      </c>
      <c r="I88" s="81"/>
      <c r="J88" s="15" t="str">
        <f>IF(E88="Invalid_Segment","Invalid",IFERROR(INDEX(Severity_Matrix!$C$3:$M$10,MATCH('Error Log'!$F88,Severity_Matrix!$B$3:$B$10,0),MATCH('Error Log'!$G88,Severity_Matrix!$C$2:$M$2,0)),"No errors"))</f>
        <v>Major</v>
      </c>
      <c r="K88" s="79"/>
    </row>
    <row r="89" spans="1:11">
      <c r="A89" s="79" t="s">
        <v>223</v>
      </c>
      <c r="B89" s="18">
        <v>3</v>
      </c>
      <c r="C89" s="83" t="s">
        <v>224</v>
      </c>
      <c r="D89" s="83" t="s">
        <v>225</v>
      </c>
      <c r="E89" s="81" t="s">
        <v>21</v>
      </c>
      <c r="F89" s="81" t="s">
        <v>7</v>
      </c>
      <c r="G89" s="81" t="s">
        <v>57</v>
      </c>
      <c r="H89" s="81" t="s">
        <v>226</v>
      </c>
      <c r="I89" s="81"/>
      <c r="J89" s="15" t="str">
        <f>IF(E89="Invalid_Segment","Invalid",IFERROR(INDEX(Severity_Matrix!$C$3:$M$10,MATCH('Error Log'!$F89,Severity_Matrix!$B$3:$B$10,0),MATCH('Error Log'!$G89,Severity_Matrix!$C$2:$M$2,0)),"No errors"))</f>
        <v>Critical</v>
      </c>
      <c r="K89" s="79"/>
    </row>
    <row r="90" spans="1:11">
      <c r="A90" s="79" t="s">
        <v>223</v>
      </c>
      <c r="B90" s="18">
        <v>4</v>
      </c>
      <c r="C90" s="83" t="s">
        <v>224</v>
      </c>
      <c r="D90" s="83" t="s">
        <v>225</v>
      </c>
      <c r="E90" s="81" t="s">
        <v>21</v>
      </c>
      <c r="F90" s="81" t="s">
        <v>22</v>
      </c>
      <c r="G90" s="81" t="s">
        <v>57</v>
      </c>
      <c r="H90" s="81" t="s">
        <v>699</v>
      </c>
      <c r="I90" s="81"/>
      <c r="J90" s="15" t="str">
        <f>IF(E90="Invalid_Segment","Invalid",IFERROR(INDEX(Severity_Matrix!$C$3:$M$10,MATCH('Error Log'!$F90,Severity_Matrix!$B$3:$B$10,0),MATCH('Error Log'!$G90,Severity_Matrix!$C$2:$M$2,0)),"No errors"))</f>
        <v>Major</v>
      </c>
      <c r="K90" s="79"/>
    </row>
    <row r="91" spans="1:11">
      <c r="A91" s="84" t="s">
        <v>227</v>
      </c>
      <c r="B91" s="85">
        <v>1</v>
      </c>
      <c r="C91" s="86" t="s">
        <v>228</v>
      </c>
      <c r="D91" s="86" t="s">
        <v>229</v>
      </c>
      <c r="E91" s="87" t="s">
        <v>21</v>
      </c>
      <c r="F91" s="87" t="s">
        <v>7</v>
      </c>
      <c r="G91" s="87" t="s">
        <v>56</v>
      </c>
      <c r="H91" s="87" t="s">
        <v>230</v>
      </c>
      <c r="I91" s="81"/>
      <c r="J91" s="15" t="str">
        <f>IF(E91="Invalid_Segment","Invalid",IFERROR(INDEX(Severity_Matrix!$C$3:$M$10,MATCH('Error Log'!$F91,Severity_Matrix!$B$3:$B$10,0),MATCH('Error Log'!$G91,Severity_Matrix!$C$2:$M$2,0)),"No errors"))</f>
        <v>Critical</v>
      </c>
      <c r="K91" s="79"/>
    </row>
    <row r="92" spans="1:11">
      <c r="A92" s="84" t="s">
        <v>227</v>
      </c>
      <c r="B92" s="85">
        <v>2</v>
      </c>
      <c r="C92" s="86" t="s">
        <v>228</v>
      </c>
      <c r="D92" s="86" t="s">
        <v>229</v>
      </c>
      <c r="E92" s="87" t="s">
        <v>21</v>
      </c>
      <c r="F92" s="87" t="s">
        <v>7</v>
      </c>
      <c r="G92" s="87" t="s">
        <v>56</v>
      </c>
      <c r="H92" s="87" t="s">
        <v>231</v>
      </c>
      <c r="I92" s="81"/>
      <c r="J92" s="15" t="str">
        <f>IF(E92="Invalid_Segment","Invalid",IFERROR(INDEX(Severity_Matrix!$C$3:$M$10,MATCH('Error Log'!$F92,Severity_Matrix!$B$3:$B$10,0),MATCH('Error Log'!$G92,Severity_Matrix!$C$2:$M$2,0)),"No errors"))</f>
        <v>Critical</v>
      </c>
      <c r="K92" s="79"/>
    </row>
    <row r="93" spans="1:11">
      <c r="A93" s="84" t="s">
        <v>232</v>
      </c>
      <c r="B93" s="85">
        <v>3</v>
      </c>
      <c r="C93" s="86" t="s">
        <v>228</v>
      </c>
      <c r="D93" s="86" t="s">
        <v>229</v>
      </c>
      <c r="E93" s="87" t="s">
        <v>21</v>
      </c>
      <c r="F93" s="87" t="s">
        <v>7</v>
      </c>
      <c r="G93" s="87" t="s">
        <v>58</v>
      </c>
      <c r="H93" s="87" t="s">
        <v>700</v>
      </c>
      <c r="I93" s="81"/>
      <c r="J93" s="15" t="str">
        <f>IF(E93="Invalid_Segment","Invalid",IFERROR(INDEX(Severity_Matrix!$C$3:$M$10,MATCH('Error Log'!$F93,Severity_Matrix!$B$3:$B$10,0),MATCH('Error Log'!$G93,Severity_Matrix!$C$2:$M$2,0)),"No errors"))</f>
        <v>Minor</v>
      </c>
      <c r="K93" s="79"/>
    </row>
    <row r="94" spans="1:11">
      <c r="A94" s="84" t="s">
        <v>232</v>
      </c>
      <c r="B94" s="85">
        <v>4</v>
      </c>
      <c r="C94" s="86" t="s">
        <v>228</v>
      </c>
      <c r="D94" s="86" t="s">
        <v>229</v>
      </c>
      <c r="E94" s="87" t="s">
        <v>21</v>
      </c>
      <c r="F94" s="87" t="s">
        <v>7</v>
      </c>
      <c r="G94" s="87" t="s">
        <v>28</v>
      </c>
      <c r="H94" s="87" t="s">
        <v>701</v>
      </c>
      <c r="I94" s="81"/>
      <c r="J94" s="15" t="str">
        <f>IF(E94="Invalid_Segment","Invalid",IFERROR(INDEX(Severity_Matrix!$C$3:$M$10,MATCH('Error Log'!$F94,Severity_Matrix!$B$3:$B$10,0),MATCH('Error Log'!$G94,Severity_Matrix!$C$2:$M$2,0)),"No errors"))</f>
        <v>Major</v>
      </c>
      <c r="K94" s="79"/>
    </row>
    <row r="95" spans="1:11">
      <c r="A95" s="84" t="s">
        <v>232</v>
      </c>
      <c r="B95" s="85">
        <v>5</v>
      </c>
      <c r="C95" s="86" t="s">
        <v>228</v>
      </c>
      <c r="D95" s="86" t="s">
        <v>229</v>
      </c>
      <c r="E95" s="87" t="s">
        <v>21</v>
      </c>
      <c r="F95" s="87" t="s">
        <v>7</v>
      </c>
      <c r="G95" s="87" t="s">
        <v>58</v>
      </c>
      <c r="H95" s="87" t="s">
        <v>702</v>
      </c>
      <c r="I95" s="81"/>
      <c r="J95" s="15" t="str">
        <f>IF(E95="Invalid_Segment","Invalid",IFERROR(INDEX(Severity_Matrix!$C$3:$M$10,MATCH('Error Log'!$F95,Severity_Matrix!$B$3:$B$10,0),MATCH('Error Log'!$G95,Severity_Matrix!$C$2:$M$2,0)),"No errors"))</f>
        <v>Minor</v>
      </c>
      <c r="K95" s="79"/>
    </row>
    <row r="96" spans="1:11">
      <c r="A96" s="84" t="s">
        <v>232</v>
      </c>
      <c r="B96" s="85">
        <v>6</v>
      </c>
      <c r="C96" s="86" t="s">
        <v>228</v>
      </c>
      <c r="D96" s="86" t="s">
        <v>229</v>
      </c>
      <c r="E96" s="87" t="s">
        <v>21</v>
      </c>
      <c r="F96" s="87" t="s">
        <v>7</v>
      </c>
      <c r="G96" s="87" t="s">
        <v>28</v>
      </c>
      <c r="H96" s="87" t="s">
        <v>703</v>
      </c>
      <c r="I96" s="81"/>
      <c r="J96" s="15" t="str">
        <f>IF(E96="Invalid_Segment","Invalid",IFERROR(INDEX(Severity_Matrix!$C$3:$M$10,MATCH('Error Log'!$F96,Severity_Matrix!$B$3:$B$10,0),MATCH('Error Log'!$G96,Severity_Matrix!$C$2:$M$2,0)),"No errors"))</f>
        <v>Major</v>
      </c>
      <c r="K96" s="79"/>
    </row>
    <row r="97" spans="1:11">
      <c r="A97" s="84" t="s">
        <v>232</v>
      </c>
      <c r="B97" s="85">
        <v>7</v>
      </c>
      <c r="C97" s="86" t="s">
        <v>228</v>
      </c>
      <c r="D97" s="86" t="s">
        <v>229</v>
      </c>
      <c r="E97" s="87" t="s">
        <v>21</v>
      </c>
      <c r="F97" s="87" t="s">
        <v>7</v>
      </c>
      <c r="G97" s="87" t="s">
        <v>29</v>
      </c>
      <c r="H97" s="88" t="s">
        <v>233</v>
      </c>
      <c r="I97" s="81"/>
      <c r="J97" s="15" t="str">
        <f>IF(E97="Invalid_Segment","Invalid",IFERROR(INDEX(Severity_Matrix!$C$3:$M$10,MATCH('Error Log'!$F97,Severity_Matrix!$B$3:$B$10,0),MATCH('Error Log'!$G97,Severity_Matrix!$C$2:$M$2,0)),"No errors"))</f>
        <v>Critical</v>
      </c>
      <c r="K97" s="79"/>
    </row>
    <row r="98" spans="1:11">
      <c r="A98" s="84" t="s">
        <v>232</v>
      </c>
      <c r="B98" s="85">
        <v>8</v>
      </c>
      <c r="C98" s="86" t="s">
        <v>228</v>
      </c>
      <c r="D98" s="86" t="s">
        <v>229</v>
      </c>
      <c r="E98" s="87" t="s">
        <v>21</v>
      </c>
      <c r="F98" s="87" t="s">
        <v>7</v>
      </c>
      <c r="G98" s="87" t="s">
        <v>55</v>
      </c>
      <c r="H98" s="87" t="s">
        <v>234</v>
      </c>
      <c r="I98" s="81"/>
      <c r="J98" s="15" t="str">
        <f>IF(E98="Invalid_Segment","Invalid",IFERROR(INDEX(Severity_Matrix!$C$3:$M$10,MATCH('Error Log'!$F98,Severity_Matrix!$B$3:$B$10,0),MATCH('Error Log'!$G98,Severity_Matrix!$C$2:$M$2,0)),"No errors"))</f>
        <v>Critical</v>
      </c>
      <c r="K98" s="79"/>
    </row>
    <row r="99" spans="1:11">
      <c r="A99" s="79" t="s">
        <v>704</v>
      </c>
      <c r="B99" s="18">
        <v>1</v>
      </c>
      <c r="C99" s="83" t="s">
        <v>236</v>
      </c>
      <c r="D99" s="83" t="s">
        <v>237</v>
      </c>
      <c r="E99" s="81" t="s">
        <v>21</v>
      </c>
      <c r="F99" s="81" t="s">
        <v>22</v>
      </c>
      <c r="G99" s="81" t="s">
        <v>57</v>
      </c>
      <c r="H99" s="81" t="s">
        <v>705</v>
      </c>
      <c r="I99" s="81"/>
      <c r="J99" s="15" t="str">
        <f>IF(E99="Invalid_Segment","Invalid",IFERROR(INDEX(Severity_Matrix!$C$3:$M$10,MATCH('Error Log'!$F99,Severity_Matrix!$B$3:$B$10,0),MATCH('Error Log'!$G99,Severity_Matrix!$C$2:$M$2,0)),"No errors"))</f>
        <v>Major</v>
      </c>
      <c r="K99" s="79"/>
    </row>
    <row r="100" spans="1:11">
      <c r="A100" s="79" t="s">
        <v>704</v>
      </c>
      <c r="B100" s="18">
        <v>2</v>
      </c>
      <c r="C100" s="83" t="s">
        <v>236</v>
      </c>
      <c r="D100" s="83" t="s">
        <v>237</v>
      </c>
      <c r="E100" s="81" t="s">
        <v>21</v>
      </c>
      <c r="F100" s="81" t="s">
        <v>22</v>
      </c>
      <c r="G100" s="81" t="s">
        <v>57</v>
      </c>
      <c r="H100" s="81" t="s">
        <v>706</v>
      </c>
      <c r="I100" s="81"/>
      <c r="J100" s="15" t="str">
        <f>IF(E100="Invalid_Segment","Invalid",IFERROR(INDEX(Severity_Matrix!$C$3:$M$10,MATCH('Error Log'!$F100,Severity_Matrix!$B$3:$B$10,0),MATCH('Error Log'!$G100,Severity_Matrix!$C$2:$M$2,0)),"No errors"))</f>
        <v>Major</v>
      </c>
      <c r="K100" s="79"/>
    </row>
    <row r="101" spans="1:11">
      <c r="A101" s="79" t="s">
        <v>235</v>
      </c>
      <c r="B101" s="18">
        <v>3</v>
      </c>
      <c r="C101" s="83" t="s">
        <v>236</v>
      </c>
      <c r="D101" s="83" t="s">
        <v>237</v>
      </c>
      <c r="E101" s="81" t="s">
        <v>21</v>
      </c>
      <c r="F101" s="81" t="s">
        <v>7</v>
      </c>
      <c r="G101" s="81" t="s">
        <v>57</v>
      </c>
      <c r="H101" s="82" t="s">
        <v>238</v>
      </c>
      <c r="I101" s="81"/>
      <c r="J101" s="15" t="str">
        <f>IF(E101="Invalid_Segment","Invalid",IFERROR(INDEX(Severity_Matrix!$C$3:$M$10,MATCH('Error Log'!$F101,Severity_Matrix!$B$3:$B$10,0),MATCH('Error Log'!$G101,Severity_Matrix!$C$2:$M$2,0)),"No errors"))</f>
        <v>Critical</v>
      </c>
      <c r="K101" s="79"/>
    </row>
    <row r="102" spans="1:11">
      <c r="A102" s="79" t="s">
        <v>235</v>
      </c>
      <c r="B102" s="18">
        <v>4</v>
      </c>
      <c r="C102" s="83" t="s">
        <v>236</v>
      </c>
      <c r="D102" s="83" t="s">
        <v>237</v>
      </c>
      <c r="E102" s="81" t="s">
        <v>21</v>
      </c>
      <c r="F102" s="81" t="s">
        <v>7</v>
      </c>
      <c r="G102" s="81" t="s">
        <v>57</v>
      </c>
      <c r="H102" s="81" t="s">
        <v>239</v>
      </c>
      <c r="I102" s="81"/>
      <c r="J102" s="15" t="str">
        <f>IF(E102="Invalid_Segment","Invalid",IFERROR(INDEX(Severity_Matrix!$C$3:$M$10,MATCH('Error Log'!$F102,Severity_Matrix!$B$3:$B$10,0),MATCH('Error Log'!$G102,Severity_Matrix!$C$2:$M$2,0)),"No errors"))</f>
        <v>Critical</v>
      </c>
      <c r="K102" s="79"/>
    </row>
    <row r="103" spans="1:11">
      <c r="A103" s="79" t="s">
        <v>235</v>
      </c>
      <c r="B103" s="18">
        <v>5</v>
      </c>
      <c r="C103" s="83" t="s">
        <v>236</v>
      </c>
      <c r="D103" s="83" t="s">
        <v>237</v>
      </c>
      <c r="E103" s="81" t="s">
        <v>21</v>
      </c>
      <c r="F103" s="81" t="s">
        <v>7</v>
      </c>
      <c r="G103" s="81" t="s">
        <v>57</v>
      </c>
      <c r="H103" s="81" t="s">
        <v>240</v>
      </c>
      <c r="I103" s="81"/>
      <c r="J103" s="15" t="str">
        <f>IF(E103="Invalid_Segment","Invalid",IFERROR(INDEX(Severity_Matrix!$C$3:$M$10,MATCH('Error Log'!$F103,Severity_Matrix!$B$3:$B$10,0),MATCH('Error Log'!$G103,Severity_Matrix!$C$2:$M$2,0)),"No errors"))</f>
        <v>Critical</v>
      </c>
      <c r="K103" s="79"/>
    </row>
    <row r="104" spans="1:11">
      <c r="A104" s="79" t="s">
        <v>235</v>
      </c>
      <c r="B104" s="18">
        <v>6</v>
      </c>
      <c r="C104" s="83" t="s">
        <v>236</v>
      </c>
      <c r="D104" s="83" t="s">
        <v>237</v>
      </c>
      <c r="E104" s="81" t="s">
        <v>21</v>
      </c>
      <c r="F104" s="81" t="s">
        <v>7</v>
      </c>
      <c r="G104" s="81" t="s">
        <v>57</v>
      </c>
      <c r="H104" s="81" t="s">
        <v>241</v>
      </c>
      <c r="I104" s="81"/>
      <c r="J104" s="15" t="str">
        <f>IF(E104="Invalid_Segment","Invalid",IFERROR(INDEX(Severity_Matrix!$C$3:$M$10,MATCH('Error Log'!$F104,Severity_Matrix!$B$3:$B$10,0),MATCH('Error Log'!$G104,Severity_Matrix!$C$2:$M$2,0)),"No errors"))</f>
        <v>Critical</v>
      </c>
      <c r="K104" s="79"/>
    </row>
    <row r="105" spans="1:11">
      <c r="A105" s="79" t="s">
        <v>235</v>
      </c>
      <c r="B105" s="18">
        <v>7</v>
      </c>
      <c r="C105" s="83" t="s">
        <v>236</v>
      </c>
      <c r="D105" s="83" t="s">
        <v>237</v>
      </c>
      <c r="E105" s="81" t="s">
        <v>21</v>
      </c>
      <c r="F105" s="81" t="s">
        <v>7</v>
      </c>
      <c r="G105" s="81" t="s">
        <v>57</v>
      </c>
      <c r="H105" s="81" t="s">
        <v>242</v>
      </c>
      <c r="I105" s="81"/>
      <c r="J105" s="15" t="str">
        <f>IF(E105="Invalid_Segment","Invalid",IFERROR(INDEX(Severity_Matrix!$C$3:$M$10,MATCH('Error Log'!$F105,Severity_Matrix!$B$3:$B$10,0),MATCH('Error Log'!$G105,Severity_Matrix!$C$2:$M$2,0)),"No errors"))</f>
        <v>Critical</v>
      </c>
      <c r="K105" s="79"/>
    </row>
    <row r="106" spans="1:11">
      <c r="A106" s="79" t="s">
        <v>235</v>
      </c>
      <c r="B106" s="18">
        <v>8</v>
      </c>
      <c r="C106" s="83" t="s">
        <v>236</v>
      </c>
      <c r="D106" s="83" t="s">
        <v>237</v>
      </c>
      <c r="E106" s="81" t="s">
        <v>21</v>
      </c>
      <c r="F106" s="81" t="s">
        <v>7</v>
      </c>
      <c r="G106" s="81" t="s">
        <v>57</v>
      </c>
      <c r="H106" s="81" t="s">
        <v>243</v>
      </c>
      <c r="I106" s="81"/>
      <c r="J106" s="15" t="str">
        <f>IF(E106="Invalid_Segment","Invalid",IFERROR(INDEX(Severity_Matrix!$C$3:$M$10,MATCH('Error Log'!$F106,Severity_Matrix!$B$3:$B$10,0),MATCH('Error Log'!$G106,Severity_Matrix!$C$2:$M$2,0)),"No errors"))</f>
        <v>Critical</v>
      </c>
      <c r="K106" s="79"/>
    </row>
    <row r="107" spans="1:11">
      <c r="A107" s="79" t="s">
        <v>707</v>
      </c>
      <c r="B107" s="18">
        <v>1</v>
      </c>
      <c r="C107" s="83" t="s">
        <v>245</v>
      </c>
      <c r="D107" s="83" t="s">
        <v>246</v>
      </c>
      <c r="E107" s="81" t="s">
        <v>21</v>
      </c>
      <c r="F107" s="81" t="s">
        <v>22</v>
      </c>
      <c r="G107" s="81" t="s">
        <v>57</v>
      </c>
      <c r="H107" s="81" t="s">
        <v>708</v>
      </c>
      <c r="I107" s="81"/>
      <c r="J107" s="15" t="str">
        <f>IF(E107="Invalid_Segment","Invalid",IFERROR(INDEX(Severity_Matrix!$C$3:$M$10,MATCH('Error Log'!$F107,Severity_Matrix!$B$3:$B$10,0),MATCH('Error Log'!$G107,Severity_Matrix!$C$2:$M$2,0)),"No errors"))</f>
        <v>Major</v>
      </c>
      <c r="K107" s="79"/>
    </row>
    <row r="108" spans="1:11">
      <c r="A108" s="79" t="s">
        <v>707</v>
      </c>
      <c r="B108" s="18">
        <v>2</v>
      </c>
      <c r="C108" s="83" t="s">
        <v>245</v>
      </c>
      <c r="D108" s="83" t="s">
        <v>246</v>
      </c>
      <c r="E108" s="81" t="s">
        <v>21</v>
      </c>
      <c r="F108" s="81" t="s">
        <v>22</v>
      </c>
      <c r="G108" s="81" t="s">
        <v>57</v>
      </c>
      <c r="H108" s="81" t="s">
        <v>709</v>
      </c>
      <c r="I108" s="81"/>
      <c r="J108" s="15" t="str">
        <f>IF(E108="Invalid_Segment","Invalid",IFERROR(INDEX(Severity_Matrix!$C$3:$M$10,MATCH('Error Log'!$F108,Severity_Matrix!$B$3:$B$10,0),MATCH('Error Log'!$G108,Severity_Matrix!$C$2:$M$2,0)),"No errors"))</f>
        <v>Major</v>
      </c>
      <c r="K108" s="79"/>
    </row>
    <row r="109" spans="1:11">
      <c r="A109" s="79" t="s">
        <v>244</v>
      </c>
      <c r="B109" s="18">
        <v>3</v>
      </c>
      <c r="C109" s="83" t="s">
        <v>245</v>
      </c>
      <c r="D109" s="83" t="s">
        <v>246</v>
      </c>
      <c r="E109" s="81" t="s">
        <v>21</v>
      </c>
      <c r="F109" s="81" t="s">
        <v>22</v>
      </c>
      <c r="G109" s="81" t="s">
        <v>57</v>
      </c>
      <c r="H109" s="81" t="s">
        <v>710</v>
      </c>
      <c r="I109" s="81"/>
      <c r="J109" s="15" t="str">
        <f>IF(E109="Invalid_Segment","Invalid",IFERROR(INDEX(Severity_Matrix!$C$3:$M$10,MATCH('Error Log'!$F109,Severity_Matrix!$B$3:$B$10,0),MATCH('Error Log'!$G109,Severity_Matrix!$C$2:$M$2,0)),"No errors"))</f>
        <v>Major</v>
      </c>
      <c r="K109" s="79"/>
    </row>
    <row r="110" spans="1:11">
      <c r="A110" s="79" t="s">
        <v>244</v>
      </c>
      <c r="B110" s="18">
        <v>4</v>
      </c>
      <c r="C110" s="83" t="s">
        <v>245</v>
      </c>
      <c r="D110" s="83" t="s">
        <v>246</v>
      </c>
      <c r="E110" s="81" t="s">
        <v>21</v>
      </c>
      <c r="F110" s="81" t="s">
        <v>7</v>
      </c>
      <c r="G110" s="81" t="s">
        <v>57</v>
      </c>
      <c r="H110" s="81" t="s">
        <v>247</v>
      </c>
      <c r="I110" s="81"/>
      <c r="J110" s="15" t="str">
        <f>IF(E110="Invalid_Segment","Invalid",IFERROR(INDEX(Severity_Matrix!$C$3:$M$10,MATCH('Error Log'!$F110,Severity_Matrix!$B$3:$B$10,0),MATCH('Error Log'!$G110,Severity_Matrix!$C$2:$M$2,0)),"No errors"))</f>
        <v>Critical</v>
      </c>
      <c r="K110" s="79"/>
    </row>
    <row r="111" spans="1:11">
      <c r="A111" s="79" t="s">
        <v>244</v>
      </c>
      <c r="B111" s="18">
        <v>5</v>
      </c>
      <c r="C111" s="83" t="s">
        <v>245</v>
      </c>
      <c r="D111" s="83" t="s">
        <v>246</v>
      </c>
      <c r="E111" s="81" t="s">
        <v>21</v>
      </c>
      <c r="F111" s="81" t="s">
        <v>7</v>
      </c>
      <c r="G111" s="81" t="s">
        <v>57</v>
      </c>
      <c r="H111" s="81" t="s">
        <v>248</v>
      </c>
      <c r="I111" s="81"/>
      <c r="J111" s="15" t="str">
        <f>IF(E111="Invalid_Segment","Invalid",IFERROR(INDEX(Severity_Matrix!$C$3:$M$10,MATCH('Error Log'!$F111,Severity_Matrix!$B$3:$B$10,0),MATCH('Error Log'!$G111,Severity_Matrix!$C$2:$M$2,0)),"No errors"))</f>
        <v>Critical</v>
      </c>
      <c r="K111" s="79"/>
    </row>
    <row r="112" spans="1:11">
      <c r="A112" s="79" t="s">
        <v>244</v>
      </c>
      <c r="B112" s="18">
        <v>6</v>
      </c>
      <c r="C112" s="83" t="s">
        <v>245</v>
      </c>
      <c r="D112" s="83" t="s">
        <v>246</v>
      </c>
      <c r="E112" s="81" t="s">
        <v>21</v>
      </c>
      <c r="F112" s="81" t="s">
        <v>7</v>
      </c>
      <c r="G112" s="81" t="s">
        <v>57</v>
      </c>
      <c r="H112" s="81" t="s">
        <v>249</v>
      </c>
      <c r="I112" s="81"/>
      <c r="J112" s="15" t="str">
        <f>IF(E112="Invalid_Segment","Invalid",IFERROR(INDEX(Severity_Matrix!$C$3:$M$10,MATCH('Error Log'!$F112,Severity_Matrix!$B$3:$B$10,0),MATCH('Error Log'!$G112,Severity_Matrix!$C$2:$M$2,0)),"No errors"))</f>
        <v>Critical</v>
      </c>
      <c r="K112" s="79"/>
    </row>
    <row r="113" spans="1:11">
      <c r="A113" s="79" t="s">
        <v>250</v>
      </c>
      <c r="B113" s="18">
        <v>1</v>
      </c>
      <c r="C113" s="83" t="s">
        <v>251</v>
      </c>
      <c r="D113" s="83" t="s">
        <v>252</v>
      </c>
      <c r="E113" s="81" t="s">
        <v>21</v>
      </c>
      <c r="F113" s="81" t="s">
        <v>7</v>
      </c>
      <c r="G113" s="81" t="s">
        <v>57</v>
      </c>
      <c r="H113" s="81" t="s">
        <v>253</v>
      </c>
      <c r="I113" s="81"/>
      <c r="J113" s="15" t="str">
        <f>IF(E113="Invalid_Segment","Invalid",IFERROR(INDEX(Severity_Matrix!$C$3:$M$10,MATCH('Error Log'!$F113,Severity_Matrix!$B$3:$B$10,0),MATCH('Error Log'!$G113,Severity_Matrix!$C$2:$M$2,0)),"No errors"))</f>
        <v>Critical</v>
      </c>
      <c r="K113" s="79"/>
    </row>
    <row r="114" spans="1:11">
      <c r="A114" s="79" t="s">
        <v>254</v>
      </c>
      <c r="B114" s="18">
        <v>1</v>
      </c>
      <c r="C114" s="83" t="s">
        <v>255</v>
      </c>
      <c r="D114" s="83" t="s">
        <v>256</v>
      </c>
      <c r="E114" s="81" t="s">
        <v>21</v>
      </c>
      <c r="F114" s="81" t="s">
        <v>22</v>
      </c>
      <c r="G114" s="81" t="s">
        <v>57</v>
      </c>
      <c r="H114" s="81" t="s">
        <v>711</v>
      </c>
      <c r="I114" s="81"/>
      <c r="J114" s="15" t="str">
        <f>IF(E114="Invalid_Segment","Invalid",IFERROR(INDEX(Severity_Matrix!$C$3:$M$10,MATCH('Error Log'!$F114,Severity_Matrix!$B$3:$B$10,0),MATCH('Error Log'!$G114,Severity_Matrix!$C$2:$M$2,0)),"No errors"))</f>
        <v>Major</v>
      </c>
      <c r="K114" s="79"/>
    </row>
    <row r="115" spans="1:11">
      <c r="A115" s="79" t="s">
        <v>254</v>
      </c>
      <c r="B115" s="18">
        <v>2</v>
      </c>
      <c r="C115" s="83" t="s">
        <v>255</v>
      </c>
      <c r="D115" s="83" t="s">
        <v>256</v>
      </c>
      <c r="E115" s="81" t="s">
        <v>21</v>
      </c>
      <c r="F115" s="81" t="s">
        <v>7</v>
      </c>
      <c r="G115" s="81" t="s">
        <v>57</v>
      </c>
      <c r="H115" s="81" t="s">
        <v>257</v>
      </c>
      <c r="I115" s="81"/>
      <c r="J115" s="15" t="str">
        <f>IF(E115="Invalid_Segment","Invalid",IFERROR(INDEX(Severity_Matrix!$C$3:$M$10,MATCH('Error Log'!$F115,Severity_Matrix!$B$3:$B$10,0),MATCH('Error Log'!$G115,Severity_Matrix!$C$2:$M$2,0)),"No errors"))</f>
        <v>Critical</v>
      </c>
      <c r="K115" s="79"/>
    </row>
    <row r="116" spans="1:11">
      <c r="A116" s="79" t="s">
        <v>258</v>
      </c>
      <c r="B116" s="18">
        <v>3</v>
      </c>
      <c r="C116" s="83" t="s">
        <v>255</v>
      </c>
      <c r="D116" s="83" t="s">
        <v>256</v>
      </c>
      <c r="E116" s="81" t="s">
        <v>21</v>
      </c>
      <c r="F116" s="81" t="s">
        <v>7</v>
      </c>
      <c r="G116" s="81" t="s">
        <v>57</v>
      </c>
      <c r="H116" s="81" t="s">
        <v>259</v>
      </c>
      <c r="I116" s="81"/>
      <c r="J116" s="15" t="str">
        <f>IF(E116="Invalid_Segment","Invalid",IFERROR(INDEX(Severity_Matrix!$C$3:$M$10,MATCH('Error Log'!$F116,Severity_Matrix!$B$3:$B$10,0),MATCH('Error Log'!$G116,Severity_Matrix!$C$2:$M$2,0)),"No errors"))</f>
        <v>Critical</v>
      </c>
      <c r="K116" s="79"/>
    </row>
    <row r="117" spans="1:11">
      <c r="A117" s="79" t="s">
        <v>260</v>
      </c>
      <c r="B117" s="18">
        <v>1</v>
      </c>
      <c r="C117" s="83" t="s">
        <v>261</v>
      </c>
      <c r="D117" s="83" t="s">
        <v>262</v>
      </c>
      <c r="E117" s="81" t="s">
        <v>21</v>
      </c>
      <c r="F117" s="81" t="s">
        <v>22</v>
      </c>
      <c r="G117" s="81" t="s">
        <v>57</v>
      </c>
      <c r="H117" s="81" t="s">
        <v>712</v>
      </c>
      <c r="I117" s="81"/>
      <c r="J117" s="15" t="str">
        <f>IF(E117="Invalid_Segment","Invalid",IFERROR(INDEX(Severity_Matrix!$C$3:$M$10,MATCH('Error Log'!$F117,Severity_Matrix!$B$3:$B$10,0),MATCH('Error Log'!$G117,Severity_Matrix!$C$2:$M$2,0)),"No errors"))</f>
        <v>Major</v>
      </c>
      <c r="K117" s="79"/>
    </row>
    <row r="118" spans="1:11">
      <c r="A118" s="79" t="s">
        <v>260</v>
      </c>
      <c r="B118" s="18">
        <v>2</v>
      </c>
      <c r="C118" s="83" t="s">
        <v>261</v>
      </c>
      <c r="D118" s="83" t="s">
        <v>262</v>
      </c>
      <c r="E118" s="81" t="s">
        <v>21</v>
      </c>
      <c r="F118" s="81" t="s">
        <v>22</v>
      </c>
      <c r="G118" s="81" t="s">
        <v>57</v>
      </c>
      <c r="H118" s="81" t="s">
        <v>713</v>
      </c>
      <c r="I118" s="81"/>
      <c r="J118" s="15" t="str">
        <f>IF(E118="Invalid_Segment","Invalid",IFERROR(INDEX(Severity_Matrix!$C$3:$M$10,MATCH('Error Log'!$F118,Severity_Matrix!$B$3:$B$10,0),MATCH('Error Log'!$G118,Severity_Matrix!$C$2:$M$2,0)),"No errors"))</f>
        <v>Major</v>
      </c>
      <c r="K118" s="79"/>
    </row>
    <row r="119" spans="1:11">
      <c r="A119" s="79" t="s">
        <v>260</v>
      </c>
      <c r="B119" s="18">
        <v>3</v>
      </c>
      <c r="C119" s="83" t="s">
        <v>261</v>
      </c>
      <c r="D119" s="83" t="s">
        <v>262</v>
      </c>
      <c r="E119" s="81" t="s">
        <v>21</v>
      </c>
      <c r="F119" s="81" t="s">
        <v>7</v>
      </c>
      <c r="G119" s="81" t="s">
        <v>57</v>
      </c>
      <c r="H119" s="81" t="s">
        <v>263</v>
      </c>
      <c r="I119" s="81"/>
      <c r="J119" s="15" t="str">
        <f>IF(E119="Invalid_Segment","Invalid",IFERROR(INDEX(Severity_Matrix!$C$3:$M$10,MATCH('Error Log'!$F119,Severity_Matrix!$B$3:$B$10,0),MATCH('Error Log'!$G119,Severity_Matrix!$C$2:$M$2,0)),"No errors"))</f>
        <v>Critical</v>
      </c>
      <c r="K119" s="79"/>
    </row>
    <row r="120" spans="1:11">
      <c r="A120" s="79" t="s">
        <v>260</v>
      </c>
      <c r="B120" s="18">
        <v>4</v>
      </c>
      <c r="C120" s="83" t="s">
        <v>261</v>
      </c>
      <c r="D120" s="83" t="s">
        <v>262</v>
      </c>
      <c r="E120" s="81" t="s">
        <v>21</v>
      </c>
      <c r="F120" s="81" t="s">
        <v>7</v>
      </c>
      <c r="G120" s="81" t="s">
        <v>57</v>
      </c>
      <c r="H120" s="81" t="s">
        <v>264</v>
      </c>
      <c r="I120" s="81"/>
      <c r="J120" s="15" t="str">
        <f>IF(E120="Invalid_Segment","Invalid",IFERROR(INDEX(Severity_Matrix!$C$3:$M$10,MATCH('Error Log'!$F120,Severity_Matrix!$B$3:$B$10,0),MATCH('Error Log'!$G120,Severity_Matrix!$C$2:$M$2,0)),"No errors"))</f>
        <v>Critical</v>
      </c>
      <c r="K120" s="79"/>
    </row>
    <row r="121" spans="1:11">
      <c r="A121" s="79" t="s">
        <v>260</v>
      </c>
      <c r="B121" s="18">
        <v>5</v>
      </c>
      <c r="C121" s="83" t="s">
        <v>261</v>
      </c>
      <c r="D121" s="83" t="s">
        <v>262</v>
      </c>
      <c r="E121" s="81" t="s">
        <v>21</v>
      </c>
      <c r="F121" s="81" t="s">
        <v>7</v>
      </c>
      <c r="G121" s="81" t="s">
        <v>57</v>
      </c>
      <c r="H121" s="81" t="s">
        <v>265</v>
      </c>
      <c r="I121" s="81"/>
      <c r="J121" s="15" t="str">
        <f>IF(E121="Invalid_Segment","Invalid",IFERROR(INDEX(Severity_Matrix!$C$3:$M$10,MATCH('Error Log'!$F121,Severity_Matrix!$B$3:$B$10,0),MATCH('Error Log'!$G121,Severity_Matrix!$C$2:$M$2,0)),"No errors"))</f>
        <v>Critical</v>
      </c>
      <c r="K121" s="79"/>
    </row>
    <row r="122" spans="1:11">
      <c r="A122" s="79" t="s">
        <v>714</v>
      </c>
      <c r="B122" s="18">
        <v>1</v>
      </c>
      <c r="C122" s="83" t="s">
        <v>267</v>
      </c>
      <c r="D122" s="83" t="s">
        <v>268</v>
      </c>
      <c r="E122" s="81" t="s">
        <v>21</v>
      </c>
      <c r="F122" s="81" t="s">
        <v>22</v>
      </c>
      <c r="G122" s="81" t="s">
        <v>57</v>
      </c>
      <c r="H122" s="81" t="s">
        <v>715</v>
      </c>
      <c r="I122" s="81"/>
      <c r="J122" s="15" t="str">
        <f>IF(E122="Invalid_Segment","Invalid",IFERROR(INDEX(Severity_Matrix!$C$3:$M$10,MATCH('Error Log'!$F122,Severity_Matrix!$B$3:$B$10,0),MATCH('Error Log'!$G122,Severity_Matrix!$C$2:$M$2,0)),"No errors"))</f>
        <v>Major</v>
      </c>
      <c r="K122" s="79"/>
    </row>
    <row r="123" spans="1:11">
      <c r="A123" s="79" t="s">
        <v>714</v>
      </c>
      <c r="B123" s="18">
        <v>2</v>
      </c>
      <c r="C123" s="83" t="s">
        <v>267</v>
      </c>
      <c r="D123" s="83" t="s">
        <v>268</v>
      </c>
      <c r="E123" s="81" t="s">
        <v>21</v>
      </c>
      <c r="F123" s="81" t="s">
        <v>22</v>
      </c>
      <c r="G123" s="81" t="s">
        <v>57</v>
      </c>
      <c r="H123" s="81" t="s">
        <v>716</v>
      </c>
      <c r="I123" s="81"/>
      <c r="J123" s="15" t="str">
        <f>IF(E123="Invalid_Segment","Invalid",IFERROR(INDEX(Severity_Matrix!$C$3:$M$10,MATCH('Error Log'!$F123,Severity_Matrix!$B$3:$B$10,0),MATCH('Error Log'!$G123,Severity_Matrix!$C$2:$M$2,0)),"No errors"))</f>
        <v>Major</v>
      </c>
      <c r="K123" s="79"/>
    </row>
    <row r="124" spans="1:11">
      <c r="A124" s="79" t="s">
        <v>266</v>
      </c>
      <c r="B124" s="18">
        <v>3</v>
      </c>
      <c r="C124" s="83" t="s">
        <v>267</v>
      </c>
      <c r="D124" s="83" t="s">
        <v>268</v>
      </c>
      <c r="E124" s="81" t="s">
        <v>21</v>
      </c>
      <c r="F124" s="81" t="s">
        <v>22</v>
      </c>
      <c r="G124" s="81" t="s">
        <v>57</v>
      </c>
      <c r="H124" s="81" t="s">
        <v>717</v>
      </c>
      <c r="I124" s="81"/>
      <c r="J124" s="15" t="str">
        <f>IF(E124="Invalid_Segment","Invalid",IFERROR(INDEX(Severity_Matrix!$C$3:$M$10,MATCH('Error Log'!$F124,Severity_Matrix!$B$3:$B$10,0),MATCH('Error Log'!$G124,Severity_Matrix!$C$2:$M$2,0)),"No errors"))</f>
        <v>Major</v>
      </c>
      <c r="K124" s="79"/>
    </row>
    <row r="125" spans="1:11">
      <c r="A125" s="79" t="s">
        <v>266</v>
      </c>
      <c r="B125" s="18">
        <v>4</v>
      </c>
      <c r="C125" s="83" t="s">
        <v>267</v>
      </c>
      <c r="D125" s="83" t="s">
        <v>268</v>
      </c>
      <c r="E125" s="81" t="s">
        <v>21</v>
      </c>
      <c r="F125" s="81" t="s">
        <v>7</v>
      </c>
      <c r="G125" s="81" t="s">
        <v>57</v>
      </c>
      <c r="H125" s="81" t="s">
        <v>269</v>
      </c>
      <c r="I125" s="81"/>
      <c r="J125" s="15" t="str">
        <f>IF(E125="Invalid_Segment","Invalid",IFERROR(INDEX(Severity_Matrix!$C$3:$M$10,MATCH('Error Log'!$F125,Severity_Matrix!$B$3:$B$10,0),MATCH('Error Log'!$G125,Severity_Matrix!$C$2:$M$2,0)),"No errors"))</f>
        <v>Critical</v>
      </c>
      <c r="K125" s="79"/>
    </row>
    <row r="126" spans="1:11">
      <c r="A126" s="79" t="s">
        <v>718</v>
      </c>
      <c r="B126" s="18">
        <v>1</v>
      </c>
      <c r="C126" s="83" t="s">
        <v>719</v>
      </c>
      <c r="D126" s="83" t="s">
        <v>720</v>
      </c>
      <c r="E126" s="81" t="s">
        <v>21</v>
      </c>
      <c r="F126" s="81" t="s">
        <v>22</v>
      </c>
      <c r="G126" s="81" t="s">
        <v>57</v>
      </c>
      <c r="H126" s="81" t="s">
        <v>721</v>
      </c>
      <c r="I126" s="81"/>
      <c r="J126" s="15" t="str">
        <f>IF(E126="Invalid_Segment","Invalid",IFERROR(INDEX(Severity_Matrix!$C$3:$M$10,MATCH('Error Log'!$F126,Severity_Matrix!$B$3:$B$10,0),MATCH('Error Log'!$G126,Severity_Matrix!$C$2:$M$2,0)),"No errors"))</f>
        <v>Major</v>
      </c>
      <c r="K126" s="79"/>
    </row>
    <row r="127" spans="1:11">
      <c r="A127" s="79" t="s">
        <v>722</v>
      </c>
      <c r="B127" s="18">
        <v>1</v>
      </c>
      <c r="C127" s="83" t="s">
        <v>723</v>
      </c>
      <c r="D127" s="83" t="s">
        <v>724</v>
      </c>
      <c r="E127" s="81"/>
      <c r="F127" s="81"/>
      <c r="G127" s="81"/>
      <c r="H127" s="81"/>
      <c r="I127" s="81"/>
      <c r="J127" s="15" t="str">
        <f>IF(E127="Invalid_Segment","Invalid",IFERROR(INDEX(Severity_Matrix!$C$3:$M$10,MATCH('Error Log'!$F127,Severity_Matrix!$B$3:$B$10,0),MATCH('Error Log'!$G127,Severity_Matrix!$C$2:$M$2,0)),"No errors"))</f>
        <v>No errors</v>
      </c>
      <c r="K127" s="79"/>
    </row>
    <row r="128" spans="1:11">
      <c r="A128" s="79" t="s">
        <v>725</v>
      </c>
      <c r="B128" s="18">
        <v>1</v>
      </c>
      <c r="C128" s="83" t="s">
        <v>271</v>
      </c>
      <c r="D128" s="83" t="s">
        <v>272</v>
      </c>
      <c r="E128" s="81" t="s">
        <v>21</v>
      </c>
      <c r="F128" s="81" t="s">
        <v>22</v>
      </c>
      <c r="G128" s="81" t="s">
        <v>57</v>
      </c>
      <c r="H128" s="81" t="s">
        <v>726</v>
      </c>
      <c r="I128" s="81"/>
      <c r="J128" s="15" t="str">
        <f>IF(E128="Invalid_Segment","Invalid",IFERROR(INDEX(Severity_Matrix!$C$3:$M$10,MATCH('Error Log'!$F128,Severity_Matrix!$B$3:$B$10,0),MATCH('Error Log'!$G128,Severity_Matrix!$C$2:$M$2,0)),"No errors"))</f>
        <v>Major</v>
      </c>
    </row>
    <row r="129" spans="1:10">
      <c r="A129" s="79" t="s">
        <v>725</v>
      </c>
      <c r="B129" s="18">
        <v>2</v>
      </c>
      <c r="C129" s="83" t="s">
        <v>271</v>
      </c>
      <c r="D129" s="83" t="s">
        <v>272</v>
      </c>
      <c r="E129" s="81" t="s">
        <v>21</v>
      </c>
      <c r="F129" s="81" t="s">
        <v>22</v>
      </c>
      <c r="G129" s="81" t="s">
        <v>57</v>
      </c>
      <c r="H129" s="81" t="s">
        <v>727</v>
      </c>
      <c r="I129" s="81"/>
      <c r="J129" s="15" t="str">
        <f>IF(E129="Invalid_Segment","Invalid",IFERROR(INDEX(Severity_Matrix!$C$3:$M$10,MATCH('Error Log'!$F129,Severity_Matrix!$B$3:$B$10,0),MATCH('Error Log'!$G129,Severity_Matrix!$C$2:$M$2,0)),"No errors"))</f>
        <v>Major</v>
      </c>
    </row>
    <row r="130" spans="1:10">
      <c r="A130" s="79" t="s">
        <v>270</v>
      </c>
      <c r="B130" s="18">
        <v>3</v>
      </c>
      <c r="C130" s="83" t="s">
        <v>271</v>
      </c>
      <c r="D130" s="83" t="s">
        <v>272</v>
      </c>
      <c r="E130" s="81" t="s">
        <v>21</v>
      </c>
      <c r="F130" s="81" t="s">
        <v>22</v>
      </c>
      <c r="G130" s="81" t="s">
        <v>57</v>
      </c>
      <c r="H130" s="81" t="s">
        <v>728</v>
      </c>
      <c r="I130" s="81"/>
      <c r="J130" s="15" t="str">
        <f>IF(E130="Invalid_Segment","Invalid",IFERROR(INDEX(Severity_Matrix!$C$3:$M$10,MATCH('Error Log'!$F130,Severity_Matrix!$B$3:$B$10,0),MATCH('Error Log'!$G130,Severity_Matrix!$C$2:$M$2,0)),"No errors"))</f>
        <v>Major</v>
      </c>
    </row>
    <row r="131" spans="1:10">
      <c r="A131" s="79" t="s">
        <v>270</v>
      </c>
      <c r="B131" s="18">
        <v>4</v>
      </c>
      <c r="C131" s="83" t="s">
        <v>271</v>
      </c>
      <c r="D131" s="83" t="s">
        <v>272</v>
      </c>
      <c r="E131" s="81" t="s">
        <v>21</v>
      </c>
      <c r="F131" s="81" t="s">
        <v>7</v>
      </c>
      <c r="G131" s="81" t="s">
        <v>57</v>
      </c>
      <c r="H131" s="81" t="s">
        <v>273</v>
      </c>
      <c r="I131" s="81"/>
      <c r="J131" s="15" t="str">
        <f>IF(E131="Invalid_Segment","Invalid",IFERROR(INDEX(Severity_Matrix!$C$3:$M$10,MATCH('Error Log'!$F131,Severity_Matrix!$B$3:$B$10,0),MATCH('Error Log'!$G131,Severity_Matrix!$C$2:$M$2,0)),"No errors"))</f>
        <v>Critical</v>
      </c>
    </row>
    <row r="132" spans="1:10">
      <c r="A132" s="79" t="s">
        <v>270</v>
      </c>
      <c r="B132" s="18">
        <v>5</v>
      </c>
      <c r="C132" s="83" t="s">
        <v>271</v>
      </c>
      <c r="D132" s="83" t="s">
        <v>272</v>
      </c>
      <c r="E132" s="81" t="s">
        <v>21</v>
      </c>
      <c r="F132" s="81" t="s">
        <v>7</v>
      </c>
      <c r="G132" s="81" t="s">
        <v>57</v>
      </c>
      <c r="H132" s="81" t="s">
        <v>274</v>
      </c>
      <c r="I132" s="81"/>
      <c r="J132" s="15" t="str">
        <f>IF(E132="Invalid_Segment","Invalid",IFERROR(INDEX(Severity_Matrix!$C$3:$M$10,MATCH('Error Log'!$F132,Severity_Matrix!$B$3:$B$10,0),MATCH('Error Log'!$G132,Severity_Matrix!$C$2:$M$2,0)),"No errors"))</f>
        <v>Critical</v>
      </c>
    </row>
    <row r="133" spans="1:10">
      <c r="A133" s="79" t="s">
        <v>270</v>
      </c>
      <c r="B133" s="18">
        <v>6</v>
      </c>
      <c r="C133" s="83" t="s">
        <v>271</v>
      </c>
      <c r="D133" s="83" t="s">
        <v>272</v>
      </c>
      <c r="E133" s="81" t="s">
        <v>21</v>
      </c>
      <c r="F133" s="81" t="s">
        <v>7</v>
      </c>
      <c r="G133" s="81" t="s">
        <v>57</v>
      </c>
      <c r="H133" s="81" t="s">
        <v>275</v>
      </c>
      <c r="I133" s="81"/>
      <c r="J133" s="15" t="str">
        <f>IF(E133="Invalid_Segment","Invalid",IFERROR(INDEX(Severity_Matrix!$C$3:$M$10,MATCH('Error Log'!$F133,Severity_Matrix!$B$3:$B$10,0),MATCH('Error Log'!$G133,Severity_Matrix!$C$2:$M$2,0)),"No errors"))</f>
        <v>Critical</v>
      </c>
    </row>
    <row r="134" spans="1:10">
      <c r="A134" s="79" t="s">
        <v>729</v>
      </c>
      <c r="B134" s="18">
        <v>1</v>
      </c>
      <c r="C134" s="83" t="s">
        <v>277</v>
      </c>
      <c r="D134" s="83" t="s">
        <v>278</v>
      </c>
      <c r="E134" s="81" t="s">
        <v>21</v>
      </c>
      <c r="F134" s="81" t="s">
        <v>22</v>
      </c>
      <c r="G134" s="81" t="s">
        <v>57</v>
      </c>
      <c r="H134" s="81" t="s">
        <v>730</v>
      </c>
      <c r="I134" s="81"/>
      <c r="J134" s="15" t="str">
        <f>IF(E134="Invalid_Segment","Invalid",IFERROR(INDEX(Severity_Matrix!$C$3:$M$10,MATCH('Error Log'!$F134,Severity_Matrix!$B$3:$B$10,0),MATCH('Error Log'!$G134,Severity_Matrix!$C$2:$M$2,0)),"No errors"))</f>
        <v>Major</v>
      </c>
    </row>
    <row r="135" spans="1:10">
      <c r="A135" s="79" t="s">
        <v>729</v>
      </c>
      <c r="B135" s="18">
        <v>2</v>
      </c>
      <c r="C135" s="83" t="s">
        <v>277</v>
      </c>
      <c r="D135" s="83" t="s">
        <v>278</v>
      </c>
      <c r="E135" s="81" t="s">
        <v>21</v>
      </c>
      <c r="F135" s="81" t="s">
        <v>22</v>
      </c>
      <c r="G135" s="81" t="s">
        <v>57</v>
      </c>
      <c r="H135" s="81" t="s">
        <v>731</v>
      </c>
      <c r="I135" s="81"/>
      <c r="J135" s="15" t="str">
        <f>IF(E135="Invalid_Segment","Invalid",IFERROR(INDEX(Severity_Matrix!$C$3:$M$10,MATCH('Error Log'!$F135,Severity_Matrix!$B$3:$B$10,0),MATCH('Error Log'!$G135,Severity_Matrix!$C$2:$M$2,0)),"No errors"))</f>
        <v>Major</v>
      </c>
    </row>
    <row r="136" spans="1:10">
      <c r="A136" s="79" t="s">
        <v>276</v>
      </c>
      <c r="B136" s="18">
        <v>3</v>
      </c>
      <c r="C136" s="83" t="s">
        <v>277</v>
      </c>
      <c r="D136" s="83" t="s">
        <v>278</v>
      </c>
      <c r="E136" s="81" t="s">
        <v>21</v>
      </c>
      <c r="F136" s="81" t="s">
        <v>7</v>
      </c>
      <c r="G136" s="81" t="s">
        <v>57</v>
      </c>
      <c r="H136" s="81" t="s">
        <v>279</v>
      </c>
      <c r="I136" s="81"/>
      <c r="J136" s="15" t="str">
        <f>IF(E136="Invalid_Segment","Invalid",IFERROR(INDEX(Severity_Matrix!$C$3:$M$10,MATCH('Error Log'!$F136,Severity_Matrix!$B$3:$B$10,0),MATCH('Error Log'!$G136,Severity_Matrix!$C$2:$M$2,0)),"No errors"))</f>
        <v>Critical</v>
      </c>
    </row>
    <row r="137" spans="1:10">
      <c r="A137" s="79" t="s">
        <v>276</v>
      </c>
      <c r="B137" s="18">
        <v>4</v>
      </c>
      <c r="C137" s="83" t="s">
        <v>277</v>
      </c>
      <c r="D137" s="83" t="s">
        <v>278</v>
      </c>
      <c r="E137" s="81" t="s">
        <v>21</v>
      </c>
      <c r="F137" s="81" t="s">
        <v>7</v>
      </c>
      <c r="G137" s="81" t="s">
        <v>57</v>
      </c>
      <c r="H137" s="81" t="s">
        <v>280</v>
      </c>
      <c r="I137" s="81"/>
      <c r="J137" s="15" t="str">
        <f>IF(E137="Invalid_Segment","Invalid",IFERROR(INDEX(Severity_Matrix!$C$3:$M$10,MATCH('Error Log'!$F137,Severity_Matrix!$B$3:$B$10,0),MATCH('Error Log'!$G137,Severity_Matrix!$C$2:$M$2,0)),"No errors"))</f>
        <v>Critical</v>
      </c>
    </row>
    <row r="138" spans="1:10">
      <c r="A138" s="79" t="s">
        <v>732</v>
      </c>
      <c r="B138" s="18">
        <v>1</v>
      </c>
      <c r="C138" s="83" t="s">
        <v>282</v>
      </c>
      <c r="D138" s="83" t="s">
        <v>283</v>
      </c>
      <c r="E138" s="81" t="s">
        <v>21</v>
      </c>
      <c r="F138" s="81" t="s">
        <v>22</v>
      </c>
      <c r="G138" s="81" t="s">
        <v>57</v>
      </c>
      <c r="H138" s="81" t="s">
        <v>733</v>
      </c>
      <c r="I138" s="81"/>
      <c r="J138" s="15" t="str">
        <f>IF(E138="Invalid_Segment","Invalid",IFERROR(INDEX(Severity_Matrix!$C$3:$M$10,MATCH('Error Log'!$F138,Severity_Matrix!$B$3:$B$10,0),MATCH('Error Log'!$G138,Severity_Matrix!$C$2:$M$2,0)),"No errors"))</f>
        <v>Major</v>
      </c>
    </row>
    <row r="139" spans="1:10">
      <c r="A139" s="79" t="s">
        <v>732</v>
      </c>
      <c r="B139" s="18">
        <v>2</v>
      </c>
      <c r="C139" s="83" t="s">
        <v>282</v>
      </c>
      <c r="D139" s="83" t="s">
        <v>283</v>
      </c>
      <c r="E139" s="81" t="s">
        <v>21</v>
      </c>
      <c r="F139" s="81" t="s">
        <v>22</v>
      </c>
      <c r="G139" s="81" t="s">
        <v>57</v>
      </c>
      <c r="H139" s="81" t="s">
        <v>734</v>
      </c>
      <c r="I139" s="81"/>
      <c r="J139" s="15" t="str">
        <f>IF(E139="Invalid_Segment","Invalid",IFERROR(INDEX(Severity_Matrix!$C$3:$M$10,MATCH('Error Log'!$F139,Severity_Matrix!$B$3:$B$10,0),MATCH('Error Log'!$G139,Severity_Matrix!$C$2:$M$2,0)),"No errors"))</f>
        <v>Major</v>
      </c>
    </row>
    <row r="140" spans="1:10">
      <c r="A140" s="79" t="s">
        <v>281</v>
      </c>
      <c r="B140" s="18">
        <v>3</v>
      </c>
      <c r="C140" s="83" t="s">
        <v>282</v>
      </c>
      <c r="D140" s="83" t="s">
        <v>283</v>
      </c>
      <c r="E140" s="81" t="s">
        <v>21</v>
      </c>
      <c r="F140" s="81" t="s">
        <v>7</v>
      </c>
      <c r="G140" s="81" t="s">
        <v>57</v>
      </c>
      <c r="H140" s="81" t="s">
        <v>284</v>
      </c>
      <c r="I140" s="81"/>
      <c r="J140" s="15" t="str">
        <f>IF(E140="Invalid_Segment","Invalid",IFERROR(INDEX(Severity_Matrix!$C$3:$M$10,MATCH('Error Log'!$F140,Severity_Matrix!$B$3:$B$10,0),MATCH('Error Log'!$G140,Severity_Matrix!$C$2:$M$2,0)),"No errors"))</f>
        <v>Critical</v>
      </c>
    </row>
    <row r="141" spans="1:10">
      <c r="A141" s="79" t="s">
        <v>281</v>
      </c>
      <c r="B141" s="18">
        <v>4</v>
      </c>
      <c r="C141" s="83" t="s">
        <v>282</v>
      </c>
      <c r="D141" s="83" t="s">
        <v>283</v>
      </c>
      <c r="E141" s="81" t="s">
        <v>21</v>
      </c>
      <c r="F141" s="81" t="s">
        <v>7</v>
      </c>
      <c r="G141" s="81" t="s">
        <v>57</v>
      </c>
      <c r="H141" s="81" t="s">
        <v>285</v>
      </c>
      <c r="I141" s="81"/>
      <c r="J141" s="15" t="str">
        <f>IF(E141="Invalid_Segment","Invalid",IFERROR(INDEX(Severity_Matrix!$C$3:$M$10,MATCH('Error Log'!$F141,Severity_Matrix!$B$3:$B$10,0),MATCH('Error Log'!$G141,Severity_Matrix!$C$2:$M$2,0)),"No errors"))</f>
        <v>Critical</v>
      </c>
    </row>
    <row r="142" spans="1:10">
      <c r="A142" s="79" t="s">
        <v>281</v>
      </c>
      <c r="B142" s="18">
        <v>5</v>
      </c>
      <c r="C142" s="83" t="s">
        <v>282</v>
      </c>
      <c r="D142" s="83" t="s">
        <v>283</v>
      </c>
      <c r="E142" s="81" t="s">
        <v>21</v>
      </c>
      <c r="F142" s="81" t="s">
        <v>7</v>
      </c>
      <c r="G142" s="81" t="s">
        <v>57</v>
      </c>
      <c r="H142" s="81" t="s">
        <v>286</v>
      </c>
      <c r="I142" s="81"/>
      <c r="J142" s="15" t="str">
        <f>IF(E142="Invalid_Segment","Invalid",IFERROR(INDEX(Severity_Matrix!$C$3:$M$10,MATCH('Error Log'!$F142,Severity_Matrix!$B$3:$B$10,0),MATCH('Error Log'!$G142,Severity_Matrix!$C$2:$M$2,0)),"No errors"))</f>
        <v>Critical</v>
      </c>
    </row>
    <row r="143" spans="1:10" s="112" customFormat="1">
      <c r="A143" s="107" t="s">
        <v>287</v>
      </c>
      <c r="B143" s="108">
        <v>1</v>
      </c>
      <c r="C143" s="109" t="s">
        <v>288</v>
      </c>
      <c r="D143" s="109" t="s">
        <v>289</v>
      </c>
      <c r="E143" s="110" t="s">
        <v>21</v>
      </c>
      <c r="F143" s="110" t="s">
        <v>63</v>
      </c>
      <c r="G143" s="110" t="s">
        <v>58</v>
      </c>
      <c r="H143" s="110" t="s">
        <v>702</v>
      </c>
      <c r="I143" s="110"/>
      <c r="J143" s="111" t="str">
        <f>IF(E143="Invalid_Segment","Invalid",IFERROR(INDEX(Severity_Matrix!$C$3:$M$10,MATCH('Error Log'!$F143,Severity_Matrix!$B$3:$B$10,0),MATCH('Error Log'!$G143,Severity_Matrix!$C$2:$M$2,0)),"No errors"))</f>
        <v>Minor</v>
      </c>
    </row>
    <row r="144" spans="1:10" s="112" customFormat="1">
      <c r="A144" s="107" t="s">
        <v>287</v>
      </c>
      <c r="B144" s="108">
        <v>2</v>
      </c>
      <c r="C144" s="109" t="s">
        <v>288</v>
      </c>
      <c r="D144" s="109" t="s">
        <v>289</v>
      </c>
      <c r="E144" s="110" t="s">
        <v>21</v>
      </c>
      <c r="F144" s="110" t="s">
        <v>63</v>
      </c>
      <c r="G144" s="110" t="s">
        <v>27</v>
      </c>
      <c r="H144" s="110" t="s">
        <v>290</v>
      </c>
      <c r="I144" s="110"/>
      <c r="J144" s="111" t="str">
        <f>IF(E144="Invalid_Segment","Invalid",IFERROR(INDEX(Severity_Matrix!$C$3:$M$10,MATCH('Error Log'!$F144,Severity_Matrix!$B$3:$B$10,0),MATCH('Error Log'!$G144,Severity_Matrix!$C$2:$M$2,0)),"No errors"))</f>
        <v>Critical</v>
      </c>
    </row>
    <row r="145" spans="1:10" s="112" customFormat="1">
      <c r="A145" s="107" t="s">
        <v>291</v>
      </c>
      <c r="B145" s="108">
        <v>3</v>
      </c>
      <c r="C145" s="109" t="s">
        <v>288</v>
      </c>
      <c r="D145" s="109" t="s">
        <v>289</v>
      </c>
      <c r="E145" s="110" t="s">
        <v>21</v>
      </c>
      <c r="F145" s="110" t="s">
        <v>22</v>
      </c>
      <c r="G145" s="110" t="s">
        <v>57</v>
      </c>
      <c r="H145" s="110" t="s">
        <v>735</v>
      </c>
      <c r="I145" s="110"/>
      <c r="J145" s="111" t="str">
        <f>IF(E145="Invalid_Segment","Invalid",IFERROR(INDEX(Severity_Matrix!$C$3:$M$10,MATCH('Error Log'!$F145,Severity_Matrix!$B$3:$B$10,0),MATCH('Error Log'!$G145,Severity_Matrix!$C$2:$M$2,0)),"No errors"))</f>
        <v>Major</v>
      </c>
    </row>
    <row r="146" spans="1:10" s="112" customFormat="1">
      <c r="A146" s="107" t="s">
        <v>291</v>
      </c>
      <c r="B146" s="108">
        <v>4</v>
      </c>
      <c r="C146" s="109" t="s">
        <v>288</v>
      </c>
      <c r="D146" s="109" t="s">
        <v>289</v>
      </c>
      <c r="E146" s="110" t="s">
        <v>21</v>
      </c>
      <c r="F146" s="110" t="s">
        <v>63</v>
      </c>
      <c r="G146" s="110" t="s">
        <v>27</v>
      </c>
      <c r="H146" s="110" t="s">
        <v>292</v>
      </c>
      <c r="I146" s="110"/>
      <c r="J146" s="111" t="str">
        <f>IF(E146="Invalid_Segment","Invalid",IFERROR(INDEX(Severity_Matrix!$C$3:$M$10,MATCH('Error Log'!$F146,Severity_Matrix!$B$3:$B$10,0),MATCH('Error Log'!$G146,Severity_Matrix!$C$2:$M$2,0)),"No errors"))</f>
        <v>Critical</v>
      </c>
    </row>
    <row r="147" spans="1:10" s="112" customFormat="1">
      <c r="A147" s="107" t="s">
        <v>291</v>
      </c>
      <c r="B147" s="108">
        <v>5</v>
      </c>
      <c r="C147" s="109" t="s">
        <v>288</v>
      </c>
      <c r="D147" s="109" t="s">
        <v>289</v>
      </c>
      <c r="E147" s="110" t="s">
        <v>21</v>
      </c>
      <c r="F147" s="110" t="s">
        <v>63</v>
      </c>
      <c r="G147" s="110" t="s">
        <v>27</v>
      </c>
      <c r="H147" s="110" t="s">
        <v>293</v>
      </c>
      <c r="I147" s="110"/>
      <c r="J147" s="111" t="str">
        <f>IF(E147="Invalid_Segment","Invalid",IFERROR(INDEX(Severity_Matrix!$C$3:$M$10,MATCH('Error Log'!$F147,Severity_Matrix!$B$3:$B$10,0),MATCH('Error Log'!$G147,Severity_Matrix!$C$2:$M$2,0)),"No errors"))</f>
        <v>Critical</v>
      </c>
    </row>
    <row r="148" spans="1:10" s="112" customFormat="1">
      <c r="A148" s="107" t="s">
        <v>291</v>
      </c>
      <c r="B148" s="108">
        <v>6</v>
      </c>
      <c r="C148" s="109" t="s">
        <v>288</v>
      </c>
      <c r="D148" s="109" t="s">
        <v>289</v>
      </c>
      <c r="E148" s="110" t="s">
        <v>21</v>
      </c>
      <c r="F148" s="110" t="s">
        <v>63</v>
      </c>
      <c r="G148" s="110" t="s">
        <v>29</v>
      </c>
      <c r="H148" s="110">
        <v>35</v>
      </c>
      <c r="I148" s="110"/>
      <c r="J148" s="111" t="str">
        <f>IF(E148="Invalid_Segment","Invalid",IFERROR(INDEX(Severity_Matrix!$C$3:$M$10,MATCH('Error Log'!$F148,Severity_Matrix!$B$3:$B$10,0),MATCH('Error Log'!$G148,Severity_Matrix!$C$2:$M$2,0)),"No errors"))</f>
        <v>Critical</v>
      </c>
    </row>
    <row r="149" spans="1:10" s="112" customFormat="1">
      <c r="A149" s="107" t="s">
        <v>291</v>
      </c>
      <c r="B149" s="108">
        <v>7</v>
      </c>
      <c r="C149" s="109" t="s">
        <v>288</v>
      </c>
      <c r="D149" s="109" t="s">
        <v>289</v>
      </c>
      <c r="E149" s="110" t="s">
        <v>21</v>
      </c>
      <c r="F149" s="110" t="s">
        <v>63</v>
      </c>
      <c r="G149" s="110" t="s">
        <v>58</v>
      </c>
      <c r="H149" s="110" t="s">
        <v>702</v>
      </c>
      <c r="I149" s="110"/>
      <c r="J149" s="111" t="str">
        <f>IF(E149="Invalid_Segment","Invalid",IFERROR(INDEX(Severity_Matrix!$C$3:$M$10,MATCH('Error Log'!$F149,Severity_Matrix!$B$3:$B$10,0),MATCH('Error Log'!$G149,Severity_Matrix!$C$2:$M$2,0)),"No errors"))</f>
        <v>Minor</v>
      </c>
    </row>
    <row r="150" spans="1:10" s="112" customFormat="1">
      <c r="A150" s="107" t="s">
        <v>291</v>
      </c>
      <c r="B150" s="108">
        <v>8</v>
      </c>
      <c r="C150" s="109" t="s">
        <v>288</v>
      </c>
      <c r="D150" s="109" t="s">
        <v>289</v>
      </c>
      <c r="E150" s="110" t="s">
        <v>21</v>
      </c>
      <c r="F150" s="110" t="s">
        <v>63</v>
      </c>
      <c r="G150" s="110" t="s">
        <v>27</v>
      </c>
      <c r="H150" s="110" t="s">
        <v>290</v>
      </c>
      <c r="I150" s="110"/>
      <c r="J150" s="111" t="str">
        <f>IF(E150="Invalid_Segment","Invalid",IFERROR(INDEX(Severity_Matrix!$C$3:$M$10,MATCH('Error Log'!$F150,Severity_Matrix!$B$3:$B$10,0),MATCH('Error Log'!$G150,Severity_Matrix!$C$2:$M$2,0)),"No errors"))</f>
        <v>Critical</v>
      </c>
    </row>
    <row r="151" spans="1:10" s="112" customFormat="1">
      <c r="A151" s="107" t="s">
        <v>291</v>
      </c>
      <c r="B151" s="108">
        <v>9</v>
      </c>
      <c r="C151" s="109" t="s">
        <v>288</v>
      </c>
      <c r="D151" s="109" t="s">
        <v>289</v>
      </c>
      <c r="E151" s="110" t="s">
        <v>21</v>
      </c>
      <c r="F151" s="110" t="s">
        <v>22</v>
      </c>
      <c r="G151" s="110" t="s">
        <v>57</v>
      </c>
      <c r="H151" s="110" t="s">
        <v>736</v>
      </c>
      <c r="I151" s="110"/>
      <c r="J151" s="111" t="str">
        <f>IF(E151="Invalid_Segment","Invalid",IFERROR(INDEX(Severity_Matrix!$C$3:$M$10,MATCH('Error Log'!$F151,Severity_Matrix!$B$3:$B$10,0),MATCH('Error Log'!$G151,Severity_Matrix!$C$2:$M$2,0)),"No errors"))</f>
        <v>Major</v>
      </c>
    </row>
    <row r="152" spans="1:10" s="112" customFormat="1">
      <c r="A152" s="107" t="s">
        <v>291</v>
      </c>
      <c r="B152" s="108">
        <v>10</v>
      </c>
      <c r="C152" s="109" t="s">
        <v>288</v>
      </c>
      <c r="D152" s="109" t="s">
        <v>289</v>
      </c>
      <c r="E152" s="110" t="s">
        <v>21</v>
      </c>
      <c r="F152" s="110" t="s">
        <v>7</v>
      </c>
      <c r="G152" s="110" t="s">
        <v>57</v>
      </c>
      <c r="H152" s="110" t="s">
        <v>294</v>
      </c>
      <c r="I152" s="110"/>
      <c r="J152" s="111" t="str">
        <f>IF(E152="Invalid_Segment","Invalid",IFERROR(INDEX(Severity_Matrix!$C$3:$M$10,MATCH('Error Log'!$F152,Severity_Matrix!$B$3:$B$10,0),MATCH('Error Log'!$G152,Severity_Matrix!$C$2:$M$2,0)),"No errors"))</f>
        <v>Critical</v>
      </c>
    </row>
    <row r="153" spans="1:10" s="112" customFormat="1">
      <c r="A153" s="107" t="s">
        <v>291</v>
      </c>
      <c r="B153" s="108">
        <v>11</v>
      </c>
      <c r="C153" s="109" t="s">
        <v>288</v>
      </c>
      <c r="D153" s="109" t="s">
        <v>289</v>
      </c>
      <c r="E153" s="110" t="s">
        <v>21</v>
      </c>
      <c r="F153" s="110" t="s">
        <v>7</v>
      </c>
      <c r="G153" s="110" t="s">
        <v>57</v>
      </c>
      <c r="H153" s="110" t="s">
        <v>295</v>
      </c>
      <c r="I153" s="110"/>
      <c r="J153" s="111" t="str">
        <f>IF(E153="Invalid_Segment","Invalid",IFERROR(INDEX(Severity_Matrix!$C$3:$M$10,MATCH('Error Log'!$F153,Severity_Matrix!$B$3:$B$10,0),MATCH('Error Log'!$G153,Severity_Matrix!$C$2:$M$2,0)),"No errors"))</f>
        <v>Critical</v>
      </c>
    </row>
    <row r="154" spans="1:10" s="112" customFormat="1" ht="14.4">
      <c r="A154" s="113" t="s">
        <v>296</v>
      </c>
      <c r="B154" s="108">
        <v>1</v>
      </c>
      <c r="C154" s="114" t="s">
        <v>297</v>
      </c>
      <c r="D154" s="113" t="s">
        <v>298</v>
      </c>
      <c r="E154" s="110" t="s">
        <v>21</v>
      </c>
      <c r="F154" s="110" t="s">
        <v>22</v>
      </c>
      <c r="G154" s="110" t="s">
        <v>57</v>
      </c>
      <c r="H154" s="115" t="s">
        <v>299</v>
      </c>
      <c r="I154" s="110"/>
      <c r="J154" s="111" t="str">
        <f>IF(E154="Invalid_Segment","Invalid",IFERROR(INDEX(Severity_Matrix!$C$3:$M$10,MATCH('Error Log'!$F154,Severity_Matrix!$B$3:$B$10,0),MATCH('Error Log'!$G154,Severity_Matrix!$C$2:$M$2,0)),"No errors"))</f>
        <v>Major</v>
      </c>
    </row>
    <row r="155" spans="1:10" s="112" customFormat="1" ht="14.4">
      <c r="A155" s="113" t="s">
        <v>296</v>
      </c>
      <c r="B155" s="108">
        <v>2</v>
      </c>
      <c r="C155" s="114" t="s">
        <v>297</v>
      </c>
      <c r="D155" s="113" t="s">
        <v>298</v>
      </c>
      <c r="E155" s="110" t="s">
        <v>21</v>
      </c>
      <c r="F155" s="110" t="s">
        <v>7</v>
      </c>
      <c r="G155" s="110" t="s">
        <v>57</v>
      </c>
      <c r="H155" s="115" t="s">
        <v>300</v>
      </c>
      <c r="I155" s="110"/>
      <c r="J155" s="111" t="str">
        <f>IF(E155="Invalid_Segment","Invalid",IFERROR(INDEX(Severity_Matrix!$C$3:$M$10,MATCH('Error Log'!$F155,Severity_Matrix!$B$3:$B$10,0),MATCH('Error Log'!$G155,Severity_Matrix!$C$2:$M$2,0)),"No errors"))</f>
        <v>Critical</v>
      </c>
    </row>
    <row r="156" spans="1:10" s="112" customFormat="1" ht="14.4">
      <c r="A156" s="113" t="s">
        <v>301</v>
      </c>
      <c r="B156" s="108">
        <v>3</v>
      </c>
      <c r="C156" s="114" t="s">
        <v>297</v>
      </c>
      <c r="D156" s="113" t="s">
        <v>298</v>
      </c>
      <c r="E156" s="110" t="s">
        <v>21</v>
      </c>
      <c r="F156" s="110" t="s">
        <v>7</v>
      </c>
      <c r="G156" s="110" t="s">
        <v>57</v>
      </c>
      <c r="H156" s="110" t="s">
        <v>302</v>
      </c>
      <c r="I156" s="110"/>
      <c r="J156" s="111" t="str">
        <f>IF(E156="Invalid_Segment","Invalid",IFERROR(INDEX(Severity_Matrix!$C$3:$M$10,MATCH('Error Log'!$F156,Severity_Matrix!$B$3:$B$10,0),MATCH('Error Log'!$G156,Severity_Matrix!$C$2:$M$2,0)),"No errors"))</f>
        <v>Critical</v>
      </c>
    </row>
    <row r="157" spans="1:10" ht="14.4">
      <c r="A157" s="78" t="s">
        <v>303</v>
      </c>
      <c r="B157" s="18">
        <v>1</v>
      </c>
      <c r="C157" s="80" t="s">
        <v>304</v>
      </c>
      <c r="D157" s="78" t="s">
        <v>305</v>
      </c>
      <c r="E157" s="81" t="s">
        <v>21</v>
      </c>
      <c r="F157" s="81" t="s">
        <v>22</v>
      </c>
      <c r="G157" s="81" t="s">
        <v>57</v>
      </c>
      <c r="H157" s="81" t="s">
        <v>306</v>
      </c>
      <c r="I157" s="81"/>
      <c r="J157" s="15" t="str">
        <f>IF(E157="Invalid_Segment","Invalid",IFERROR(INDEX(Severity_Matrix!$C$3:$M$10,MATCH('Error Log'!$F157,Severity_Matrix!$B$3:$B$10,0),MATCH('Error Log'!$G157,Severity_Matrix!$C$2:$M$2,0)),"No errors"))</f>
        <v>Major</v>
      </c>
    </row>
    <row r="158" spans="1:10" ht="14.4">
      <c r="A158" s="78" t="s">
        <v>303</v>
      </c>
      <c r="B158" s="18">
        <v>2</v>
      </c>
      <c r="C158" s="80" t="s">
        <v>304</v>
      </c>
      <c r="D158" s="78" t="s">
        <v>305</v>
      </c>
      <c r="E158" s="81" t="s">
        <v>21</v>
      </c>
      <c r="F158" s="81" t="s">
        <v>7</v>
      </c>
      <c r="G158" s="81" t="s">
        <v>57</v>
      </c>
      <c r="H158" s="81" t="s">
        <v>307</v>
      </c>
      <c r="I158" s="81"/>
      <c r="J158" s="15" t="str">
        <f>IF(E158="Invalid_Segment","Invalid",IFERROR(INDEX(Severity_Matrix!$C$3:$M$10,MATCH('Error Log'!$F158,Severity_Matrix!$B$3:$B$10,0),MATCH('Error Log'!$G158,Severity_Matrix!$C$2:$M$2,0)),"No errors"))</f>
        <v>Critical</v>
      </c>
    </row>
    <row r="159" spans="1:10" ht="14.4">
      <c r="A159" s="78" t="s">
        <v>303</v>
      </c>
      <c r="B159" s="18">
        <v>3</v>
      </c>
      <c r="C159" s="80" t="s">
        <v>304</v>
      </c>
      <c r="D159" s="78" t="s">
        <v>305</v>
      </c>
      <c r="E159" s="81" t="s">
        <v>21</v>
      </c>
      <c r="F159" s="81" t="s">
        <v>7</v>
      </c>
      <c r="G159" s="81" t="s">
        <v>57</v>
      </c>
      <c r="H159" s="81" t="s">
        <v>308</v>
      </c>
      <c r="I159" s="81"/>
      <c r="J159" s="15" t="str">
        <f>IF(E159="Invalid_Segment","Invalid",IFERROR(INDEX(Severity_Matrix!$C$3:$M$10,MATCH('Error Log'!$F159,Severity_Matrix!$B$3:$B$10,0),MATCH('Error Log'!$G159,Severity_Matrix!$C$2:$M$2,0)),"No errors"))</f>
        <v>Critical</v>
      </c>
    </row>
    <row r="160" spans="1:10" s="112" customFormat="1" ht="14.4">
      <c r="A160" s="113" t="s">
        <v>309</v>
      </c>
      <c r="B160" s="108">
        <v>1</v>
      </c>
      <c r="C160" s="114" t="s">
        <v>310</v>
      </c>
      <c r="D160" s="113" t="s">
        <v>311</v>
      </c>
      <c r="E160" s="110" t="s">
        <v>21</v>
      </c>
      <c r="F160" s="110" t="s">
        <v>22</v>
      </c>
      <c r="G160" s="110" t="s">
        <v>57</v>
      </c>
      <c r="H160" s="110" t="s">
        <v>312</v>
      </c>
      <c r="I160" s="110"/>
      <c r="J160" s="111" t="str">
        <f>IF(E160="Invalid_Segment","Invalid",IFERROR(INDEX(Severity_Matrix!$C$3:$M$10,MATCH('Error Log'!$F160,Severity_Matrix!$B$3:$B$10,0),MATCH('Error Log'!$G160,Severity_Matrix!$C$2:$M$2,0)),"No errors"))</f>
        <v>Major</v>
      </c>
    </row>
    <row r="161" spans="1:10" s="112" customFormat="1" ht="14.4">
      <c r="A161" s="113" t="s">
        <v>309</v>
      </c>
      <c r="B161" s="108">
        <v>2</v>
      </c>
      <c r="C161" s="114" t="s">
        <v>310</v>
      </c>
      <c r="D161" s="113" t="s">
        <v>311</v>
      </c>
      <c r="E161" s="110" t="s">
        <v>21</v>
      </c>
      <c r="F161" s="110" t="s">
        <v>22</v>
      </c>
      <c r="G161" s="110" t="s">
        <v>57</v>
      </c>
      <c r="H161" s="110" t="s">
        <v>313</v>
      </c>
      <c r="I161" s="110"/>
      <c r="J161" s="111" t="str">
        <f>IF(E161="Invalid_Segment","Invalid",IFERROR(INDEX(Severity_Matrix!$C$3:$M$10,MATCH('Error Log'!$F161,Severity_Matrix!$B$3:$B$10,0),MATCH('Error Log'!$G161,Severity_Matrix!$C$2:$M$2,0)),"No errors"))</f>
        <v>Major</v>
      </c>
    </row>
    <row r="162" spans="1:10" s="112" customFormat="1" ht="14.4">
      <c r="A162" s="113" t="s">
        <v>314</v>
      </c>
      <c r="B162" s="108">
        <v>3</v>
      </c>
      <c r="C162" s="114" t="s">
        <v>310</v>
      </c>
      <c r="D162" s="113" t="s">
        <v>311</v>
      </c>
      <c r="E162" s="110" t="s">
        <v>21</v>
      </c>
      <c r="F162" s="110" t="s">
        <v>22</v>
      </c>
      <c r="G162" s="110" t="s">
        <v>57</v>
      </c>
      <c r="H162" s="110" t="s">
        <v>315</v>
      </c>
      <c r="I162" s="110"/>
      <c r="J162" s="111" t="str">
        <f>IF(E162="Invalid_Segment","Invalid",IFERROR(INDEX(Severity_Matrix!$C$3:$M$10,MATCH('Error Log'!$F162,Severity_Matrix!$B$3:$B$10,0),MATCH('Error Log'!$G162,Severity_Matrix!$C$2:$M$2,0)),"No errors"))</f>
        <v>Major</v>
      </c>
    </row>
    <row r="163" spans="1:10" s="112" customFormat="1" ht="14.4">
      <c r="A163" s="113" t="s">
        <v>314</v>
      </c>
      <c r="B163" s="108">
        <v>4</v>
      </c>
      <c r="C163" s="114" t="s">
        <v>310</v>
      </c>
      <c r="D163" s="113" t="s">
        <v>311</v>
      </c>
      <c r="E163" s="110" t="s">
        <v>21</v>
      </c>
      <c r="F163" s="110" t="s">
        <v>7</v>
      </c>
      <c r="G163" s="110" t="s">
        <v>57</v>
      </c>
      <c r="H163" s="110" t="s">
        <v>316</v>
      </c>
      <c r="I163" s="110"/>
      <c r="J163" s="111" t="str">
        <f>IF(E163="Invalid_Segment","Invalid",IFERROR(INDEX(Severity_Matrix!$C$3:$M$10,MATCH('Error Log'!$F163,Severity_Matrix!$B$3:$B$10,0),MATCH('Error Log'!$G163,Severity_Matrix!$C$2:$M$2,0)),"No errors"))</f>
        <v>Critical</v>
      </c>
    </row>
    <row r="164" spans="1:10" s="112" customFormat="1" ht="14.4">
      <c r="A164" s="113" t="s">
        <v>314</v>
      </c>
      <c r="B164" s="108">
        <v>5</v>
      </c>
      <c r="C164" s="114" t="s">
        <v>310</v>
      </c>
      <c r="D164" s="113" t="s">
        <v>311</v>
      </c>
      <c r="E164" s="110" t="s">
        <v>21</v>
      </c>
      <c r="F164" s="110" t="s">
        <v>7</v>
      </c>
      <c r="G164" s="110" t="s">
        <v>57</v>
      </c>
      <c r="H164" s="110" t="s">
        <v>317</v>
      </c>
      <c r="I164" s="110"/>
      <c r="J164" s="111" t="str">
        <f>IF(E164="Invalid_Segment","Invalid",IFERROR(INDEX(Severity_Matrix!$C$3:$M$10,MATCH('Error Log'!$F164,Severity_Matrix!$B$3:$B$10,0),MATCH('Error Log'!$G164,Severity_Matrix!$C$2:$M$2,0)),"No errors"))</f>
        <v>Critical</v>
      </c>
    </row>
    <row r="165" spans="1:10" s="112" customFormat="1" ht="14.4">
      <c r="A165" s="113" t="s">
        <v>314</v>
      </c>
      <c r="B165" s="108">
        <v>6</v>
      </c>
      <c r="C165" s="114" t="s">
        <v>310</v>
      </c>
      <c r="D165" s="113" t="s">
        <v>311</v>
      </c>
      <c r="E165" s="110" t="s">
        <v>21</v>
      </c>
      <c r="F165" s="110" t="s">
        <v>7</v>
      </c>
      <c r="G165" s="110" t="s">
        <v>57</v>
      </c>
      <c r="H165" s="110" t="s">
        <v>318</v>
      </c>
      <c r="I165" s="110"/>
      <c r="J165" s="111" t="str">
        <f>IF(E165="Invalid_Segment","Invalid",IFERROR(INDEX(Severity_Matrix!$C$3:$M$10,MATCH('Error Log'!$F165,Severity_Matrix!$B$3:$B$10,0),MATCH('Error Log'!$G165,Severity_Matrix!$C$2:$M$2,0)),"No errors"))</f>
        <v>Critical</v>
      </c>
    </row>
    <row r="166" spans="1:10" ht="14.4">
      <c r="A166" s="78" t="s">
        <v>319</v>
      </c>
      <c r="B166" s="18">
        <v>1</v>
      </c>
      <c r="C166" s="80" t="s">
        <v>320</v>
      </c>
      <c r="D166" s="78" t="s">
        <v>321</v>
      </c>
      <c r="E166" s="81" t="s">
        <v>21</v>
      </c>
      <c r="F166" s="81" t="s">
        <v>7</v>
      </c>
      <c r="G166" s="81" t="s">
        <v>57</v>
      </c>
      <c r="H166" s="81" t="s">
        <v>322</v>
      </c>
      <c r="I166" s="81"/>
      <c r="J166" s="15" t="str">
        <f>IF(E166="Invalid_Segment","Invalid",IFERROR(INDEX(Severity_Matrix!$C$3:$M$10,MATCH('Error Log'!$F166,Severity_Matrix!$B$3:$B$10,0),MATCH('Error Log'!$G166,Severity_Matrix!$C$2:$M$2,0)),"No errors"))</f>
        <v>Critical</v>
      </c>
    </row>
    <row r="167" spans="1:10">
      <c r="A167" s="78" t="s">
        <v>323</v>
      </c>
      <c r="B167" s="18">
        <v>1</v>
      </c>
      <c r="C167" s="78" t="s">
        <v>324</v>
      </c>
      <c r="D167" s="78" t="s">
        <v>325</v>
      </c>
      <c r="E167" s="81" t="s">
        <v>21</v>
      </c>
      <c r="F167" s="81" t="s">
        <v>7</v>
      </c>
      <c r="G167" s="81" t="s">
        <v>57</v>
      </c>
      <c r="H167" s="81" t="s">
        <v>326</v>
      </c>
      <c r="I167" s="81"/>
      <c r="J167" s="15" t="str">
        <f>IF(E167="Invalid_Segment","Invalid",IFERROR(INDEX(Severity_Matrix!$C$3:$M$10,MATCH('Error Log'!$F167,Severity_Matrix!$B$3:$B$10,0),MATCH('Error Log'!$G167,Severity_Matrix!$C$2:$M$2,0)),"No errors"))</f>
        <v>Critical</v>
      </c>
    </row>
    <row r="168" spans="1:10">
      <c r="A168" s="78" t="s">
        <v>323</v>
      </c>
      <c r="B168" s="18">
        <v>2</v>
      </c>
      <c r="C168" s="78" t="s">
        <v>324</v>
      </c>
      <c r="D168" s="78" t="s">
        <v>325</v>
      </c>
      <c r="E168" s="81" t="s">
        <v>21</v>
      </c>
      <c r="F168" s="81" t="s">
        <v>7</v>
      </c>
      <c r="G168" s="81" t="s">
        <v>57</v>
      </c>
      <c r="H168" s="81" t="s">
        <v>327</v>
      </c>
      <c r="I168" s="81"/>
      <c r="J168" s="15" t="str">
        <f>IF(E168="Invalid_Segment","Invalid",IFERROR(INDEX(Severity_Matrix!$C$3:$M$10,MATCH('Error Log'!$F168,Severity_Matrix!$B$3:$B$10,0),MATCH('Error Log'!$G168,Severity_Matrix!$C$2:$M$2,0)),"No errors"))</f>
        <v>Critical</v>
      </c>
    </row>
    <row r="169" spans="1:10">
      <c r="A169" s="78" t="s">
        <v>328</v>
      </c>
      <c r="B169" s="18">
        <v>1</v>
      </c>
      <c r="C169" s="78" t="s">
        <v>329</v>
      </c>
      <c r="D169" s="78" t="s">
        <v>330</v>
      </c>
      <c r="E169" s="81" t="s">
        <v>21</v>
      </c>
      <c r="F169" s="81" t="s">
        <v>22</v>
      </c>
      <c r="G169" s="81" t="s">
        <v>57</v>
      </c>
      <c r="H169" s="81" t="s">
        <v>331</v>
      </c>
      <c r="I169" s="81"/>
      <c r="J169" s="15" t="str">
        <f>IF(E169="Invalid_Segment","Invalid",IFERROR(INDEX(Severity_Matrix!$C$3:$M$10,MATCH('Error Log'!$F169,Severity_Matrix!$B$3:$B$10,0),MATCH('Error Log'!$G169,Severity_Matrix!$C$2:$M$2,0)),"No errors"))</f>
        <v>Major</v>
      </c>
    </row>
    <row r="170" spans="1:10">
      <c r="A170" s="78" t="s">
        <v>328</v>
      </c>
      <c r="B170" s="18">
        <v>2</v>
      </c>
      <c r="C170" s="78" t="s">
        <v>329</v>
      </c>
      <c r="D170" s="78" t="s">
        <v>330</v>
      </c>
      <c r="E170" s="81" t="s">
        <v>21</v>
      </c>
      <c r="F170" s="81" t="s">
        <v>7</v>
      </c>
      <c r="G170" s="81" t="s">
        <v>57</v>
      </c>
      <c r="H170" s="81" t="s">
        <v>332</v>
      </c>
      <c r="I170" s="81"/>
      <c r="J170" s="15" t="str">
        <f>IF(E170="Invalid_Segment","Invalid",IFERROR(INDEX(Severity_Matrix!$C$3:$M$10,MATCH('Error Log'!$F170,Severity_Matrix!$B$3:$B$10,0),MATCH('Error Log'!$G170,Severity_Matrix!$C$2:$M$2,0)),"No errors"))</f>
        <v>Critical</v>
      </c>
    </row>
    <row r="171" spans="1:10">
      <c r="A171" s="78" t="s">
        <v>333</v>
      </c>
      <c r="B171" s="18">
        <v>3</v>
      </c>
      <c r="C171" s="78" t="s">
        <v>329</v>
      </c>
      <c r="D171" s="78" t="s">
        <v>330</v>
      </c>
      <c r="E171" s="81" t="s">
        <v>21</v>
      </c>
      <c r="F171" s="81" t="s">
        <v>7</v>
      </c>
      <c r="G171" s="81" t="s">
        <v>57</v>
      </c>
      <c r="H171" s="81" t="s">
        <v>334</v>
      </c>
      <c r="I171" s="81"/>
      <c r="J171" s="15" t="str">
        <f>IF(E171="Invalid_Segment","Invalid",IFERROR(INDEX(Severity_Matrix!$C$3:$M$10,MATCH('Error Log'!$F171,Severity_Matrix!$B$3:$B$10,0),MATCH('Error Log'!$G171,Severity_Matrix!$C$2:$M$2,0)),"No errors"))</f>
        <v>Critical</v>
      </c>
    </row>
    <row r="172" spans="1:10">
      <c r="A172" s="78" t="s">
        <v>335</v>
      </c>
      <c r="B172" s="18">
        <v>1</v>
      </c>
      <c r="C172" s="78" t="s">
        <v>336</v>
      </c>
      <c r="D172" s="78" t="s">
        <v>337</v>
      </c>
      <c r="E172" s="81" t="s">
        <v>21</v>
      </c>
      <c r="F172" s="81" t="s">
        <v>7</v>
      </c>
      <c r="G172" s="81" t="s">
        <v>57</v>
      </c>
      <c r="H172" s="81" t="s">
        <v>338</v>
      </c>
      <c r="I172" s="81"/>
      <c r="J172" s="15" t="str">
        <f>IF(E172="Invalid_Segment","Invalid",IFERROR(INDEX(Severity_Matrix!$C$3:$M$10,MATCH('Error Log'!$F172,Severity_Matrix!$B$3:$B$10,0),MATCH('Error Log'!$G172,Severity_Matrix!$C$2:$M$2,0)),"No errors"))</f>
        <v>Critical</v>
      </c>
    </row>
    <row r="173" spans="1:10">
      <c r="A173" s="78" t="s">
        <v>335</v>
      </c>
      <c r="B173" s="18">
        <v>2</v>
      </c>
      <c r="C173" s="78" t="s">
        <v>336</v>
      </c>
      <c r="D173" s="78" t="s">
        <v>337</v>
      </c>
      <c r="E173" s="81" t="s">
        <v>21</v>
      </c>
      <c r="F173" s="81" t="s">
        <v>7</v>
      </c>
      <c r="G173" s="81" t="s">
        <v>57</v>
      </c>
      <c r="H173" s="81" t="s">
        <v>339</v>
      </c>
      <c r="I173" s="81"/>
      <c r="J173" s="15" t="str">
        <f>IF(E173="Invalid_Segment","Invalid",IFERROR(INDEX(Severity_Matrix!$C$3:$M$10,MATCH('Error Log'!$F173,Severity_Matrix!$B$3:$B$10,0),MATCH('Error Log'!$G173,Severity_Matrix!$C$2:$M$2,0)),"No errors"))</f>
        <v>Critical</v>
      </c>
    </row>
    <row r="174" spans="1:10">
      <c r="A174" s="78" t="s">
        <v>340</v>
      </c>
      <c r="B174" s="18">
        <v>1</v>
      </c>
      <c r="C174" s="78" t="s">
        <v>341</v>
      </c>
      <c r="D174" s="78" t="s">
        <v>342</v>
      </c>
      <c r="E174" s="81"/>
      <c r="F174" s="81"/>
      <c r="G174" s="81"/>
      <c r="H174" s="81"/>
      <c r="I174" s="81"/>
      <c r="J174" s="15" t="str">
        <f>IF(E174="Invalid_Segment","Invalid",IFERROR(INDEX(Severity_Matrix!$C$3:$M$10,MATCH('Error Log'!$F174,Severity_Matrix!$B$3:$B$10,0),MATCH('Error Log'!$G174,Severity_Matrix!$C$2:$M$2,0)),"No errors"))</f>
        <v>No errors</v>
      </c>
    </row>
    <row r="175" spans="1:10">
      <c r="A175" s="78" t="s">
        <v>343</v>
      </c>
      <c r="B175" s="18">
        <v>1</v>
      </c>
      <c r="C175" s="78" t="s">
        <v>344</v>
      </c>
      <c r="D175" s="78" t="s">
        <v>345</v>
      </c>
      <c r="E175" s="81" t="s">
        <v>21</v>
      </c>
      <c r="F175" s="81" t="s">
        <v>22</v>
      </c>
      <c r="G175" s="81" t="s">
        <v>57</v>
      </c>
      <c r="H175" s="81" t="s">
        <v>346</v>
      </c>
      <c r="I175" s="81"/>
      <c r="J175" s="15" t="str">
        <f>IF(E175="Invalid_Segment","Invalid",IFERROR(INDEX(Severity_Matrix!$C$3:$M$10,MATCH('Error Log'!$F175,Severity_Matrix!$B$3:$B$10,0),MATCH('Error Log'!$G175,Severity_Matrix!$C$2:$M$2,0)),"No errors"))</f>
        <v>Major</v>
      </c>
    </row>
    <row r="176" spans="1:10">
      <c r="A176" s="78" t="s">
        <v>347</v>
      </c>
      <c r="B176" s="18">
        <v>1</v>
      </c>
      <c r="C176" s="78" t="s">
        <v>348</v>
      </c>
      <c r="D176" s="78" t="s">
        <v>349</v>
      </c>
      <c r="E176" s="81"/>
      <c r="F176" s="81"/>
      <c r="G176" s="81"/>
      <c r="H176" s="81"/>
      <c r="I176" s="81"/>
      <c r="J176" s="15" t="str">
        <f>IF(E176="Invalid_Segment","Invalid",IFERROR(INDEX(Severity_Matrix!$C$3:$M$10,MATCH('Error Log'!$F176,Severity_Matrix!$B$3:$B$10,0),MATCH('Error Log'!$G176,Severity_Matrix!$C$2:$M$2,0)),"No errors"))</f>
        <v>No errors</v>
      </c>
    </row>
    <row r="177" spans="1:10">
      <c r="A177" s="79" t="s">
        <v>350</v>
      </c>
      <c r="B177" s="18">
        <v>1</v>
      </c>
      <c r="C177" s="83" t="s">
        <v>351</v>
      </c>
      <c r="D177" s="83" t="s">
        <v>352</v>
      </c>
      <c r="E177" s="81" t="s">
        <v>21</v>
      </c>
      <c r="F177" s="81" t="s">
        <v>63</v>
      </c>
      <c r="G177" s="81" t="s">
        <v>54</v>
      </c>
      <c r="H177" s="81" t="s">
        <v>353</v>
      </c>
      <c r="I177" s="81"/>
      <c r="J177" s="15" t="str">
        <f>IF(E177="Invalid_Segment","Invalid",IFERROR(INDEX(Severity_Matrix!$C$3:$M$10,MATCH('Error Log'!$F177,Severity_Matrix!$B$3:$B$10,0),MATCH('Error Log'!$G177,Severity_Matrix!$C$2:$M$2,0)),"No errors"))</f>
        <v>Critical</v>
      </c>
    </row>
    <row r="178" spans="1:10">
      <c r="A178" s="79" t="s">
        <v>350</v>
      </c>
      <c r="B178" s="18">
        <v>2</v>
      </c>
      <c r="C178" s="83" t="s">
        <v>351</v>
      </c>
      <c r="D178" s="83" t="s">
        <v>352</v>
      </c>
      <c r="E178" s="81" t="s">
        <v>21</v>
      </c>
      <c r="F178" s="81" t="s">
        <v>22</v>
      </c>
      <c r="G178" s="81" t="s">
        <v>57</v>
      </c>
      <c r="H178" s="81" t="s">
        <v>354</v>
      </c>
      <c r="I178" s="81"/>
      <c r="J178" s="15" t="str">
        <f>IF(E178="Invalid_Segment","Invalid",IFERROR(INDEX(Severity_Matrix!$C$3:$M$10,MATCH('Error Log'!$F178,Severity_Matrix!$B$3:$B$10,0),MATCH('Error Log'!$G178,Severity_Matrix!$C$2:$M$2,0)),"No errors"))</f>
        <v>Major</v>
      </c>
    </row>
    <row r="179" spans="1:10">
      <c r="A179" s="79" t="s">
        <v>355</v>
      </c>
      <c r="B179" s="18">
        <v>3</v>
      </c>
      <c r="C179" s="83" t="s">
        <v>351</v>
      </c>
      <c r="D179" s="83" t="s">
        <v>352</v>
      </c>
      <c r="E179" s="81" t="s">
        <v>21</v>
      </c>
      <c r="F179" s="81" t="s">
        <v>7</v>
      </c>
      <c r="G179" s="81" t="s">
        <v>57</v>
      </c>
      <c r="H179" s="81" t="s">
        <v>356</v>
      </c>
      <c r="I179" s="81"/>
      <c r="J179" s="15" t="str">
        <f>IF(E179="Invalid_Segment","Invalid",IFERROR(INDEX(Severity_Matrix!$C$3:$M$10,MATCH('Error Log'!$F179,Severity_Matrix!$B$3:$B$10,0),MATCH('Error Log'!$G179,Severity_Matrix!$C$2:$M$2,0)),"No errors"))</f>
        <v>Critical</v>
      </c>
    </row>
    <row r="180" spans="1:10">
      <c r="A180" s="79" t="s">
        <v>355</v>
      </c>
      <c r="B180" s="18">
        <v>4</v>
      </c>
      <c r="C180" s="83" t="s">
        <v>351</v>
      </c>
      <c r="D180" s="83" t="s">
        <v>352</v>
      </c>
      <c r="E180" s="81" t="s">
        <v>21</v>
      </c>
      <c r="F180" s="81" t="s">
        <v>7</v>
      </c>
      <c r="G180" s="81" t="s">
        <v>57</v>
      </c>
      <c r="H180" s="81" t="s">
        <v>357</v>
      </c>
      <c r="I180" s="81"/>
      <c r="J180" s="15" t="str">
        <f>IF(E180="Invalid_Segment","Invalid",IFERROR(INDEX(Severity_Matrix!$C$3:$M$10,MATCH('Error Log'!$F180,Severity_Matrix!$B$3:$B$10,0),MATCH('Error Log'!$G180,Severity_Matrix!$C$2:$M$2,0)),"No errors"))</f>
        <v>Critical</v>
      </c>
    </row>
    <row r="181" spans="1:10">
      <c r="A181" s="79" t="s">
        <v>355</v>
      </c>
      <c r="B181" s="18">
        <v>5</v>
      </c>
      <c r="C181" s="83" t="s">
        <v>351</v>
      </c>
      <c r="D181" s="83" t="s">
        <v>352</v>
      </c>
      <c r="E181" s="81" t="s">
        <v>21</v>
      </c>
      <c r="F181" s="81" t="s">
        <v>7</v>
      </c>
      <c r="G181" s="81" t="s">
        <v>57</v>
      </c>
      <c r="H181" s="81" t="s">
        <v>358</v>
      </c>
      <c r="I181" s="81"/>
      <c r="J181" s="15" t="str">
        <f>IF(E181="Invalid_Segment","Invalid",IFERROR(INDEX(Severity_Matrix!$C$3:$M$10,MATCH('Error Log'!$F181,Severity_Matrix!$B$3:$B$10,0),MATCH('Error Log'!$G181,Severity_Matrix!$C$2:$M$2,0)),"No errors"))</f>
        <v>Critical</v>
      </c>
    </row>
    <row r="182" spans="1:10">
      <c r="A182" s="79" t="s">
        <v>355</v>
      </c>
      <c r="B182" s="18">
        <v>6</v>
      </c>
      <c r="C182" s="83" t="s">
        <v>351</v>
      </c>
      <c r="D182" s="83" t="s">
        <v>352</v>
      </c>
      <c r="E182" s="81" t="s">
        <v>21</v>
      </c>
      <c r="F182" s="81" t="s">
        <v>7</v>
      </c>
      <c r="G182" s="81" t="s">
        <v>57</v>
      </c>
      <c r="H182" s="81" t="s">
        <v>359</v>
      </c>
      <c r="I182" s="81"/>
      <c r="J182" s="15" t="str">
        <f>IF(E182="Invalid_Segment","Invalid",IFERROR(INDEX(Severity_Matrix!$C$3:$M$10,MATCH('Error Log'!$F182,Severity_Matrix!$B$3:$B$10,0),MATCH('Error Log'!$G182,Severity_Matrix!$C$2:$M$2,0)),"No errors"))</f>
        <v>Critical</v>
      </c>
    </row>
    <row r="183" spans="1:10">
      <c r="A183" s="79" t="s">
        <v>360</v>
      </c>
      <c r="B183" s="18">
        <v>1</v>
      </c>
      <c r="C183" s="83" t="s">
        <v>361</v>
      </c>
      <c r="D183" s="83" t="s">
        <v>362</v>
      </c>
      <c r="E183" s="81" t="s">
        <v>21</v>
      </c>
      <c r="F183" s="81" t="s">
        <v>22</v>
      </c>
      <c r="G183" s="81" t="s">
        <v>57</v>
      </c>
      <c r="H183" s="81" t="s">
        <v>363</v>
      </c>
      <c r="I183" s="81"/>
      <c r="J183" s="15" t="str">
        <f>IF(E183="Invalid_Segment","Invalid",IFERROR(INDEX(Severity_Matrix!$C$3:$M$10,MATCH('Error Log'!$F183,Severity_Matrix!$B$3:$B$10,0),MATCH('Error Log'!$G183,Severity_Matrix!$C$2:$M$2,0)),"No errors"))</f>
        <v>Major</v>
      </c>
    </row>
    <row r="184" spans="1:10">
      <c r="A184" s="79" t="s">
        <v>360</v>
      </c>
      <c r="B184" s="18">
        <v>2</v>
      </c>
      <c r="C184" s="83" t="s">
        <v>361</v>
      </c>
      <c r="D184" s="83" t="s">
        <v>362</v>
      </c>
      <c r="E184" s="81" t="s">
        <v>21</v>
      </c>
      <c r="F184" s="81" t="s">
        <v>7</v>
      </c>
      <c r="G184" s="81" t="s">
        <v>57</v>
      </c>
      <c r="H184" s="81" t="s">
        <v>364</v>
      </c>
      <c r="I184" s="81"/>
      <c r="J184" s="15" t="str">
        <f>IF(E184="Invalid_Segment","Invalid",IFERROR(INDEX(Severity_Matrix!$C$3:$M$10,MATCH('Error Log'!$F184,Severity_Matrix!$B$3:$B$10,0),MATCH('Error Log'!$G184,Severity_Matrix!$C$2:$M$2,0)),"No errors"))</f>
        <v>Critical</v>
      </c>
    </row>
    <row r="185" spans="1:10">
      <c r="A185" s="79" t="s">
        <v>365</v>
      </c>
      <c r="B185" s="18">
        <v>3</v>
      </c>
      <c r="C185" s="83" t="s">
        <v>361</v>
      </c>
      <c r="D185" s="83" t="s">
        <v>362</v>
      </c>
      <c r="E185" s="81" t="s">
        <v>21</v>
      </c>
      <c r="F185" s="81" t="s">
        <v>7</v>
      </c>
      <c r="G185" s="81" t="s">
        <v>57</v>
      </c>
      <c r="H185" s="81" t="s">
        <v>366</v>
      </c>
      <c r="I185" s="81"/>
      <c r="J185" s="15" t="str">
        <f>IF(E185="Invalid_Segment","Invalid",IFERROR(INDEX(Severity_Matrix!$C$3:$M$10,MATCH('Error Log'!$F185,Severity_Matrix!$B$3:$B$10,0),MATCH('Error Log'!$G185,Severity_Matrix!$C$2:$M$2,0)),"No errors"))</f>
        <v>Critical</v>
      </c>
    </row>
    <row r="186" spans="1:10">
      <c r="A186" s="79" t="s">
        <v>367</v>
      </c>
      <c r="B186" s="18">
        <v>1</v>
      </c>
      <c r="C186" s="83" t="s">
        <v>368</v>
      </c>
      <c r="D186" s="83" t="s">
        <v>369</v>
      </c>
      <c r="E186" s="81" t="s">
        <v>21</v>
      </c>
      <c r="F186" s="81" t="s">
        <v>22</v>
      </c>
      <c r="G186" s="81" t="s">
        <v>57</v>
      </c>
      <c r="H186" s="81" t="s">
        <v>370</v>
      </c>
      <c r="I186" s="81"/>
      <c r="J186" s="15" t="str">
        <f>IF(E186="Invalid_Segment","Invalid",IFERROR(INDEX(Severity_Matrix!$C$3:$M$10,MATCH('Error Log'!$F186,Severity_Matrix!$B$3:$B$10,0),MATCH('Error Log'!$G186,Severity_Matrix!$C$2:$M$2,0)),"No errors"))</f>
        <v>Major</v>
      </c>
    </row>
    <row r="187" spans="1:10">
      <c r="A187" s="79" t="s">
        <v>367</v>
      </c>
      <c r="B187" s="18">
        <v>2</v>
      </c>
      <c r="C187" s="83" t="s">
        <v>368</v>
      </c>
      <c r="D187" s="83" t="s">
        <v>369</v>
      </c>
      <c r="E187" s="81" t="s">
        <v>21</v>
      </c>
      <c r="F187" s="81" t="s">
        <v>22</v>
      </c>
      <c r="G187" s="81" t="s">
        <v>57</v>
      </c>
      <c r="H187" s="81" t="s">
        <v>371</v>
      </c>
      <c r="I187" s="81"/>
      <c r="J187" s="15" t="str">
        <f>IF(E187="Invalid_Segment","Invalid",IFERROR(INDEX(Severity_Matrix!$C$3:$M$10,MATCH('Error Log'!$F187,Severity_Matrix!$B$3:$B$10,0),MATCH('Error Log'!$G187,Severity_Matrix!$C$2:$M$2,0)),"No errors"))</f>
        <v>Major</v>
      </c>
    </row>
    <row r="188" spans="1:10">
      <c r="A188" s="79" t="s">
        <v>372</v>
      </c>
      <c r="B188" s="18">
        <v>3</v>
      </c>
      <c r="C188" s="83" t="s">
        <v>368</v>
      </c>
      <c r="D188" s="83" t="s">
        <v>369</v>
      </c>
      <c r="E188" s="81" t="s">
        <v>21</v>
      </c>
      <c r="F188" s="81" t="s">
        <v>7</v>
      </c>
      <c r="G188" s="81" t="s">
        <v>57</v>
      </c>
      <c r="H188" s="81" t="s">
        <v>373</v>
      </c>
      <c r="I188" s="81"/>
      <c r="J188" s="15" t="str">
        <f>IF(E188="Invalid_Segment","Invalid",IFERROR(INDEX(Severity_Matrix!$C$3:$M$10,MATCH('Error Log'!$F188,Severity_Matrix!$B$3:$B$10,0),MATCH('Error Log'!$G188,Severity_Matrix!$C$2:$M$2,0)),"No errors"))</f>
        <v>Critical</v>
      </c>
    </row>
    <row r="189" spans="1:10">
      <c r="A189" s="79" t="s">
        <v>372</v>
      </c>
      <c r="B189" s="18">
        <v>4</v>
      </c>
      <c r="C189" s="83" t="s">
        <v>368</v>
      </c>
      <c r="D189" s="83" t="s">
        <v>369</v>
      </c>
      <c r="E189" s="81" t="s">
        <v>21</v>
      </c>
      <c r="F189" s="81" t="s">
        <v>7</v>
      </c>
      <c r="G189" s="81" t="s">
        <v>57</v>
      </c>
      <c r="H189" s="81" t="s">
        <v>374</v>
      </c>
      <c r="I189" s="81"/>
      <c r="J189" s="15" t="str">
        <f>IF(E189="Invalid_Segment","Invalid",IFERROR(INDEX(Severity_Matrix!$C$3:$M$10,MATCH('Error Log'!$F189,Severity_Matrix!$B$3:$B$10,0),MATCH('Error Log'!$G189,Severity_Matrix!$C$2:$M$2,0)),"No errors"))</f>
        <v>Critical</v>
      </c>
    </row>
    <row r="190" spans="1:10">
      <c r="A190" s="79" t="s">
        <v>375</v>
      </c>
      <c r="B190" s="18">
        <v>1</v>
      </c>
      <c r="C190" s="83" t="s">
        <v>376</v>
      </c>
      <c r="D190" s="83" t="s">
        <v>377</v>
      </c>
      <c r="E190" s="81" t="s">
        <v>21</v>
      </c>
      <c r="F190" s="81" t="s">
        <v>63</v>
      </c>
      <c r="G190" s="81" t="s">
        <v>54</v>
      </c>
      <c r="H190" s="81" t="s">
        <v>378</v>
      </c>
      <c r="I190" s="81"/>
      <c r="J190" s="15" t="str">
        <f>IF(E190="Invalid_Segment","Invalid",IFERROR(INDEX(Severity_Matrix!$C$3:$M$10,MATCH('Error Log'!$F190,Severity_Matrix!$B$3:$B$10,0),MATCH('Error Log'!$G190,Severity_Matrix!$C$2:$M$2,0)),"No errors"))</f>
        <v>Critical</v>
      </c>
    </row>
    <row r="191" spans="1:10">
      <c r="A191" s="79" t="s">
        <v>375</v>
      </c>
      <c r="B191" s="18">
        <v>2</v>
      </c>
      <c r="C191" s="83" t="s">
        <v>376</v>
      </c>
      <c r="D191" s="83" t="s">
        <v>377</v>
      </c>
      <c r="E191" s="81" t="s">
        <v>21</v>
      </c>
      <c r="F191" s="81" t="s">
        <v>7</v>
      </c>
      <c r="G191" s="81" t="s">
        <v>58</v>
      </c>
      <c r="H191" s="81" t="s">
        <v>379</v>
      </c>
      <c r="I191" s="81"/>
      <c r="J191" s="15" t="str">
        <f>IF(E191="Invalid_Segment","Invalid",IFERROR(INDEX(Severity_Matrix!$C$3:$M$10,MATCH('Error Log'!$F191,Severity_Matrix!$B$3:$B$10,0),MATCH('Error Log'!$G191,Severity_Matrix!$C$2:$M$2,0)),"No errors"))</f>
        <v>Minor</v>
      </c>
    </row>
    <row r="192" spans="1:10">
      <c r="A192" s="79" t="s">
        <v>380</v>
      </c>
      <c r="B192" s="18">
        <v>3</v>
      </c>
      <c r="C192" s="83" t="s">
        <v>376</v>
      </c>
      <c r="D192" s="83" t="s">
        <v>377</v>
      </c>
      <c r="E192" s="81" t="s">
        <v>21</v>
      </c>
      <c r="F192" s="81" t="s">
        <v>7</v>
      </c>
      <c r="G192" s="81" t="s">
        <v>27</v>
      </c>
      <c r="H192" s="81" t="s">
        <v>381</v>
      </c>
      <c r="I192" s="81"/>
      <c r="J192" s="15" t="str">
        <f>IF(E192="Invalid_Segment","Invalid",IFERROR(INDEX(Severity_Matrix!$C$3:$M$10,MATCH('Error Log'!$F192,Severity_Matrix!$B$3:$B$10,0),MATCH('Error Log'!$G192,Severity_Matrix!$C$2:$M$2,0)),"No errors"))</f>
        <v>Major</v>
      </c>
    </row>
    <row r="193" spans="1:10">
      <c r="A193" s="79" t="s">
        <v>380</v>
      </c>
      <c r="B193" s="18">
        <v>4</v>
      </c>
      <c r="C193" s="83" t="s">
        <v>376</v>
      </c>
      <c r="D193" s="83" t="s">
        <v>377</v>
      </c>
      <c r="E193" s="81" t="s">
        <v>21</v>
      </c>
      <c r="F193" s="81" t="s">
        <v>7</v>
      </c>
      <c r="G193" s="81" t="s">
        <v>57</v>
      </c>
      <c r="H193" s="81" t="s">
        <v>382</v>
      </c>
      <c r="I193" s="81"/>
      <c r="J193" s="15" t="str">
        <f>IF(E193="Invalid_Segment","Invalid",IFERROR(INDEX(Severity_Matrix!$C$3:$M$10,MATCH('Error Log'!$F193,Severity_Matrix!$B$3:$B$10,0),MATCH('Error Log'!$G193,Severity_Matrix!$C$2:$M$2,0)),"No errors"))</f>
        <v>Critical</v>
      </c>
    </row>
    <row r="194" spans="1:10">
      <c r="A194" s="79" t="s">
        <v>380</v>
      </c>
      <c r="B194" s="18">
        <v>5</v>
      </c>
      <c r="C194" s="83" t="s">
        <v>376</v>
      </c>
      <c r="D194" s="83" t="s">
        <v>377</v>
      </c>
      <c r="E194" s="81" t="s">
        <v>2</v>
      </c>
      <c r="F194" s="81" t="s">
        <v>26</v>
      </c>
      <c r="G194" s="81" t="s">
        <v>57</v>
      </c>
      <c r="H194" s="81" t="s">
        <v>383</v>
      </c>
      <c r="I194" s="81"/>
      <c r="J194" s="15" t="str">
        <f>IF(E194="Invalid_Segment","Invalid",IFERROR(INDEX(Severity_Matrix!$C$3:$M$10,MATCH('Error Log'!$F194,Severity_Matrix!$B$3:$B$10,0),MATCH('Error Log'!$G194,Severity_Matrix!$C$2:$M$2,0)),"No errors"))</f>
        <v>Major</v>
      </c>
    </row>
    <row r="195" spans="1:10">
      <c r="A195" s="79" t="s">
        <v>384</v>
      </c>
      <c r="B195" s="18">
        <v>1</v>
      </c>
      <c r="C195" s="83" t="s">
        <v>385</v>
      </c>
      <c r="D195" s="83" t="s">
        <v>386</v>
      </c>
      <c r="E195" s="81" t="s">
        <v>21</v>
      </c>
      <c r="F195" s="81" t="s">
        <v>7</v>
      </c>
      <c r="G195" s="81" t="s">
        <v>56</v>
      </c>
      <c r="H195" s="81" t="s">
        <v>387</v>
      </c>
      <c r="I195" s="81"/>
      <c r="J195" s="15" t="str">
        <f>IF(E195="Invalid_Segment","Invalid",IFERROR(INDEX(Severity_Matrix!$C$3:$M$10,MATCH('Error Log'!$F195,Severity_Matrix!$B$3:$B$10,0),MATCH('Error Log'!$G195,Severity_Matrix!$C$2:$M$2,0)),"No errors"))</f>
        <v>Critical</v>
      </c>
    </row>
    <row r="196" spans="1:10">
      <c r="A196" s="79" t="s">
        <v>384</v>
      </c>
      <c r="B196" s="18">
        <v>2</v>
      </c>
      <c r="C196" s="83" t="s">
        <v>385</v>
      </c>
      <c r="D196" s="83" t="s">
        <v>386</v>
      </c>
      <c r="E196" s="81" t="s">
        <v>21</v>
      </c>
      <c r="F196" s="81" t="s">
        <v>7</v>
      </c>
      <c r="G196" s="81" t="s">
        <v>58</v>
      </c>
      <c r="H196" s="81" t="s">
        <v>388</v>
      </c>
      <c r="I196" s="81"/>
      <c r="J196" s="15" t="str">
        <f>IF(E196="Invalid_Segment","Invalid",IFERROR(INDEX(Severity_Matrix!$C$3:$M$10,MATCH('Error Log'!$F196,Severity_Matrix!$B$3:$B$10,0),MATCH('Error Log'!$G196,Severity_Matrix!$C$2:$M$2,0)),"No errors"))</f>
        <v>Minor</v>
      </c>
    </row>
    <row r="197" spans="1:10">
      <c r="A197" s="79" t="s">
        <v>389</v>
      </c>
      <c r="B197" s="18">
        <v>3</v>
      </c>
      <c r="C197" s="83" t="s">
        <v>385</v>
      </c>
      <c r="D197" s="83" t="s">
        <v>386</v>
      </c>
      <c r="E197" s="81" t="s">
        <v>21</v>
      </c>
      <c r="F197" s="81" t="s">
        <v>7</v>
      </c>
      <c r="G197" s="81" t="s">
        <v>28</v>
      </c>
      <c r="H197" s="81" t="s">
        <v>390</v>
      </c>
      <c r="I197" s="81"/>
      <c r="J197" s="15" t="str">
        <f>IF(E197="Invalid_Segment","Invalid",IFERROR(INDEX(Severity_Matrix!$C$3:$M$10,MATCH('Error Log'!$F197,Severity_Matrix!$B$3:$B$10,0),MATCH('Error Log'!$G197,Severity_Matrix!$C$2:$M$2,0)),"No errors"))</f>
        <v>Major</v>
      </c>
    </row>
    <row r="198" spans="1:10">
      <c r="A198" s="79" t="s">
        <v>389</v>
      </c>
      <c r="B198" s="18">
        <v>4</v>
      </c>
      <c r="C198" s="83" t="s">
        <v>385</v>
      </c>
      <c r="D198" s="83" t="s">
        <v>386</v>
      </c>
      <c r="E198" s="81" t="s">
        <v>2</v>
      </c>
      <c r="F198" s="81" t="s">
        <v>26</v>
      </c>
      <c r="G198" s="81" t="s">
        <v>57</v>
      </c>
      <c r="H198" s="81" t="s">
        <v>391</v>
      </c>
      <c r="I198" s="81"/>
      <c r="J198" s="15" t="str">
        <f>IF(E198="Invalid_Segment","Invalid",IFERROR(INDEX(Severity_Matrix!$C$3:$M$10,MATCH('Error Log'!$F198,Severity_Matrix!$B$3:$B$10,0),MATCH('Error Log'!$G198,Severity_Matrix!$C$2:$M$2,0)),"No errors"))</f>
        <v>Major</v>
      </c>
    </row>
    <row r="199" spans="1:10">
      <c r="A199" s="79" t="s">
        <v>389</v>
      </c>
      <c r="B199" s="18">
        <v>5</v>
      </c>
      <c r="C199" s="83" t="s">
        <v>385</v>
      </c>
      <c r="D199" s="83" t="s">
        <v>386</v>
      </c>
      <c r="E199" s="81" t="s">
        <v>21</v>
      </c>
      <c r="F199" s="81" t="s">
        <v>7</v>
      </c>
      <c r="G199" s="81" t="s">
        <v>58</v>
      </c>
      <c r="H199" s="81" t="s">
        <v>379</v>
      </c>
      <c r="I199" s="81"/>
      <c r="J199" s="15" t="str">
        <f>IF(E199="Invalid_Segment","Invalid",IFERROR(INDEX(Severity_Matrix!$C$3:$M$10,MATCH('Error Log'!$F199,Severity_Matrix!$B$3:$B$10,0),MATCH('Error Log'!$G199,Severity_Matrix!$C$2:$M$2,0)),"No errors"))</f>
        <v>Minor</v>
      </c>
    </row>
    <row r="200" spans="1:10">
      <c r="A200" s="79" t="s">
        <v>389</v>
      </c>
      <c r="B200" s="18">
        <v>6</v>
      </c>
      <c r="C200" s="83" t="s">
        <v>385</v>
      </c>
      <c r="D200" s="83" t="s">
        <v>386</v>
      </c>
      <c r="E200" s="81" t="s">
        <v>21</v>
      </c>
      <c r="F200" s="81" t="s">
        <v>22</v>
      </c>
      <c r="G200" s="81" t="s">
        <v>57</v>
      </c>
      <c r="H200" s="81" t="s">
        <v>392</v>
      </c>
      <c r="I200" s="81"/>
      <c r="J200" s="15" t="str">
        <f>IF(E200="Invalid_Segment","Invalid",IFERROR(INDEX(Severity_Matrix!$C$3:$M$10,MATCH('Error Log'!$F200,Severity_Matrix!$B$3:$B$10,0),MATCH('Error Log'!$G200,Severity_Matrix!$C$2:$M$2,0)),"No errors"))</f>
        <v>Major</v>
      </c>
    </row>
    <row r="201" spans="1:10">
      <c r="A201" s="79" t="s">
        <v>389</v>
      </c>
      <c r="B201" s="18">
        <v>7</v>
      </c>
      <c r="C201" s="83" t="s">
        <v>385</v>
      </c>
      <c r="D201" s="83" t="s">
        <v>386</v>
      </c>
      <c r="E201" s="81" t="s">
        <v>21</v>
      </c>
      <c r="F201" s="81" t="s">
        <v>7</v>
      </c>
      <c r="G201" s="81" t="s">
        <v>57</v>
      </c>
      <c r="H201" s="81" t="s">
        <v>393</v>
      </c>
      <c r="I201" s="81"/>
      <c r="J201" s="15" t="str">
        <f>IF(E201="Invalid_Segment","Invalid",IFERROR(INDEX(Severity_Matrix!$C$3:$M$10,MATCH('Error Log'!$F201,Severity_Matrix!$B$3:$B$10,0),MATCH('Error Log'!$G201,Severity_Matrix!$C$2:$M$2,0)),"No errors"))</f>
        <v>Critical</v>
      </c>
    </row>
    <row r="202" spans="1:10">
      <c r="A202" s="79" t="s">
        <v>389</v>
      </c>
      <c r="B202" s="18">
        <v>8</v>
      </c>
      <c r="C202" s="83" t="s">
        <v>385</v>
      </c>
      <c r="D202" s="83" t="s">
        <v>386</v>
      </c>
      <c r="E202" s="81" t="s">
        <v>21</v>
      </c>
      <c r="F202" s="81" t="s">
        <v>7</v>
      </c>
      <c r="G202" s="81" t="s">
        <v>57</v>
      </c>
      <c r="H202" s="81" t="s">
        <v>394</v>
      </c>
      <c r="I202" s="81"/>
      <c r="J202" s="15" t="str">
        <f>IF(E202="Invalid_Segment","Invalid",IFERROR(INDEX(Severity_Matrix!$C$3:$M$10,MATCH('Error Log'!$F202,Severity_Matrix!$B$3:$B$10,0),MATCH('Error Log'!$G202,Severity_Matrix!$C$2:$M$2,0)),"No errors"))</f>
        <v>Critical</v>
      </c>
    </row>
    <row r="203" spans="1:10">
      <c r="A203" s="79" t="s">
        <v>389</v>
      </c>
      <c r="B203" s="18">
        <v>9</v>
      </c>
      <c r="C203" s="83" t="s">
        <v>385</v>
      </c>
      <c r="D203" s="83" t="s">
        <v>386</v>
      </c>
      <c r="E203" s="81" t="s">
        <v>21</v>
      </c>
      <c r="F203" s="81" t="s">
        <v>7</v>
      </c>
      <c r="G203" s="81" t="s">
        <v>57</v>
      </c>
      <c r="H203" s="81" t="s">
        <v>395</v>
      </c>
      <c r="I203" s="81"/>
      <c r="J203" s="15" t="str">
        <f>IF(E203="Invalid_Segment","Invalid",IFERROR(INDEX(Severity_Matrix!$C$3:$M$10,MATCH('Error Log'!$F203,Severity_Matrix!$B$3:$B$10,0),MATCH('Error Log'!$G203,Severity_Matrix!$C$2:$M$2,0)),"No errors"))</f>
        <v>Critical</v>
      </c>
    </row>
    <row r="204" spans="1:10">
      <c r="A204" s="79" t="s">
        <v>396</v>
      </c>
      <c r="B204" s="18">
        <v>1</v>
      </c>
      <c r="C204" s="83" t="s">
        <v>397</v>
      </c>
      <c r="D204" s="83" t="s">
        <v>398</v>
      </c>
      <c r="E204" s="81" t="s">
        <v>21</v>
      </c>
      <c r="F204" s="81" t="s">
        <v>22</v>
      </c>
      <c r="G204" s="81" t="s">
        <v>57</v>
      </c>
      <c r="H204" s="82" t="s">
        <v>399</v>
      </c>
      <c r="I204" s="81"/>
      <c r="J204" s="15" t="str">
        <f>IF(E204="Invalid_Segment","Invalid",IFERROR(INDEX(Severity_Matrix!$C$3:$M$10,MATCH('Error Log'!$F204,Severity_Matrix!$B$3:$B$10,0),MATCH('Error Log'!$G204,Severity_Matrix!$C$2:$M$2,0)),"No errors"))</f>
        <v>Major</v>
      </c>
    </row>
    <row r="205" spans="1:10">
      <c r="A205" s="79" t="s">
        <v>396</v>
      </c>
      <c r="B205" s="18">
        <v>2</v>
      </c>
      <c r="C205" s="83" t="s">
        <v>397</v>
      </c>
      <c r="D205" s="83" t="s">
        <v>398</v>
      </c>
      <c r="E205" s="81" t="s">
        <v>21</v>
      </c>
      <c r="F205" s="81" t="s">
        <v>22</v>
      </c>
      <c r="G205" s="81" t="s">
        <v>57</v>
      </c>
      <c r="H205" s="81" t="s">
        <v>400</v>
      </c>
      <c r="I205" s="81"/>
      <c r="J205" s="15" t="str">
        <f>IF(E205="Invalid_Segment","Invalid",IFERROR(INDEX(Severity_Matrix!$C$3:$M$10,MATCH('Error Log'!$F205,Severity_Matrix!$B$3:$B$10,0),MATCH('Error Log'!$G205,Severity_Matrix!$C$2:$M$2,0)),"No errors"))</f>
        <v>Major</v>
      </c>
    </row>
    <row r="206" spans="1:10">
      <c r="A206" s="79" t="s">
        <v>401</v>
      </c>
      <c r="B206" s="18">
        <v>3</v>
      </c>
      <c r="C206" s="83" t="s">
        <v>397</v>
      </c>
      <c r="D206" s="83" t="s">
        <v>398</v>
      </c>
      <c r="E206" s="81" t="s">
        <v>21</v>
      </c>
      <c r="F206" s="81" t="s">
        <v>7</v>
      </c>
      <c r="G206" s="81" t="s">
        <v>57</v>
      </c>
      <c r="H206" s="81" t="s">
        <v>402</v>
      </c>
      <c r="I206" s="81"/>
      <c r="J206" s="15" t="str">
        <f>IF(E206="Invalid_Segment","Invalid",IFERROR(INDEX(Severity_Matrix!$C$3:$M$10,MATCH('Error Log'!$F206,Severity_Matrix!$B$3:$B$10,0),MATCH('Error Log'!$G206,Severity_Matrix!$C$2:$M$2,0)),"No errors"))</f>
        <v>Critical</v>
      </c>
    </row>
    <row r="207" spans="1:10">
      <c r="A207" s="79" t="s">
        <v>401</v>
      </c>
      <c r="B207" s="18">
        <v>4</v>
      </c>
      <c r="C207" s="83" t="s">
        <v>397</v>
      </c>
      <c r="D207" s="83" t="s">
        <v>398</v>
      </c>
      <c r="E207" s="81" t="s">
        <v>21</v>
      </c>
      <c r="F207" s="81" t="s">
        <v>7</v>
      </c>
      <c r="G207" s="81" t="s">
        <v>57</v>
      </c>
      <c r="H207" s="81" t="s">
        <v>403</v>
      </c>
      <c r="I207" s="81"/>
      <c r="J207" s="15" t="str">
        <f>IF(E207="Invalid_Segment","Invalid",IFERROR(INDEX(Severity_Matrix!$C$3:$M$10,MATCH('Error Log'!$F207,Severity_Matrix!$B$3:$B$10,0),MATCH('Error Log'!$G207,Severity_Matrix!$C$2:$M$2,0)),"No errors"))</f>
        <v>Critical</v>
      </c>
    </row>
    <row r="208" spans="1:10">
      <c r="A208" s="79" t="s">
        <v>404</v>
      </c>
      <c r="B208" s="18">
        <v>1</v>
      </c>
      <c r="C208" s="83" t="s">
        <v>405</v>
      </c>
      <c r="D208" s="83" t="s">
        <v>406</v>
      </c>
      <c r="E208" s="81" t="s">
        <v>21</v>
      </c>
      <c r="F208" s="81" t="s">
        <v>7</v>
      </c>
      <c r="G208" s="81" t="s">
        <v>57</v>
      </c>
      <c r="H208" s="81" t="s">
        <v>407</v>
      </c>
      <c r="I208" s="81"/>
      <c r="J208" s="15" t="str">
        <f>IF(E208="Invalid_Segment","Invalid",IFERROR(INDEX(Severity_Matrix!$C$3:$M$10,MATCH('Error Log'!$F208,Severity_Matrix!$B$3:$B$10,0),MATCH('Error Log'!$G208,Severity_Matrix!$C$2:$M$2,0)),"No errors"))</f>
        <v>Critical</v>
      </c>
    </row>
    <row r="209" spans="1:10">
      <c r="A209" s="79" t="s">
        <v>404</v>
      </c>
      <c r="B209" s="18">
        <v>2</v>
      </c>
      <c r="C209" s="83" t="s">
        <v>405</v>
      </c>
      <c r="D209" s="83" t="s">
        <v>406</v>
      </c>
      <c r="E209" s="81" t="s">
        <v>2</v>
      </c>
      <c r="F209" s="81" t="s">
        <v>26</v>
      </c>
      <c r="G209" s="81" t="s">
        <v>57</v>
      </c>
      <c r="H209" s="81" t="s">
        <v>408</v>
      </c>
      <c r="I209" s="81"/>
      <c r="J209" s="15" t="str">
        <f>IF(E209="Invalid_Segment","Invalid",IFERROR(INDEX(Severity_Matrix!$C$3:$M$10,MATCH('Error Log'!$F209,Severity_Matrix!$B$3:$B$10,0),MATCH('Error Log'!$G209,Severity_Matrix!$C$2:$M$2,0)),"No errors"))</f>
        <v>Major</v>
      </c>
    </row>
    <row r="210" spans="1:10">
      <c r="A210" s="79" t="s">
        <v>409</v>
      </c>
      <c r="B210" s="18">
        <v>3</v>
      </c>
      <c r="C210" s="83" t="s">
        <v>405</v>
      </c>
      <c r="D210" s="83" t="s">
        <v>406</v>
      </c>
      <c r="E210" s="81" t="s">
        <v>21</v>
      </c>
      <c r="F210" s="81" t="s">
        <v>7</v>
      </c>
      <c r="G210" s="81" t="s">
        <v>57</v>
      </c>
      <c r="H210" s="81" t="s">
        <v>410</v>
      </c>
      <c r="I210" s="81"/>
      <c r="J210" s="15" t="str">
        <f>IF(E210="Invalid_Segment","Invalid",IFERROR(INDEX(Severity_Matrix!$C$3:$M$10,MATCH('Error Log'!$F210,Severity_Matrix!$B$3:$B$10,0),MATCH('Error Log'!$G210,Severity_Matrix!$C$2:$M$2,0)),"No errors"))</f>
        <v>Critical</v>
      </c>
    </row>
    <row r="211" spans="1:10">
      <c r="A211" s="79" t="s">
        <v>409</v>
      </c>
      <c r="B211" s="18">
        <v>4</v>
      </c>
      <c r="C211" s="83" t="s">
        <v>405</v>
      </c>
      <c r="D211" s="83" t="s">
        <v>406</v>
      </c>
      <c r="E211" s="81" t="s">
        <v>21</v>
      </c>
      <c r="F211" s="81" t="s">
        <v>7</v>
      </c>
      <c r="G211" s="81" t="s">
        <v>57</v>
      </c>
      <c r="H211" s="81" t="s">
        <v>411</v>
      </c>
      <c r="I211" s="81"/>
      <c r="J211" s="15" t="str">
        <f>IF(E211="Invalid_Segment","Invalid",IFERROR(INDEX(Severity_Matrix!$C$3:$M$10,MATCH('Error Log'!$F211,Severity_Matrix!$B$3:$B$10,0),MATCH('Error Log'!$G211,Severity_Matrix!$C$2:$M$2,0)),"No errors"))</f>
        <v>Critical</v>
      </c>
    </row>
    <row r="212" spans="1:10">
      <c r="A212" s="79" t="s">
        <v>409</v>
      </c>
      <c r="B212" s="18">
        <v>5</v>
      </c>
      <c r="C212" s="83" t="s">
        <v>405</v>
      </c>
      <c r="D212" s="83" t="s">
        <v>406</v>
      </c>
      <c r="E212" s="81" t="s">
        <v>21</v>
      </c>
      <c r="F212" s="81" t="s">
        <v>7</v>
      </c>
      <c r="G212" s="81" t="s">
        <v>57</v>
      </c>
      <c r="H212" s="81" t="s">
        <v>412</v>
      </c>
      <c r="I212" s="81"/>
      <c r="J212" s="15" t="str">
        <f>IF(E212="Invalid_Segment","Invalid",IFERROR(INDEX(Severity_Matrix!$C$3:$M$10,MATCH('Error Log'!$F212,Severity_Matrix!$B$3:$B$10,0),MATCH('Error Log'!$G212,Severity_Matrix!$C$2:$M$2,0)),"No errors"))</f>
        <v>Critical</v>
      </c>
    </row>
    <row r="213" spans="1:10">
      <c r="A213" s="79" t="s">
        <v>413</v>
      </c>
      <c r="B213" s="18">
        <v>1</v>
      </c>
      <c r="C213" s="83" t="s">
        <v>414</v>
      </c>
      <c r="D213" s="83" t="s">
        <v>415</v>
      </c>
      <c r="E213" s="81" t="s">
        <v>21</v>
      </c>
      <c r="F213" s="81" t="s">
        <v>22</v>
      </c>
      <c r="G213" s="81" t="s">
        <v>57</v>
      </c>
      <c r="H213" s="81" t="s">
        <v>416</v>
      </c>
      <c r="I213" s="81"/>
      <c r="J213" s="15" t="str">
        <f>IF(E213="Invalid_Segment","Invalid",IFERROR(INDEX(Severity_Matrix!$C$3:$M$10,MATCH('Error Log'!$F213,Severity_Matrix!$B$3:$B$10,0),MATCH('Error Log'!$G213,Severity_Matrix!$C$2:$M$2,0)),"No errors"))</f>
        <v>Major</v>
      </c>
    </row>
    <row r="214" spans="1:10">
      <c r="A214" s="79" t="s">
        <v>413</v>
      </c>
      <c r="B214" s="18">
        <v>2</v>
      </c>
      <c r="C214" s="83" t="s">
        <v>414</v>
      </c>
      <c r="D214" s="83" t="s">
        <v>415</v>
      </c>
      <c r="E214" s="81" t="s">
        <v>21</v>
      </c>
      <c r="F214" s="81" t="s">
        <v>7</v>
      </c>
      <c r="G214" s="81" t="s">
        <v>57</v>
      </c>
      <c r="H214" s="81" t="s">
        <v>417</v>
      </c>
      <c r="I214" s="81"/>
      <c r="J214" s="15" t="str">
        <f>IF(E214="Invalid_Segment","Invalid",IFERROR(INDEX(Severity_Matrix!$C$3:$M$10,MATCH('Error Log'!$F214,Severity_Matrix!$B$3:$B$10,0),MATCH('Error Log'!$G214,Severity_Matrix!$C$2:$M$2,0)),"No errors"))</f>
        <v>Critical</v>
      </c>
    </row>
    <row r="215" spans="1:10">
      <c r="A215" s="79" t="s">
        <v>418</v>
      </c>
      <c r="B215" s="18">
        <v>3</v>
      </c>
      <c r="C215" s="83" t="s">
        <v>414</v>
      </c>
      <c r="D215" s="83" t="s">
        <v>415</v>
      </c>
      <c r="E215" s="81" t="s">
        <v>21</v>
      </c>
      <c r="F215" s="81" t="s">
        <v>7</v>
      </c>
      <c r="G215" s="81" t="s">
        <v>57</v>
      </c>
      <c r="H215" s="81" t="s">
        <v>419</v>
      </c>
      <c r="I215" s="81"/>
      <c r="J215" s="15" t="str">
        <f>IF(E215="Invalid_Segment","Invalid",IFERROR(INDEX(Severity_Matrix!$C$3:$M$10,MATCH('Error Log'!$F215,Severity_Matrix!$B$3:$B$10,0),MATCH('Error Log'!$G215,Severity_Matrix!$C$2:$M$2,0)),"No errors"))</f>
        <v>Critical</v>
      </c>
    </row>
    <row r="216" spans="1:10">
      <c r="A216" s="79" t="s">
        <v>418</v>
      </c>
      <c r="B216" s="18">
        <v>4</v>
      </c>
      <c r="C216" s="83" t="s">
        <v>414</v>
      </c>
      <c r="D216" s="83" t="s">
        <v>415</v>
      </c>
      <c r="E216" s="81" t="s">
        <v>21</v>
      </c>
      <c r="F216" s="81" t="s">
        <v>7</v>
      </c>
      <c r="G216" s="81" t="s">
        <v>57</v>
      </c>
      <c r="H216" s="81" t="s">
        <v>420</v>
      </c>
      <c r="I216" s="81"/>
      <c r="J216" s="15" t="str">
        <f>IF(E216="Invalid_Segment","Invalid",IFERROR(INDEX(Severity_Matrix!$C$3:$M$10,MATCH('Error Log'!$F216,Severity_Matrix!$B$3:$B$10,0),MATCH('Error Log'!$G216,Severity_Matrix!$C$2:$M$2,0)),"No errors"))</f>
        <v>Critical</v>
      </c>
    </row>
    <row r="217" spans="1:10">
      <c r="A217" s="79" t="s">
        <v>421</v>
      </c>
      <c r="B217" s="18">
        <v>1</v>
      </c>
      <c r="C217" s="83" t="s">
        <v>422</v>
      </c>
      <c r="D217" s="83" t="s">
        <v>423</v>
      </c>
      <c r="E217" s="81" t="s">
        <v>21</v>
      </c>
      <c r="F217" s="81" t="s">
        <v>22</v>
      </c>
      <c r="G217" s="81" t="s">
        <v>57</v>
      </c>
      <c r="H217" s="81" t="s">
        <v>424</v>
      </c>
      <c r="I217" s="81"/>
      <c r="J217" s="15" t="str">
        <f>IF(E217="Invalid_Segment","Invalid",IFERROR(INDEX(Severity_Matrix!$C$3:$M$10,MATCH('Error Log'!$F217,Severity_Matrix!$B$3:$B$10,0),MATCH('Error Log'!$G217,Severity_Matrix!$C$2:$M$2,0)),"No errors"))</f>
        <v>Major</v>
      </c>
    </row>
    <row r="218" spans="1:10">
      <c r="A218" s="79" t="s">
        <v>421</v>
      </c>
      <c r="B218" s="18">
        <v>2</v>
      </c>
      <c r="C218" s="83" t="s">
        <v>422</v>
      </c>
      <c r="D218" s="83" t="s">
        <v>423</v>
      </c>
      <c r="E218" s="81" t="s">
        <v>21</v>
      </c>
      <c r="F218" s="81" t="s">
        <v>22</v>
      </c>
      <c r="G218" s="81" t="s">
        <v>57</v>
      </c>
      <c r="H218" s="81" t="s">
        <v>425</v>
      </c>
      <c r="I218" s="81"/>
      <c r="J218" s="15" t="str">
        <f>IF(E218="Invalid_Segment","Invalid",IFERROR(INDEX(Severity_Matrix!$C$3:$M$10,MATCH('Error Log'!$F218,Severity_Matrix!$B$3:$B$10,0),MATCH('Error Log'!$G218,Severity_Matrix!$C$2:$M$2,0)),"No errors"))</f>
        <v>Major</v>
      </c>
    </row>
    <row r="219" spans="1:10">
      <c r="A219" s="79" t="s">
        <v>426</v>
      </c>
      <c r="B219" s="18">
        <v>3</v>
      </c>
      <c r="C219" s="83" t="s">
        <v>422</v>
      </c>
      <c r="D219" s="83" t="s">
        <v>423</v>
      </c>
      <c r="E219" s="81" t="s">
        <v>21</v>
      </c>
      <c r="F219" s="81" t="s">
        <v>7</v>
      </c>
      <c r="G219" s="81" t="s">
        <v>57</v>
      </c>
      <c r="H219" s="81" t="s">
        <v>427</v>
      </c>
      <c r="I219" s="81"/>
      <c r="J219" s="15" t="str">
        <f>IF(E219="Invalid_Segment","Invalid",IFERROR(INDEX(Severity_Matrix!$C$3:$M$10,MATCH('Error Log'!$F219,Severity_Matrix!$B$3:$B$10,0),MATCH('Error Log'!$G219,Severity_Matrix!$C$2:$M$2,0)),"No errors"))</f>
        <v>Critical</v>
      </c>
    </row>
    <row r="220" spans="1:10">
      <c r="A220" s="79" t="s">
        <v>426</v>
      </c>
      <c r="B220" s="18">
        <v>4</v>
      </c>
      <c r="C220" s="83" t="s">
        <v>422</v>
      </c>
      <c r="D220" s="83" t="s">
        <v>423</v>
      </c>
      <c r="E220" s="81" t="s">
        <v>21</v>
      </c>
      <c r="F220" s="81" t="s">
        <v>7</v>
      </c>
      <c r="G220" s="81" t="s">
        <v>57</v>
      </c>
      <c r="H220" s="81" t="s">
        <v>428</v>
      </c>
      <c r="I220" s="81"/>
      <c r="J220" s="15" t="str">
        <f>IF(E220="Invalid_Segment","Invalid",IFERROR(INDEX(Severity_Matrix!$C$3:$M$10,MATCH('Error Log'!$F220,Severity_Matrix!$B$3:$B$10,0),MATCH('Error Log'!$G220,Severity_Matrix!$C$2:$M$2,0)),"No errors"))</f>
        <v>Critical</v>
      </c>
    </row>
    <row r="221" spans="1:10">
      <c r="A221" s="79" t="s">
        <v>426</v>
      </c>
      <c r="B221" s="18">
        <v>5</v>
      </c>
      <c r="C221" s="83" t="s">
        <v>422</v>
      </c>
      <c r="D221" s="83" t="s">
        <v>423</v>
      </c>
      <c r="E221" s="81" t="s">
        <v>21</v>
      </c>
      <c r="F221" s="81" t="s">
        <v>7</v>
      </c>
      <c r="G221" s="81" t="s">
        <v>57</v>
      </c>
      <c r="H221" s="81" t="s">
        <v>429</v>
      </c>
      <c r="I221" s="81"/>
      <c r="J221" s="15" t="str">
        <f>IF(E221="Invalid_Segment","Invalid",IFERROR(INDEX(Severity_Matrix!$C$3:$M$10,MATCH('Error Log'!$F221,Severity_Matrix!$B$3:$B$10,0),MATCH('Error Log'!$G221,Severity_Matrix!$C$2:$M$2,0)),"No errors"))</f>
        <v>Critical</v>
      </c>
    </row>
    <row r="222" spans="1:10">
      <c r="A222" s="79" t="s">
        <v>430</v>
      </c>
      <c r="B222" s="18">
        <v>1</v>
      </c>
      <c r="C222" s="83" t="s">
        <v>431</v>
      </c>
      <c r="D222" s="83" t="s">
        <v>432</v>
      </c>
      <c r="E222" s="81" t="s">
        <v>21</v>
      </c>
      <c r="F222" s="81" t="s">
        <v>7</v>
      </c>
      <c r="G222" s="81" t="s">
        <v>57</v>
      </c>
      <c r="H222" s="81" t="s">
        <v>433</v>
      </c>
      <c r="I222" s="81"/>
      <c r="J222" s="15" t="str">
        <f>IF(E222="Invalid_Segment","Invalid",IFERROR(INDEX(Severity_Matrix!$C$3:$M$10,MATCH('Error Log'!$F222,Severity_Matrix!$B$3:$B$10,0),MATCH('Error Log'!$G222,Severity_Matrix!$C$2:$M$2,0)),"No errors"))</f>
        <v>Critical</v>
      </c>
    </row>
    <row r="223" spans="1:10">
      <c r="A223" s="78" t="s">
        <v>434</v>
      </c>
      <c r="B223" s="18">
        <v>1</v>
      </c>
      <c r="C223" s="78" t="s">
        <v>435</v>
      </c>
      <c r="D223" s="78" t="s">
        <v>436</v>
      </c>
      <c r="E223" s="81" t="s">
        <v>21</v>
      </c>
      <c r="F223" s="81" t="s">
        <v>22</v>
      </c>
      <c r="G223" s="81" t="s">
        <v>57</v>
      </c>
      <c r="H223" s="82" t="s">
        <v>437</v>
      </c>
      <c r="I223" s="81"/>
      <c r="J223" s="15" t="str">
        <f>IF(E223="Invalid_Segment","Invalid",IFERROR(INDEX(Severity_Matrix!$C$3:$M$10,MATCH('Error Log'!$F223,Severity_Matrix!$B$3:$B$10,0),MATCH('Error Log'!$G223,Severity_Matrix!$C$2:$M$2,0)),"No errors"))</f>
        <v>Major</v>
      </c>
    </row>
    <row r="224" spans="1:10">
      <c r="A224" s="78" t="s">
        <v>434</v>
      </c>
      <c r="B224" s="18">
        <v>2</v>
      </c>
      <c r="C224" s="78" t="s">
        <v>435</v>
      </c>
      <c r="D224" s="78" t="s">
        <v>436</v>
      </c>
      <c r="E224" s="81" t="s">
        <v>2</v>
      </c>
      <c r="F224" s="81" t="s">
        <v>26</v>
      </c>
      <c r="G224" s="81" t="s">
        <v>57</v>
      </c>
      <c r="H224" s="89" t="s">
        <v>438</v>
      </c>
      <c r="I224" s="81"/>
      <c r="J224" s="15" t="str">
        <f>IF(E224="Invalid_Segment","Invalid",IFERROR(INDEX(Severity_Matrix!$C$3:$M$10,MATCH('Error Log'!$F224,Severity_Matrix!$B$3:$B$10,0),MATCH('Error Log'!$G224,Severity_Matrix!$C$2:$M$2,0)),"No errors"))</f>
        <v>Major</v>
      </c>
    </row>
    <row r="225" spans="1:10">
      <c r="A225" s="78" t="s">
        <v>439</v>
      </c>
      <c r="B225" s="18">
        <v>3</v>
      </c>
      <c r="C225" s="78" t="s">
        <v>435</v>
      </c>
      <c r="D225" s="78" t="s">
        <v>436</v>
      </c>
      <c r="E225" s="81" t="s">
        <v>21</v>
      </c>
      <c r="F225" s="81" t="s">
        <v>7</v>
      </c>
      <c r="G225" s="81" t="s">
        <v>57</v>
      </c>
      <c r="H225" s="81" t="s">
        <v>440</v>
      </c>
      <c r="I225" s="81"/>
      <c r="J225" s="15" t="str">
        <f>IF(E225="Invalid_Segment","Invalid",IFERROR(INDEX(Severity_Matrix!$C$3:$M$10,MATCH('Error Log'!$F225,Severity_Matrix!$B$3:$B$10,0),MATCH('Error Log'!$G225,Severity_Matrix!$C$2:$M$2,0)),"No errors"))</f>
        <v>Critical</v>
      </c>
    </row>
    <row r="226" spans="1:10">
      <c r="A226" s="78" t="s">
        <v>439</v>
      </c>
      <c r="B226" s="18">
        <v>4</v>
      </c>
      <c r="C226" s="78" t="s">
        <v>435</v>
      </c>
      <c r="D226" s="78" t="s">
        <v>436</v>
      </c>
      <c r="E226" s="81" t="s">
        <v>21</v>
      </c>
      <c r="F226" s="81" t="s">
        <v>7</v>
      </c>
      <c r="G226" s="81" t="s">
        <v>57</v>
      </c>
      <c r="H226" s="81" t="s">
        <v>441</v>
      </c>
      <c r="I226" s="81"/>
      <c r="J226" s="15" t="str">
        <f>IF(E226="Invalid_Segment","Invalid",IFERROR(INDEX(Severity_Matrix!$C$3:$M$10,MATCH('Error Log'!$F226,Severity_Matrix!$B$3:$B$10,0),MATCH('Error Log'!$G226,Severity_Matrix!$C$2:$M$2,0)),"No errors"))</f>
        <v>Critical</v>
      </c>
    </row>
    <row r="227" spans="1:10">
      <c r="A227" s="78" t="s">
        <v>442</v>
      </c>
      <c r="B227" s="18">
        <v>1</v>
      </c>
      <c r="C227" s="78" t="s">
        <v>443</v>
      </c>
      <c r="D227" s="78" t="s">
        <v>444</v>
      </c>
      <c r="E227" s="81" t="s">
        <v>21</v>
      </c>
      <c r="F227" s="81" t="s">
        <v>22</v>
      </c>
      <c r="G227" s="81" t="s">
        <v>57</v>
      </c>
      <c r="H227" s="81" t="s">
        <v>445</v>
      </c>
      <c r="I227" s="81"/>
      <c r="J227" s="15" t="str">
        <f>IF(E227="Invalid_Segment","Invalid",IFERROR(INDEX(Severity_Matrix!$C$3:$M$10,MATCH('Error Log'!$F227,Severity_Matrix!$B$3:$B$10,0),MATCH('Error Log'!$G227,Severity_Matrix!$C$2:$M$2,0)),"No errors"))</f>
        <v>Major</v>
      </c>
    </row>
    <row r="228" spans="1:10">
      <c r="A228" s="78" t="s">
        <v>442</v>
      </c>
      <c r="B228" s="18">
        <v>2</v>
      </c>
      <c r="C228" s="78" t="s">
        <v>443</v>
      </c>
      <c r="D228" s="78" t="s">
        <v>444</v>
      </c>
      <c r="E228" s="81" t="s">
        <v>21</v>
      </c>
      <c r="F228" s="81" t="s">
        <v>7</v>
      </c>
      <c r="G228" s="81" t="s">
        <v>57</v>
      </c>
      <c r="H228" s="81" t="s">
        <v>446</v>
      </c>
      <c r="I228" s="81"/>
      <c r="J228" s="15" t="str">
        <f>IF(E228="Invalid_Segment","Invalid",IFERROR(INDEX(Severity_Matrix!$C$3:$M$10,MATCH('Error Log'!$F228,Severity_Matrix!$B$3:$B$10,0),MATCH('Error Log'!$G228,Severity_Matrix!$C$2:$M$2,0)),"No errors"))</f>
        <v>Critical</v>
      </c>
    </row>
    <row r="229" spans="1:10">
      <c r="A229" s="78" t="s">
        <v>447</v>
      </c>
      <c r="B229" s="18">
        <v>3</v>
      </c>
      <c r="C229" s="78" t="s">
        <v>443</v>
      </c>
      <c r="D229" s="78" t="s">
        <v>444</v>
      </c>
      <c r="E229" s="81" t="s">
        <v>21</v>
      </c>
      <c r="F229" s="81" t="s">
        <v>7</v>
      </c>
      <c r="G229" s="81" t="s">
        <v>57</v>
      </c>
      <c r="H229" s="81" t="s">
        <v>448</v>
      </c>
      <c r="I229" s="81"/>
      <c r="J229" s="15" t="str">
        <f>IF(E229="Invalid_Segment","Invalid",IFERROR(INDEX(Severity_Matrix!$C$3:$M$10,MATCH('Error Log'!$F229,Severity_Matrix!$B$3:$B$10,0),MATCH('Error Log'!$G229,Severity_Matrix!$C$2:$M$2,0)),"No errors"))</f>
        <v>Critical</v>
      </c>
    </row>
    <row r="230" spans="1:10">
      <c r="A230" s="78" t="s">
        <v>447</v>
      </c>
      <c r="B230" s="18">
        <v>4</v>
      </c>
      <c r="C230" s="78" t="s">
        <v>443</v>
      </c>
      <c r="D230" s="78" t="s">
        <v>444</v>
      </c>
      <c r="E230" s="81" t="s">
        <v>21</v>
      </c>
      <c r="F230" s="81" t="s">
        <v>7</v>
      </c>
      <c r="G230" s="81" t="s">
        <v>57</v>
      </c>
      <c r="H230" s="81" t="s">
        <v>449</v>
      </c>
      <c r="I230" s="81"/>
      <c r="J230" s="15" t="str">
        <f>IF(E230="Invalid_Segment","Invalid",IFERROR(INDEX(Severity_Matrix!$C$3:$M$10,MATCH('Error Log'!$F230,Severity_Matrix!$B$3:$B$10,0),MATCH('Error Log'!$G230,Severity_Matrix!$C$2:$M$2,0)),"No errors"))</f>
        <v>Critical</v>
      </c>
    </row>
    <row r="231" spans="1:10">
      <c r="A231" s="78" t="s">
        <v>447</v>
      </c>
      <c r="B231" s="18">
        <v>5</v>
      </c>
      <c r="C231" s="78" t="s">
        <v>443</v>
      </c>
      <c r="D231" s="78" t="s">
        <v>444</v>
      </c>
      <c r="E231" s="81" t="s">
        <v>21</v>
      </c>
      <c r="F231" s="81" t="s">
        <v>7</v>
      </c>
      <c r="G231" s="81" t="s">
        <v>57</v>
      </c>
      <c r="H231" s="81" t="s">
        <v>450</v>
      </c>
      <c r="I231" s="81"/>
      <c r="J231" s="15" t="str">
        <f>IF(E231="Invalid_Segment","Invalid",IFERROR(INDEX(Severity_Matrix!$C$3:$M$10,MATCH('Error Log'!$F231,Severity_Matrix!$B$3:$B$10,0),MATCH('Error Log'!$G231,Severity_Matrix!$C$2:$M$2,0)),"No errors"))</f>
        <v>Critical</v>
      </c>
    </row>
    <row r="232" spans="1:10">
      <c r="A232" s="78" t="s">
        <v>451</v>
      </c>
      <c r="B232" s="18">
        <v>1</v>
      </c>
      <c r="C232" s="78" t="s">
        <v>452</v>
      </c>
      <c r="D232" s="78" t="s">
        <v>453</v>
      </c>
      <c r="E232" s="81" t="s">
        <v>21</v>
      </c>
      <c r="F232" s="81" t="s">
        <v>22</v>
      </c>
      <c r="G232" s="81" t="s">
        <v>57</v>
      </c>
      <c r="H232" s="81" t="s">
        <v>454</v>
      </c>
      <c r="I232" s="81"/>
      <c r="J232" s="15" t="str">
        <f>IF(E232="Invalid_Segment","Invalid",IFERROR(INDEX(Severity_Matrix!$C$3:$M$10,MATCH('Error Log'!$F232,Severity_Matrix!$B$3:$B$10,0),MATCH('Error Log'!$G232,Severity_Matrix!$C$2:$M$2,0)),"No errors"))</f>
        <v>Major</v>
      </c>
    </row>
    <row r="233" spans="1:10">
      <c r="A233" s="78" t="s">
        <v>451</v>
      </c>
      <c r="B233" s="18">
        <v>2</v>
      </c>
      <c r="C233" s="78" t="s">
        <v>452</v>
      </c>
      <c r="D233" s="78" t="s">
        <v>453</v>
      </c>
      <c r="E233" s="81" t="s">
        <v>21</v>
      </c>
      <c r="F233" s="81" t="s">
        <v>7</v>
      </c>
      <c r="G233" s="81" t="s">
        <v>57</v>
      </c>
      <c r="H233" s="81" t="s">
        <v>455</v>
      </c>
      <c r="I233" s="81"/>
      <c r="J233" s="15" t="str">
        <f>IF(E233="Invalid_Segment","Invalid",IFERROR(INDEX(Severity_Matrix!$C$3:$M$10,MATCH('Error Log'!$F233,Severity_Matrix!$B$3:$B$10,0),MATCH('Error Log'!$G233,Severity_Matrix!$C$2:$M$2,0)),"No errors"))</f>
        <v>Critical</v>
      </c>
    </row>
    <row r="234" spans="1:10">
      <c r="A234" s="78" t="s">
        <v>456</v>
      </c>
      <c r="B234" s="18">
        <v>1</v>
      </c>
      <c r="C234" s="78" t="s">
        <v>457</v>
      </c>
      <c r="D234" s="78" t="s">
        <v>458</v>
      </c>
      <c r="E234" s="81" t="s">
        <v>21</v>
      </c>
      <c r="F234" s="81" t="s">
        <v>22</v>
      </c>
      <c r="G234" s="81" t="s">
        <v>57</v>
      </c>
      <c r="H234" s="81" t="s">
        <v>459</v>
      </c>
      <c r="I234" s="81"/>
      <c r="J234" s="15" t="str">
        <f>IF(E234="Invalid_Segment","Invalid",IFERROR(INDEX(Severity_Matrix!$C$3:$M$10,MATCH('Error Log'!$F234,Severity_Matrix!$B$3:$B$10,0),MATCH('Error Log'!$G234,Severity_Matrix!$C$2:$M$2,0)),"No errors"))</f>
        <v>Major</v>
      </c>
    </row>
    <row r="235" spans="1:10">
      <c r="A235" s="78" t="s">
        <v>460</v>
      </c>
      <c r="B235" s="18">
        <v>1</v>
      </c>
      <c r="C235" s="78" t="s">
        <v>461</v>
      </c>
      <c r="D235" s="78" t="s">
        <v>462</v>
      </c>
      <c r="E235" s="81" t="s">
        <v>21</v>
      </c>
      <c r="F235" s="81" t="s">
        <v>22</v>
      </c>
      <c r="G235" s="81" t="s">
        <v>57</v>
      </c>
      <c r="H235" s="81" t="s">
        <v>463</v>
      </c>
      <c r="I235" s="81"/>
      <c r="J235" s="15" t="str">
        <f>IF(E235="Invalid_Segment","Invalid",IFERROR(INDEX(Severity_Matrix!$C$3:$M$10,MATCH('Error Log'!$F235,Severity_Matrix!$B$3:$B$10,0),MATCH('Error Log'!$G235,Severity_Matrix!$C$2:$M$2,0)),"No errors"))</f>
        <v>Major</v>
      </c>
    </row>
    <row r="236" spans="1:10">
      <c r="A236" s="78" t="s">
        <v>460</v>
      </c>
      <c r="B236" s="18">
        <v>2</v>
      </c>
      <c r="C236" s="78" t="s">
        <v>464</v>
      </c>
      <c r="D236" s="78" t="s">
        <v>462</v>
      </c>
      <c r="E236" s="81" t="s">
        <v>21</v>
      </c>
      <c r="F236" s="81" t="s">
        <v>22</v>
      </c>
      <c r="G236" s="81" t="s">
        <v>57</v>
      </c>
      <c r="H236" s="81" t="s">
        <v>465</v>
      </c>
      <c r="I236" s="81"/>
      <c r="J236" s="15" t="str">
        <f>IF(E236="Invalid_Segment","Invalid",IFERROR(INDEX(Severity_Matrix!$C$3:$M$10,MATCH('Error Log'!$F236,Severity_Matrix!$B$3:$B$10,0),MATCH('Error Log'!$G236,Severity_Matrix!$C$2:$M$2,0)),"No errors"))</f>
        <v>Major</v>
      </c>
    </row>
    <row r="237" spans="1:10">
      <c r="A237" s="78" t="s">
        <v>466</v>
      </c>
      <c r="B237" s="18">
        <v>3</v>
      </c>
      <c r="C237" s="78" t="s">
        <v>467</v>
      </c>
      <c r="D237" s="78" t="s">
        <v>462</v>
      </c>
      <c r="E237" s="81" t="s">
        <v>21</v>
      </c>
      <c r="F237" s="81" t="s">
        <v>7</v>
      </c>
      <c r="G237" s="81" t="s">
        <v>57</v>
      </c>
      <c r="H237" s="81" t="s">
        <v>468</v>
      </c>
      <c r="I237" s="81"/>
      <c r="J237" s="15" t="str">
        <f>IF(E237="Invalid_Segment","Invalid",IFERROR(INDEX(Severity_Matrix!$C$3:$M$10,MATCH('Error Log'!$F237,Severity_Matrix!$B$3:$B$10,0),MATCH('Error Log'!$G237,Severity_Matrix!$C$2:$M$2,0)),"No errors"))</f>
        <v>Critical</v>
      </c>
    </row>
    <row r="238" spans="1:10">
      <c r="A238" s="78" t="s">
        <v>466</v>
      </c>
      <c r="B238" s="18">
        <v>4</v>
      </c>
      <c r="C238" s="78" t="s">
        <v>469</v>
      </c>
      <c r="D238" s="78" t="s">
        <v>462</v>
      </c>
      <c r="E238" s="81" t="s">
        <v>21</v>
      </c>
      <c r="F238" s="81" t="s">
        <v>7</v>
      </c>
      <c r="G238" s="81" t="s">
        <v>57</v>
      </c>
      <c r="H238" s="81" t="s">
        <v>470</v>
      </c>
      <c r="I238" s="81"/>
      <c r="J238" s="15" t="str">
        <f>IF(E238="Invalid_Segment","Invalid",IFERROR(INDEX(Severity_Matrix!$C$3:$M$10,MATCH('Error Log'!$F238,Severity_Matrix!$B$3:$B$10,0),MATCH('Error Log'!$G238,Severity_Matrix!$C$2:$M$2,0)),"No errors"))</f>
        <v>Critical</v>
      </c>
    </row>
    <row r="239" spans="1:10">
      <c r="A239" s="78" t="s">
        <v>466</v>
      </c>
      <c r="B239" s="18">
        <v>5</v>
      </c>
      <c r="C239" s="78" t="s">
        <v>471</v>
      </c>
      <c r="D239" s="78" t="s">
        <v>462</v>
      </c>
      <c r="E239" s="81" t="s">
        <v>21</v>
      </c>
      <c r="F239" s="81" t="s">
        <v>7</v>
      </c>
      <c r="G239" s="81" t="s">
        <v>57</v>
      </c>
      <c r="H239" s="81" t="s">
        <v>472</v>
      </c>
      <c r="I239" s="81"/>
      <c r="J239" s="15" t="str">
        <f>IF(E239="Invalid_Segment","Invalid",IFERROR(INDEX(Severity_Matrix!$C$3:$M$10,MATCH('Error Log'!$F239,Severity_Matrix!$B$3:$B$10,0),MATCH('Error Log'!$G239,Severity_Matrix!$C$2:$M$2,0)),"No errors"))</f>
        <v>Critical</v>
      </c>
    </row>
    <row r="240" spans="1:10">
      <c r="A240" s="78" t="s">
        <v>473</v>
      </c>
      <c r="B240" s="18">
        <v>1</v>
      </c>
      <c r="C240" s="78" t="s">
        <v>474</v>
      </c>
      <c r="D240" s="78" t="s">
        <v>475</v>
      </c>
      <c r="E240" s="81" t="s">
        <v>21</v>
      </c>
      <c r="F240" s="81" t="s">
        <v>22</v>
      </c>
      <c r="G240" s="81" t="s">
        <v>57</v>
      </c>
      <c r="H240" s="81" t="s">
        <v>476</v>
      </c>
      <c r="I240" s="81"/>
      <c r="J240" s="15" t="str">
        <f>IF(E240="Invalid_Segment","Invalid",IFERROR(INDEX(Severity_Matrix!$C$3:$M$10,MATCH('Error Log'!$F240,Severity_Matrix!$B$3:$B$10,0),MATCH('Error Log'!$G240,Severity_Matrix!$C$2:$M$2,0)),"No errors"))</f>
        <v>Major</v>
      </c>
    </row>
    <row r="241" spans="1:10">
      <c r="A241" s="78" t="s">
        <v>473</v>
      </c>
      <c r="B241" s="18">
        <v>2</v>
      </c>
      <c r="C241" s="78" t="s">
        <v>477</v>
      </c>
      <c r="D241" s="78" t="s">
        <v>475</v>
      </c>
      <c r="E241" s="81" t="s">
        <v>21</v>
      </c>
      <c r="F241" s="81" t="s">
        <v>7</v>
      </c>
      <c r="G241" s="81" t="s">
        <v>57</v>
      </c>
      <c r="H241" s="81" t="s">
        <v>478</v>
      </c>
      <c r="I241" s="81"/>
      <c r="J241" s="15" t="str">
        <f>IF(E241="Invalid_Segment","Invalid",IFERROR(INDEX(Severity_Matrix!$C$3:$M$10,MATCH('Error Log'!$F241,Severity_Matrix!$B$3:$B$10,0),MATCH('Error Log'!$G241,Severity_Matrix!$C$2:$M$2,0)),"No errors"))</f>
        <v>Critical</v>
      </c>
    </row>
    <row r="242" spans="1:10">
      <c r="A242" s="78" t="s">
        <v>479</v>
      </c>
      <c r="B242" s="18">
        <v>3</v>
      </c>
      <c r="C242" s="78" t="s">
        <v>480</v>
      </c>
      <c r="D242" s="78" t="s">
        <v>475</v>
      </c>
      <c r="E242" s="81" t="s">
        <v>21</v>
      </c>
      <c r="F242" s="81" t="s">
        <v>7</v>
      </c>
      <c r="G242" s="81" t="s">
        <v>57</v>
      </c>
      <c r="H242" s="81" t="s">
        <v>481</v>
      </c>
      <c r="I242" s="81"/>
      <c r="J242" s="15" t="str">
        <f>IF(E242="Invalid_Segment","Invalid",IFERROR(INDEX(Severity_Matrix!$C$3:$M$10,MATCH('Error Log'!$F242,Severity_Matrix!$B$3:$B$10,0),MATCH('Error Log'!$G242,Severity_Matrix!$C$2:$M$2,0)),"No errors"))</f>
        <v>Critical</v>
      </c>
    </row>
    <row r="243" spans="1:10">
      <c r="A243" s="78" t="s">
        <v>479</v>
      </c>
      <c r="B243" s="18">
        <v>4</v>
      </c>
      <c r="C243" s="78" t="s">
        <v>482</v>
      </c>
      <c r="D243" s="78" t="s">
        <v>475</v>
      </c>
      <c r="E243" s="81" t="s">
        <v>21</v>
      </c>
      <c r="F243" s="81" t="s">
        <v>7</v>
      </c>
      <c r="G243" s="81" t="s">
        <v>57</v>
      </c>
      <c r="H243" s="81" t="s">
        <v>483</v>
      </c>
      <c r="I243" s="81"/>
      <c r="J243" s="15" t="str">
        <f>IF(E243="Invalid_Segment","Invalid",IFERROR(INDEX(Severity_Matrix!$C$3:$M$10,MATCH('Error Log'!$F243,Severity_Matrix!$B$3:$B$10,0),MATCH('Error Log'!$G243,Severity_Matrix!$C$2:$M$2,0)),"No errors"))</f>
        <v>Critical</v>
      </c>
    </row>
    <row r="244" spans="1:10">
      <c r="A244" s="78" t="s">
        <v>484</v>
      </c>
      <c r="B244" s="18">
        <v>1</v>
      </c>
      <c r="C244" s="78" t="s">
        <v>485</v>
      </c>
      <c r="D244" s="78" t="s">
        <v>486</v>
      </c>
      <c r="E244" s="81" t="s">
        <v>21</v>
      </c>
      <c r="F244" s="81" t="s">
        <v>22</v>
      </c>
      <c r="G244" s="81" t="s">
        <v>57</v>
      </c>
      <c r="H244" s="81" t="s">
        <v>487</v>
      </c>
      <c r="I244" s="81"/>
      <c r="J244" s="15" t="str">
        <f>IF(E244="Invalid_Segment","Invalid",IFERROR(INDEX(Severity_Matrix!$C$3:$M$10,MATCH('Error Log'!$F244,Severity_Matrix!$B$3:$B$10,0),MATCH('Error Log'!$G244,Severity_Matrix!$C$2:$M$2,0)),"No errors"))</f>
        <v>Major</v>
      </c>
    </row>
    <row r="245" spans="1:10">
      <c r="A245" s="78" t="s">
        <v>484</v>
      </c>
      <c r="B245" s="18">
        <v>2</v>
      </c>
      <c r="C245" s="78" t="s">
        <v>488</v>
      </c>
      <c r="D245" s="78" t="s">
        <v>486</v>
      </c>
      <c r="E245" s="81" t="s">
        <v>21</v>
      </c>
      <c r="F245" s="81" t="s">
        <v>22</v>
      </c>
      <c r="G245" s="81" t="s">
        <v>57</v>
      </c>
      <c r="H245" s="81" t="s">
        <v>489</v>
      </c>
      <c r="I245" s="81"/>
      <c r="J245" s="15" t="str">
        <f>IF(E245="Invalid_Segment","Invalid",IFERROR(INDEX(Severity_Matrix!$C$3:$M$10,MATCH('Error Log'!$F245,Severity_Matrix!$B$3:$B$10,0),MATCH('Error Log'!$G245,Severity_Matrix!$C$2:$M$2,0)),"No errors"))</f>
        <v>Major</v>
      </c>
    </row>
    <row r="246" spans="1:10">
      <c r="A246" s="78" t="s">
        <v>490</v>
      </c>
      <c r="B246" s="18">
        <v>3</v>
      </c>
      <c r="C246" s="78" t="s">
        <v>491</v>
      </c>
      <c r="D246" s="78" t="s">
        <v>486</v>
      </c>
      <c r="E246" s="81" t="s">
        <v>21</v>
      </c>
      <c r="F246" s="81" t="s">
        <v>22</v>
      </c>
      <c r="G246" s="81" t="s">
        <v>57</v>
      </c>
      <c r="H246" s="81" t="s">
        <v>492</v>
      </c>
      <c r="I246" s="81"/>
      <c r="J246" s="15" t="str">
        <f>IF(E246="Invalid_Segment","Invalid",IFERROR(INDEX(Severity_Matrix!$C$3:$M$10,MATCH('Error Log'!$F246,Severity_Matrix!$B$3:$B$10,0),MATCH('Error Log'!$G246,Severity_Matrix!$C$2:$M$2,0)),"No errors"))</f>
        <v>Major</v>
      </c>
    </row>
    <row r="247" spans="1:10">
      <c r="A247" s="78" t="s">
        <v>490</v>
      </c>
      <c r="B247" s="18">
        <v>4</v>
      </c>
      <c r="C247" s="78" t="s">
        <v>493</v>
      </c>
      <c r="D247" s="78" t="s">
        <v>486</v>
      </c>
      <c r="E247" s="81" t="s">
        <v>21</v>
      </c>
      <c r="F247" s="81" t="s">
        <v>7</v>
      </c>
      <c r="G247" s="81" t="s">
        <v>57</v>
      </c>
      <c r="H247" s="81" t="s">
        <v>494</v>
      </c>
      <c r="I247" s="81"/>
      <c r="J247" s="15" t="str">
        <f>IF(E247="Invalid_Segment","Invalid",IFERROR(INDEX(Severity_Matrix!$C$3:$M$10,MATCH('Error Log'!$F247,Severity_Matrix!$B$3:$B$10,0),MATCH('Error Log'!$G247,Severity_Matrix!$C$2:$M$2,0)),"No errors"))</f>
        <v>Critical</v>
      </c>
    </row>
    <row r="248" spans="1:10">
      <c r="A248" s="78" t="s">
        <v>490</v>
      </c>
      <c r="B248" s="18">
        <v>5</v>
      </c>
      <c r="C248" s="78" t="s">
        <v>495</v>
      </c>
      <c r="D248" s="78" t="s">
        <v>486</v>
      </c>
      <c r="E248" s="81" t="s">
        <v>21</v>
      </c>
      <c r="F248" s="81" t="s">
        <v>7</v>
      </c>
      <c r="G248" s="81" t="s">
        <v>57</v>
      </c>
      <c r="H248" s="81" t="s">
        <v>496</v>
      </c>
      <c r="I248" s="81"/>
      <c r="J248" s="15" t="str">
        <f>IF(E248="Invalid_Segment","Invalid",IFERROR(INDEX(Severity_Matrix!$C$3:$M$10,MATCH('Error Log'!$F248,Severity_Matrix!$B$3:$B$10,0),MATCH('Error Log'!$G248,Severity_Matrix!$C$2:$M$2,0)),"No errors"))</f>
        <v>Critical</v>
      </c>
    </row>
    <row r="249" spans="1:10">
      <c r="A249" s="78" t="s">
        <v>490</v>
      </c>
      <c r="B249" s="18">
        <v>6</v>
      </c>
      <c r="C249" s="78" t="s">
        <v>497</v>
      </c>
      <c r="D249" s="78" t="s">
        <v>486</v>
      </c>
      <c r="E249" s="81" t="s">
        <v>21</v>
      </c>
      <c r="F249" s="81" t="s">
        <v>7</v>
      </c>
      <c r="G249" s="81" t="s">
        <v>57</v>
      </c>
      <c r="H249" s="81" t="s">
        <v>498</v>
      </c>
      <c r="I249" s="81"/>
      <c r="J249" s="15" t="str">
        <f>IF(E249="Invalid_Segment","Invalid",IFERROR(INDEX(Severity_Matrix!$C$3:$M$10,MATCH('Error Log'!$F249,Severity_Matrix!$B$3:$B$10,0),MATCH('Error Log'!$G249,Severity_Matrix!$C$2:$M$2,0)),"No errors"))</f>
        <v>Critical</v>
      </c>
    </row>
    <row r="250" spans="1:10">
      <c r="A250" s="78" t="s">
        <v>499</v>
      </c>
      <c r="B250" s="18">
        <v>1</v>
      </c>
      <c r="C250" s="78" t="s">
        <v>500</v>
      </c>
      <c r="D250" s="78" t="s">
        <v>501</v>
      </c>
      <c r="E250" s="81" t="s">
        <v>21</v>
      </c>
      <c r="F250" s="81" t="s">
        <v>7</v>
      </c>
      <c r="G250" s="81" t="s">
        <v>54</v>
      </c>
      <c r="H250" s="81" t="s">
        <v>502</v>
      </c>
      <c r="I250" s="81"/>
      <c r="J250" s="15" t="str">
        <f>IF(E250="Invalid_Segment","Invalid",IFERROR(INDEX(Severity_Matrix!$C$3:$M$10,MATCH('Error Log'!$F250,Severity_Matrix!$B$3:$B$10,0),MATCH('Error Log'!$G250,Severity_Matrix!$C$2:$M$2,0)),"No errors"))</f>
        <v>Critical</v>
      </c>
    </row>
    <row r="251" spans="1:10">
      <c r="A251" s="78" t="s">
        <v>499</v>
      </c>
      <c r="B251" s="18">
        <v>2</v>
      </c>
      <c r="C251" s="78" t="s">
        <v>503</v>
      </c>
      <c r="D251" s="78" t="s">
        <v>501</v>
      </c>
      <c r="E251" s="81" t="s">
        <v>21</v>
      </c>
      <c r="F251" s="81" t="s">
        <v>7</v>
      </c>
      <c r="G251" s="81" t="s">
        <v>56</v>
      </c>
      <c r="H251" s="81" t="s">
        <v>504</v>
      </c>
      <c r="I251" s="81"/>
      <c r="J251" s="15" t="str">
        <f>IF(E251="Invalid_Segment","Invalid",IFERROR(INDEX(Severity_Matrix!$C$3:$M$10,MATCH('Error Log'!$F251,Severity_Matrix!$B$3:$B$10,0),MATCH('Error Log'!$G251,Severity_Matrix!$C$2:$M$2,0)),"No errors"))</f>
        <v>Critical</v>
      </c>
    </row>
    <row r="252" spans="1:10">
      <c r="A252" s="78" t="s">
        <v>505</v>
      </c>
      <c r="B252" s="18">
        <v>3</v>
      </c>
      <c r="C252" s="78" t="s">
        <v>506</v>
      </c>
      <c r="D252" s="78" t="s">
        <v>501</v>
      </c>
      <c r="E252" s="81" t="s">
        <v>21</v>
      </c>
      <c r="F252" s="81" t="s">
        <v>22</v>
      </c>
      <c r="G252" s="81" t="s">
        <v>57</v>
      </c>
      <c r="H252" s="81" t="s">
        <v>507</v>
      </c>
      <c r="I252" s="81"/>
      <c r="J252" s="15" t="str">
        <f>IF(E252="Invalid_Segment","Invalid",IFERROR(INDEX(Severity_Matrix!$C$3:$M$10,MATCH('Error Log'!$F252,Severity_Matrix!$B$3:$B$10,0),MATCH('Error Log'!$G252,Severity_Matrix!$C$2:$M$2,0)),"No errors"))</f>
        <v>Major</v>
      </c>
    </row>
    <row r="253" spans="1:10">
      <c r="A253" s="78" t="s">
        <v>505</v>
      </c>
      <c r="B253" s="18">
        <v>4</v>
      </c>
      <c r="C253" s="78" t="s">
        <v>508</v>
      </c>
      <c r="D253" s="78" t="s">
        <v>501</v>
      </c>
      <c r="E253" s="81" t="s">
        <v>21</v>
      </c>
      <c r="F253" s="81" t="s">
        <v>7</v>
      </c>
      <c r="G253" s="81" t="s">
        <v>57</v>
      </c>
      <c r="H253" s="81" t="s">
        <v>509</v>
      </c>
      <c r="I253" s="81"/>
      <c r="J253" s="15" t="str">
        <f>IF(E253="Invalid_Segment","Invalid",IFERROR(INDEX(Severity_Matrix!$C$3:$M$10,MATCH('Error Log'!$F253,Severity_Matrix!$B$3:$B$10,0),MATCH('Error Log'!$G253,Severity_Matrix!$C$2:$M$2,0)),"No errors"))</f>
        <v>Critical</v>
      </c>
    </row>
    <row r="254" spans="1:10">
      <c r="A254" s="78" t="s">
        <v>510</v>
      </c>
      <c r="B254" s="18">
        <v>1</v>
      </c>
      <c r="C254" s="78" t="s">
        <v>511</v>
      </c>
      <c r="D254" s="78" t="s">
        <v>512</v>
      </c>
      <c r="E254" s="81" t="s">
        <v>21</v>
      </c>
      <c r="F254" s="81" t="s">
        <v>22</v>
      </c>
      <c r="G254" s="81" t="s">
        <v>57</v>
      </c>
      <c r="H254" s="81" t="s">
        <v>513</v>
      </c>
      <c r="I254" s="81"/>
      <c r="J254" s="15" t="str">
        <f>IF(E254="Invalid_Segment","Invalid",IFERROR(INDEX(Severity_Matrix!$C$3:$M$10,MATCH('Error Log'!$F254,Severity_Matrix!$B$3:$B$10,0),MATCH('Error Log'!$G254,Severity_Matrix!$C$2:$M$2,0)),"No errors"))</f>
        <v>Major</v>
      </c>
    </row>
    <row r="255" spans="1:10">
      <c r="A255" s="78" t="s">
        <v>510</v>
      </c>
      <c r="B255" s="18">
        <v>2</v>
      </c>
      <c r="C255" s="78" t="s">
        <v>511</v>
      </c>
      <c r="D255" s="78" t="s">
        <v>512</v>
      </c>
      <c r="E255" s="81" t="s">
        <v>21</v>
      </c>
      <c r="F255" s="81" t="s">
        <v>7</v>
      </c>
      <c r="G255" s="81" t="s">
        <v>57</v>
      </c>
      <c r="H255" s="81" t="s">
        <v>514</v>
      </c>
      <c r="I255" s="81"/>
      <c r="J255" s="15" t="str">
        <f>IF(E255="Invalid_Segment","Invalid",IFERROR(INDEX(Severity_Matrix!$C$3:$M$10,MATCH('Error Log'!$F255,Severity_Matrix!$B$3:$B$10,0),MATCH('Error Log'!$G255,Severity_Matrix!$C$2:$M$2,0)),"No errors"))</f>
        <v>Critical</v>
      </c>
    </row>
    <row r="256" spans="1:10">
      <c r="A256" s="78" t="s">
        <v>515</v>
      </c>
      <c r="B256" s="18">
        <v>3</v>
      </c>
      <c r="C256" s="78" t="s">
        <v>511</v>
      </c>
      <c r="D256" s="78" t="s">
        <v>512</v>
      </c>
      <c r="E256" s="81" t="s">
        <v>21</v>
      </c>
      <c r="F256" s="81" t="s">
        <v>7</v>
      </c>
      <c r="G256" s="81" t="s">
        <v>57</v>
      </c>
      <c r="H256" s="81" t="s">
        <v>516</v>
      </c>
      <c r="I256" s="81"/>
      <c r="J256" s="15" t="str">
        <f>IF(E256="Invalid_Segment","Invalid",IFERROR(INDEX(Severity_Matrix!$C$3:$M$10,MATCH('Error Log'!$F256,Severity_Matrix!$B$3:$B$10,0),MATCH('Error Log'!$G256,Severity_Matrix!$C$2:$M$2,0)),"No errors"))</f>
        <v>Critical</v>
      </c>
    </row>
    <row r="257" spans="1:10">
      <c r="A257" s="79" t="s">
        <v>517</v>
      </c>
      <c r="B257" s="18">
        <v>1</v>
      </c>
      <c r="C257" s="78" t="s">
        <v>518</v>
      </c>
      <c r="D257" s="83" t="s">
        <v>519</v>
      </c>
      <c r="E257" s="87" t="s">
        <v>21</v>
      </c>
      <c r="F257" s="87" t="s">
        <v>63</v>
      </c>
      <c r="G257" s="87" t="s">
        <v>54</v>
      </c>
      <c r="H257" s="87" t="s">
        <v>520</v>
      </c>
      <c r="I257" s="81"/>
      <c r="J257" s="15" t="str">
        <f>IF(E257="Invalid_Segment","Invalid",IFERROR(INDEX(Severity_Matrix!$C$3:$M$10,MATCH('Error Log'!$F257,Severity_Matrix!$B$3:$B$10,0),MATCH('Error Log'!$G257,Severity_Matrix!$C$2:$M$2,0)),"No errors"))</f>
        <v>Critical</v>
      </c>
    </row>
    <row r="258" spans="1:10">
      <c r="A258" s="79" t="s">
        <v>517</v>
      </c>
      <c r="B258" s="18">
        <v>2</v>
      </c>
      <c r="C258" s="78" t="s">
        <v>521</v>
      </c>
      <c r="D258" s="83" t="s">
        <v>522</v>
      </c>
      <c r="E258" s="81" t="s">
        <v>21</v>
      </c>
      <c r="F258" s="81" t="s">
        <v>22</v>
      </c>
      <c r="G258" s="87" t="s">
        <v>57</v>
      </c>
      <c r="H258" s="87" t="s">
        <v>523</v>
      </c>
      <c r="I258" s="81"/>
      <c r="J258" s="15" t="str">
        <f>IF(E258="Invalid_Segment","Invalid",IFERROR(INDEX(Severity_Matrix!$C$3:$M$10,MATCH('Error Log'!$F258,Severity_Matrix!$B$3:$B$10,0),MATCH('Error Log'!$G258,Severity_Matrix!$C$2:$M$2,0)),"No errors"))</f>
        <v>Major</v>
      </c>
    </row>
    <row r="259" spans="1:10">
      <c r="A259" s="79" t="s">
        <v>524</v>
      </c>
      <c r="B259" s="18">
        <v>3</v>
      </c>
      <c r="C259" s="78" t="s">
        <v>525</v>
      </c>
      <c r="D259" s="83" t="s">
        <v>526</v>
      </c>
      <c r="E259" s="87" t="s">
        <v>21</v>
      </c>
      <c r="F259" s="87" t="s">
        <v>7</v>
      </c>
      <c r="G259" s="87" t="s">
        <v>57</v>
      </c>
      <c r="H259" s="87" t="s">
        <v>527</v>
      </c>
      <c r="I259" s="81"/>
      <c r="J259" s="15" t="str">
        <f>IF(E259="Invalid_Segment","Invalid",IFERROR(INDEX(Severity_Matrix!$C$3:$M$10,MATCH('Error Log'!$F259,Severity_Matrix!$B$3:$B$10,0),MATCH('Error Log'!$G259,Severity_Matrix!$C$2:$M$2,0)),"No errors"))</f>
        <v>Critical</v>
      </c>
    </row>
    <row r="260" spans="1:10">
      <c r="A260" s="79" t="s">
        <v>528</v>
      </c>
      <c r="B260" s="18">
        <v>1</v>
      </c>
      <c r="C260" s="83" t="s">
        <v>529</v>
      </c>
      <c r="D260" s="83" t="s">
        <v>530</v>
      </c>
      <c r="E260" s="81" t="s">
        <v>21</v>
      </c>
      <c r="F260" s="81" t="s">
        <v>22</v>
      </c>
      <c r="G260" s="81" t="s">
        <v>57</v>
      </c>
      <c r="H260" s="82" t="s">
        <v>531</v>
      </c>
      <c r="I260" s="81"/>
      <c r="J260" s="15" t="str">
        <f>IF(E260="Invalid_Segment","Invalid",IFERROR(INDEX(Severity_Matrix!$C$3:$M$10,MATCH('Error Log'!$F260,Severity_Matrix!$B$3:$B$10,0),MATCH('Error Log'!$G260,Severity_Matrix!$C$2:$M$2,0)),"No errors"))</f>
        <v>Major</v>
      </c>
    </row>
    <row r="261" spans="1:10">
      <c r="A261" s="79" t="s">
        <v>528</v>
      </c>
      <c r="B261" s="18">
        <v>2</v>
      </c>
      <c r="C261" s="83" t="s">
        <v>532</v>
      </c>
      <c r="D261" s="83" t="s">
        <v>533</v>
      </c>
      <c r="E261" s="81" t="s">
        <v>21</v>
      </c>
      <c r="F261" s="81" t="s">
        <v>22</v>
      </c>
      <c r="G261" s="81" t="s">
        <v>57</v>
      </c>
      <c r="H261" s="81" t="s">
        <v>534</v>
      </c>
      <c r="I261" s="81"/>
      <c r="J261" s="15" t="str">
        <f>IF(E261="Invalid_Segment","Invalid",IFERROR(INDEX(Severity_Matrix!$C$3:$M$10,MATCH('Error Log'!$F261,Severity_Matrix!$B$3:$B$10,0),MATCH('Error Log'!$G261,Severity_Matrix!$C$2:$M$2,0)),"No errors"))</f>
        <v>Major</v>
      </c>
    </row>
    <row r="262" spans="1:10">
      <c r="A262" s="79" t="s">
        <v>535</v>
      </c>
      <c r="B262" s="18">
        <v>3</v>
      </c>
      <c r="C262" s="83" t="s">
        <v>536</v>
      </c>
      <c r="D262" s="83" t="s">
        <v>537</v>
      </c>
      <c r="E262" s="81" t="s">
        <v>21</v>
      </c>
      <c r="F262" s="81" t="s">
        <v>22</v>
      </c>
      <c r="G262" s="81" t="s">
        <v>57</v>
      </c>
      <c r="H262" s="81" t="s">
        <v>538</v>
      </c>
      <c r="I262" s="81"/>
      <c r="J262" s="15" t="str">
        <f>IF(E262="Invalid_Segment","Invalid",IFERROR(INDEX(Severity_Matrix!$C$3:$M$10,MATCH('Error Log'!$F262,Severity_Matrix!$B$3:$B$10,0),MATCH('Error Log'!$G262,Severity_Matrix!$C$2:$M$2,0)),"No errors"))</f>
        <v>Major</v>
      </c>
    </row>
    <row r="263" spans="1:10">
      <c r="A263" s="79" t="s">
        <v>535</v>
      </c>
      <c r="B263" s="18">
        <v>4</v>
      </c>
      <c r="C263" s="83" t="s">
        <v>539</v>
      </c>
      <c r="D263" s="83" t="s">
        <v>540</v>
      </c>
      <c r="E263" s="81" t="s">
        <v>21</v>
      </c>
      <c r="F263" s="81" t="s">
        <v>7</v>
      </c>
      <c r="G263" s="81" t="s">
        <v>57</v>
      </c>
      <c r="H263" s="81" t="s">
        <v>541</v>
      </c>
      <c r="I263" s="81"/>
      <c r="J263" s="15" t="str">
        <f>IF(E263="Invalid_Segment","Invalid",IFERROR(INDEX(Severity_Matrix!$C$3:$M$10,MATCH('Error Log'!$F263,Severity_Matrix!$B$3:$B$10,0),MATCH('Error Log'!$G263,Severity_Matrix!$C$2:$M$2,0)),"No errors"))</f>
        <v>Critical</v>
      </c>
    </row>
    <row r="264" spans="1:10">
      <c r="A264" s="79" t="s">
        <v>535</v>
      </c>
      <c r="B264" s="18">
        <v>5</v>
      </c>
      <c r="C264" s="83" t="s">
        <v>542</v>
      </c>
      <c r="D264" s="83" t="s">
        <v>543</v>
      </c>
      <c r="E264" s="81" t="s">
        <v>21</v>
      </c>
      <c r="F264" s="81" t="s">
        <v>7</v>
      </c>
      <c r="G264" s="81" t="s">
        <v>57</v>
      </c>
      <c r="H264" s="81" t="s">
        <v>544</v>
      </c>
      <c r="I264" s="81"/>
      <c r="J264" s="15" t="str">
        <f>IF(E264="Invalid_Segment","Invalid",IFERROR(INDEX(Severity_Matrix!$C$3:$M$10,MATCH('Error Log'!$F264,Severity_Matrix!$B$3:$B$10,0),MATCH('Error Log'!$G264,Severity_Matrix!$C$2:$M$2,0)),"No errors"))</f>
        <v>Critical</v>
      </c>
    </row>
    <row r="265" spans="1:10">
      <c r="A265" s="79" t="s">
        <v>535</v>
      </c>
      <c r="B265" s="18">
        <v>6</v>
      </c>
      <c r="C265" s="83" t="s">
        <v>545</v>
      </c>
      <c r="D265" s="83" t="s">
        <v>546</v>
      </c>
      <c r="E265" s="81" t="s">
        <v>21</v>
      </c>
      <c r="F265" s="81" t="s">
        <v>7</v>
      </c>
      <c r="G265" s="81" t="s">
        <v>57</v>
      </c>
      <c r="H265" s="81" t="s">
        <v>547</v>
      </c>
      <c r="I265" s="81"/>
      <c r="J265" s="15" t="str">
        <f>IF(E265="Invalid_Segment","Invalid",IFERROR(INDEX(Severity_Matrix!$C$3:$M$10,MATCH('Error Log'!$F265,Severity_Matrix!$B$3:$B$10,0),MATCH('Error Log'!$G265,Severity_Matrix!$C$2:$M$2,0)),"No errors"))</f>
        <v>Critical</v>
      </c>
    </row>
    <row r="266" spans="1:10">
      <c r="A266" s="79" t="s">
        <v>548</v>
      </c>
      <c r="B266" s="18">
        <v>1</v>
      </c>
      <c r="C266" s="83" t="s">
        <v>549</v>
      </c>
      <c r="D266" s="83" t="s">
        <v>550</v>
      </c>
      <c r="E266" s="81" t="s">
        <v>21</v>
      </c>
      <c r="F266" s="81" t="s">
        <v>22</v>
      </c>
      <c r="G266" s="81" t="s">
        <v>57</v>
      </c>
      <c r="H266" s="81" t="s">
        <v>551</v>
      </c>
      <c r="I266" s="81"/>
      <c r="J266" s="15" t="str">
        <f>IF(E266="Invalid_Segment","Invalid",IFERROR(INDEX(Severity_Matrix!$C$3:$M$10,MATCH('Error Log'!$F266,Severity_Matrix!$B$3:$B$10,0),MATCH('Error Log'!$G266,Severity_Matrix!$C$2:$M$2,0)),"No errors"))</f>
        <v>Major</v>
      </c>
    </row>
    <row r="267" spans="1:10">
      <c r="A267" s="79" t="s">
        <v>548</v>
      </c>
      <c r="B267" s="18">
        <v>2</v>
      </c>
      <c r="C267" s="83" t="s">
        <v>552</v>
      </c>
      <c r="D267" s="83" t="s">
        <v>553</v>
      </c>
      <c r="E267" s="81" t="s">
        <v>21</v>
      </c>
      <c r="F267" s="81" t="s">
        <v>22</v>
      </c>
      <c r="G267" s="81" t="s">
        <v>57</v>
      </c>
      <c r="H267" s="81" t="s">
        <v>554</v>
      </c>
      <c r="I267" s="81"/>
      <c r="J267" s="15" t="str">
        <f>IF(E267="Invalid_Segment","Invalid",IFERROR(INDEX(Severity_Matrix!$C$3:$M$10,MATCH('Error Log'!$F267,Severity_Matrix!$B$3:$B$10,0),MATCH('Error Log'!$G267,Severity_Matrix!$C$2:$M$2,0)),"No errors"))</f>
        <v>Major</v>
      </c>
    </row>
    <row r="268" spans="1:10">
      <c r="A268" s="79" t="s">
        <v>555</v>
      </c>
      <c r="B268" s="18">
        <v>3</v>
      </c>
      <c r="C268" s="83" t="s">
        <v>556</v>
      </c>
      <c r="D268" s="83" t="s">
        <v>557</v>
      </c>
      <c r="E268" s="81" t="s">
        <v>21</v>
      </c>
      <c r="F268" s="81" t="s">
        <v>7</v>
      </c>
      <c r="G268" s="81" t="s">
        <v>57</v>
      </c>
      <c r="H268" s="81" t="s">
        <v>558</v>
      </c>
      <c r="I268" s="81"/>
      <c r="J268" s="15" t="str">
        <f>IF(E268="Invalid_Segment","Invalid",IFERROR(INDEX(Severity_Matrix!$C$3:$M$10,MATCH('Error Log'!$F268,Severity_Matrix!$B$3:$B$10,0),MATCH('Error Log'!$G268,Severity_Matrix!$C$2:$M$2,0)),"No errors"))</f>
        <v>Critical</v>
      </c>
    </row>
    <row r="269" spans="1:10">
      <c r="A269" s="79" t="s">
        <v>559</v>
      </c>
      <c r="B269" s="18">
        <v>1</v>
      </c>
      <c r="C269" s="83" t="s">
        <v>560</v>
      </c>
      <c r="D269" s="83" t="s">
        <v>561</v>
      </c>
      <c r="E269" s="81" t="s">
        <v>21</v>
      </c>
      <c r="F269" s="81" t="s">
        <v>22</v>
      </c>
      <c r="G269" s="81" t="s">
        <v>57</v>
      </c>
      <c r="H269" s="81" t="s">
        <v>562</v>
      </c>
      <c r="I269" s="81"/>
      <c r="J269" s="15" t="str">
        <f>IF(E269="Invalid_Segment","Invalid",IFERROR(INDEX(Severity_Matrix!$C$3:$M$10,MATCH('Error Log'!$F269,Severity_Matrix!$B$3:$B$10,0),MATCH('Error Log'!$G269,Severity_Matrix!$C$2:$M$2,0)),"No errors"))</f>
        <v>Major</v>
      </c>
    </row>
    <row r="270" spans="1:10">
      <c r="A270" s="79" t="s">
        <v>559</v>
      </c>
      <c r="B270" s="18">
        <v>2</v>
      </c>
      <c r="C270" s="83" t="s">
        <v>560</v>
      </c>
      <c r="D270" s="83" t="s">
        <v>561</v>
      </c>
      <c r="E270" s="81" t="s">
        <v>21</v>
      </c>
      <c r="F270" s="81" t="s">
        <v>7</v>
      </c>
      <c r="G270" s="81" t="s">
        <v>57</v>
      </c>
      <c r="H270" s="81" t="s">
        <v>563</v>
      </c>
      <c r="I270" s="81"/>
      <c r="J270" s="15" t="str">
        <f>IF(E270="Invalid_Segment","Invalid",IFERROR(INDEX(Severity_Matrix!$C$3:$M$10,MATCH('Error Log'!$F270,Severity_Matrix!$B$3:$B$10,0),MATCH('Error Log'!$G270,Severity_Matrix!$C$2:$M$2,0)),"No errors"))</f>
        <v>Critical</v>
      </c>
    </row>
    <row r="271" spans="1:10">
      <c r="A271" s="79" t="s">
        <v>564</v>
      </c>
      <c r="B271" s="18">
        <v>1</v>
      </c>
      <c r="C271" s="83" t="s">
        <v>565</v>
      </c>
      <c r="D271" s="83" t="s">
        <v>566</v>
      </c>
      <c r="E271" s="81" t="s">
        <v>21</v>
      </c>
      <c r="F271" s="81" t="s">
        <v>22</v>
      </c>
      <c r="G271" s="81" t="s">
        <v>57</v>
      </c>
      <c r="H271" s="82" t="s">
        <v>567</v>
      </c>
      <c r="I271" s="81"/>
      <c r="J271" s="15" t="str">
        <f>IF(E271="Invalid_Segment","Invalid",IFERROR(INDEX(Severity_Matrix!$C$3:$M$10,MATCH('Error Log'!$F271,Severity_Matrix!$B$3:$B$10,0),MATCH('Error Log'!$G271,Severity_Matrix!$C$2:$M$2,0)),"No errors"))</f>
        <v>Major</v>
      </c>
    </row>
    <row r="272" spans="1:10">
      <c r="A272" s="79" t="s">
        <v>564</v>
      </c>
      <c r="B272" s="18">
        <v>2</v>
      </c>
      <c r="C272" s="83" t="s">
        <v>565</v>
      </c>
      <c r="D272" s="83" t="s">
        <v>566</v>
      </c>
      <c r="E272" s="81" t="s">
        <v>21</v>
      </c>
      <c r="F272" s="81" t="s">
        <v>7</v>
      </c>
      <c r="G272" s="81" t="s">
        <v>57</v>
      </c>
      <c r="H272" s="81" t="s">
        <v>568</v>
      </c>
      <c r="I272" s="81"/>
      <c r="J272" s="15" t="str">
        <f>IF(E272="Invalid_Segment","Invalid",IFERROR(INDEX(Severity_Matrix!$C$3:$M$10,MATCH('Error Log'!$F272,Severity_Matrix!$B$3:$B$10,0),MATCH('Error Log'!$G272,Severity_Matrix!$C$2:$M$2,0)),"No errors"))</f>
        <v>Critical</v>
      </c>
    </row>
    <row r="273" spans="1:10">
      <c r="A273" s="79" t="s">
        <v>569</v>
      </c>
      <c r="B273" s="18">
        <v>1</v>
      </c>
      <c r="C273" s="83" t="s">
        <v>570</v>
      </c>
      <c r="D273" s="83" t="s">
        <v>571</v>
      </c>
      <c r="E273" s="81" t="s">
        <v>21</v>
      </c>
      <c r="F273" s="81" t="s">
        <v>22</v>
      </c>
      <c r="G273" s="81" t="s">
        <v>57</v>
      </c>
      <c r="H273" s="81" t="s">
        <v>572</v>
      </c>
      <c r="I273" s="81"/>
      <c r="J273" s="15" t="str">
        <f>IF(E273="Invalid_Segment","Invalid",IFERROR(INDEX(Severity_Matrix!$C$3:$M$10,MATCH('Error Log'!$F273,Severity_Matrix!$B$3:$B$10,0),MATCH('Error Log'!$G273,Severity_Matrix!$C$2:$M$2,0)),"No errors"))</f>
        <v>Major</v>
      </c>
    </row>
    <row r="274" spans="1:10">
      <c r="A274" s="79" t="s">
        <v>573</v>
      </c>
      <c r="B274" s="18">
        <v>1</v>
      </c>
      <c r="C274" s="83" t="s">
        <v>574</v>
      </c>
      <c r="D274" s="83" t="s">
        <v>575</v>
      </c>
      <c r="E274" s="81" t="s">
        <v>21</v>
      </c>
      <c r="F274" s="81" t="s">
        <v>22</v>
      </c>
      <c r="G274" s="81" t="s">
        <v>57</v>
      </c>
      <c r="H274" s="81" t="s">
        <v>576</v>
      </c>
      <c r="I274" s="81"/>
      <c r="J274" s="15" t="str">
        <f>IF(E274="Invalid_Segment","Invalid",IFERROR(INDEX(Severity_Matrix!$C$3:$M$10,MATCH('Error Log'!$F274,Severity_Matrix!$B$3:$B$10,0),MATCH('Error Log'!$G274,Severity_Matrix!$C$2:$M$2,0)),"No errors"))</f>
        <v>Major</v>
      </c>
    </row>
    <row r="275" spans="1:10">
      <c r="A275" s="79" t="s">
        <v>573</v>
      </c>
      <c r="B275" s="18">
        <v>2</v>
      </c>
      <c r="C275" s="83" t="s">
        <v>574</v>
      </c>
      <c r="D275" s="83" t="s">
        <v>575</v>
      </c>
      <c r="E275" s="81" t="s">
        <v>21</v>
      </c>
      <c r="F275" s="81" t="s">
        <v>22</v>
      </c>
      <c r="G275" s="81" t="s">
        <v>57</v>
      </c>
      <c r="H275" s="81" t="s">
        <v>577</v>
      </c>
      <c r="I275" s="81"/>
      <c r="J275" s="15" t="str">
        <f>IF(E275="Invalid_Segment","Invalid",IFERROR(INDEX(Severity_Matrix!$C$3:$M$10,MATCH('Error Log'!$F275,Severity_Matrix!$B$3:$B$10,0),MATCH('Error Log'!$G275,Severity_Matrix!$C$2:$M$2,0)),"No errors"))</f>
        <v>Major</v>
      </c>
    </row>
    <row r="276" spans="1:10">
      <c r="A276" s="79" t="s">
        <v>578</v>
      </c>
      <c r="B276" s="18">
        <v>3</v>
      </c>
      <c r="C276" s="83" t="s">
        <v>574</v>
      </c>
      <c r="D276" s="83" t="s">
        <v>575</v>
      </c>
      <c r="E276" s="81" t="s">
        <v>21</v>
      </c>
      <c r="F276" s="81" t="s">
        <v>22</v>
      </c>
      <c r="G276" s="81" t="s">
        <v>57</v>
      </c>
      <c r="H276" s="81" t="s">
        <v>579</v>
      </c>
      <c r="I276" s="81"/>
      <c r="J276" s="15" t="str">
        <f>IF(E276="Invalid_Segment","Invalid",IFERROR(INDEX(Severity_Matrix!$C$3:$M$10,MATCH('Error Log'!$F276,Severity_Matrix!$B$3:$B$10,0),MATCH('Error Log'!$G276,Severity_Matrix!$C$2:$M$2,0)),"No errors"))</f>
        <v>Major</v>
      </c>
    </row>
    <row r="277" spans="1:10">
      <c r="A277" s="79" t="s">
        <v>578</v>
      </c>
      <c r="B277" s="18">
        <v>4</v>
      </c>
      <c r="C277" s="83" t="s">
        <v>574</v>
      </c>
      <c r="D277" s="83" t="s">
        <v>575</v>
      </c>
      <c r="E277" s="81" t="s">
        <v>21</v>
      </c>
      <c r="F277" s="81" t="s">
        <v>7</v>
      </c>
      <c r="G277" s="81" t="s">
        <v>57</v>
      </c>
      <c r="H277" s="81" t="s">
        <v>580</v>
      </c>
      <c r="I277" s="81"/>
      <c r="J277" s="15" t="str">
        <f>IF(E277="Invalid_Segment","Invalid",IFERROR(INDEX(Severity_Matrix!$C$3:$M$10,MATCH('Error Log'!$F277,Severity_Matrix!$B$3:$B$10,0),MATCH('Error Log'!$G277,Severity_Matrix!$C$2:$M$2,0)),"No errors"))</f>
        <v>Critical</v>
      </c>
    </row>
    <row r="278" spans="1:10" ht="14.4">
      <c r="A278" s="79" t="s">
        <v>578</v>
      </c>
      <c r="B278" s="18">
        <v>5</v>
      </c>
      <c r="C278" s="83" t="s">
        <v>574</v>
      </c>
      <c r="D278" s="83" t="s">
        <v>575</v>
      </c>
      <c r="E278" s="81" t="s">
        <v>21</v>
      </c>
      <c r="F278" s="81" t="s">
        <v>7</v>
      </c>
      <c r="G278" s="81" t="s">
        <v>57</v>
      </c>
      <c r="H278" s="81" t="s">
        <v>581</v>
      </c>
      <c r="I278" s="81"/>
      <c r="J278" s="15" t="str">
        <f>IF(E278="Invalid_Segment","Invalid",IFERROR(INDEX(Severity_Matrix!$C$3:$M$10,MATCH('Error Log'!$F278,Severity_Matrix!$B$3:$B$10,0),MATCH('Error Log'!$G278,Severity_Matrix!$C$2:$M$2,0)),"No errors"))</f>
        <v>Critical</v>
      </c>
    </row>
    <row r="279" spans="1:10">
      <c r="A279" s="79" t="s">
        <v>578</v>
      </c>
      <c r="B279" s="18">
        <v>6</v>
      </c>
      <c r="C279" s="83" t="s">
        <v>574</v>
      </c>
      <c r="D279" s="83" t="s">
        <v>575</v>
      </c>
      <c r="E279" s="81" t="s">
        <v>21</v>
      </c>
      <c r="F279" s="81" t="s">
        <v>7</v>
      </c>
      <c r="G279" s="81" t="s">
        <v>57</v>
      </c>
      <c r="H279" s="81" t="s">
        <v>582</v>
      </c>
      <c r="I279" s="81"/>
      <c r="J279" s="15" t="str">
        <f>IF(E279="Invalid_Segment","Invalid",IFERROR(INDEX(Severity_Matrix!$C$3:$M$10,MATCH('Error Log'!$F279,Severity_Matrix!$B$3:$B$10,0),MATCH('Error Log'!$G279,Severity_Matrix!$C$2:$M$2,0)),"No errors"))</f>
        <v>Critical</v>
      </c>
    </row>
    <row r="280" spans="1:10">
      <c r="A280" s="79" t="s">
        <v>583</v>
      </c>
      <c r="B280" s="18">
        <v>1</v>
      </c>
      <c r="C280" s="83" t="s">
        <v>584</v>
      </c>
      <c r="D280" s="83" t="s">
        <v>585</v>
      </c>
      <c r="E280" s="81" t="s">
        <v>21</v>
      </c>
      <c r="F280" s="81" t="s">
        <v>7</v>
      </c>
      <c r="G280" s="81" t="s">
        <v>57</v>
      </c>
      <c r="H280" s="81" t="s">
        <v>586</v>
      </c>
      <c r="I280" s="81"/>
      <c r="J280" s="15" t="str">
        <f>IF(E280="Invalid_Segment","Invalid",IFERROR(INDEX(Severity_Matrix!$C$3:$M$10,MATCH('Error Log'!$F280,Severity_Matrix!$B$3:$B$10,0),MATCH('Error Log'!$G280,Severity_Matrix!$C$2:$M$2,0)),"No errors"))</f>
        <v>Critical</v>
      </c>
    </row>
    <row r="281" spans="1:10">
      <c r="A281" s="79" t="s">
        <v>587</v>
      </c>
      <c r="B281" s="18">
        <v>1</v>
      </c>
      <c r="C281" s="83" t="s">
        <v>588</v>
      </c>
      <c r="D281" s="83" t="s">
        <v>589</v>
      </c>
      <c r="E281" s="81" t="s">
        <v>21</v>
      </c>
      <c r="F281" s="81" t="s">
        <v>22</v>
      </c>
      <c r="G281" s="81" t="s">
        <v>57</v>
      </c>
      <c r="H281" s="82" t="s">
        <v>590</v>
      </c>
      <c r="I281" s="81"/>
      <c r="J281" s="15" t="str">
        <f>IF(E281="Invalid_Segment","Invalid",IFERROR(INDEX(Severity_Matrix!$C$3:$M$10,MATCH('Error Log'!$F281,Severity_Matrix!$B$3:$B$10,0),MATCH('Error Log'!$G281,Severity_Matrix!$C$2:$M$2,0)),"No errors"))</f>
        <v>Major</v>
      </c>
    </row>
    <row r="282" spans="1:10">
      <c r="A282" s="79" t="s">
        <v>587</v>
      </c>
      <c r="B282" s="18">
        <v>2</v>
      </c>
      <c r="C282" s="83" t="s">
        <v>588</v>
      </c>
      <c r="D282" s="83" t="s">
        <v>589</v>
      </c>
      <c r="E282" s="81" t="s">
        <v>21</v>
      </c>
      <c r="F282" s="81" t="s">
        <v>7</v>
      </c>
      <c r="G282" s="81" t="s">
        <v>57</v>
      </c>
      <c r="H282" s="81" t="s">
        <v>591</v>
      </c>
      <c r="I282" s="81"/>
      <c r="J282" s="15" t="str">
        <f>IF(E282="Invalid_Segment","Invalid",IFERROR(INDEX(Severity_Matrix!$C$3:$M$10,MATCH('Error Log'!$F282,Severity_Matrix!$B$3:$B$10,0),MATCH('Error Log'!$G282,Severity_Matrix!$C$2:$M$2,0)),"No errors"))</f>
        <v>Critical</v>
      </c>
    </row>
    <row r="283" spans="1:10">
      <c r="A283" s="79" t="s">
        <v>592</v>
      </c>
      <c r="B283" s="18">
        <v>1</v>
      </c>
      <c r="C283" s="83" t="s">
        <v>593</v>
      </c>
      <c r="D283" s="83" t="s">
        <v>594</v>
      </c>
      <c r="E283" s="81" t="s">
        <v>21</v>
      </c>
      <c r="F283" s="81" t="s">
        <v>22</v>
      </c>
      <c r="G283" s="81" t="s">
        <v>57</v>
      </c>
      <c r="H283" s="81" t="s">
        <v>595</v>
      </c>
      <c r="I283" s="81"/>
      <c r="J283" s="15" t="str">
        <f>IF(E283="Invalid_Segment","Invalid",IFERROR(INDEX(Severity_Matrix!$C$3:$M$10,MATCH('Error Log'!$F283,Severity_Matrix!$B$3:$B$10,0),MATCH('Error Log'!$G283,Severity_Matrix!$C$2:$M$2,0)),"No errors"))</f>
        <v>Major</v>
      </c>
    </row>
    <row r="284" spans="1:10">
      <c r="A284" s="79" t="s">
        <v>592</v>
      </c>
      <c r="B284" s="18">
        <v>2</v>
      </c>
      <c r="C284" s="83" t="s">
        <v>596</v>
      </c>
      <c r="D284" s="83" t="s">
        <v>594</v>
      </c>
      <c r="E284" s="81" t="s">
        <v>21</v>
      </c>
      <c r="F284" s="81" t="s">
        <v>22</v>
      </c>
      <c r="G284" s="81" t="s">
        <v>57</v>
      </c>
      <c r="H284" s="81" t="s">
        <v>597</v>
      </c>
      <c r="I284" s="81"/>
      <c r="J284" s="15" t="str">
        <f>IF(E284="Invalid_Segment","Invalid",IFERROR(INDEX(Severity_Matrix!$C$3:$M$10,MATCH('Error Log'!$F284,Severity_Matrix!$B$3:$B$10,0),MATCH('Error Log'!$G284,Severity_Matrix!$C$2:$M$2,0)),"No errors"))</f>
        <v>Major</v>
      </c>
    </row>
    <row r="285" spans="1:10">
      <c r="A285" s="79" t="s">
        <v>598</v>
      </c>
      <c r="B285" s="18">
        <v>3</v>
      </c>
      <c r="C285" s="83" t="s">
        <v>599</v>
      </c>
      <c r="D285" s="83" t="s">
        <v>594</v>
      </c>
      <c r="E285" s="81" t="s">
        <v>21</v>
      </c>
      <c r="F285" s="81" t="s">
        <v>7</v>
      </c>
      <c r="G285" s="81" t="s">
        <v>57</v>
      </c>
      <c r="H285" s="81" t="s">
        <v>600</v>
      </c>
      <c r="I285" s="81"/>
      <c r="J285" s="15" t="str">
        <f>IF(E285="Invalid_Segment","Invalid",IFERROR(INDEX(Severity_Matrix!$C$3:$M$10,MATCH('Error Log'!$F285,Severity_Matrix!$B$3:$B$10,0),MATCH('Error Log'!$G285,Severity_Matrix!$C$2:$M$2,0)),"No errors"))</f>
        <v>Critical</v>
      </c>
    </row>
    <row r="286" spans="1:10">
      <c r="A286" s="79" t="s">
        <v>598</v>
      </c>
      <c r="B286" s="18">
        <v>4</v>
      </c>
      <c r="C286" s="83" t="s">
        <v>601</v>
      </c>
      <c r="D286" s="83" t="s">
        <v>594</v>
      </c>
      <c r="E286" s="81" t="s">
        <v>21</v>
      </c>
      <c r="F286" s="81" t="s">
        <v>7</v>
      </c>
      <c r="G286" s="81" t="s">
        <v>57</v>
      </c>
      <c r="H286" s="81" t="s">
        <v>602</v>
      </c>
      <c r="I286" s="81"/>
      <c r="J286" s="15" t="str">
        <f>IF(E286="Invalid_Segment","Invalid",IFERROR(INDEX(Severity_Matrix!$C$3:$M$10,MATCH('Error Log'!$F286,Severity_Matrix!$B$3:$B$10,0),MATCH('Error Log'!$G286,Severity_Matrix!$C$2:$M$2,0)),"No errors"))</f>
        <v>Critical</v>
      </c>
    </row>
    <row r="287" spans="1:10">
      <c r="A287" s="79" t="s">
        <v>598</v>
      </c>
      <c r="B287" s="18">
        <v>5</v>
      </c>
      <c r="C287" s="83" t="s">
        <v>603</v>
      </c>
      <c r="D287" s="83" t="s">
        <v>594</v>
      </c>
      <c r="E287" s="81" t="s">
        <v>21</v>
      </c>
      <c r="F287" s="81" t="s">
        <v>7</v>
      </c>
      <c r="G287" s="81" t="s">
        <v>57</v>
      </c>
      <c r="H287" s="81" t="s">
        <v>604</v>
      </c>
      <c r="I287" s="81"/>
      <c r="J287" s="15" t="str">
        <f>IF(E287="Invalid_Segment","Invalid",IFERROR(INDEX(Severity_Matrix!$C$3:$M$10,MATCH('Error Log'!$F287,Severity_Matrix!$B$3:$B$10,0),MATCH('Error Log'!$G287,Severity_Matrix!$C$2:$M$2,0)),"No errors"))</f>
        <v>Critical</v>
      </c>
    </row>
    <row r="288" spans="1:10">
      <c r="A288" s="79" t="s">
        <v>605</v>
      </c>
      <c r="B288" s="18">
        <v>1</v>
      </c>
      <c r="C288" s="83" t="s">
        <v>606</v>
      </c>
      <c r="D288" s="83" t="s">
        <v>607</v>
      </c>
      <c r="E288" s="81" t="s">
        <v>21</v>
      </c>
      <c r="F288" s="81" t="s">
        <v>22</v>
      </c>
      <c r="G288" s="81" t="s">
        <v>57</v>
      </c>
      <c r="H288" s="81" t="s">
        <v>608</v>
      </c>
      <c r="I288" s="81"/>
      <c r="J288" s="15" t="str">
        <f>IF(E288="Invalid_Segment","Invalid",IFERROR(INDEX(Severity_Matrix!$C$3:$M$10,MATCH('Error Log'!$F288,Severity_Matrix!$B$3:$B$10,0),MATCH('Error Log'!$G288,Severity_Matrix!$C$2:$M$2,0)),"No errors"))</f>
        <v>Major</v>
      </c>
    </row>
    <row r="289" spans="1:10">
      <c r="A289" s="79" t="s">
        <v>605</v>
      </c>
      <c r="B289" s="18">
        <v>2</v>
      </c>
      <c r="C289" s="83" t="s">
        <v>606</v>
      </c>
      <c r="D289" s="83" t="s">
        <v>607</v>
      </c>
      <c r="E289" s="81" t="s">
        <v>21</v>
      </c>
      <c r="F289" s="81" t="s">
        <v>7</v>
      </c>
      <c r="G289" s="81" t="s">
        <v>57</v>
      </c>
      <c r="H289" s="81" t="s">
        <v>609</v>
      </c>
      <c r="I289" s="81"/>
      <c r="J289" s="15" t="str">
        <f>IF(E289="Invalid_Segment","Invalid",IFERROR(INDEX(Severity_Matrix!$C$3:$M$10,MATCH('Error Log'!$F289,Severity_Matrix!$B$3:$B$10,0),MATCH('Error Log'!$G289,Severity_Matrix!$C$2:$M$2,0)),"No errors"))</f>
        <v>Critical</v>
      </c>
    </row>
    <row r="290" spans="1:10">
      <c r="A290" s="79" t="s">
        <v>610</v>
      </c>
      <c r="B290" s="18">
        <v>1</v>
      </c>
      <c r="C290" s="83" t="s">
        <v>611</v>
      </c>
      <c r="D290" s="83" t="s">
        <v>612</v>
      </c>
      <c r="E290" s="81" t="s">
        <v>21</v>
      </c>
      <c r="F290" s="81" t="s">
        <v>7</v>
      </c>
      <c r="G290" s="81" t="s">
        <v>57</v>
      </c>
      <c r="H290" s="81" t="s">
        <v>613</v>
      </c>
      <c r="I290" s="81"/>
      <c r="J290" s="15" t="str">
        <f>IF(E290="Invalid_Segment","Invalid",IFERROR(INDEX(Severity_Matrix!$C$3:$M$10,MATCH('Error Log'!$F290,Severity_Matrix!$B$3:$B$10,0),MATCH('Error Log'!$G290,Severity_Matrix!$C$2:$M$2,0)),"No errors"))</f>
        <v>Critical</v>
      </c>
    </row>
    <row r="291" spans="1:10">
      <c r="A291" s="79" t="s">
        <v>614</v>
      </c>
      <c r="B291" s="18">
        <v>1</v>
      </c>
      <c r="C291" s="83" t="s">
        <v>615</v>
      </c>
      <c r="D291" s="83" t="s">
        <v>616</v>
      </c>
      <c r="E291" s="81" t="s">
        <v>21</v>
      </c>
      <c r="F291" s="81" t="s">
        <v>22</v>
      </c>
      <c r="G291" s="81" t="s">
        <v>57</v>
      </c>
      <c r="H291" s="81" t="s">
        <v>617</v>
      </c>
      <c r="I291" s="81"/>
      <c r="J291" s="15" t="str">
        <f>IF(E291="Invalid_Segment","Invalid",IFERROR(INDEX(Severity_Matrix!$C$3:$M$10,MATCH('Error Log'!$F291,Severity_Matrix!$B$3:$B$10,0),MATCH('Error Log'!$G291,Severity_Matrix!$C$2:$M$2,0)),"No errors"))</f>
        <v>Major</v>
      </c>
    </row>
    <row r="292" spans="1:10">
      <c r="A292" s="79" t="s">
        <v>614</v>
      </c>
      <c r="B292" s="18">
        <v>2</v>
      </c>
      <c r="C292" s="83" t="s">
        <v>615</v>
      </c>
      <c r="D292" s="83" t="s">
        <v>616</v>
      </c>
      <c r="E292" s="81" t="s">
        <v>21</v>
      </c>
      <c r="F292" s="81" t="s">
        <v>7</v>
      </c>
      <c r="G292" s="81" t="s">
        <v>57</v>
      </c>
      <c r="H292" s="81" t="s">
        <v>618</v>
      </c>
      <c r="I292" s="81"/>
      <c r="J292" s="15" t="str">
        <f>IF(E292="Invalid_Segment","Invalid",IFERROR(INDEX(Severity_Matrix!$C$3:$M$10,MATCH('Error Log'!$F292,Severity_Matrix!$B$3:$B$10,0),MATCH('Error Log'!$G292,Severity_Matrix!$C$2:$M$2,0)),"No errors"))</f>
        <v>Critical</v>
      </c>
    </row>
    <row r="293" spans="1:10">
      <c r="A293" s="79" t="s">
        <v>619</v>
      </c>
      <c r="B293" s="18">
        <v>3</v>
      </c>
      <c r="C293" s="83" t="s">
        <v>615</v>
      </c>
      <c r="D293" s="83" t="s">
        <v>616</v>
      </c>
      <c r="E293" s="81" t="s">
        <v>21</v>
      </c>
      <c r="F293" s="81" t="s">
        <v>7</v>
      </c>
      <c r="G293" s="81" t="s">
        <v>57</v>
      </c>
      <c r="H293" s="81" t="s">
        <v>620</v>
      </c>
      <c r="I293" s="81"/>
      <c r="J293" s="15" t="str">
        <f>IF(E293="Invalid_Segment","Invalid",IFERROR(INDEX(Severity_Matrix!$C$3:$M$10,MATCH('Error Log'!$F293,Severity_Matrix!$B$3:$B$10,0),MATCH('Error Log'!$G293,Severity_Matrix!$C$2:$M$2,0)),"No errors"))</f>
        <v>Critical</v>
      </c>
    </row>
    <row r="294" spans="1:10">
      <c r="A294" s="79" t="s">
        <v>621</v>
      </c>
      <c r="B294" s="18">
        <v>1</v>
      </c>
      <c r="C294" s="83" t="s">
        <v>622</v>
      </c>
      <c r="D294" s="83" t="s">
        <v>623</v>
      </c>
      <c r="E294" s="81" t="s">
        <v>21</v>
      </c>
      <c r="F294" s="81" t="s">
        <v>22</v>
      </c>
      <c r="G294" s="81" t="s">
        <v>57</v>
      </c>
      <c r="H294" s="81" t="s">
        <v>624</v>
      </c>
      <c r="I294" s="81"/>
      <c r="J294" s="15" t="str">
        <f>IF(E294="Invalid_Segment","Invalid",IFERROR(INDEX(Severity_Matrix!$C$3:$M$10,MATCH('Error Log'!$F294,Severity_Matrix!$B$3:$B$10,0),MATCH('Error Log'!$G294,Severity_Matrix!$C$2:$M$2,0)),"No errors"))</f>
        <v>Major</v>
      </c>
    </row>
    <row r="295" spans="1:10">
      <c r="A295" s="79" t="s">
        <v>621</v>
      </c>
      <c r="B295" s="18">
        <v>2</v>
      </c>
      <c r="C295" s="83" t="s">
        <v>622</v>
      </c>
      <c r="D295" s="83" t="s">
        <v>623</v>
      </c>
      <c r="E295" s="81" t="s">
        <v>21</v>
      </c>
      <c r="F295" s="81" t="s">
        <v>7</v>
      </c>
      <c r="G295" s="81" t="s">
        <v>57</v>
      </c>
      <c r="H295" s="81" t="s">
        <v>625</v>
      </c>
      <c r="I295" s="81"/>
      <c r="J295" s="15" t="str">
        <f>IF(E295="Invalid_Segment","Invalid",IFERROR(INDEX(Severity_Matrix!$C$3:$M$10,MATCH('Error Log'!$F295,Severity_Matrix!$B$3:$B$10,0),MATCH('Error Log'!$G295,Severity_Matrix!$C$2:$M$2,0)),"No errors"))</f>
        <v>Critical</v>
      </c>
    </row>
    <row r="296" spans="1:10">
      <c r="A296" s="79" t="s">
        <v>626</v>
      </c>
      <c r="B296" s="18">
        <v>3</v>
      </c>
      <c r="C296" s="83" t="s">
        <v>622</v>
      </c>
      <c r="D296" s="83" t="s">
        <v>623</v>
      </c>
      <c r="E296" s="81" t="s">
        <v>21</v>
      </c>
      <c r="F296" s="81" t="s">
        <v>7</v>
      </c>
      <c r="G296" s="81" t="s">
        <v>57</v>
      </c>
      <c r="H296" s="81" t="s">
        <v>627</v>
      </c>
      <c r="I296" s="81"/>
      <c r="J296" s="15" t="str">
        <f>IF(E296="Invalid_Segment","Invalid",IFERROR(INDEX(Severity_Matrix!$C$3:$M$10,MATCH('Error Log'!$F296,Severity_Matrix!$B$3:$B$10,0),MATCH('Error Log'!$G296,Severity_Matrix!$C$2:$M$2,0)),"No errors"))</f>
        <v>Critical</v>
      </c>
    </row>
    <row r="297" spans="1:10">
      <c r="A297" s="79" t="s">
        <v>628</v>
      </c>
      <c r="B297" s="18">
        <v>1</v>
      </c>
      <c r="C297" s="83" t="s">
        <v>629</v>
      </c>
      <c r="D297" s="83" t="s">
        <v>630</v>
      </c>
      <c r="E297" s="81" t="s">
        <v>2</v>
      </c>
      <c r="F297" s="81" t="s">
        <v>26</v>
      </c>
      <c r="G297" s="81" t="s">
        <v>57</v>
      </c>
      <c r="H297" s="81" t="s">
        <v>631</v>
      </c>
      <c r="I297" s="81"/>
      <c r="J297" s="15" t="str">
        <f>IF(E297="Invalid_Segment","Invalid",IFERROR(INDEX(Severity_Matrix!$C$3:$M$10,MATCH('Error Log'!$F297,Severity_Matrix!$B$3:$B$10,0),MATCH('Error Log'!$G297,Severity_Matrix!$C$2:$M$2,0)),"No errors"))</f>
        <v>Major</v>
      </c>
    </row>
    <row r="298" spans="1:10">
      <c r="A298" s="79" t="s">
        <v>628</v>
      </c>
      <c r="B298" s="18">
        <v>2</v>
      </c>
      <c r="C298" s="83" t="s">
        <v>629</v>
      </c>
      <c r="D298" s="83" t="s">
        <v>630</v>
      </c>
      <c r="E298" s="81" t="s">
        <v>21</v>
      </c>
      <c r="F298" s="81" t="s">
        <v>7</v>
      </c>
      <c r="G298" s="81" t="s">
        <v>57</v>
      </c>
      <c r="H298" s="81" t="s">
        <v>632</v>
      </c>
      <c r="I298" s="81"/>
      <c r="J298" s="15" t="str">
        <f>IF(E298="Invalid_Segment","Invalid",IFERROR(INDEX(Severity_Matrix!$C$3:$M$10,MATCH('Error Log'!$F298,Severity_Matrix!$B$3:$B$10,0),MATCH('Error Log'!$G298,Severity_Matrix!$C$2:$M$2,0)),"No errors"))</f>
        <v>Critical</v>
      </c>
    </row>
    <row r="299" spans="1:10">
      <c r="A299" s="79" t="s">
        <v>633</v>
      </c>
      <c r="B299" s="18">
        <v>1</v>
      </c>
      <c r="C299" s="83" t="s">
        <v>634</v>
      </c>
      <c r="D299" s="83" t="s">
        <v>635</v>
      </c>
      <c r="E299" s="81" t="s">
        <v>21</v>
      </c>
      <c r="F299" s="81" t="s">
        <v>22</v>
      </c>
      <c r="G299" s="81" t="s">
        <v>57</v>
      </c>
      <c r="H299" s="81" t="s">
        <v>636</v>
      </c>
      <c r="I299" s="81"/>
      <c r="J299" s="15" t="str">
        <f>IF(E299="Invalid_Segment","Invalid",IFERROR(INDEX(Severity_Matrix!$C$3:$M$10,MATCH('Error Log'!$F299,Severity_Matrix!$B$3:$B$10,0),MATCH('Error Log'!$G299,Severity_Matrix!$C$2:$M$2,0)),"No errors"))</f>
        <v>Major</v>
      </c>
    </row>
    <row r="300" spans="1:10">
      <c r="A300" s="79" t="s">
        <v>633</v>
      </c>
      <c r="B300" s="18">
        <v>2</v>
      </c>
      <c r="C300" s="83" t="s">
        <v>634</v>
      </c>
      <c r="D300" s="83" t="s">
        <v>635</v>
      </c>
      <c r="E300" s="81" t="s">
        <v>21</v>
      </c>
      <c r="F300" s="81" t="s">
        <v>7</v>
      </c>
      <c r="G300" s="81" t="s">
        <v>57</v>
      </c>
      <c r="H300" s="81" t="s">
        <v>637</v>
      </c>
      <c r="I300" s="81"/>
      <c r="J300" s="15" t="str">
        <f>IF(E300="Invalid_Segment","Invalid",IFERROR(INDEX(Severity_Matrix!$C$3:$M$10,MATCH('Error Log'!$F300,Severity_Matrix!$B$3:$B$10,0),MATCH('Error Log'!$G300,Severity_Matrix!$C$2:$M$2,0)),"No errors"))</f>
        <v>Critical</v>
      </c>
    </row>
    <row r="301" spans="1:10">
      <c r="A301" s="79" t="s">
        <v>633</v>
      </c>
      <c r="B301" s="18">
        <v>3</v>
      </c>
      <c r="C301" s="83" t="s">
        <v>634</v>
      </c>
      <c r="D301" s="83" t="s">
        <v>635</v>
      </c>
      <c r="E301" s="81" t="s">
        <v>21</v>
      </c>
      <c r="F301" s="81" t="s">
        <v>7</v>
      </c>
      <c r="G301" s="81" t="s">
        <v>57</v>
      </c>
      <c r="H301" s="81" t="s">
        <v>638</v>
      </c>
      <c r="I301" s="81"/>
      <c r="J301" s="15" t="str">
        <f>IF(E301="Invalid_Segment","Invalid",IFERROR(INDEX(Severity_Matrix!$C$3:$M$10,MATCH('Error Log'!$F301,Severity_Matrix!$B$3:$B$10,0),MATCH('Error Log'!$G301,Severity_Matrix!$C$2:$M$2,0)),"No errors"))</f>
        <v>Critical</v>
      </c>
    </row>
    <row r="302" spans="1:10">
      <c r="A302" s="79" t="s">
        <v>639</v>
      </c>
      <c r="B302" s="18">
        <v>1</v>
      </c>
      <c r="C302" s="83" t="s">
        <v>640</v>
      </c>
      <c r="D302" s="83" t="s">
        <v>641</v>
      </c>
      <c r="E302" s="81" t="s">
        <v>21</v>
      </c>
      <c r="F302" s="81" t="s">
        <v>22</v>
      </c>
      <c r="G302" s="81" t="s">
        <v>57</v>
      </c>
      <c r="H302" s="81" t="s">
        <v>642</v>
      </c>
      <c r="I302" s="81"/>
      <c r="J302" s="15" t="str">
        <f>IF(E302="Invalid_Segment","Invalid",IFERROR(INDEX(Severity_Matrix!$C$3:$M$10,MATCH('Error Log'!$F302,Severity_Matrix!$B$3:$B$10,0),MATCH('Error Log'!$G302,Severity_Matrix!$C$2:$M$2,0)),"No errors"))</f>
        <v>Major</v>
      </c>
    </row>
    <row r="303" spans="1:10">
      <c r="A303" s="79" t="s">
        <v>639</v>
      </c>
      <c r="B303" s="18">
        <v>2</v>
      </c>
      <c r="C303" s="83" t="s">
        <v>643</v>
      </c>
      <c r="D303" s="83" t="s">
        <v>644</v>
      </c>
      <c r="E303" s="81" t="s">
        <v>21</v>
      </c>
      <c r="F303" s="81" t="s">
        <v>63</v>
      </c>
      <c r="G303" s="81" t="s">
        <v>29</v>
      </c>
      <c r="H303" s="81">
        <v>1978</v>
      </c>
      <c r="I303" s="81"/>
      <c r="J303" s="15" t="str">
        <f>IF(E303="Invalid_Segment","Invalid",IFERROR(INDEX(Severity_Matrix!$C$3:$M$10,MATCH('Error Log'!$F303,Severity_Matrix!$B$3:$B$10,0),MATCH('Error Log'!$G303,Severity_Matrix!$C$2:$M$2,0)),"No errors"))</f>
        <v>Critical</v>
      </c>
    </row>
    <row r="304" spans="1:10">
      <c r="A304" s="79" t="s">
        <v>645</v>
      </c>
      <c r="B304" s="18">
        <v>3</v>
      </c>
      <c r="C304" s="83" t="s">
        <v>646</v>
      </c>
      <c r="D304" s="83" t="s">
        <v>647</v>
      </c>
      <c r="E304" s="81" t="s">
        <v>21</v>
      </c>
      <c r="F304" s="81" t="s">
        <v>22</v>
      </c>
      <c r="G304" s="81" t="s">
        <v>57</v>
      </c>
      <c r="H304" s="81" t="s">
        <v>648</v>
      </c>
      <c r="I304" s="81"/>
      <c r="J304" s="15" t="str">
        <f>IF(E304="Invalid_Segment","Invalid",IFERROR(INDEX(Severity_Matrix!$C$3:$M$10,MATCH('Error Log'!$F304,Severity_Matrix!$B$3:$B$10,0),MATCH('Error Log'!$G304,Severity_Matrix!$C$2:$M$2,0)),"No errors"))</f>
        <v>Major</v>
      </c>
    </row>
    <row r="305" spans="1:10">
      <c r="A305" s="79" t="s">
        <v>645</v>
      </c>
      <c r="B305" s="18">
        <v>4</v>
      </c>
      <c r="C305" s="83" t="s">
        <v>649</v>
      </c>
      <c r="D305" s="83" t="s">
        <v>650</v>
      </c>
      <c r="E305" s="81" t="s">
        <v>21</v>
      </c>
      <c r="F305" s="81" t="s">
        <v>22</v>
      </c>
      <c r="G305" s="81" t="s">
        <v>57</v>
      </c>
      <c r="H305" s="81" t="s">
        <v>651</v>
      </c>
      <c r="I305" s="81"/>
      <c r="J305" s="15" t="str">
        <f>IF(E305="Invalid_Segment","Invalid",IFERROR(INDEX(Severity_Matrix!$C$3:$M$10,MATCH('Error Log'!$F305,Severity_Matrix!$B$3:$B$10,0),MATCH('Error Log'!$G305,Severity_Matrix!$C$2:$M$2,0)),"No errors"))</f>
        <v>Major</v>
      </c>
    </row>
    <row r="306" spans="1:10">
      <c r="A306" s="79" t="s">
        <v>645</v>
      </c>
      <c r="B306" s="18">
        <v>5</v>
      </c>
      <c r="C306" s="83" t="s">
        <v>652</v>
      </c>
      <c r="D306" s="83" t="s">
        <v>653</v>
      </c>
      <c r="E306" s="81" t="s">
        <v>21</v>
      </c>
      <c r="F306" s="81" t="s">
        <v>7</v>
      </c>
      <c r="G306" s="81" t="s">
        <v>57</v>
      </c>
      <c r="H306" s="81" t="s">
        <v>654</v>
      </c>
      <c r="I306" s="81"/>
      <c r="J306" s="15" t="str">
        <f>IF(E306="Invalid_Segment","Invalid",IFERROR(INDEX(Severity_Matrix!$C$3:$M$10,MATCH('Error Log'!$F306,Severity_Matrix!$B$3:$B$10,0),MATCH('Error Log'!$G306,Severity_Matrix!$C$2:$M$2,0)),"No errors"))</f>
        <v>Critical</v>
      </c>
    </row>
    <row r="307" spans="1:10">
      <c r="A307" s="79" t="s">
        <v>645</v>
      </c>
      <c r="B307" s="18">
        <v>6</v>
      </c>
      <c r="C307" s="83" t="s">
        <v>655</v>
      </c>
      <c r="D307" s="83" t="s">
        <v>656</v>
      </c>
      <c r="E307" s="81" t="s">
        <v>21</v>
      </c>
      <c r="F307" s="81" t="s">
        <v>7</v>
      </c>
      <c r="G307" s="81" t="s">
        <v>57</v>
      </c>
      <c r="H307" s="81" t="s">
        <v>657</v>
      </c>
      <c r="I307" s="81"/>
      <c r="J307" s="15" t="str">
        <f>IF(E307="Invalid_Segment","Invalid",IFERROR(INDEX(Severity_Matrix!$C$3:$M$10,MATCH('Error Log'!$F307,Severity_Matrix!$B$3:$B$10,0),MATCH('Error Log'!$G307,Severity_Matrix!$C$2:$M$2,0)),"No errors"))</f>
        <v>Critical</v>
      </c>
    </row>
    <row r="308" spans="1:10">
      <c r="A308" s="79" t="s">
        <v>645</v>
      </c>
      <c r="B308" s="18">
        <v>7</v>
      </c>
      <c r="C308" s="83" t="s">
        <v>658</v>
      </c>
      <c r="D308" s="83" t="s">
        <v>659</v>
      </c>
      <c r="E308" s="81" t="s">
        <v>21</v>
      </c>
      <c r="F308" s="81" t="s">
        <v>7</v>
      </c>
      <c r="G308" s="81" t="s">
        <v>57</v>
      </c>
      <c r="H308" s="81" t="s">
        <v>660</v>
      </c>
      <c r="I308" s="81"/>
      <c r="J308" s="15" t="str">
        <f>IF(E308="Invalid_Segment","Invalid",IFERROR(INDEX(Severity_Matrix!$C$3:$M$10,MATCH('Error Log'!$F308,Severity_Matrix!$B$3:$B$10,0),MATCH('Error Log'!$G308,Severity_Matrix!$C$2:$M$2,0)),"No errors"))</f>
        <v>Critical</v>
      </c>
    </row>
    <row r="309" spans="1:10">
      <c r="A309" s="19" t="s">
        <v>960</v>
      </c>
      <c r="B309" s="18">
        <v>1</v>
      </c>
      <c r="C309" s="83" t="s">
        <v>814</v>
      </c>
      <c r="D309" s="83" t="s">
        <v>815</v>
      </c>
      <c r="E309" s="81" t="s">
        <v>21</v>
      </c>
      <c r="F309" s="81" t="s">
        <v>7</v>
      </c>
      <c r="G309" s="81" t="s">
        <v>57</v>
      </c>
      <c r="H309" s="81" t="s">
        <v>816</v>
      </c>
      <c r="I309" s="81"/>
      <c r="J309" s="15" t="str">
        <f>IF(E309="Invalid_Segment","Invalid",IFERROR(INDEX(Severity_Matrix!$C$3:$M$10,MATCH('Error Log'!$F309,Severity_Matrix!$B$3:$B$10,0),MATCH('Error Log'!$G309,Severity_Matrix!$C$2:$M$2,0)),"No errors"))</f>
        <v>Critical</v>
      </c>
    </row>
    <row r="310" spans="1:10">
      <c r="A310" s="19" t="s">
        <v>960</v>
      </c>
      <c r="B310" s="18">
        <v>2</v>
      </c>
      <c r="C310" s="83" t="s">
        <v>814</v>
      </c>
      <c r="D310" s="83" t="s">
        <v>815</v>
      </c>
      <c r="E310" s="81" t="s">
        <v>21</v>
      </c>
      <c r="F310" s="81" t="s">
        <v>22</v>
      </c>
      <c r="G310" s="81" t="s">
        <v>57</v>
      </c>
      <c r="H310" s="81" t="s">
        <v>817</v>
      </c>
      <c r="I310" s="81"/>
      <c r="J310" s="15" t="str">
        <f>IF(E310="Invalid_Segment","Invalid",IFERROR(INDEX(Severity_Matrix!$C$3:$M$10,MATCH('Error Log'!$F310,Severity_Matrix!$B$3:$B$10,0),MATCH('Error Log'!$G310,Severity_Matrix!$C$2:$M$2,0)),"No errors"))</f>
        <v>Major</v>
      </c>
    </row>
    <row r="311" spans="1:10">
      <c r="A311" s="19" t="s">
        <v>961</v>
      </c>
      <c r="B311" s="18">
        <v>1</v>
      </c>
      <c r="C311" s="83" t="s">
        <v>818</v>
      </c>
      <c r="D311" s="83" t="s">
        <v>819</v>
      </c>
      <c r="E311" s="81" t="s">
        <v>21</v>
      </c>
      <c r="F311" s="81" t="s">
        <v>7</v>
      </c>
      <c r="G311" s="81" t="s">
        <v>57</v>
      </c>
      <c r="H311" s="81" t="s">
        <v>737</v>
      </c>
      <c r="I311" s="81"/>
      <c r="J311" s="15" t="str">
        <f>IF(E311="Invalid_Segment","Invalid",IFERROR(INDEX(Severity_Matrix!$C$3:$M$10,MATCH('Error Log'!$F311,Severity_Matrix!$B$3:$B$10,0),MATCH('Error Log'!$G311,Severity_Matrix!$C$2:$M$2,0)),"No errors"))</f>
        <v>Critical</v>
      </c>
    </row>
    <row r="312" spans="1:10">
      <c r="A312" s="19" t="s">
        <v>961</v>
      </c>
      <c r="B312" s="18">
        <v>2</v>
      </c>
      <c r="C312" s="83" t="s">
        <v>818</v>
      </c>
      <c r="D312" s="83" t="s">
        <v>819</v>
      </c>
      <c r="E312" s="81" t="s">
        <v>21</v>
      </c>
      <c r="F312" s="81" t="s">
        <v>7</v>
      </c>
      <c r="G312" s="81" t="s">
        <v>57</v>
      </c>
      <c r="H312" s="81" t="s">
        <v>820</v>
      </c>
      <c r="I312" s="81"/>
      <c r="J312" s="15" t="str">
        <f>IF(E312="Invalid_Segment","Invalid",IFERROR(INDEX(Severity_Matrix!$C$3:$M$10,MATCH('Error Log'!$F312,Severity_Matrix!$B$3:$B$10,0),MATCH('Error Log'!$G312,Severity_Matrix!$C$2:$M$2,0)),"No errors"))</f>
        <v>Critical</v>
      </c>
    </row>
    <row r="313" spans="1:10">
      <c r="A313" s="19" t="s">
        <v>962</v>
      </c>
      <c r="B313" s="18">
        <v>1</v>
      </c>
      <c r="C313" s="83" t="s">
        <v>821</v>
      </c>
      <c r="D313" s="83" t="s">
        <v>822</v>
      </c>
      <c r="E313" s="81" t="s">
        <v>21</v>
      </c>
      <c r="F313" s="81" t="s">
        <v>7</v>
      </c>
      <c r="G313" s="81" t="s">
        <v>57</v>
      </c>
      <c r="H313" s="81" t="s">
        <v>823</v>
      </c>
      <c r="I313" s="81"/>
      <c r="J313" s="15" t="str">
        <f>IF(E313="Invalid_Segment","Invalid",IFERROR(INDEX(Severity_Matrix!$C$3:$M$10,MATCH('Error Log'!$F313,Severity_Matrix!$B$3:$B$10,0),MATCH('Error Log'!$G313,Severity_Matrix!$C$2:$M$2,0)),"No errors"))</f>
        <v>Critical</v>
      </c>
    </row>
    <row r="314" spans="1:10">
      <c r="A314" s="19" t="s">
        <v>963</v>
      </c>
      <c r="B314" s="18">
        <v>1</v>
      </c>
      <c r="C314" s="83" t="s">
        <v>824</v>
      </c>
      <c r="D314" s="83" t="s">
        <v>825</v>
      </c>
      <c r="E314" s="81" t="s">
        <v>21</v>
      </c>
      <c r="F314" s="81" t="s">
        <v>22</v>
      </c>
      <c r="G314" s="81" t="s">
        <v>57</v>
      </c>
      <c r="H314" s="81" t="s">
        <v>738</v>
      </c>
      <c r="I314" s="81"/>
      <c r="J314" s="15" t="str">
        <f>IF(E314="Invalid_Segment","Invalid",IFERROR(INDEX(Severity_Matrix!$C$3:$M$10,MATCH('Error Log'!$F314,Severity_Matrix!$B$3:$B$10,0),MATCH('Error Log'!$G314,Severity_Matrix!$C$2:$M$2,0)),"No errors"))</f>
        <v>Major</v>
      </c>
    </row>
    <row r="315" spans="1:10">
      <c r="A315" s="19" t="s">
        <v>963</v>
      </c>
      <c r="B315" s="18">
        <v>2</v>
      </c>
      <c r="C315" s="83" t="s">
        <v>824</v>
      </c>
      <c r="D315" s="83" t="s">
        <v>825</v>
      </c>
      <c r="E315" s="81" t="s">
        <v>21</v>
      </c>
      <c r="F315" s="81" t="s">
        <v>7</v>
      </c>
      <c r="G315" s="81" t="s">
        <v>57</v>
      </c>
      <c r="H315" s="81" t="s">
        <v>739</v>
      </c>
      <c r="I315" s="81"/>
      <c r="J315" s="15" t="str">
        <f>IF(E315="Invalid_Segment","Invalid",IFERROR(INDEX(Severity_Matrix!$C$3:$M$10,MATCH('Error Log'!$F315,Severity_Matrix!$B$3:$B$10,0),MATCH('Error Log'!$G315,Severity_Matrix!$C$2:$M$2,0)),"No errors"))</f>
        <v>Critical</v>
      </c>
    </row>
    <row r="316" spans="1:10">
      <c r="A316" s="19" t="s">
        <v>964</v>
      </c>
      <c r="B316" s="18">
        <v>1</v>
      </c>
      <c r="C316" s="83" t="s">
        <v>826</v>
      </c>
      <c r="D316" s="83" t="s">
        <v>827</v>
      </c>
      <c r="E316" s="81" t="s">
        <v>21</v>
      </c>
      <c r="F316" s="81" t="s">
        <v>22</v>
      </c>
      <c r="G316" s="81" t="s">
        <v>57</v>
      </c>
      <c r="H316" s="81" t="s">
        <v>740</v>
      </c>
      <c r="I316" s="81"/>
      <c r="J316" s="15" t="str">
        <f>IF(E316="Invalid_Segment","Invalid",IFERROR(INDEX(Severity_Matrix!$C$3:$M$10,MATCH('Error Log'!$F316,Severity_Matrix!$B$3:$B$10,0),MATCH('Error Log'!$G316,Severity_Matrix!$C$2:$M$2,0)),"No errors"))</f>
        <v>Major</v>
      </c>
    </row>
    <row r="317" spans="1:10">
      <c r="A317" s="19" t="s">
        <v>964</v>
      </c>
      <c r="B317" s="18">
        <v>2</v>
      </c>
      <c r="C317" s="83" t="s">
        <v>826</v>
      </c>
      <c r="D317" s="83" t="s">
        <v>827</v>
      </c>
      <c r="E317" s="81" t="s">
        <v>21</v>
      </c>
      <c r="F317" s="81" t="s">
        <v>7</v>
      </c>
      <c r="G317" s="81" t="s">
        <v>57</v>
      </c>
      <c r="H317" s="81" t="s">
        <v>741</v>
      </c>
      <c r="I317" s="81"/>
      <c r="J317" s="15" t="str">
        <f>IF(E317="Invalid_Segment","Invalid",IFERROR(INDEX(Severity_Matrix!$C$3:$M$10,MATCH('Error Log'!$F317,Severity_Matrix!$B$3:$B$10,0),MATCH('Error Log'!$G317,Severity_Matrix!$C$2:$M$2,0)),"No errors"))</f>
        <v>Critical</v>
      </c>
    </row>
    <row r="318" spans="1:10">
      <c r="A318" s="19" t="s">
        <v>965</v>
      </c>
      <c r="B318" s="18">
        <v>1</v>
      </c>
      <c r="C318" s="83" t="s">
        <v>828</v>
      </c>
      <c r="D318" s="83" t="s">
        <v>829</v>
      </c>
      <c r="E318" s="81" t="s">
        <v>21</v>
      </c>
      <c r="F318" s="81" t="s">
        <v>7</v>
      </c>
      <c r="G318" s="81" t="s">
        <v>57</v>
      </c>
      <c r="H318" s="81" t="s">
        <v>742</v>
      </c>
      <c r="I318" s="81"/>
      <c r="J318" s="15" t="str">
        <f>IF(E318="Invalid_Segment","Invalid",IFERROR(INDEX(Severity_Matrix!$C$3:$M$10,MATCH('Error Log'!$F318,Severity_Matrix!$B$3:$B$10,0),MATCH('Error Log'!$G318,Severity_Matrix!$C$2:$M$2,0)),"No errors"))</f>
        <v>Critical</v>
      </c>
    </row>
    <row r="319" spans="1:10">
      <c r="A319" s="19" t="s">
        <v>965</v>
      </c>
      <c r="B319" s="18">
        <v>2</v>
      </c>
      <c r="C319" s="83" t="s">
        <v>828</v>
      </c>
      <c r="D319" s="83" t="s">
        <v>829</v>
      </c>
      <c r="E319" s="81" t="s">
        <v>21</v>
      </c>
      <c r="F319" s="81" t="s">
        <v>63</v>
      </c>
      <c r="G319" s="81" t="s">
        <v>28</v>
      </c>
      <c r="H319" s="81" t="s">
        <v>743</v>
      </c>
      <c r="I319" s="81"/>
      <c r="J319" s="15" t="str">
        <f>IF(E319="Invalid_Segment","Invalid",IFERROR(INDEX(Severity_Matrix!$C$3:$M$10,MATCH('Error Log'!$F319,Severity_Matrix!$B$3:$B$10,0),MATCH('Error Log'!$G319,Severity_Matrix!$C$2:$M$2,0)),"No errors"))</f>
        <v>Major</v>
      </c>
    </row>
    <row r="320" spans="1:10">
      <c r="A320" s="19" t="s">
        <v>966</v>
      </c>
      <c r="B320" s="18">
        <v>1</v>
      </c>
      <c r="C320" s="83" t="s">
        <v>830</v>
      </c>
      <c r="D320" s="83" t="s">
        <v>831</v>
      </c>
      <c r="E320" s="81" t="s">
        <v>2</v>
      </c>
      <c r="F320" s="81" t="s">
        <v>26</v>
      </c>
      <c r="G320" s="81" t="s">
        <v>57</v>
      </c>
      <c r="H320" s="81" t="s">
        <v>744</v>
      </c>
      <c r="I320" s="81"/>
      <c r="J320" s="15" t="str">
        <f>IF(E320="Invalid_Segment","Invalid",IFERROR(INDEX(Severity_Matrix!$C$3:$M$10,MATCH('Error Log'!$F320,Severity_Matrix!$B$3:$B$10,0),MATCH('Error Log'!$G320,Severity_Matrix!$C$2:$M$2,0)),"No errors"))</f>
        <v>Major</v>
      </c>
    </row>
    <row r="321" spans="1:10">
      <c r="A321" s="19" t="s">
        <v>966</v>
      </c>
      <c r="B321" s="18">
        <v>2</v>
      </c>
      <c r="C321" s="83" t="s">
        <v>830</v>
      </c>
      <c r="D321" s="83" t="s">
        <v>831</v>
      </c>
      <c r="E321" s="81" t="s">
        <v>21</v>
      </c>
      <c r="F321" s="81" t="s">
        <v>7</v>
      </c>
      <c r="G321" s="81" t="s">
        <v>57</v>
      </c>
      <c r="H321" s="81" t="s">
        <v>745</v>
      </c>
      <c r="I321" s="81"/>
      <c r="J321" s="15" t="str">
        <f>IF(E321="Invalid_Segment","Invalid",IFERROR(INDEX(Severity_Matrix!$C$3:$M$10,MATCH('Error Log'!$F321,Severity_Matrix!$B$3:$B$10,0),MATCH('Error Log'!$G321,Severity_Matrix!$C$2:$M$2,0)),"No errors"))</f>
        <v>Critical</v>
      </c>
    </row>
    <row r="322" spans="1:10">
      <c r="A322" s="19" t="s">
        <v>967</v>
      </c>
      <c r="B322" s="18">
        <v>1</v>
      </c>
      <c r="C322" s="83" t="s">
        <v>832</v>
      </c>
      <c r="D322" s="83" t="s">
        <v>833</v>
      </c>
      <c r="E322" s="81" t="s">
        <v>21</v>
      </c>
      <c r="F322" s="81" t="s">
        <v>22</v>
      </c>
      <c r="G322" s="81" t="s">
        <v>57</v>
      </c>
      <c r="H322" s="81" t="s">
        <v>834</v>
      </c>
      <c r="I322" s="81"/>
      <c r="J322" s="15" t="str">
        <f>IF(E322="Invalid_Segment","Invalid",IFERROR(INDEX(Severity_Matrix!$C$3:$M$10,MATCH('Error Log'!$F322,Severity_Matrix!$B$3:$B$10,0),MATCH('Error Log'!$G322,Severity_Matrix!$C$2:$M$2,0)),"No errors"))</f>
        <v>Major</v>
      </c>
    </row>
    <row r="323" spans="1:10">
      <c r="A323" s="19" t="s">
        <v>967</v>
      </c>
      <c r="B323" s="18">
        <v>2</v>
      </c>
      <c r="C323" s="83" t="s">
        <v>832</v>
      </c>
      <c r="D323" s="83" t="s">
        <v>833</v>
      </c>
      <c r="E323" s="81" t="s">
        <v>21</v>
      </c>
      <c r="F323" s="81" t="s">
        <v>7</v>
      </c>
      <c r="G323" s="81" t="s">
        <v>57</v>
      </c>
      <c r="H323" s="81" t="s">
        <v>746</v>
      </c>
      <c r="I323" s="81"/>
      <c r="J323" s="15" t="str">
        <f>IF(E323="Invalid_Segment","Invalid",IFERROR(INDEX(Severity_Matrix!$C$3:$M$10,MATCH('Error Log'!$F323,Severity_Matrix!$B$3:$B$10,0),MATCH('Error Log'!$G323,Severity_Matrix!$C$2:$M$2,0)),"No errors"))</f>
        <v>Critical</v>
      </c>
    </row>
    <row r="324" spans="1:10">
      <c r="A324" s="19" t="s">
        <v>968</v>
      </c>
      <c r="B324" s="18">
        <v>1</v>
      </c>
      <c r="C324" s="83" t="s">
        <v>835</v>
      </c>
      <c r="D324" s="83" t="s">
        <v>836</v>
      </c>
      <c r="E324" s="81" t="s">
        <v>21</v>
      </c>
      <c r="F324" s="81" t="s">
        <v>22</v>
      </c>
      <c r="G324" s="81" t="s">
        <v>57</v>
      </c>
      <c r="H324" s="81" t="s">
        <v>747</v>
      </c>
      <c r="I324" s="81"/>
      <c r="J324" s="15" t="str">
        <f>IF(E324="Invalid_Segment","Invalid",IFERROR(INDEX(Severity_Matrix!$C$3:$M$10,MATCH('Error Log'!$F324,Severity_Matrix!$B$3:$B$10,0),MATCH('Error Log'!$G324,Severity_Matrix!$C$2:$M$2,0)),"No errors"))</f>
        <v>Major</v>
      </c>
    </row>
    <row r="325" spans="1:10">
      <c r="A325" s="19" t="s">
        <v>968</v>
      </c>
      <c r="B325" s="18">
        <v>2</v>
      </c>
      <c r="C325" s="83" t="s">
        <v>835</v>
      </c>
      <c r="D325" s="83" t="s">
        <v>836</v>
      </c>
      <c r="E325" s="81" t="s">
        <v>21</v>
      </c>
      <c r="F325" s="81" t="s">
        <v>22</v>
      </c>
      <c r="G325" s="81" t="s">
        <v>57</v>
      </c>
      <c r="H325" s="81" t="s">
        <v>748</v>
      </c>
      <c r="I325" s="81"/>
      <c r="J325" s="15" t="str">
        <f>IF(E325="Invalid_Segment","Invalid",IFERROR(INDEX(Severity_Matrix!$C$3:$M$10,MATCH('Error Log'!$F325,Severity_Matrix!$B$3:$B$10,0),MATCH('Error Log'!$G325,Severity_Matrix!$C$2:$M$2,0)),"No errors"))</f>
        <v>Major</v>
      </c>
    </row>
    <row r="326" spans="1:10">
      <c r="A326" s="19" t="s">
        <v>968</v>
      </c>
      <c r="B326" s="18">
        <v>3</v>
      </c>
      <c r="C326" s="83" t="s">
        <v>835</v>
      </c>
      <c r="D326" s="83" t="s">
        <v>836</v>
      </c>
      <c r="E326" s="81" t="s">
        <v>21</v>
      </c>
      <c r="F326" s="81" t="s">
        <v>7</v>
      </c>
      <c r="G326" s="81" t="s">
        <v>57</v>
      </c>
      <c r="H326" s="81" t="s">
        <v>749</v>
      </c>
      <c r="I326" s="81"/>
      <c r="J326" s="15" t="str">
        <f>IF(E326="Invalid_Segment","Invalid",IFERROR(INDEX(Severity_Matrix!$C$3:$M$10,MATCH('Error Log'!$F326,Severity_Matrix!$B$3:$B$10,0),MATCH('Error Log'!$G326,Severity_Matrix!$C$2:$M$2,0)),"No errors"))</f>
        <v>Critical</v>
      </c>
    </row>
    <row r="327" spans="1:10">
      <c r="A327" s="19" t="s">
        <v>968</v>
      </c>
      <c r="B327" s="18">
        <v>4</v>
      </c>
      <c r="C327" s="83" t="s">
        <v>835</v>
      </c>
      <c r="D327" s="83" t="s">
        <v>836</v>
      </c>
      <c r="E327" s="81" t="s">
        <v>21</v>
      </c>
      <c r="F327" s="81" t="s">
        <v>7</v>
      </c>
      <c r="G327" s="81" t="s">
        <v>57</v>
      </c>
      <c r="H327" s="81" t="s">
        <v>750</v>
      </c>
      <c r="I327" s="81"/>
      <c r="J327" s="15" t="str">
        <f>IF(E327="Invalid_Segment","Invalid",IFERROR(INDEX(Severity_Matrix!$C$3:$M$10,MATCH('Error Log'!$F327,Severity_Matrix!$B$3:$B$10,0),MATCH('Error Log'!$G327,Severity_Matrix!$C$2:$M$2,0)),"No errors"))</f>
        <v>Critical</v>
      </c>
    </row>
    <row r="328" spans="1:10">
      <c r="A328" s="19" t="s">
        <v>968</v>
      </c>
      <c r="B328" s="18">
        <v>5</v>
      </c>
      <c r="C328" s="83" t="s">
        <v>835</v>
      </c>
      <c r="D328" s="83" t="s">
        <v>836</v>
      </c>
      <c r="E328" s="81" t="s">
        <v>21</v>
      </c>
      <c r="F328" s="81" t="s">
        <v>7</v>
      </c>
      <c r="G328" s="81" t="s">
        <v>57</v>
      </c>
      <c r="H328" s="81" t="s">
        <v>751</v>
      </c>
      <c r="I328" s="81"/>
      <c r="J328" s="15" t="str">
        <f>IF(E328="Invalid_Segment","Invalid",IFERROR(INDEX(Severity_Matrix!$C$3:$M$10,MATCH('Error Log'!$F328,Severity_Matrix!$B$3:$B$10,0),MATCH('Error Log'!$G328,Severity_Matrix!$C$2:$M$2,0)),"No errors"))</f>
        <v>Critical</v>
      </c>
    </row>
    <row r="329" spans="1:10">
      <c r="A329" s="19" t="s">
        <v>969</v>
      </c>
      <c r="B329" s="18">
        <v>1</v>
      </c>
      <c r="C329" s="83" t="s">
        <v>837</v>
      </c>
      <c r="D329" s="83" t="s">
        <v>838</v>
      </c>
      <c r="E329" s="81" t="s">
        <v>21</v>
      </c>
      <c r="F329" s="81" t="s">
        <v>22</v>
      </c>
      <c r="G329" s="81" t="s">
        <v>57</v>
      </c>
      <c r="H329" s="81" t="s">
        <v>752</v>
      </c>
      <c r="I329" s="81"/>
      <c r="J329" s="15" t="str">
        <f>IF(E329="Invalid_Segment","Invalid",IFERROR(INDEX(Severity_Matrix!$C$3:$M$10,MATCH('Error Log'!$F329,Severity_Matrix!$B$3:$B$10,0),MATCH('Error Log'!$G329,Severity_Matrix!$C$2:$M$2,0)),"No errors"))</f>
        <v>Major</v>
      </c>
    </row>
    <row r="330" spans="1:10">
      <c r="A330" s="19" t="s">
        <v>969</v>
      </c>
      <c r="B330" s="18">
        <v>2</v>
      </c>
      <c r="C330" s="83" t="s">
        <v>837</v>
      </c>
      <c r="D330" s="83" t="s">
        <v>838</v>
      </c>
      <c r="E330" s="81" t="s">
        <v>21</v>
      </c>
      <c r="F330" s="81" t="s">
        <v>22</v>
      </c>
      <c r="G330" s="81" t="s">
        <v>57</v>
      </c>
      <c r="H330" s="81" t="s">
        <v>753</v>
      </c>
      <c r="I330" s="81"/>
      <c r="J330" s="15" t="str">
        <f>IF(E330="Invalid_Segment","Invalid",IFERROR(INDEX(Severity_Matrix!$C$3:$M$10,MATCH('Error Log'!$F330,Severity_Matrix!$B$3:$B$10,0),MATCH('Error Log'!$G330,Severity_Matrix!$C$2:$M$2,0)),"No errors"))</f>
        <v>Major</v>
      </c>
    </row>
    <row r="331" spans="1:10">
      <c r="A331" s="19" t="s">
        <v>969</v>
      </c>
      <c r="B331" s="18">
        <v>3</v>
      </c>
      <c r="C331" s="83" t="s">
        <v>837</v>
      </c>
      <c r="D331" s="83" t="s">
        <v>838</v>
      </c>
      <c r="E331" s="81" t="s">
        <v>21</v>
      </c>
      <c r="F331" s="81" t="s">
        <v>7</v>
      </c>
      <c r="G331" s="81" t="s">
        <v>57</v>
      </c>
      <c r="H331" s="81" t="s">
        <v>754</v>
      </c>
      <c r="I331" s="81"/>
      <c r="J331" s="15" t="str">
        <f>IF(E331="Invalid_Segment","Invalid",IFERROR(INDEX(Severity_Matrix!$C$3:$M$10,MATCH('Error Log'!$F331,Severity_Matrix!$B$3:$B$10,0),MATCH('Error Log'!$G331,Severity_Matrix!$C$2:$M$2,0)),"No errors"))</f>
        <v>Critical</v>
      </c>
    </row>
    <row r="332" spans="1:10">
      <c r="A332" s="19" t="s">
        <v>970</v>
      </c>
      <c r="B332" s="18">
        <v>1</v>
      </c>
      <c r="C332" s="83" t="s">
        <v>839</v>
      </c>
      <c r="D332" s="83" t="s">
        <v>840</v>
      </c>
      <c r="E332" s="81" t="s">
        <v>21</v>
      </c>
      <c r="F332" s="81" t="s">
        <v>22</v>
      </c>
      <c r="G332" s="81" t="s">
        <v>57</v>
      </c>
      <c r="H332" s="81" t="s">
        <v>755</v>
      </c>
      <c r="I332" s="81"/>
      <c r="J332" s="15" t="str">
        <f>IF(E332="Invalid_Segment","Invalid",IFERROR(INDEX(Severity_Matrix!$C$3:$M$10,MATCH('Error Log'!$F332,Severity_Matrix!$B$3:$B$10,0),MATCH('Error Log'!$G332,Severity_Matrix!$C$2:$M$2,0)),"No errors"))</f>
        <v>Major</v>
      </c>
    </row>
    <row r="333" spans="1:10">
      <c r="A333" s="19" t="s">
        <v>970</v>
      </c>
      <c r="B333" s="18">
        <v>2</v>
      </c>
      <c r="C333" s="83" t="s">
        <v>839</v>
      </c>
      <c r="D333" s="83" t="s">
        <v>840</v>
      </c>
      <c r="E333" s="81" t="s">
        <v>21</v>
      </c>
      <c r="F333" s="81" t="s">
        <v>22</v>
      </c>
      <c r="G333" s="81" t="s">
        <v>57</v>
      </c>
      <c r="H333" s="81" t="s">
        <v>756</v>
      </c>
      <c r="I333" s="81"/>
      <c r="J333" s="15" t="str">
        <f>IF(E333="Invalid_Segment","Invalid",IFERROR(INDEX(Severity_Matrix!$C$3:$M$10,MATCH('Error Log'!$F333,Severity_Matrix!$B$3:$B$10,0),MATCH('Error Log'!$G333,Severity_Matrix!$C$2:$M$2,0)),"No errors"))</f>
        <v>Major</v>
      </c>
    </row>
    <row r="334" spans="1:10">
      <c r="A334" s="19" t="s">
        <v>970</v>
      </c>
      <c r="B334" s="18">
        <v>3</v>
      </c>
      <c r="C334" s="83" t="s">
        <v>839</v>
      </c>
      <c r="D334" s="83" t="s">
        <v>840</v>
      </c>
      <c r="E334" s="81" t="s">
        <v>21</v>
      </c>
      <c r="F334" s="81" t="s">
        <v>7</v>
      </c>
      <c r="G334" s="81" t="s">
        <v>57</v>
      </c>
      <c r="H334" s="81" t="s">
        <v>757</v>
      </c>
      <c r="I334" s="81"/>
      <c r="J334" s="15" t="str">
        <f>IF(E334="Invalid_Segment","Invalid",IFERROR(INDEX(Severity_Matrix!$C$3:$M$10,MATCH('Error Log'!$F334,Severity_Matrix!$B$3:$B$10,0),MATCH('Error Log'!$G334,Severity_Matrix!$C$2:$M$2,0)),"No errors"))</f>
        <v>Critical</v>
      </c>
    </row>
    <row r="335" spans="1:10">
      <c r="A335" s="19" t="s">
        <v>971</v>
      </c>
      <c r="B335" s="18">
        <v>1</v>
      </c>
      <c r="C335" s="83" t="s">
        <v>841</v>
      </c>
      <c r="D335" s="83" t="s">
        <v>842</v>
      </c>
      <c r="E335" s="81" t="s">
        <v>21</v>
      </c>
      <c r="F335" s="81" t="s">
        <v>7</v>
      </c>
      <c r="G335" s="81" t="s">
        <v>57</v>
      </c>
      <c r="H335" s="81" t="s">
        <v>758</v>
      </c>
      <c r="I335" s="81"/>
      <c r="J335" s="15" t="str">
        <f>IF(E335="Invalid_Segment","Invalid",IFERROR(INDEX(Severity_Matrix!$C$3:$M$10,MATCH('Error Log'!$F335,Severity_Matrix!$B$3:$B$10,0),MATCH('Error Log'!$G335,Severity_Matrix!$C$2:$M$2,0)),"No errors"))</f>
        <v>Critical</v>
      </c>
    </row>
    <row r="336" spans="1:10">
      <c r="A336" s="19" t="s">
        <v>971</v>
      </c>
      <c r="B336" s="18">
        <v>2</v>
      </c>
      <c r="C336" s="83" t="s">
        <v>841</v>
      </c>
      <c r="D336" s="83" t="s">
        <v>842</v>
      </c>
      <c r="E336" s="81" t="s">
        <v>21</v>
      </c>
      <c r="F336" s="81" t="s">
        <v>7</v>
      </c>
      <c r="G336" s="81" t="s">
        <v>57</v>
      </c>
      <c r="H336" s="81" t="s">
        <v>759</v>
      </c>
      <c r="I336" s="81"/>
      <c r="J336" s="15" t="str">
        <f>IF(E336="Invalid_Segment","Invalid",IFERROR(INDEX(Severity_Matrix!$C$3:$M$10,MATCH('Error Log'!$F336,Severity_Matrix!$B$3:$B$10,0),MATCH('Error Log'!$G336,Severity_Matrix!$C$2:$M$2,0)),"No errors"))</f>
        <v>Critical</v>
      </c>
    </row>
    <row r="337" spans="1:10">
      <c r="A337" s="19" t="s">
        <v>972</v>
      </c>
      <c r="B337" s="18">
        <v>1</v>
      </c>
      <c r="C337" s="83" t="s">
        <v>843</v>
      </c>
      <c r="D337" s="83" t="s">
        <v>844</v>
      </c>
      <c r="E337" s="81" t="s">
        <v>21</v>
      </c>
      <c r="F337" s="81" t="s">
        <v>22</v>
      </c>
      <c r="G337" s="81" t="s">
        <v>57</v>
      </c>
      <c r="H337" s="81" t="s">
        <v>760</v>
      </c>
      <c r="I337" s="81"/>
      <c r="J337" s="15" t="str">
        <f>IF(E337="Invalid_Segment","Invalid",IFERROR(INDEX(Severity_Matrix!$C$3:$M$10,MATCH('Error Log'!$F337,Severity_Matrix!$B$3:$B$10,0),MATCH('Error Log'!$G337,Severity_Matrix!$C$2:$M$2,0)),"No errors"))</f>
        <v>Major</v>
      </c>
    </row>
    <row r="338" spans="1:10">
      <c r="A338" s="19" t="s">
        <v>972</v>
      </c>
      <c r="B338" s="18">
        <v>2</v>
      </c>
      <c r="C338" s="83" t="s">
        <v>843</v>
      </c>
      <c r="D338" s="83" t="s">
        <v>844</v>
      </c>
      <c r="E338" s="81" t="s">
        <v>21</v>
      </c>
      <c r="F338" s="81" t="s">
        <v>7</v>
      </c>
      <c r="G338" s="81" t="s">
        <v>57</v>
      </c>
      <c r="H338" s="81" t="s">
        <v>761</v>
      </c>
      <c r="I338" s="81"/>
      <c r="J338" s="15" t="str">
        <f>IF(E338="Invalid_Segment","Invalid",IFERROR(INDEX(Severity_Matrix!$C$3:$M$10,MATCH('Error Log'!$F338,Severity_Matrix!$B$3:$B$10,0),MATCH('Error Log'!$G338,Severity_Matrix!$C$2:$M$2,0)),"No errors"))</f>
        <v>Critical</v>
      </c>
    </row>
    <row r="339" spans="1:10">
      <c r="A339" s="19" t="s">
        <v>972</v>
      </c>
      <c r="B339" s="18">
        <v>3</v>
      </c>
      <c r="C339" s="83" t="s">
        <v>843</v>
      </c>
      <c r="D339" s="83" t="s">
        <v>844</v>
      </c>
      <c r="E339" s="81" t="s">
        <v>21</v>
      </c>
      <c r="F339" s="81" t="s">
        <v>22</v>
      </c>
      <c r="G339" s="81" t="s">
        <v>57</v>
      </c>
      <c r="H339" s="81" t="s">
        <v>762</v>
      </c>
      <c r="I339" s="81"/>
      <c r="J339" s="15" t="str">
        <f>IF(E339="Invalid_Segment","Invalid",IFERROR(INDEX(Severity_Matrix!$C$3:$M$10,MATCH('Error Log'!$F339,Severity_Matrix!$B$3:$B$10,0),MATCH('Error Log'!$G339,Severity_Matrix!$C$2:$M$2,0)),"No errors"))</f>
        <v>Major</v>
      </c>
    </row>
    <row r="340" spans="1:10">
      <c r="A340" s="19" t="s">
        <v>973</v>
      </c>
      <c r="B340" s="18">
        <v>1</v>
      </c>
      <c r="C340" s="83" t="s">
        <v>845</v>
      </c>
      <c r="D340" s="83" t="s">
        <v>846</v>
      </c>
      <c r="E340" s="81" t="s">
        <v>21</v>
      </c>
      <c r="F340" s="81" t="s">
        <v>22</v>
      </c>
      <c r="G340" s="81" t="s">
        <v>57</v>
      </c>
      <c r="H340" s="81" t="s">
        <v>763</v>
      </c>
      <c r="I340" s="81"/>
      <c r="J340" s="15" t="str">
        <f>IF(E340="Invalid_Segment","Invalid",IFERROR(INDEX(Severity_Matrix!$C$3:$M$10,MATCH('Error Log'!$F340,Severity_Matrix!$B$3:$B$10,0),MATCH('Error Log'!$G340,Severity_Matrix!$C$2:$M$2,0)),"No errors"))</f>
        <v>Major</v>
      </c>
    </row>
    <row r="341" spans="1:10">
      <c r="A341" s="19" t="s">
        <v>973</v>
      </c>
      <c r="B341" s="18">
        <v>2</v>
      </c>
      <c r="C341" s="83" t="s">
        <v>845</v>
      </c>
      <c r="D341" s="83" t="s">
        <v>846</v>
      </c>
      <c r="E341" s="81" t="s">
        <v>21</v>
      </c>
      <c r="F341" s="81" t="s">
        <v>7</v>
      </c>
      <c r="G341" s="81" t="s">
        <v>27</v>
      </c>
      <c r="H341" s="81" t="s">
        <v>764</v>
      </c>
      <c r="I341" s="81"/>
      <c r="J341" s="15" t="str">
        <f>IF(E341="Invalid_Segment","Invalid",IFERROR(INDEX(Severity_Matrix!$C$3:$M$10,MATCH('Error Log'!$F341,Severity_Matrix!$B$3:$B$10,0),MATCH('Error Log'!$G341,Severity_Matrix!$C$2:$M$2,0)),"No errors"))</f>
        <v>Major</v>
      </c>
    </row>
    <row r="342" spans="1:10">
      <c r="A342" s="19" t="s">
        <v>973</v>
      </c>
      <c r="B342" s="18">
        <v>3</v>
      </c>
      <c r="C342" s="83" t="s">
        <v>845</v>
      </c>
      <c r="D342" s="83" t="s">
        <v>846</v>
      </c>
      <c r="E342" s="81" t="s">
        <v>21</v>
      </c>
      <c r="F342" s="81" t="s">
        <v>7</v>
      </c>
      <c r="G342" s="81" t="s">
        <v>57</v>
      </c>
      <c r="H342" s="81" t="s">
        <v>765</v>
      </c>
      <c r="I342" s="81"/>
      <c r="J342" s="15" t="str">
        <f>IF(E342="Invalid_Segment","Invalid",IFERROR(INDEX(Severity_Matrix!$C$3:$M$10,MATCH('Error Log'!$F342,Severity_Matrix!$B$3:$B$10,0),MATCH('Error Log'!$G342,Severity_Matrix!$C$2:$M$2,0)),"No errors"))</f>
        <v>Critical</v>
      </c>
    </row>
    <row r="343" spans="1:10">
      <c r="A343" s="19" t="s">
        <v>974</v>
      </c>
      <c r="B343" s="18">
        <v>1</v>
      </c>
      <c r="C343" s="83" t="s">
        <v>847</v>
      </c>
      <c r="D343" s="83" t="s">
        <v>848</v>
      </c>
      <c r="E343" s="81" t="s">
        <v>2</v>
      </c>
      <c r="F343" s="81" t="s">
        <v>26</v>
      </c>
      <c r="G343" s="81" t="s">
        <v>57</v>
      </c>
      <c r="H343" s="81" t="s">
        <v>766</v>
      </c>
      <c r="I343" s="81"/>
      <c r="J343" s="15" t="str">
        <f>IF(E343="Invalid_Segment","Invalid",IFERROR(INDEX(Severity_Matrix!$C$3:$M$10,MATCH('Error Log'!$F343,Severity_Matrix!$B$3:$B$10,0),MATCH('Error Log'!$G343,Severity_Matrix!$C$2:$M$2,0)),"No errors"))</f>
        <v>Major</v>
      </c>
    </row>
    <row r="344" spans="1:10">
      <c r="A344" s="19" t="s">
        <v>975</v>
      </c>
      <c r="B344" s="18">
        <v>1</v>
      </c>
      <c r="C344" s="83" t="s">
        <v>849</v>
      </c>
      <c r="D344" s="83" t="s">
        <v>850</v>
      </c>
      <c r="E344" s="81" t="s">
        <v>21</v>
      </c>
      <c r="F344" s="81" t="s">
        <v>7</v>
      </c>
      <c r="G344" s="81" t="s">
        <v>57</v>
      </c>
      <c r="H344" s="81" t="s">
        <v>767</v>
      </c>
      <c r="I344" s="81"/>
      <c r="J344" s="15" t="str">
        <f>IF(E344="Invalid_Segment","Invalid",IFERROR(INDEX(Severity_Matrix!$C$3:$M$10,MATCH('Error Log'!$F344,Severity_Matrix!$B$3:$B$10,0),MATCH('Error Log'!$G344,Severity_Matrix!$C$2:$M$2,0)),"No errors"))</f>
        <v>Critical</v>
      </c>
    </row>
    <row r="345" spans="1:10">
      <c r="A345" s="19" t="s">
        <v>976</v>
      </c>
      <c r="B345" s="18">
        <v>1</v>
      </c>
      <c r="C345" s="83" t="s">
        <v>851</v>
      </c>
      <c r="D345" s="83" t="s">
        <v>852</v>
      </c>
      <c r="E345" s="81" t="s">
        <v>21</v>
      </c>
      <c r="F345" s="81" t="s">
        <v>63</v>
      </c>
      <c r="G345" s="81" t="s">
        <v>54</v>
      </c>
      <c r="H345" s="81" t="s">
        <v>768</v>
      </c>
      <c r="I345" s="81"/>
      <c r="J345" s="15" t="str">
        <f>IF(E345="Invalid_Segment","Invalid",IFERROR(INDEX(Severity_Matrix!$C$3:$M$10,MATCH('Error Log'!$F345,Severity_Matrix!$B$3:$B$10,0),MATCH('Error Log'!$G345,Severity_Matrix!$C$2:$M$2,0)),"No errors"))</f>
        <v>Critical</v>
      </c>
    </row>
    <row r="346" spans="1:10">
      <c r="A346" s="19" t="s">
        <v>977</v>
      </c>
      <c r="B346" s="18">
        <v>1</v>
      </c>
      <c r="C346" s="83" t="s">
        <v>853</v>
      </c>
      <c r="D346" s="83" t="s">
        <v>854</v>
      </c>
      <c r="E346" s="81" t="s">
        <v>21</v>
      </c>
      <c r="F346" s="81" t="s">
        <v>7</v>
      </c>
      <c r="G346" s="81" t="s">
        <v>57</v>
      </c>
      <c r="H346" s="81" t="s">
        <v>769</v>
      </c>
      <c r="I346" s="81"/>
      <c r="J346" s="15" t="str">
        <f>IF(E346="Invalid_Segment","Invalid",IFERROR(INDEX(Severity_Matrix!$C$3:$M$10,MATCH('Error Log'!$F346,Severity_Matrix!$B$3:$B$10,0),MATCH('Error Log'!$G346,Severity_Matrix!$C$2:$M$2,0)),"No errors"))</f>
        <v>Critical</v>
      </c>
    </row>
    <row r="347" spans="1:10">
      <c r="A347" s="19" t="s">
        <v>977</v>
      </c>
      <c r="B347" s="18">
        <v>2</v>
      </c>
      <c r="C347" s="83" t="s">
        <v>853</v>
      </c>
      <c r="D347" s="83" t="s">
        <v>854</v>
      </c>
      <c r="E347" s="81" t="s">
        <v>21</v>
      </c>
      <c r="F347" s="81" t="s">
        <v>7</v>
      </c>
      <c r="G347" s="81" t="s">
        <v>57</v>
      </c>
      <c r="H347" s="81" t="s">
        <v>770</v>
      </c>
      <c r="I347" s="81"/>
      <c r="J347" s="15" t="str">
        <f>IF(E347="Invalid_Segment","Invalid",IFERROR(INDEX(Severity_Matrix!$C$3:$M$10,MATCH('Error Log'!$F347,Severity_Matrix!$B$3:$B$10,0),MATCH('Error Log'!$G347,Severity_Matrix!$C$2:$M$2,0)),"No errors"))</f>
        <v>Critical</v>
      </c>
    </row>
    <row r="348" spans="1:10">
      <c r="A348" s="19" t="s">
        <v>978</v>
      </c>
      <c r="B348" s="18">
        <v>1</v>
      </c>
      <c r="C348" s="83" t="s">
        <v>855</v>
      </c>
      <c r="D348" s="83" t="s">
        <v>856</v>
      </c>
      <c r="E348" s="81" t="s">
        <v>21</v>
      </c>
      <c r="F348" s="81" t="s">
        <v>22</v>
      </c>
      <c r="G348" s="81" t="s">
        <v>57</v>
      </c>
      <c r="H348" s="81" t="s">
        <v>771</v>
      </c>
      <c r="I348" s="81"/>
      <c r="J348" s="15" t="str">
        <f>IF(E348="Invalid_Segment","Invalid",IFERROR(INDEX(Severity_Matrix!$C$3:$M$10,MATCH('Error Log'!$F348,Severity_Matrix!$B$3:$B$10,0),MATCH('Error Log'!$G348,Severity_Matrix!$C$2:$M$2,0)),"No errors"))</f>
        <v>Major</v>
      </c>
    </row>
    <row r="349" spans="1:10">
      <c r="A349" s="19" t="s">
        <v>978</v>
      </c>
      <c r="B349" s="18">
        <v>2</v>
      </c>
      <c r="C349" s="83" t="s">
        <v>855</v>
      </c>
      <c r="D349" s="83" t="s">
        <v>856</v>
      </c>
      <c r="E349" s="81" t="s">
        <v>21</v>
      </c>
      <c r="F349" s="81" t="s">
        <v>22</v>
      </c>
      <c r="G349" s="81" t="s">
        <v>57</v>
      </c>
      <c r="H349" s="81" t="s">
        <v>772</v>
      </c>
      <c r="I349" s="81"/>
      <c r="J349" s="15" t="str">
        <f>IF(E349="Invalid_Segment","Invalid",IFERROR(INDEX(Severity_Matrix!$C$3:$M$10,MATCH('Error Log'!$F349,Severity_Matrix!$B$3:$B$10,0),MATCH('Error Log'!$G349,Severity_Matrix!$C$2:$M$2,0)),"No errors"))</f>
        <v>Major</v>
      </c>
    </row>
    <row r="350" spans="1:10">
      <c r="A350" s="19" t="s">
        <v>978</v>
      </c>
      <c r="B350" s="18">
        <v>3</v>
      </c>
      <c r="C350" s="83" t="s">
        <v>855</v>
      </c>
      <c r="D350" s="83" t="s">
        <v>856</v>
      </c>
      <c r="E350" s="81" t="s">
        <v>21</v>
      </c>
      <c r="F350" s="81" t="s">
        <v>7</v>
      </c>
      <c r="G350" s="81" t="s">
        <v>57</v>
      </c>
      <c r="H350" s="81" t="s">
        <v>773</v>
      </c>
      <c r="I350" s="81"/>
      <c r="J350" s="15" t="str">
        <f>IF(E350="Invalid_Segment","Invalid",IFERROR(INDEX(Severity_Matrix!$C$3:$M$10,MATCH('Error Log'!$F350,Severity_Matrix!$B$3:$B$10,0),MATCH('Error Log'!$G350,Severity_Matrix!$C$2:$M$2,0)),"No errors"))</f>
        <v>Critical</v>
      </c>
    </row>
    <row r="351" spans="1:10">
      <c r="A351" s="19" t="s">
        <v>978</v>
      </c>
      <c r="B351" s="18">
        <v>4</v>
      </c>
      <c r="C351" s="83" t="s">
        <v>855</v>
      </c>
      <c r="D351" s="83" t="s">
        <v>856</v>
      </c>
      <c r="E351" s="81" t="s">
        <v>21</v>
      </c>
      <c r="F351" s="81" t="s">
        <v>7</v>
      </c>
      <c r="G351" s="81" t="s">
        <v>57</v>
      </c>
      <c r="H351" s="81" t="s">
        <v>774</v>
      </c>
      <c r="I351" s="81"/>
      <c r="J351" s="15" t="str">
        <f>IF(E351="Invalid_Segment","Invalid",IFERROR(INDEX(Severity_Matrix!$C$3:$M$10,MATCH('Error Log'!$F351,Severity_Matrix!$B$3:$B$10,0),MATCH('Error Log'!$G351,Severity_Matrix!$C$2:$M$2,0)),"No errors"))</f>
        <v>Critical</v>
      </c>
    </row>
    <row r="352" spans="1:10">
      <c r="A352" s="19" t="s">
        <v>979</v>
      </c>
      <c r="B352" s="18">
        <v>1</v>
      </c>
      <c r="C352" s="83" t="s">
        <v>857</v>
      </c>
      <c r="D352" s="83" t="s">
        <v>858</v>
      </c>
      <c r="E352" s="81" t="s">
        <v>21</v>
      </c>
      <c r="F352" s="81" t="s">
        <v>22</v>
      </c>
      <c r="G352" s="81" t="s">
        <v>57</v>
      </c>
      <c r="H352" s="81" t="s">
        <v>775</v>
      </c>
      <c r="I352" s="81"/>
      <c r="J352" s="15" t="str">
        <f>IF(E352="Invalid_Segment","Invalid",IFERROR(INDEX(Severity_Matrix!$C$3:$M$10,MATCH('Error Log'!$F352,Severity_Matrix!$B$3:$B$10,0),MATCH('Error Log'!$G352,Severity_Matrix!$C$2:$M$2,0)),"No errors"))</f>
        <v>Major</v>
      </c>
    </row>
    <row r="353" spans="1:10">
      <c r="A353" s="19" t="s">
        <v>979</v>
      </c>
      <c r="B353" s="18">
        <v>2</v>
      </c>
      <c r="C353" s="83" t="s">
        <v>857</v>
      </c>
      <c r="D353" s="83" t="s">
        <v>858</v>
      </c>
      <c r="E353" s="81" t="s">
        <v>21</v>
      </c>
      <c r="F353" s="81" t="s">
        <v>7</v>
      </c>
      <c r="G353" s="81" t="s">
        <v>57</v>
      </c>
      <c r="H353" s="81" t="s">
        <v>776</v>
      </c>
      <c r="I353" s="81"/>
      <c r="J353" s="15" t="str">
        <f>IF(E353="Invalid_Segment","Invalid",IFERROR(INDEX(Severity_Matrix!$C$3:$M$10,MATCH('Error Log'!$F353,Severity_Matrix!$B$3:$B$10,0),MATCH('Error Log'!$G353,Severity_Matrix!$C$2:$M$2,0)),"No errors"))</f>
        <v>Critical</v>
      </c>
    </row>
    <row r="354" spans="1:10">
      <c r="A354" s="19" t="s">
        <v>980</v>
      </c>
      <c r="B354" s="18">
        <v>1</v>
      </c>
      <c r="C354" s="83" t="s">
        <v>859</v>
      </c>
      <c r="D354" s="83" t="s">
        <v>860</v>
      </c>
      <c r="E354" s="81" t="s">
        <v>21</v>
      </c>
      <c r="F354" s="81" t="s">
        <v>22</v>
      </c>
      <c r="G354" s="81" t="s">
        <v>57</v>
      </c>
      <c r="H354" s="81" t="s">
        <v>777</v>
      </c>
      <c r="I354" s="81"/>
      <c r="J354" s="15" t="str">
        <f>IF(E354="Invalid_Segment","Invalid",IFERROR(INDEX(Severity_Matrix!$C$3:$M$10,MATCH('Error Log'!$F354,Severity_Matrix!$B$3:$B$10,0),MATCH('Error Log'!$G354,Severity_Matrix!$C$2:$M$2,0)),"No errors"))</f>
        <v>Major</v>
      </c>
    </row>
    <row r="355" spans="1:10">
      <c r="A355" s="19" t="s">
        <v>980</v>
      </c>
      <c r="B355" s="18">
        <v>2</v>
      </c>
      <c r="C355" s="83" t="s">
        <v>859</v>
      </c>
      <c r="D355" s="83" t="s">
        <v>860</v>
      </c>
      <c r="E355" s="81" t="s">
        <v>21</v>
      </c>
      <c r="F355" s="81" t="s">
        <v>22</v>
      </c>
      <c r="G355" s="81" t="s">
        <v>57</v>
      </c>
      <c r="H355" s="81" t="s">
        <v>778</v>
      </c>
      <c r="I355" s="81"/>
      <c r="J355" s="15" t="str">
        <f>IF(E355="Invalid_Segment","Invalid",IFERROR(INDEX(Severity_Matrix!$C$3:$M$10,MATCH('Error Log'!$F355,Severity_Matrix!$B$3:$B$10,0),MATCH('Error Log'!$G355,Severity_Matrix!$C$2:$M$2,0)),"No errors"))</f>
        <v>Major</v>
      </c>
    </row>
    <row r="356" spans="1:10">
      <c r="A356" s="19" t="s">
        <v>980</v>
      </c>
      <c r="B356" s="18">
        <v>3</v>
      </c>
      <c r="C356" s="83" t="s">
        <v>859</v>
      </c>
      <c r="D356" s="83" t="s">
        <v>860</v>
      </c>
      <c r="E356" s="81" t="s">
        <v>21</v>
      </c>
      <c r="F356" s="81" t="s">
        <v>7</v>
      </c>
      <c r="G356" s="81" t="s">
        <v>57</v>
      </c>
      <c r="H356" s="81" t="s">
        <v>779</v>
      </c>
      <c r="I356" s="81"/>
      <c r="J356" s="15" t="str">
        <f>IF(E356="Invalid_Segment","Invalid",IFERROR(INDEX(Severity_Matrix!$C$3:$M$10,MATCH('Error Log'!$F356,Severity_Matrix!$B$3:$B$10,0),MATCH('Error Log'!$G356,Severity_Matrix!$C$2:$M$2,0)),"No errors"))</f>
        <v>Critical</v>
      </c>
    </row>
    <row r="357" spans="1:10">
      <c r="A357" s="19" t="s">
        <v>980</v>
      </c>
      <c r="B357" s="18">
        <v>4</v>
      </c>
      <c r="C357" s="83" t="s">
        <v>859</v>
      </c>
      <c r="D357" s="83" t="s">
        <v>860</v>
      </c>
      <c r="E357" s="81" t="s">
        <v>21</v>
      </c>
      <c r="F357" s="81" t="s">
        <v>7</v>
      </c>
      <c r="G357" s="81" t="s">
        <v>57</v>
      </c>
      <c r="H357" s="81" t="s">
        <v>780</v>
      </c>
      <c r="I357" s="81"/>
      <c r="J357" s="15" t="str">
        <f>IF(E357="Invalid_Segment","Invalid",IFERROR(INDEX(Severity_Matrix!$C$3:$M$10,MATCH('Error Log'!$F357,Severity_Matrix!$B$3:$B$10,0),MATCH('Error Log'!$G357,Severity_Matrix!$C$2:$M$2,0)),"No errors"))</f>
        <v>Critical</v>
      </c>
    </row>
    <row r="358" spans="1:10">
      <c r="A358" s="19" t="s">
        <v>981</v>
      </c>
      <c r="B358" s="18">
        <v>1</v>
      </c>
      <c r="C358" s="83" t="s">
        <v>861</v>
      </c>
      <c r="D358" s="83" t="s">
        <v>862</v>
      </c>
      <c r="E358" s="81" t="s">
        <v>21</v>
      </c>
      <c r="F358" s="81" t="s">
        <v>7</v>
      </c>
      <c r="G358" s="81" t="s">
        <v>57</v>
      </c>
      <c r="H358" s="81" t="s">
        <v>781</v>
      </c>
      <c r="I358" s="81"/>
      <c r="J358" s="15" t="str">
        <f>IF(E358="Invalid_Segment","Invalid",IFERROR(INDEX(Severity_Matrix!$C$3:$M$10,MATCH('Error Log'!$F358,Severity_Matrix!$B$3:$B$10,0),MATCH('Error Log'!$G358,Severity_Matrix!$C$2:$M$2,0)),"No errors"))</f>
        <v>Critical</v>
      </c>
    </row>
    <row r="359" spans="1:10">
      <c r="A359" s="19" t="s">
        <v>982</v>
      </c>
      <c r="B359" s="18">
        <v>1</v>
      </c>
      <c r="C359" s="83" t="s">
        <v>863</v>
      </c>
      <c r="D359" s="83" t="s">
        <v>864</v>
      </c>
      <c r="E359" s="81" t="s">
        <v>21</v>
      </c>
      <c r="F359" s="81" t="s">
        <v>22</v>
      </c>
      <c r="G359" s="81" t="s">
        <v>57</v>
      </c>
      <c r="H359" s="81" t="s">
        <v>782</v>
      </c>
      <c r="I359" s="81"/>
      <c r="J359" s="15" t="str">
        <f>IF(E359="Invalid_Segment","Invalid",IFERROR(INDEX(Severity_Matrix!$C$3:$M$10,MATCH('Error Log'!$F359,Severity_Matrix!$B$3:$B$10,0),MATCH('Error Log'!$G359,Severity_Matrix!$C$2:$M$2,0)),"No errors"))</f>
        <v>Major</v>
      </c>
    </row>
    <row r="360" spans="1:10">
      <c r="A360" s="19" t="s">
        <v>982</v>
      </c>
      <c r="B360" s="18">
        <v>2</v>
      </c>
      <c r="C360" s="83" t="s">
        <v>863</v>
      </c>
      <c r="D360" s="83" t="s">
        <v>864</v>
      </c>
      <c r="E360" s="81" t="s">
        <v>21</v>
      </c>
      <c r="F360" s="81" t="s">
        <v>7</v>
      </c>
      <c r="G360" s="81" t="s">
        <v>57</v>
      </c>
      <c r="H360" s="81" t="s">
        <v>783</v>
      </c>
      <c r="I360" s="81"/>
      <c r="J360" s="15" t="str">
        <f>IF(E360="Invalid_Segment","Invalid",IFERROR(INDEX(Severity_Matrix!$C$3:$M$10,MATCH('Error Log'!$F360,Severity_Matrix!$B$3:$B$10,0),MATCH('Error Log'!$G360,Severity_Matrix!$C$2:$M$2,0)),"No errors"))</f>
        <v>Critical</v>
      </c>
    </row>
    <row r="361" spans="1:10">
      <c r="A361" s="19" t="s">
        <v>982</v>
      </c>
      <c r="B361" s="18">
        <v>3</v>
      </c>
      <c r="C361" s="83" t="s">
        <v>863</v>
      </c>
      <c r="D361" s="83" t="s">
        <v>864</v>
      </c>
      <c r="E361" s="81" t="s">
        <v>21</v>
      </c>
      <c r="F361" s="81" t="s">
        <v>7</v>
      </c>
      <c r="G361" s="81" t="s">
        <v>57</v>
      </c>
      <c r="H361" s="81" t="s">
        <v>784</v>
      </c>
      <c r="I361" s="81"/>
      <c r="J361" s="15" t="str">
        <f>IF(E361="Invalid_Segment","Invalid",IFERROR(INDEX(Severity_Matrix!$C$3:$M$10,MATCH('Error Log'!$F361,Severity_Matrix!$B$3:$B$10,0),MATCH('Error Log'!$G361,Severity_Matrix!$C$2:$M$2,0)),"No errors"))</f>
        <v>Critical</v>
      </c>
    </row>
    <row r="362" spans="1:10">
      <c r="A362" s="19" t="s">
        <v>983</v>
      </c>
      <c r="B362" s="18">
        <v>1</v>
      </c>
      <c r="C362" s="83" t="s">
        <v>865</v>
      </c>
      <c r="D362" s="83" t="s">
        <v>866</v>
      </c>
      <c r="E362" s="81" t="s">
        <v>21</v>
      </c>
      <c r="F362" s="81" t="s">
        <v>22</v>
      </c>
      <c r="G362" s="81" t="s">
        <v>57</v>
      </c>
      <c r="H362" s="81" t="s">
        <v>785</v>
      </c>
      <c r="I362" s="81"/>
      <c r="J362" s="15" t="str">
        <f>IF(E362="Invalid_Segment","Invalid",IFERROR(INDEX(Severity_Matrix!$C$3:$M$10,MATCH('Error Log'!$F362,Severity_Matrix!$B$3:$B$10,0),MATCH('Error Log'!$G362,Severity_Matrix!$C$2:$M$2,0)),"No errors"))</f>
        <v>Major</v>
      </c>
    </row>
    <row r="363" spans="1:10">
      <c r="A363" s="19" t="s">
        <v>983</v>
      </c>
      <c r="B363" s="18">
        <v>2</v>
      </c>
      <c r="C363" s="83" t="s">
        <v>865</v>
      </c>
      <c r="D363" s="83" t="s">
        <v>866</v>
      </c>
      <c r="E363" s="81" t="s">
        <v>21</v>
      </c>
      <c r="F363" s="81" t="s">
        <v>22</v>
      </c>
      <c r="G363" s="81" t="s">
        <v>57</v>
      </c>
      <c r="H363" s="81" t="s">
        <v>786</v>
      </c>
      <c r="I363" s="81"/>
      <c r="J363" s="15" t="str">
        <f>IF(E363="Invalid_Segment","Invalid",IFERROR(INDEX(Severity_Matrix!$C$3:$M$10,MATCH('Error Log'!$F363,Severity_Matrix!$B$3:$B$10,0),MATCH('Error Log'!$G363,Severity_Matrix!$C$2:$M$2,0)),"No errors"))</f>
        <v>Major</v>
      </c>
    </row>
    <row r="364" spans="1:10">
      <c r="A364" s="19" t="s">
        <v>984</v>
      </c>
      <c r="B364" s="18">
        <v>1</v>
      </c>
      <c r="C364" s="83" t="s">
        <v>867</v>
      </c>
      <c r="D364" s="83" t="s">
        <v>868</v>
      </c>
      <c r="E364" s="81" t="s">
        <v>21</v>
      </c>
      <c r="F364" s="81" t="s">
        <v>22</v>
      </c>
      <c r="G364" s="81" t="s">
        <v>57</v>
      </c>
      <c r="H364" s="81" t="s">
        <v>787</v>
      </c>
      <c r="I364" s="81"/>
      <c r="J364" s="15" t="str">
        <f>IF(E364="Invalid_Segment","Invalid",IFERROR(INDEX(Severity_Matrix!$C$3:$M$10,MATCH('Error Log'!$F364,Severity_Matrix!$B$3:$B$10,0),MATCH('Error Log'!$G364,Severity_Matrix!$C$2:$M$2,0)),"No errors"))</f>
        <v>Major</v>
      </c>
    </row>
    <row r="365" spans="1:10">
      <c r="A365" s="19" t="s">
        <v>984</v>
      </c>
      <c r="B365" s="18">
        <v>2</v>
      </c>
      <c r="C365" s="83" t="s">
        <v>867</v>
      </c>
      <c r="D365" s="83" t="s">
        <v>868</v>
      </c>
      <c r="E365" s="81" t="s">
        <v>21</v>
      </c>
      <c r="F365" s="81" t="s">
        <v>7</v>
      </c>
      <c r="G365" s="81" t="s">
        <v>57</v>
      </c>
      <c r="H365" s="81" t="s">
        <v>788</v>
      </c>
      <c r="I365" s="81"/>
      <c r="J365" s="15" t="str">
        <f>IF(E365="Invalid_Segment","Invalid",IFERROR(INDEX(Severity_Matrix!$C$3:$M$10,MATCH('Error Log'!$F365,Severity_Matrix!$B$3:$B$10,0),MATCH('Error Log'!$G365,Severity_Matrix!$C$2:$M$2,0)),"No errors"))</f>
        <v>Critical</v>
      </c>
    </row>
    <row r="366" spans="1:10">
      <c r="A366" s="19" t="s">
        <v>985</v>
      </c>
      <c r="B366" s="18">
        <v>1</v>
      </c>
      <c r="C366" s="83" t="s">
        <v>869</v>
      </c>
      <c r="D366" s="83" t="s">
        <v>870</v>
      </c>
      <c r="E366" s="81" t="s">
        <v>21</v>
      </c>
      <c r="F366" s="81" t="s">
        <v>22</v>
      </c>
      <c r="G366" s="81" t="s">
        <v>57</v>
      </c>
      <c r="H366" s="81" t="s">
        <v>789</v>
      </c>
      <c r="I366" s="81"/>
      <c r="J366" s="15" t="str">
        <f>IF(E366="Invalid_Segment","Invalid",IFERROR(INDEX(Severity_Matrix!$C$3:$M$10,MATCH('Error Log'!$F366,Severity_Matrix!$B$3:$B$10,0),MATCH('Error Log'!$G366,Severity_Matrix!$C$2:$M$2,0)),"No errors"))</f>
        <v>Major</v>
      </c>
    </row>
    <row r="367" spans="1:10">
      <c r="A367" s="19" t="s">
        <v>985</v>
      </c>
      <c r="B367" s="18">
        <v>2</v>
      </c>
      <c r="C367" s="83" t="s">
        <v>869</v>
      </c>
      <c r="D367" s="83" t="s">
        <v>870</v>
      </c>
      <c r="E367" s="81" t="s">
        <v>21</v>
      </c>
      <c r="F367" s="81" t="s">
        <v>22</v>
      </c>
      <c r="G367" s="81" t="s">
        <v>57</v>
      </c>
      <c r="H367" s="81" t="s">
        <v>790</v>
      </c>
      <c r="I367" s="81"/>
      <c r="J367" s="15" t="str">
        <f>IF(E367="Invalid_Segment","Invalid",IFERROR(INDEX(Severity_Matrix!$C$3:$M$10,MATCH('Error Log'!$F367,Severity_Matrix!$B$3:$B$10,0),MATCH('Error Log'!$G367,Severity_Matrix!$C$2:$M$2,0)),"No errors"))</f>
        <v>Major</v>
      </c>
    </row>
    <row r="368" spans="1:10">
      <c r="A368" s="19" t="s">
        <v>985</v>
      </c>
      <c r="B368" s="18">
        <v>3</v>
      </c>
      <c r="C368" s="83" t="s">
        <v>869</v>
      </c>
      <c r="D368" s="83" t="s">
        <v>870</v>
      </c>
      <c r="E368" s="81" t="s">
        <v>21</v>
      </c>
      <c r="F368" s="81" t="s">
        <v>7</v>
      </c>
      <c r="G368" s="81" t="s">
        <v>57</v>
      </c>
      <c r="H368" s="81" t="s">
        <v>791</v>
      </c>
      <c r="I368" s="81"/>
      <c r="J368" s="15" t="str">
        <f>IF(E368="Invalid_Segment","Invalid",IFERROR(INDEX(Severity_Matrix!$C$3:$M$10,MATCH('Error Log'!$F368,Severity_Matrix!$B$3:$B$10,0),MATCH('Error Log'!$G368,Severity_Matrix!$C$2:$M$2,0)),"No errors"))</f>
        <v>Critical</v>
      </c>
    </row>
    <row r="369" spans="1:10">
      <c r="A369" s="19" t="s">
        <v>985</v>
      </c>
      <c r="B369" s="18">
        <v>4</v>
      </c>
      <c r="C369" s="83" t="s">
        <v>869</v>
      </c>
      <c r="D369" s="83" t="s">
        <v>870</v>
      </c>
      <c r="E369" s="81" t="s">
        <v>21</v>
      </c>
      <c r="F369" s="81" t="s">
        <v>7</v>
      </c>
      <c r="G369" s="81" t="s">
        <v>57</v>
      </c>
      <c r="H369" s="81" t="s">
        <v>792</v>
      </c>
      <c r="I369" s="81"/>
      <c r="J369" s="15" t="str">
        <f>IF(E369="Invalid_Segment","Invalid",IFERROR(INDEX(Severity_Matrix!$C$3:$M$10,MATCH('Error Log'!$F369,Severity_Matrix!$B$3:$B$10,0),MATCH('Error Log'!$G369,Severity_Matrix!$C$2:$M$2,0)),"No errors"))</f>
        <v>Critical</v>
      </c>
    </row>
    <row r="370" spans="1:10">
      <c r="A370" s="19" t="s">
        <v>986</v>
      </c>
      <c r="B370" s="18">
        <v>1</v>
      </c>
      <c r="C370" s="83" t="s">
        <v>871</v>
      </c>
      <c r="D370" s="83" t="s">
        <v>872</v>
      </c>
      <c r="E370" s="81" t="s">
        <v>21</v>
      </c>
      <c r="F370" s="81" t="s">
        <v>22</v>
      </c>
      <c r="G370" s="81" t="s">
        <v>57</v>
      </c>
      <c r="H370" s="81" t="s">
        <v>793</v>
      </c>
      <c r="I370" s="81"/>
      <c r="J370" s="15" t="str">
        <f>IF(E370="Invalid_Segment","Invalid",IFERROR(INDEX(Severity_Matrix!$C$3:$M$10,MATCH('Error Log'!$F370,Severity_Matrix!$B$3:$B$10,0),MATCH('Error Log'!$G370,Severity_Matrix!$C$2:$M$2,0)),"No errors"))</f>
        <v>Major</v>
      </c>
    </row>
    <row r="371" spans="1:10">
      <c r="A371" s="19" t="s">
        <v>986</v>
      </c>
      <c r="B371" s="18">
        <v>2</v>
      </c>
      <c r="C371" s="83" t="s">
        <v>871</v>
      </c>
      <c r="D371" s="83" t="s">
        <v>872</v>
      </c>
      <c r="E371" s="81" t="s">
        <v>21</v>
      </c>
      <c r="F371" s="81" t="s">
        <v>22</v>
      </c>
      <c r="G371" s="81" t="s">
        <v>57</v>
      </c>
      <c r="H371" s="81" t="s">
        <v>794</v>
      </c>
      <c r="I371" s="81"/>
      <c r="J371" s="15" t="str">
        <f>IF(E371="Invalid_Segment","Invalid",IFERROR(INDEX(Severity_Matrix!$C$3:$M$10,MATCH('Error Log'!$F371,Severity_Matrix!$B$3:$B$10,0),MATCH('Error Log'!$G371,Severity_Matrix!$C$2:$M$2,0)),"No errors"))</f>
        <v>Major</v>
      </c>
    </row>
    <row r="372" spans="1:10">
      <c r="A372" s="19" t="s">
        <v>986</v>
      </c>
      <c r="B372" s="18">
        <v>3</v>
      </c>
      <c r="C372" s="83" t="s">
        <v>871</v>
      </c>
      <c r="D372" s="83" t="s">
        <v>872</v>
      </c>
      <c r="E372" s="81" t="s">
        <v>21</v>
      </c>
      <c r="F372" s="81" t="s">
        <v>7</v>
      </c>
      <c r="G372" s="81" t="s">
        <v>57</v>
      </c>
      <c r="H372" s="81" t="s">
        <v>795</v>
      </c>
      <c r="I372" s="81"/>
      <c r="J372" s="15" t="str">
        <f>IF(E372="Invalid_Segment","Invalid",IFERROR(INDEX(Severity_Matrix!$C$3:$M$10,MATCH('Error Log'!$F372,Severity_Matrix!$B$3:$B$10,0),MATCH('Error Log'!$G372,Severity_Matrix!$C$2:$M$2,0)),"No errors"))</f>
        <v>Critical</v>
      </c>
    </row>
    <row r="373" spans="1:10">
      <c r="A373" s="19" t="s">
        <v>986</v>
      </c>
      <c r="B373" s="18">
        <v>4</v>
      </c>
      <c r="C373" s="83" t="s">
        <v>871</v>
      </c>
      <c r="D373" s="83" t="s">
        <v>872</v>
      </c>
      <c r="E373" s="81" t="s">
        <v>21</v>
      </c>
      <c r="F373" s="81" t="s">
        <v>7</v>
      </c>
      <c r="G373" s="81" t="s">
        <v>57</v>
      </c>
      <c r="H373" s="81" t="s">
        <v>796</v>
      </c>
      <c r="I373" s="81"/>
      <c r="J373" s="15" t="str">
        <f>IF(E373="Invalid_Segment","Invalid",IFERROR(INDEX(Severity_Matrix!$C$3:$M$10,MATCH('Error Log'!$F373,Severity_Matrix!$B$3:$B$10,0),MATCH('Error Log'!$G373,Severity_Matrix!$C$2:$M$2,0)),"No errors"))</f>
        <v>Critical</v>
      </c>
    </row>
    <row r="374" spans="1:10">
      <c r="A374" s="19" t="s">
        <v>987</v>
      </c>
      <c r="B374" s="18">
        <v>1</v>
      </c>
      <c r="C374" s="83" t="s">
        <v>873</v>
      </c>
      <c r="D374" s="83" t="s">
        <v>874</v>
      </c>
      <c r="E374" s="81" t="s">
        <v>2</v>
      </c>
      <c r="F374" s="81" t="s">
        <v>26</v>
      </c>
      <c r="G374" s="81" t="s">
        <v>57</v>
      </c>
      <c r="H374" s="81" t="s">
        <v>797</v>
      </c>
      <c r="I374" s="81"/>
      <c r="J374" s="15" t="str">
        <f>IF(E374="Invalid_Segment","Invalid",IFERROR(INDEX(Severity_Matrix!$C$3:$M$10,MATCH('Error Log'!$F374,Severity_Matrix!$B$3:$B$10,0),MATCH('Error Log'!$G374,Severity_Matrix!$C$2:$M$2,0)),"No errors"))</f>
        <v>Major</v>
      </c>
    </row>
    <row r="375" spans="1:10">
      <c r="A375" s="19" t="s">
        <v>987</v>
      </c>
      <c r="B375" s="18">
        <v>2</v>
      </c>
      <c r="C375" s="83" t="s">
        <v>873</v>
      </c>
      <c r="D375" s="83" t="s">
        <v>874</v>
      </c>
      <c r="E375" s="81" t="s">
        <v>21</v>
      </c>
      <c r="F375" s="81" t="s">
        <v>7</v>
      </c>
      <c r="G375" s="81" t="s">
        <v>57</v>
      </c>
      <c r="H375" s="81" t="s">
        <v>798</v>
      </c>
      <c r="I375" s="81"/>
      <c r="J375" s="15" t="str">
        <f>IF(E375="Invalid_Segment","Invalid",IFERROR(INDEX(Severity_Matrix!$C$3:$M$10,MATCH('Error Log'!$F375,Severity_Matrix!$B$3:$B$10,0),MATCH('Error Log'!$G375,Severity_Matrix!$C$2:$M$2,0)),"No errors"))</f>
        <v>Critical</v>
      </c>
    </row>
    <row r="376" spans="1:10">
      <c r="A376" s="19" t="s">
        <v>987</v>
      </c>
      <c r="B376" s="18">
        <v>3</v>
      </c>
      <c r="C376" s="83" t="s">
        <v>873</v>
      </c>
      <c r="D376" s="83" t="s">
        <v>874</v>
      </c>
      <c r="E376" s="81" t="s">
        <v>21</v>
      </c>
      <c r="F376" s="81" t="s">
        <v>7</v>
      </c>
      <c r="G376" s="81" t="s">
        <v>57</v>
      </c>
      <c r="H376" s="81" t="s">
        <v>799</v>
      </c>
      <c r="I376" s="81"/>
      <c r="J376" s="15" t="str">
        <f>IF(E376="Invalid_Segment","Invalid",IFERROR(INDEX(Severity_Matrix!$C$3:$M$10,MATCH('Error Log'!$F376,Severity_Matrix!$B$3:$B$10,0),MATCH('Error Log'!$G376,Severity_Matrix!$C$2:$M$2,0)),"No errors"))</f>
        <v>Critical</v>
      </c>
    </row>
    <row r="377" spans="1:10">
      <c r="A377" s="19" t="s">
        <v>988</v>
      </c>
      <c r="B377" s="18">
        <v>1</v>
      </c>
      <c r="C377" s="83" t="s">
        <v>875</v>
      </c>
      <c r="D377" s="83" t="s">
        <v>876</v>
      </c>
      <c r="E377" s="81"/>
      <c r="F377" s="81"/>
      <c r="G377" s="81"/>
      <c r="H377" s="81"/>
      <c r="I377" s="81"/>
      <c r="J377" s="15" t="str">
        <f>IF(E377="Invalid_Segment","Invalid",IFERROR(INDEX(Severity_Matrix!$C$3:$M$10,MATCH('Error Log'!$F377,Severity_Matrix!$B$3:$B$10,0),MATCH('Error Log'!$G377,Severity_Matrix!$C$2:$M$2,0)),"No errors"))</f>
        <v>No errors</v>
      </c>
    </row>
    <row r="378" spans="1:10">
      <c r="A378" s="19" t="s">
        <v>989</v>
      </c>
      <c r="B378" s="18">
        <v>1</v>
      </c>
      <c r="C378" s="83" t="s">
        <v>877</v>
      </c>
      <c r="D378" s="83" t="s">
        <v>878</v>
      </c>
      <c r="E378" s="81" t="s">
        <v>21</v>
      </c>
      <c r="F378" s="81" t="s">
        <v>22</v>
      </c>
      <c r="G378" s="81" t="s">
        <v>57</v>
      </c>
      <c r="H378" s="81" t="s">
        <v>800</v>
      </c>
      <c r="I378" s="81"/>
      <c r="J378" s="15" t="str">
        <f>IF(E378="Invalid_Segment","Invalid",IFERROR(INDEX(Severity_Matrix!$C$3:$M$10,MATCH('Error Log'!$F378,Severity_Matrix!$B$3:$B$10,0),MATCH('Error Log'!$G378,Severity_Matrix!$C$2:$M$2,0)),"No errors"))</f>
        <v>Major</v>
      </c>
    </row>
    <row r="379" spans="1:10">
      <c r="A379" s="19" t="s">
        <v>989</v>
      </c>
      <c r="B379" s="18">
        <v>2</v>
      </c>
      <c r="C379" s="83" t="s">
        <v>877</v>
      </c>
      <c r="D379" s="83" t="s">
        <v>878</v>
      </c>
      <c r="E379" s="81" t="s">
        <v>21</v>
      </c>
      <c r="F379" s="81" t="s">
        <v>22</v>
      </c>
      <c r="G379" s="81" t="s">
        <v>57</v>
      </c>
      <c r="H379" s="81" t="s">
        <v>801</v>
      </c>
      <c r="I379" s="81"/>
      <c r="J379" s="15" t="str">
        <f>IF(E379="Invalid_Segment","Invalid",IFERROR(INDEX(Severity_Matrix!$C$3:$M$10,MATCH('Error Log'!$F379,Severity_Matrix!$B$3:$B$10,0),MATCH('Error Log'!$G379,Severity_Matrix!$C$2:$M$2,0)),"No errors"))</f>
        <v>Major</v>
      </c>
    </row>
    <row r="380" spans="1:10">
      <c r="A380" s="19" t="s">
        <v>989</v>
      </c>
      <c r="B380" s="18">
        <v>3</v>
      </c>
      <c r="C380" s="83" t="s">
        <v>877</v>
      </c>
      <c r="D380" s="83" t="s">
        <v>878</v>
      </c>
      <c r="E380" s="81" t="s">
        <v>21</v>
      </c>
      <c r="F380" s="81" t="s">
        <v>7</v>
      </c>
      <c r="G380" s="81" t="s">
        <v>57</v>
      </c>
      <c r="H380" s="81" t="s">
        <v>802</v>
      </c>
      <c r="I380" s="81"/>
      <c r="J380" s="15" t="str">
        <f>IF(E380="Invalid_Segment","Invalid",IFERROR(INDEX(Severity_Matrix!$C$3:$M$10,MATCH('Error Log'!$F380,Severity_Matrix!$B$3:$B$10,0),MATCH('Error Log'!$G380,Severity_Matrix!$C$2:$M$2,0)),"No errors"))</f>
        <v>Critical</v>
      </c>
    </row>
    <row r="381" spans="1:10">
      <c r="A381" s="19" t="s">
        <v>990</v>
      </c>
      <c r="B381" s="18">
        <v>1</v>
      </c>
      <c r="C381" s="83" t="s">
        <v>803</v>
      </c>
      <c r="D381" s="83" t="s">
        <v>879</v>
      </c>
      <c r="E381" s="81" t="s">
        <v>21</v>
      </c>
      <c r="F381" s="81" t="s">
        <v>22</v>
      </c>
      <c r="G381" s="81" t="s">
        <v>57</v>
      </c>
      <c r="H381" s="81" t="s">
        <v>804</v>
      </c>
      <c r="I381" s="81"/>
      <c r="J381" s="15" t="str">
        <f>IF(E381="Invalid_Segment","Invalid",IFERROR(INDEX(Severity_Matrix!$C$3:$M$10,MATCH('Error Log'!$F381,Severity_Matrix!$B$3:$B$10,0),MATCH('Error Log'!$G381,Severity_Matrix!$C$2:$M$2,0)),"No errors"))</f>
        <v>Major</v>
      </c>
    </row>
    <row r="382" spans="1:10">
      <c r="A382" s="19" t="s">
        <v>990</v>
      </c>
      <c r="B382" s="18">
        <v>2</v>
      </c>
      <c r="C382" s="83" t="s">
        <v>803</v>
      </c>
      <c r="D382" s="83" t="s">
        <v>879</v>
      </c>
      <c r="E382" s="81" t="s">
        <v>21</v>
      </c>
      <c r="F382" s="81" t="s">
        <v>7</v>
      </c>
      <c r="G382" s="81" t="s">
        <v>57</v>
      </c>
      <c r="H382" s="81" t="s">
        <v>805</v>
      </c>
      <c r="I382" s="81"/>
      <c r="J382" s="15" t="str">
        <f>IF(E382="Invalid_Segment","Invalid",IFERROR(INDEX(Severity_Matrix!$C$3:$M$10,MATCH('Error Log'!$F382,Severity_Matrix!$B$3:$B$10,0),MATCH('Error Log'!$G382,Severity_Matrix!$C$2:$M$2,0)),"No errors"))</f>
        <v>Critical</v>
      </c>
    </row>
    <row r="383" spans="1:10">
      <c r="A383" s="19" t="s">
        <v>991</v>
      </c>
      <c r="B383" s="18">
        <v>1</v>
      </c>
      <c r="C383" s="83" t="s">
        <v>880</v>
      </c>
      <c r="D383" s="83" t="s">
        <v>881</v>
      </c>
      <c r="E383" s="81" t="s">
        <v>21</v>
      </c>
      <c r="F383" s="81" t="s">
        <v>22</v>
      </c>
      <c r="G383" s="81" t="s">
        <v>57</v>
      </c>
      <c r="H383" s="81" t="s">
        <v>806</v>
      </c>
      <c r="I383" s="81"/>
      <c r="J383" s="15" t="str">
        <f>IF(E383="Invalid_Segment","Invalid",IFERROR(INDEX(Severity_Matrix!$C$3:$M$10,MATCH('Error Log'!$F383,Severity_Matrix!$B$3:$B$10,0),MATCH('Error Log'!$G383,Severity_Matrix!$C$2:$M$2,0)),"No errors"))</f>
        <v>Major</v>
      </c>
    </row>
    <row r="384" spans="1:10">
      <c r="A384" s="19" t="s">
        <v>991</v>
      </c>
      <c r="B384" s="18">
        <v>2</v>
      </c>
      <c r="C384" s="83" t="s">
        <v>880</v>
      </c>
      <c r="D384" s="83" t="s">
        <v>881</v>
      </c>
      <c r="E384" s="81" t="s">
        <v>21</v>
      </c>
      <c r="F384" s="81" t="s">
        <v>22</v>
      </c>
      <c r="G384" s="81" t="s">
        <v>57</v>
      </c>
      <c r="H384" s="81" t="s">
        <v>807</v>
      </c>
      <c r="I384" s="81"/>
      <c r="J384" s="15" t="str">
        <f>IF(E384="Invalid_Segment","Invalid",IFERROR(INDEX(Severity_Matrix!$C$3:$M$10,MATCH('Error Log'!$F384,Severity_Matrix!$B$3:$B$10,0),MATCH('Error Log'!$G384,Severity_Matrix!$C$2:$M$2,0)),"No errors"))</f>
        <v>Major</v>
      </c>
    </row>
    <row r="385" spans="1:10">
      <c r="A385" s="19" t="s">
        <v>991</v>
      </c>
      <c r="B385" s="18">
        <v>3</v>
      </c>
      <c r="C385" s="83" t="s">
        <v>880</v>
      </c>
      <c r="D385" s="83" t="s">
        <v>881</v>
      </c>
      <c r="E385" s="81" t="s">
        <v>21</v>
      </c>
      <c r="F385" s="81" t="s">
        <v>7</v>
      </c>
      <c r="G385" s="81" t="s">
        <v>57</v>
      </c>
      <c r="H385" s="81" t="s">
        <v>808</v>
      </c>
      <c r="I385" s="81"/>
      <c r="J385" s="15" t="str">
        <f>IF(E385="Invalid_Segment","Invalid",IFERROR(INDEX(Severity_Matrix!$C$3:$M$10,MATCH('Error Log'!$F385,Severity_Matrix!$B$3:$B$10,0),MATCH('Error Log'!$G385,Severity_Matrix!$C$2:$M$2,0)),"No errors"))</f>
        <v>Critical</v>
      </c>
    </row>
    <row r="386" spans="1:10">
      <c r="A386" s="19" t="s">
        <v>991</v>
      </c>
      <c r="B386" s="18">
        <v>4</v>
      </c>
      <c r="C386" s="83" t="s">
        <v>880</v>
      </c>
      <c r="D386" s="83" t="s">
        <v>881</v>
      </c>
      <c r="E386" s="81" t="s">
        <v>21</v>
      </c>
      <c r="F386" s="81" t="s">
        <v>7</v>
      </c>
      <c r="G386" s="81" t="s">
        <v>57</v>
      </c>
      <c r="H386" s="81" t="s">
        <v>809</v>
      </c>
      <c r="I386" s="81"/>
      <c r="J386" s="15" t="str">
        <f>IF(E386="Invalid_Segment","Invalid",IFERROR(INDEX(Severity_Matrix!$C$3:$M$10,MATCH('Error Log'!$F386,Severity_Matrix!$B$3:$B$10,0),MATCH('Error Log'!$G386,Severity_Matrix!$C$2:$M$2,0)),"No errors"))</f>
        <v>Critical</v>
      </c>
    </row>
    <row r="387" spans="1:10">
      <c r="A387" s="19" t="s">
        <v>992</v>
      </c>
      <c r="B387" s="18">
        <v>1</v>
      </c>
      <c r="C387" s="83" t="s">
        <v>882</v>
      </c>
      <c r="D387" s="83" t="s">
        <v>883</v>
      </c>
      <c r="E387" s="81" t="s">
        <v>21</v>
      </c>
      <c r="F387" s="81" t="s">
        <v>22</v>
      </c>
      <c r="G387" s="81" t="s">
        <v>57</v>
      </c>
      <c r="H387" s="81" t="s">
        <v>810</v>
      </c>
      <c r="I387" s="81"/>
      <c r="J387" s="15" t="str">
        <f>IF(E387="Invalid_Segment","Invalid",IFERROR(INDEX(Severity_Matrix!$C$3:$M$10,MATCH('Error Log'!$F387,Severity_Matrix!$B$3:$B$10,0),MATCH('Error Log'!$G387,Severity_Matrix!$C$2:$M$2,0)),"No errors"))</f>
        <v>Major</v>
      </c>
    </row>
    <row r="388" spans="1:10">
      <c r="A388" s="19" t="s">
        <v>992</v>
      </c>
      <c r="B388" s="18">
        <v>2</v>
      </c>
      <c r="C388" s="83" t="s">
        <v>882</v>
      </c>
      <c r="D388" s="83" t="s">
        <v>883</v>
      </c>
      <c r="E388" s="81" t="s">
        <v>21</v>
      </c>
      <c r="F388" s="81" t="s">
        <v>7</v>
      </c>
      <c r="G388" s="81" t="s">
        <v>57</v>
      </c>
      <c r="H388" s="81" t="s">
        <v>811</v>
      </c>
      <c r="I388" s="81"/>
      <c r="J388" s="15" t="str">
        <f>IF(E388="Invalid_Segment","Invalid",IFERROR(INDEX(Severity_Matrix!$C$3:$M$10,MATCH('Error Log'!$F388,Severity_Matrix!$B$3:$B$10,0),MATCH('Error Log'!$G388,Severity_Matrix!$C$2:$M$2,0)),"No errors"))</f>
        <v>Critical</v>
      </c>
    </row>
    <row r="389" spans="1:10">
      <c r="A389" s="19" t="s">
        <v>993</v>
      </c>
      <c r="B389" s="18">
        <v>1</v>
      </c>
      <c r="C389" s="83" t="s">
        <v>884</v>
      </c>
      <c r="D389" s="83" t="s">
        <v>885</v>
      </c>
      <c r="E389" s="81" t="s">
        <v>21</v>
      </c>
      <c r="F389" s="81" t="s">
        <v>22</v>
      </c>
      <c r="G389" s="81" t="s">
        <v>57</v>
      </c>
      <c r="H389" s="81" t="s">
        <v>812</v>
      </c>
      <c r="I389" s="81"/>
      <c r="J389" s="15" t="str">
        <f>IF(E389="Invalid_Segment","Invalid",IFERROR(INDEX(Severity_Matrix!$C$3:$M$10,MATCH('Error Log'!$F389,Severity_Matrix!$B$3:$B$10,0),MATCH('Error Log'!$G389,Severity_Matrix!$C$2:$M$2,0)),"No errors"))</f>
        <v>Major</v>
      </c>
    </row>
    <row r="390" spans="1:10">
      <c r="A390" s="19" t="s">
        <v>993</v>
      </c>
      <c r="B390" s="18">
        <v>2</v>
      </c>
      <c r="C390" s="83" t="s">
        <v>884</v>
      </c>
      <c r="D390" s="83" t="s">
        <v>885</v>
      </c>
      <c r="E390" s="81" t="s">
        <v>21</v>
      </c>
      <c r="F390" s="81" t="s">
        <v>7</v>
      </c>
      <c r="G390" s="81" t="s">
        <v>57</v>
      </c>
      <c r="H390" s="81" t="s">
        <v>813</v>
      </c>
      <c r="I390" s="81"/>
      <c r="J390" s="15" t="str">
        <f>IF(E390="Invalid_Segment","Invalid",IFERROR(INDEX(Severity_Matrix!$C$3:$M$10,MATCH('Error Log'!$F390,Severity_Matrix!$B$3:$B$10,0),MATCH('Error Log'!$G390,Severity_Matrix!$C$2:$M$2,0)),"No errors"))</f>
        <v>Critical</v>
      </c>
    </row>
    <row r="391" spans="1:10">
      <c r="A391" s="91" t="s">
        <v>994</v>
      </c>
      <c r="B391" s="18">
        <v>1</v>
      </c>
      <c r="C391" s="78" t="s">
        <v>886</v>
      </c>
      <c r="D391" s="78" t="s">
        <v>887</v>
      </c>
      <c r="E391" s="81" t="s">
        <v>21</v>
      </c>
      <c r="F391" s="81" t="s">
        <v>22</v>
      </c>
      <c r="G391" s="81" t="s">
        <v>57</v>
      </c>
      <c r="H391" s="81" t="s">
        <v>888</v>
      </c>
      <c r="I391" s="81"/>
      <c r="J391" s="15" t="str">
        <f>IF(E391="Invalid_Segment","Invalid",IFERROR(INDEX(Severity_Matrix!$C$3:$M$10,MATCH('Error Log'!$F391,Severity_Matrix!$B$3:$B$10,0),MATCH('Error Log'!$G391,Severity_Matrix!$C$2:$M$2,0)),"No errors"))</f>
        <v>Major</v>
      </c>
    </row>
    <row r="392" spans="1:10">
      <c r="A392" s="91" t="s">
        <v>994</v>
      </c>
      <c r="B392" s="18">
        <v>2</v>
      </c>
      <c r="C392" s="78" t="s">
        <v>886</v>
      </c>
      <c r="D392" s="78" t="s">
        <v>887</v>
      </c>
      <c r="E392" s="81" t="s">
        <v>21</v>
      </c>
      <c r="F392" s="81" t="s">
        <v>22</v>
      </c>
      <c r="G392" s="81" t="s">
        <v>57</v>
      </c>
      <c r="H392" s="81" t="s">
        <v>889</v>
      </c>
      <c r="I392" s="81"/>
      <c r="J392" s="15" t="str">
        <f>IF(E392="Invalid_Segment","Invalid",IFERROR(INDEX(Severity_Matrix!$C$3:$M$10,MATCH('Error Log'!$F392,Severity_Matrix!$B$3:$B$10,0),MATCH('Error Log'!$G392,Severity_Matrix!$C$2:$M$2,0)),"No errors"))</f>
        <v>Major</v>
      </c>
    </row>
    <row r="393" spans="1:10">
      <c r="A393" s="91" t="s">
        <v>994</v>
      </c>
      <c r="B393" s="18">
        <v>3</v>
      </c>
      <c r="C393" s="78" t="s">
        <v>886</v>
      </c>
      <c r="D393" s="78" t="s">
        <v>887</v>
      </c>
      <c r="E393" s="81" t="s">
        <v>21</v>
      </c>
      <c r="F393" s="81" t="s">
        <v>7</v>
      </c>
      <c r="G393" s="81" t="s">
        <v>57</v>
      </c>
      <c r="H393" s="90" t="s">
        <v>890</v>
      </c>
      <c r="I393" s="81"/>
      <c r="J393" s="15" t="str">
        <f>IF(E393="Invalid_Segment","Invalid",IFERROR(INDEX(Severity_Matrix!$C$3:$M$10,MATCH('Error Log'!$F393,Severity_Matrix!$B$3:$B$10,0),MATCH('Error Log'!$G393,Severity_Matrix!$C$2:$M$2,0)),"No errors"))</f>
        <v>Critical</v>
      </c>
    </row>
    <row r="394" spans="1:10">
      <c r="A394" s="91" t="s">
        <v>994</v>
      </c>
      <c r="B394" s="18">
        <v>4</v>
      </c>
      <c r="C394" s="78" t="s">
        <v>886</v>
      </c>
      <c r="D394" s="78" t="s">
        <v>887</v>
      </c>
      <c r="E394" s="81" t="s">
        <v>21</v>
      </c>
      <c r="F394" s="81" t="s">
        <v>7</v>
      </c>
      <c r="G394" s="81" t="s">
        <v>57</v>
      </c>
      <c r="H394" s="89" t="s">
        <v>891</v>
      </c>
      <c r="I394" s="81"/>
      <c r="J394" s="15" t="str">
        <f>IF(E394="Invalid_Segment","Invalid",IFERROR(INDEX(Severity_Matrix!$C$3:$M$10,MATCH('Error Log'!$F394,Severity_Matrix!$B$3:$B$10,0),MATCH('Error Log'!$G394,Severity_Matrix!$C$2:$M$2,0)),"No errors"))</f>
        <v>Critical</v>
      </c>
    </row>
    <row r="395" spans="1:10">
      <c r="A395" s="91" t="s">
        <v>995</v>
      </c>
      <c r="B395" s="18">
        <v>1</v>
      </c>
      <c r="C395" s="78" t="s">
        <v>892</v>
      </c>
      <c r="D395" s="78" t="s">
        <v>893</v>
      </c>
      <c r="E395" s="81"/>
      <c r="F395" s="81"/>
      <c r="G395" s="81"/>
      <c r="H395" s="81"/>
      <c r="I395" s="81"/>
      <c r="J395" s="15" t="str">
        <f>IF(E395="Invalid_Segment","Invalid",IFERROR(INDEX(Severity_Matrix!$C$3:$M$10,MATCH('Error Log'!$F395,Severity_Matrix!$B$3:$B$10,0),MATCH('Error Log'!$G395,Severity_Matrix!$C$2:$M$2,0)),"No errors"))</f>
        <v>No errors</v>
      </c>
    </row>
    <row r="396" spans="1:10">
      <c r="A396" s="91" t="s">
        <v>996</v>
      </c>
      <c r="B396" s="18">
        <v>1</v>
      </c>
      <c r="C396" s="78" t="s">
        <v>894</v>
      </c>
      <c r="D396" s="78" t="s">
        <v>895</v>
      </c>
      <c r="E396" s="81" t="s">
        <v>21</v>
      </c>
      <c r="F396" s="81" t="s">
        <v>22</v>
      </c>
      <c r="G396" s="81" t="s">
        <v>57</v>
      </c>
      <c r="H396" s="81" t="s">
        <v>896</v>
      </c>
      <c r="I396" s="81"/>
      <c r="J396" s="15" t="str">
        <f>IF(E396="Invalid_Segment","Invalid",IFERROR(INDEX(Severity_Matrix!$C$3:$M$10,MATCH('Error Log'!$F396,Severity_Matrix!$B$3:$B$10,0),MATCH('Error Log'!$G396,Severity_Matrix!$C$2:$M$2,0)),"No errors"))</f>
        <v>Major</v>
      </c>
    </row>
    <row r="397" spans="1:10">
      <c r="A397" s="91" t="s">
        <v>996</v>
      </c>
      <c r="B397" s="18">
        <v>2</v>
      </c>
      <c r="C397" s="78" t="s">
        <v>894</v>
      </c>
      <c r="D397" s="78" t="s">
        <v>895</v>
      </c>
      <c r="E397" s="81" t="s">
        <v>21</v>
      </c>
      <c r="F397" s="81" t="s">
        <v>22</v>
      </c>
      <c r="G397" s="81" t="s">
        <v>57</v>
      </c>
      <c r="H397" s="81" t="s">
        <v>897</v>
      </c>
      <c r="I397" s="81"/>
      <c r="J397" s="15" t="str">
        <f>IF(E397="Invalid_Segment","Invalid",IFERROR(INDEX(Severity_Matrix!$C$3:$M$10,MATCH('Error Log'!$F397,Severity_Matrix!$B$3:$B$10,0),MATCH('Error Log'!$G397,Severity_Matrix!$C$2:$M$2,0)),"No errors"))</f>
        <v>Major</v>
      </c>
    </row>
    <row r="398" spans="1:10">
      <c r="A398" s="91" t="s">
        <v>996</v>
      </c>
      <c r="B398" s="18">
        <v>3</v>
      </c>
      <c r="C398" s="78" t="s">
        <v>894</v>
      </c>
      <c r="D398" s="78" t="s">
        <v>895</v>
      </c>
      <c r="E398" s="81" t="s">
        <v>21</v>
      </c>
      <c r="F398" s="81" t="s">
        <v>7</v>
      </c>
      <c r="G398" s="81" t="s">
        <v>57</v>
      </c>
      <c r="H398" s="81" t="s">
        <v>898</v>
      </c>
      <c r="I398" s="81"/>
      <c r="J398" s="15" t="str">
        <f>IF(E398="Invalid_Segment","Invalid",IFERROR(INDEX(Severity_Matrix!$C$3:$M$10,MATCH('Error Log'!$F398,Severity_Matrix!$B$3:$B$10,0),MATCH('Error Log'!$G398,Severity_Matrix!$C$2:$M$2,0)),"No errors"))</f>
        <v>Critical</v>
      </c>
    </row>
    <row r="399" spans="1:10">
      <c r="A399" s="91" t="s">
        <v>996</v>
      </c>
      <c r="B399" s="18">
        <v>4</v>
      </c>
      <c r="C399" s="78" t="s">
        <v>894</v>
      </c>
      <c r="D399" s="78" t="s">
        <v>895</v>
      </c>
      <c r="E399" s="81" t="s">
        <v>21</v>
      </c>
      <c r="F399" s="81" t="s">
        <v>7</v>
      </c>
      <c r="G399" s="81" t="s">
        <v>57</v>
      </c>
      <c r="H399" s="81" t="s">
        <v>899</v>
      </c>
      <c r="I399" s="81"/>
      <c r="J399" s="15" t="str">
        <f>IF(E399="Invalid_Segment","Invalid",IFERROR(INDEX(Severity_Matrix!$C$3:$M$10,MATCH('Error Log'!$F399,Severity_Matrix!$B$3:$B$10,0),MATCH('Error Log'!$G399,Severity_Matrix!$C$2:$M$2,0)),"No errors"))</f>
        <v>Critical</v>
      </c>
    </row>
    <row r="400" spans="1:10">
      <c r="A400" s="91" t="s">
        <v>997</v>
      </c>
      <c r="B400" s="18">
        <v>1</v>
      </c>
      <c r="C400" s="78" t="s">
        <v>900</v>
      </c>
      <c r="D400" s="78" t="s">
        <v>901</v>
      </c>
      <c r="E400" s="81" t="s">
        <v>21</v>
      </c>
      <c r="F400" s="81" t="s">
        <v>7</v>
      </c>
      <c r="G400" s="81" t="s">
        <v>57</v>
      </c>
      <c r="H400" s="81" t="s">
        <v>902</v>
      </c>
      <c r="I400" s="81"/>
      <c r="J400" s="15" t="str">
        <f>IF(E400="Invalid_Segment","Invalid",IFERROR(INDEX(Severity_Matrix!$C$3:$M$10,MATCH('Error Log'!$F400,Severity_Matrix!$B$3:$B$10,0),MATCH('Error Log'!$G400,Severity_Matrix!$C$2:$M$2,0)),"No errors"))</f>
        <v>Critical</v>
      </c>
    </row>
    <row r="401" spans="1:10">
      <c r="A401" s="91" t="s">
        <v>997</v>
      </c>
      <c r="B401" s="18">
        <v>2</v>
      </c>
      <c r="C401" s="78" t="s">
        <v>900</v>
      </c>
      <c r="D401" s="78" t="s">
        <v>901</v>
      </c>
      <c r="E401" s="81" t="s">
        <v>21</v>
      </c>
      <c r="F401" s="81" t="s">
        <v>22</v>
      </c>
      <c r="G401" s="81" t="s">
        <v>57</v>
      </c>
      <c r="H401" s="81" t="s">
        <v>903</v>
      </c>
      <c r="I401" s="81"/>
      <c r="J401" s="15" t="str">
        <f>IF(E401="Invalid_Segment","Invalid",IFERROR(INDEX(Severity_Matrix!$C$3:$M$10,MATCH('Error Log'!$F401,Severity_Matrix!$B$3:$B$10,0),MATCH('Error Log'!$G401,Severity_Matrix!$C$2:$M$2,0)),"No errors"))</f>
        <v>Major</v>
      </c>
    </row>
    <row r="402" spans="1:10">
      <c r="A402" s="91" t="s">
        <v>997</v>
      </c>
      <c r="B402" s="18">
        <v>3</v>
      </c>
      <c r="C402" s="78" t="s">
        <v>900</v>
      </c>
      <c r="D402" s="78" t="s">
        <v>901</v>
      </c>
      <c r="E402" s="81" t="s">
        <v>21</v>
      </c>
      <c r="F402" s="81" t="s">
        <v>7</v>
      </c>
      <c r="G402" s="81" t="s">
        <v>57</v>
      </c>
      <c r="H402" s="81" t="s">
        <v>904</v>
      </c>
      <c r="I402" s="81"/>
      <c r="J402" s="15" t="str">
        <f>IF(E402="Invalid_Segment","Invalid",IFERROR(INDEX(Severity_Matrix!$C$3:$M$10,MATCH('Error Log'!$F402,Severity_Matrix!$B$3:$B$10,0),MATCH('Error Log'!$G402,Severity_Matrix!$C$2:$M$2,0)),"No errors"))</f>
        <v>Critical</v>
      </c>
    </row>
    <row r="403" spans="1:10">
      <c r="A403" s="91" t="s">
        <v>997</v>
      </c>
      <c r="B403" s="18">
        <v>4</v>
      </c>
      <c r="C403" s="78" t="s">
        <v>900</v>
      </c>
      <c r="D403" s="78" t="s">
        <v>901</v>
      </c>
      <c r="E403" s="81" t="s">
        <v>21</v>
      </c>
      <c r="F403" s="81" t="s">
        <v>7</v>
      </c>
      <c r="G403" s="81" t="s">
        <v>57</v>
      </c>
      <c r="H403" s="81" t="s">
        <v>905</v>
      </c>
      <c r="I403" s="81"/>
      <c r="J403" s="15" t="str">
        <f>IF(E403="Invalid_Segment","Invalid",IFERROR(INDEX(Severity_Matrix!$C$3:$M$10,MATCH('Error Log'!$F403,Severity_Matrix!$B$3:$B$10,0),MATCH('Error Log'!$G403,Severity_Matrix!$C$2:$M$2,0)),"No errors"))</f>
        <v>Critical</v>
      </c>
    </row>
    <row r="404" spans="1:10">
      <c r="A404" s="91" t="s">
        <v>998</v>
      </c>
      <c r="B404" s="18">
        <v>1</v>
      </c>
      <c r="C404" s="78" t="s">
        <v>906</v>
      </c>
      <c r="D404" s="78" t="s">
        <v>907</v>
      </c>
      <c r="E404" s="81"/>
      <c r="F404" s="81"/>
      <c r="G404" s="81"/>
      <c r="H404" s="81"/>
      <c r="I404" s="81"/>
      <c r="J404" s="15" t="str">
        <f>IF(E404="Invalid_Segment","Invalid",IFERROR(INDEX(Severity_Matrix!$C$3:$M$10,MATCH('Error Log'!$F404,Severity_Matrix!$B$3:$B$10,0),MATCH('Error Log'!$G404,Severity_Matrix!$C$2:$M$2,0)),"No errors"))</f>
        <v>No errors</v>
      </c>
    </row>
    <row r="405" spans="1:10">
      <c r="A405" s="91" t="s">
        <v>999</v>
      </c>
      <c r="B405" s="18">
        <v>1</v>
      </c>
      <c r="C405" s="78" t="s">
        <v>908</v>
      </c>
      <c r="D405" s="78" t="s">
        <v>909</v>
      </c>
      <c r="E405" s="81" t="s">
        <v>2</v>
      </c>
      <c r="F405" s="81" t="s">
        <v>26</v>
      </c>
      <c r="G405" s="81" t="s">
        <v>57</v>
      </c>
      <c r="H405" s="81" t="s">
        <v>910</v>
      </c>
      <c r="I405" s="81"/>
      <c r="J405" s="15" t="str">
        <f>IF(E405="Invalid_Segment","Invalid",IFERROR(INDEX(Severity_Matrix!$C$3:$M$10,MATCH('Error Log'!$F405,Severity_Matrix!$B$3:$B$10,0),MATCH('Error Log'!$G405,Severity_Matrix!$C$2:$M$2,0)),"No errors"))</f>
        <v>Major</v>
      </c>
    </row>
    <row r="406" spans="1:10">
      <c r="A406" s="91" t="s">
        <v>999</v>
      </c>
      <c r="B406" s="18">
        <v>2</v>
      </c>
      <c r="C406" s="78" t="s">
        <v>908</v>
      </c>
      <c r="D406" s="78" t="s">
        <v>909</v>
      </c>
      <c r="E406" s="81" t="s">
        <v>21</v>
      </c>
      <c r="F406" s="81" t="s">
        <v>22</v>
      </c>
      <c r="G406" s="81" t="s">
        <v>57</v>
      </c>
      <c r="H406" s="81" t="s">
        <v>911</v>
      </c>
      <c r="I406" s="81"/>
      <c r="J406" s="15" t="str">
        <f>IF(E406="Invalid_Segment","Invalid",IFERROR(INDEX(Severity_Matrix!$C$3:$M$10,MATCH('Error Log'!$F406,Severity_Matrix!$B$3:$B$10,0),MATCH('Error Log'!$G406,Severity_Matrix!$C$2:$M$2,0)),"No errors"))</f>
        <v>Major</v>
      </c>
    </row>
    <row r="407" spans="1:10">
      <c r="A407" s="91" t="s">
        <v>999</v>
      </c>
      <c r="B407" s="18">
        <v>3</v>
      </c>
      <c r="C407" s="78" t="s">
        <v>908</v>
      </c>
      <c r="D407" s="78" t="s">
        <v>909</v>
      </c>
      <c r="E407" s="81" t="s">
        <v>21</v>
      </c>
      <c r="F407" s="81" t="s">
        <v>7</v>
      </c>
      <c r="G407" s="81" t="s">
        <v>57</v>
      </c>
      <c r="H407" s="81" t="s">
        <v>912</v>
      </c>
      <c r="I407" s="81"/>
      <c r="J407" s="15" t="str">
        <f>IF(E407="Invalid_Segment","Invalid",IFERROR(INDEX(Severity_Matrix!$C$3:$M$10,MATCH('Error Log'!$F407,Severity_Matrix!$B$3:$B$10,0),MATCH('Error Log'!$G407,Severity_Matrix!$C$2:$M$2,0)),"No errors"))</f>
        <v>Critical</v>
      </c>
    </row>
    <row r="408" spans="1:10">
      <c r="A408" s="91" t="s">
        <v>1000</v>
      </c>
      <c r="B408" s="18">
        <v>1</v>
      </c>
      <c r="C408" s="78" t="s">
        <v>913</v>
      </c>
      <c r="D408" s="78" t="s">
        <v>914</v>
      </c>
      <c r="E408" s="81" t="s">
        <v>21</v>
      </c>
      <c r="F408" s="81" t="s">
        <v>22</v>
      </c>
      <c r="G408" s="81" t="s">
        <v>57</v>
      </c>
      <c r="H408" s="81" t="s">
        <v>915</v>
      </c>
      <c r="I408" s="81"/>
      <c r="J408" s="15" t="str">
        <f>IF(E408="Invalid_Segment","Invalid",IFERROR(INDEX(Severity_Matrix!$C$3:$M$10,MATCH('Error Log'!$F408,Severity_Matrix!$B$3:$B$10,0),MATCH('Error Log'!$G408,Severity_Matrix!$C$2:$M$2,0)),"No errors"))</f>
        <v>Major</v>
      </c>
    </row>
    <row r="409" spans="1:10">
      <c r="A409" s="91" t="s">
        <v>1000</v>
      </c>
      <c r="B409" s="18">
        <v>2</v>
      </c>
      <c r="C409" s="78" t="s">
        <v>913</v>
      </c>
      <c r="D409" s="78" t="s">
        <v>914</v>
      </c>
      <c r="E409" s="81" t="s">
        <v>21</v>
      </c>
      <c r="F409" s="81" t="s">
        <v>7</v>
      </c>
      <c r="G409" s="81" t="s">
        <v>57</v>
      </c>
      <c r="H409" s="81" t="s">
        <v>916</v>
      </c>
      <c r="I409" s="81"/>
      <c r="J409" s="15" t="str">
        <f>IF(E409="Invalid_Segment","Invalid",IFERROR(INDEX(Severity_Matrix!$C$3:$M$10,MATCH('Error Log'!$F409,Severity_Matrix!$B$3:$B$10,0),MATCH('Error Log'!$G409,Severity_Matrix!$C$2:$M$2,0)),"No errors"))</f>
        <v>Critical</v>
      </c>
    </row>
    <row r="410" spans="1:10">
      <c r="A410" s="91" t="s">
        <v>1001</v>
      </c>
      <c r="B410" s="18">
        <v>1</v>
      </c>
      <c r="C410" s="78" t="s">
        <v>917</v>
      </c>
      <c r="D410" s="78" t="s">
        <v>918</v>
      </c>
      <c r="E410" s="81" t="s">
        <v>21</v>
      </c>
      <c r="F410" s="81" t="s">
        <v>22</v>
      </c>
      <c r="G410" s="81" t="s">
        <v>57</v>
      </c>
      <c r="H410" s="81" t="s">
        <v>919</v>
      </c>
      <c r="I410" s="81"/>
      <c r="J410" s="15" t="str">
        <f>IF(E410="Invalid_Segment","Invalid",IFERROR(INDEX(Severity_Matrix!$C$3:$M$10,MATCH('Error Log'!$F410,Severity_Matrix!$B$3:$B$10,0),MATCH('Error Log'!$G410,Severity_Matrix!$C$2:$M$2,0)),"No errors"))</f>
        <v>Major</v>
      </c>
    </row>
    <row r="411" spans="1:10">
      <c r="A411" s="91" t="s">
        <v>1001</v>
      </c>
      <c r="B411" s="18">
        <v>2</v>
      </c>
      <c r="C411" s="78" t="s">
        <v>917</v>
      </c>
      <c r="D411" s="78" t="s">
        <v>918</v>
      </c>
      <c r="E411" s="81" t="s">
        <v>21</v>
      </c>
      <c r="F411" s="81" t="s">
        <v>7</v>
      </c>
      <c r="G411" s="81" t="s">
        <v>57</v>
      </c>
      <c r="H411" s="81" t="s">
        <v>920</v>
      </c>
      <c r="I411" s="81"/>
      <c r="J411" s="15" t="str">
        <f>IF(E411="Invalid_Segment","Invalid",IFERROR(INDEX(Severity_Matrix!$C$3:$M$10,MATCH('Error Log'!$F411,Severity_Matrix!$B$3:$B$10,0),MATCH('Error Log'!$G411,Severity_Matrix!$C$2:$M$2,0)),"No errors"))</f>
        <v>Critical</v>
      </c>
    </row>
    <row r="412" spans="1:10">
      <c r="A412" s="91" t="s">
        <v>1001</v>
      </c>
      <c r="B412" s="18">
        <v>3</v>
      </c>
      <c r="C412" s="78" t="s">
        <v>917</v>
      </c>
      <c r="D412" s="78" t="s">
        <v>918</v>
      </c>
      <c r="E412" s="81" t="s">
        <v>21</v>
      </c>
      <c r="F412" s="81" t="s">
        <v>7</v>
      </c>
      <c r="G412" s="81" t="s">
        <v>57</v>
      </c>
      <c r="H412" s="81" t="s">
        <v>921</v>
      </c>
      <c r="I412" s="81"/>
      <c r="J412" s="15" t="str">
        <f>IF(E412="Invalid_Segment","Invalid",IFERROR(INDEX(Severity_Matrix!$C$3:$M$10,MATCH('Error Log'!$F412,Severity_Matrix!$B$3:$B$10,0),MATCH('Error Log'!$G412,Severity_Matrix!$C$2:$M$2,0)),"No errors"))</f>
        <v>Critical</v>
      </c>
    </row>
    <row r="413" spans="1:10">
      <c r="A413" s="91" t="s">
        <v>1002</v>
      </c>
      <c r="B413" s="18">
        <v>1</v>
      </c>
      <c r="C413" s="78" t="s">
        <v>922</v>
      </c>
      <c r="D413" s="78" t="s">
        <v>923</v>
      </c>
      <c r="E413" s="81" t="s">
        <v>21</v>
      </c>
      <c r="F413" s="81" t="s">
        <v>7</v>
      </c>
      <c r="G413" s="81" t="s">
        <v>57</v>
      </c>
      <c r="H413" s="81" t="s">
        <v>924</v>
      </c>
      <c r="I413" s="81"/>
      <c r="J413" s="15" t="str">
        <f>IF(E413="Invalid_Segment","Invalid",IFERROR(INDEX(Severity_Matrix!$C$3:$M$10,MATCH('Error Log'!$F413,Severity_Matrix!$B$3:$B$10,0),MATCH('Error Log'!$G413,Severity_Matrix!$C$2:$M$2,0)),"No errors"))</f>
        <v>Critical</v>
      </c>
    </row>
    <row r="414" spans="1:10">
      <c r="A414" s="91" t="s">
        <v>1003</v>
      </c>
      <c r="B414" s="18">
        <v>1</v>
      </c>
      <c r="C414" s="78" t="s">
        <v>925</v>
      </c>
      <c r="D414" s="78" t="s">
        <v>926</v>
      </c>
      <c r="E414" s="81" t="s">
        <v>21</v>
      </c>
      <c r="F414" s="81" t="s">
        <v>22</v>
      </c>
      <c r="G414" s="81" t="s">
        <v>57</v>
      </c>
      <c r="H414" s="81" t="s">
        <v>927</v>
      </c>
      <c r="I414" s="81"/>
      <c r="J414" s="15" t="str">
        <f>IF(E414="Invalid_Segment","Invalid",IFERROR(INDEX(Severity_Matrix!$C$3:$M$10,MATCH('Error Log'!$F414,Severity_Matrix!$B$3:$B$10,0),MATCH('Error Log'!$G414,Severity_Matrix!$C$2:$M$2,0)),"No errors"))</f>
        <v>Major</v>
      </c>
    </row>
    <row r="415" spans="1:10">
      <c r="A415" s="91" t="s">
        <v>1003</v>
      </c>
      <c r="B415" s="18">
        <v>2</v>
      </c>
      <c r="C415" s="78" t="s">
        <v>925</v>
      </c>
      <c r="D415" s="78" t="s">
        <v>926</v>
      </c>
      <c r="E415" s="81" t="s">
        <v>21</v>
      </c>
      <c r="F415" s="81" t="s">
        <v>7</v>
      </c>
      <c r="G415" s="81" t="s">
        <v>57</v>
      </c>
      <c r="H415" s="81" t="s">
        <v>928</v>
      </c>
      <c r="I415" s="81"/>
      <c r="J415" s="15" t="str">
        <f>IF(E415="Invalid_Segment","Invalid",IFERROR(INDEX(Severity_Matrix!$C$3:$M$10,MATCH('Error Log'!$F415,Severity_Matrix!$B$3:$B$10,0),MATCH('Error Log'!$G415,Severity_Matrix!$C$2:$M$2,0)),"No errors"))</f>
        <v>Critical</v>
      </c>
    </row>
    <row r="416" spans="1:10">
      <c r="A416" s="91" t="s">
        <v>1004</v>
      </c>
      <c r="B416" s="18">
        <v>1</v>
      </c>
      <c r="C416" s="78" t="s">
        <v>929</v>
      </c>
      <c r="D416" s="78" t="s">
        <v>930</v>
      </c>
      <c r="E416" s="81" t="s">
        <v>21</v>
      </c>
      <c r="F416" s="81" t="s">
        <v>7</v>
      </c>
      <c r="G416" s="81" t="s">
        <v>57</v>
      </c>
      <c r="H416" s="81" t="s">
        <v>931</v>
      </c>
      <c r="I416" s="81"/>
      <c r="J416" s="15" t="str">
        <f>IF(E416="Invalid_Segment","Invalid",IFERROR(INDEX(Severity_Matrix!$C$3:$M$10,MATCH('Error Log'!$F416,Severity_Matrix!$B$3:$B$10,0),MATCH('Error Log'!$G416,Severity_Matrix!$C$2:$M$2,0)),"No errors"))</f>
        <v>Critical</v>
      </c>
    </row>
    <row r="417" spans="1:10">
      <c r="A417" s="91" t="s">
        <v>1005</v>
      </c>
      <c r="B417" s="18">
        <v>1</v>
      </c>
      <c r="C417" s="78" t="s">
        <v>932</v>
      </c>
      <c r="D417" s="78" t="s">
        <v>933</v>
      </c>
      <c r="E417" s="81" t="s">
        <v>21</v>
      </c>
      <c r="F417" s="81" t="s">
        <v>22</v>
      </c>
      <c r="G417" s="81" t="s">
        <v>57</v>
      </c>
      <c r="H417" s="81" t="s">
        <v>934</v>
      </c>
      <c r="I417" s="81"/>
      <c r="J417" s="15" t="str">
        <f>IF(E417="Invalid_Segment","Invalid",IFERROR(INDEX(Severity_Matrix!$C$3:$M$10,MATCH('Error Log'!$F417,Severity_Matrix!$B$3:$B$10,0),MATCH('Error Log'!$G417,Severity_Matrix!$C$2:$M$2,0)),"No errors"))</f>
        <v>Major</v>
      </c>
    </row>
    <row r="418" spans="1:10">
      <c r="A418" s="91" t="s">
        <v>1005</v>
      </c>
      <c r="B418" s="18">
        <v>2</v>
      </c>
      <c r="C418" s="78" t="s">
        <v>932</v>
      </c>
      <c r="D418" s="78" t="s">
        <v>933</v>
      </c>
      <c r="E418" s="81" t="s">
        <v>21</v>
      </c>
      <c r="F418" s="81" t="s">
        <v>22</v>
      </c>
      <c r="G418" s="81" t="s">
        <v>57</v>
      </c>
      <c r="H418" s="81" t="s">
        <v>935</v>
      </c>
      <c r="I418" s="81"/>
      <c r="J418" s="15" t="str">
        <f>IF(E418="Invalid_Segment","Invalid",IFERROR(INDEX(Severity_Matrix!$C$3:$M$10,MATCH('Error Log'!$F418,Severity_Matrix!$B$3:$B$10,0),MATCH('Error Log'!$G418,Severity_Matrix!$C$2:$M$2,0)),"No errors"))</f>
        <v>Major</v>
      </c>
    </row>
    <row r="419" spans="1:10">
      <c r="A419" s="91" t="s">
        <v>1005</v>
      </c>
      <c r="B419" s="18">
        <v>3</v>
      </c>
      <c r="C419" s="78" t="s">
        <v>932</v>
      </c>
      <c r="D419" s="78" t="s">
        <v>933</v>
      </c>
      <c r="E419" s="81" t="s">
        <v>21</v>
      </c>
      <c r="F419" s="81" t="s">
        <v>7</v>
      </c>
      <c r="G419" s="81" t="s">
        <v>57</v>
      </c>
      <c r="H419" s="81" t="s">
        <v>936</v>
      </c>
      <c r="I419" s="81"/>
      <c r="J419" s="15" t="str">
        <f>IF(E419="Invalid_Segment","Invalid",IFERROR(INDEX(Severity_Matrix!$C$3:$M$10,MATCH('Error Log'!$F419,Severity_Matrix!$B$3:$B$10,0),MATCH('Error Log'!$G419,Severity_Matrix!$C$2:$M$2,0)),"No errors"))</f>
        <v>Critical</v>
      </c>
    </row>
    <row r="420" spans="1:10">
      <c r="A420" s="91" t="s">
        <v>1005</v>
      </c>
      <c r="B420" s="18">
        <v>4</v>
      </c>
      <c r="C420" s="78" t="s">
        <v>932</v>
      </c>
      <c r="D420" s="78" t="s">
        <v>933</v>
      </c>
      <c r="E420" s="81" t="s">
        <v>21</v>
      </c>
      <c r="F420" s="81" t="s">
        <v>7</v>
      </c>
      <c r="G420" s="81" t="s">
        <v>57</v>
      </c>
      <c r="H420" s="81" t="s">
        <v>937</v>
      </c>
      <c r="I420" s="81"/>
      <c r="J420" s="15" t="str">
        <f>IF(E420="Invalid_Segment","Invalid",IFERROR(INDEX(Severity_Matrix!$C$3:$M$10,MATCH('Error Log'!$F420,Severity_Matrix!$B$3:$B$10,0),MATCH('Error Log'!$G420,Severity_Matrix!$C$2:$M$2,0)),"No errors"))</f>
        <v>Critical</v>
      </c>
    </row>
    <row r="421" spans="1:10">
      <c r="A421" s="91" t="s">
        <v>1006</v>
      </c>
      <c r="B421" s="18">
        <v>1</v>
      </c>
      <c r="C421" s="78" t="s">
        <v>938</v>
      </c>
      <c r="D421" s="78" t="s">
        <v>939</v>
      </c>
      <c r="E421" s="81" t="s">
        <v>21</v>
      </c>
      <c r="F421" s="81" t="s">
        <v>22</v>
      </c>
      <c r="G421" s="81" t="s">
        <v>57</v>
      </c>
      <c r="H421" s="81" t="s">
        <v>940</v>
      </c>
      <c r="I421" s="81"/>
      <c r="J421" s="15" t="str">
        <f>IF(E421="Invalid_Segment","Invalid",IFERROR(INDEX(Severity_Matrix!$C$3:$M$10,MATCH('Error Log'!$F421,Severity_Matrix!$B$3:$B$10,0),MATCH('Error Log'!$G421,Severity_Matrix!$C$2:$M$2,0)),"No errors"))</f>
        <v>Major</v>
      </c>
    </row>
    <row r="422" spans="1:10">
      <c r="A422" s="91" t="s">
        <v>1006</v>
      </c>
      <c r="B422" s="18">
        <v>2</v>
      </c>
      <c r="C422" s="78" t="s">
        <v>938</v>
      </c>
      <c r="D422" s="78" t="s">
        <v>939</v>
      </c>
      <c r="E422" s="81" t="s">
        <v>21</v>
      </c>
      <c r="F422" s="81" t="s">
        <v>22</v>
      </c>
      <c r="G422" s="81" t="s">
        <v>57</v>
      </c>
      <c r="H422" s="81" t="s">
        <v>941</v>
      </c>
      <c r="I422" s="81"/>
      <c r="J422" s="15" t="str">
        <f>IF(E422="Invalid_Segment","Invalid",IFERROR(INDEX(Severity_Matrix!$C$3:$M$10,MATCH('Error Log'!$F422,Severity_Matrix!$B$3:$B$10,0),MATCH('Error Log'!$G422,Severity_Matrix!$C$2:$M$2,0)),"No errors"))</f>
        <v>Major</v>
      </c>
    </row>
    <row r="423" spans="1:10">
      <c r="A423" s="91" t="s">
        <v>1006</v>
      </c>
      <c r="B423" s="18">
        <v>3</v>
      </c>
      <c r="C423" s="78" t="s">
        <v>938</v>
      </c>
      <c r="D423" s="78" t="s">
        <v>939</v>
      </c>
      <c r="E423" s="81" t="s">
        <v>21</v>
      </c>
      <c r="F423" s="81" t="s">
        <v>7</v>
      </c>
      <c r="G423" s="81" t="s">
        <v>57</v>
      </c>
      <c r="H423" s="81" t="s">
        <v>942</v>
      </c>
      <c r="I423" s="81"/>
      <c r="J423" s="15" t="str">
        <f>IF(E423="Invalid_Segment","Invalid",IFERROR(INDEX(Severity_Matrix!$C$3:$M$10,MATCH('Error Log'!$F423,Severity_Matrix!$B$3:$B$10,0),MATCH('Error Log'!$G423,Severity_Matrix!$C$2:$M$2,0)),"No errors"))</f>
        <v>Critical</v>
      </c>
    </row>
    <row r="424" spans="1:10">
      <c r="A424" s="91" t="s">
        <v>1006</v>
      </c>
      <c r="B424" s="18">
        <v>4</v>
      </c>
      <c r="C424" s="78" t="s">
        <v>938</v>
      </c>
      <c r="D424" s="78" t="s">
        <v>939</v>
      </c>
      <c r="E424" s="81" t="s">
        <v>21</v>
      </c>
      <c r="F424" s="81" t="s">
        <v>7</v>
      </c>
      <c r="G424" s="81" t="s">
        <v>57</v>
      </c>
      <c r="H424" s="81" t="s">
        <v>943</v>
      </c>
      <c r="I424" s="81"/>
      <c r="J424" s="15" t="str">
        <f>IF(E424="Invalid_Segment","Invalid",IFERROR(INDEX(Severity_Matrix!$C$3:$M$10,MATCH('Error Log'!$F424,Severity_Matrix!$B$3:$B$10,0),MATCH('Error Log'!$G424,Severity_Matrix!$C$2:$M$2,0)),"No errors"))</f>
        <v>Critical</v>
      </c>
    </row>
    <row r="425" spans="1:10">
      <c r="A425" s="91" t="s">
        <v>1006</v>
      </c>
      <c r="B425" s="18">
        <v>5</v>
      </c>
      <c r="C425" s="78" t="s">
        <v>938</v>
      </c>
      <c r="D425" s="78" t="s">
        <v>939</v>
      </c>
      <c r="E425" s="81" t="s">
        <v>21</v>
      </c>
      <c r="F425" s="81" t="s">
        <v>7</v>
      </c>
      <c r="G425" s="81" t="s">
        <v>57</v>
      </c>
      <c r="H425" s="81" t="s">
        <v>944</v>
      </c>
      <c r="I425" s="81"/>
      <c r="J425" s="15" t="str">
        <f>IF(E425="Invalid_Segment","Invalid",IFERROR(INDEX(Severity_Matrix!$C$3:$M$10,MATCH('Error Log'!$F425,Severity_Matrix!$B$3:$B$10,0),MATCH('Error Log'!$G425,Severity_Matrix!$C$2:$M$2,0)),"No errors"))</f>
        <v>Critical</v>
      </c>
    </row>
    <row r="426" spans="1:10">
      <c r="A426" s="91" t="s">
        <v>1007</v>
      </c>
      <c r="B426" s="18">
        <v>1</v>
      </c>
      <c r="C426" s="78" t="s">
        <v>945</v>
      </c>
      <c r="D426" s="78" t="s">
        <v>946</v>
      </c>
      <c r="E426" s="81" t="s">
        <v>21</v>
      </c>
      <c r="F426" s="81" t="s">
        <v>7</v>
      </c>
      <c r="G426" s="81" t="s">
        <v>57</v>
      </c>
      <c r="H426" s="81" t="s">
        <v>947</v>
      </c>
      <c r="I426" s="81"/>
      <c r="J426" s="15" t="str">
        <f>IF(E426="Invalid_Segment","Invalid",IFERROR(INDEX(Severity_Matrix!$C$3:$M$10,MATCH('Error Log'!$F426,Severity_Matrix!$B$3:$B$10,0),MATCH('Error Log'!$G426,Severity_Matrix!$C$2:$M$2,0)),"No errors"))</f>
        <v>Critical</v>
      </c>
    </row>
    <row r="427" spans="1:10">
      <c r="A427" s="91" t="s">
        <v>1008</v>
      </c>
      <c r="B427" s="18">
        <v>1</v>
      </c>
      <c r="C427" s="78" t="s">
        <v>948</v>
      </c>
      <c r="D427" s="83" t="s">
        <v>949</v>
      </c>
      <c r="E427" s="81" t="s">
        <v>21</v>
      </c>
      <c r="F427" s="81" t="s">
        <v>63</v>
      </c>
      <c r="G427" s="81" t="s">
        <v>54</v>
      </c>
      <c r="H427" s="81" t="s">
        <v>950</v>
      </c>
      <c r="I427" s="81"/>
      <c r="J427" s="15" t="str">
        <f>IF(E427="Invalid_Segment","Invalid",IFERROR(INDEX(Severity_Matrix!$C$3:$M$10,MATCH('Error Log'!$F427,Severity_Matrix!$B$3:$B$10,0),MATCH('Error Log'!$G427,Severity_Matrix!$C$2:$M$2,0)),"No errors"))</f>
        <v>Critical</v>
      </c>
    </row>
    <row r="428" spans="1:10">
      <c r="A428" s="91" t="s">
        <v>1008</v>
      </c>
      <c r="B428" s="18">
        <v>2</v>
      </c>
      <c r="C428" s="78" t="s">
        <v>948</v>
      </c>
      <c r="D428" s="83" t="s">
        <v>949</v>
      </c>
      <c r="E428" s="81" t="s">
        <v>21</v>
      </c>
      <c r="F428" s="81" t="s">
        <v>22</v>
      </c>
      <c r="G428" s="81" t="s">
        <v>57</v>
      </c>
      <c r="H428" s="81" t="s">
        <v>951</v>
      </c>
      <c r="I428" s="81"/>
      <c r="J428" s="15" t="str">
        <f>IF(E428="Invalid_Segment","Invalid",IFERROR(INDEX(Severity_Matrix!$C$3:$M$10,MATCH('Error Log'!$F428,Severity_Matrix!$B$3:$B$10,0),MATCH('Error Log'!$G428,Severity_Matrix!$C$2:$M$2,0)),"No errors"))</f>
        <v>Major</v>
      </c>
    </row>
    <row r="429" spans="1:10">
      <c r="A429" s="91" t="s">
        <v>1008</v>
      </c>
      <c r="B429" s="18">
        <v>3</v>
      </c>
      <c r="C429" s="78" t="s">
        <v>948</v>
      </c>
      <c r="D429" s="83" t="s">
        <v>949</v>
      </c>
      <c r="E429" s="81" t="s">
        <v>21</v>
      </c>
      <c r="F429" s="81" t="s">
        <v>22</v>
      </c>
      <c r="G429" s="81" t="s">
        <v>57</v>
      </c>
      <c r="H429" s="81" t="s">
        <v>952</v>
      </c>
      <c r="I429" s="81"/>
      <c r="J429" s="15" t="str">
        <f>IF(E429="Invalid_Segment","Invalid",IFERROR(INDEX(Severity_Matrix!$C$3:$M$10,MATCH('Error Log'!$F429,Severity_Matrix!$B$3:$B$10,0),MATCH('Error Log'!$G429,Severity_Matrix!$C$2:$M$2,0)),"No errors"))</f>
        <v>Major</v>
      </c>
    </row>
    <row r="430" spans="1:10">
      <c r="A430" s="91" t="s">
        <v>1008</v>
      </c>
      <c r="B430" s="18">
        <v>4</v>
      </c>
      <c r="C430" s="78" t="s">
        <v>948</v>
      </c>
      <c r="D430" s="83" t="s">
        <v>949</v>
      </c>
      <c r="E430" s="81" t="s">
        <v>21</v>
      </c>
      <c r="F430" s="81" t="s">
        <v>7</v>
      </c>
      <c r="G430" s="81" t="s">
        <v>57</v>
      </c>
      <c r="H430" s="81" t="s">
        <v>953</v>
      </c>
      <c r="I430" s="81"/>
      <c r="J430" s="15" t="str">
        <f>IF(E430="Invalid_Segment","Invalid",IFERROR(INDEX(Severity_Matrix!$C$3:$M$10,MATCH('Error Log'!$F430,Severity_Matrix!$B$3:$B$10,0),MATCH('Error Log'!$G430,Severity_Matrix!$C$2:$M$2,0)),"No errors"))</f>
        <v>Critical</v>
      </c>
    </row>
    <row r="431" spans="1:10">
      <c r="A431" s="91" t="s">
        <v>1008</v>
      </c>
      <c r="B431" s="18">
        <v>5</v>
      </c>
      <c r="C431" s="78" t="s">
        <v>948</v>
      </c>
      <c r="D431" s="83" t="s">
        <v>949</v>
      </c>
      <c r="E431" s="81" t="s">
        <v>21</v>
      </c>
      <c r="F431" s="81" t="s">
        <v>7</v>
      </c>
      <c r="G431" s="81" t="s">
        <v>57</v>
      </c>
      <c r="H431" s="81" t="s">
        <v>954</v>
      </c>
      <c r="I431" s="81"/>
      <c r="J431" s="15" t="str">
        <f>IF(E431="Invalid_Segment","Invalid",IFERROR(INDEX(Severity_Matrix!$C$3:$M$10,MATCH('Error Log'!$F431,Severity_Matrix!$B$3:$B$10,0),MATCH('Error Log'!$G431,Severity_Matrix!$C$2:$M$2,0)),"No errors"))</f>
        <v>Critical</v>
      </c>
    </row>
    <row r="432" spans="1:10">
      <c r="A432" s="91" t="s">
        <v>1009</v>
      </c>
      <c r="B432" s="18">
        <v>1</v>
      </c>
      <c r="C432" s="83" t="s">
        <v>955</v>
      </c>
      <c r="D432" s="83" t="s">
        <v>956</v>
      </c>
      <c r="E432" s="81" t="s">
        <v>21</v>
      </c>
      <c r="F432" s="81" t="s">
        <v>7</v>
      </c>
      <c r="G432" s="81" t="s">
        <v>57</v>
      </c>
      <c r="H432" s="81" t="s">
        <v>957</v>
      </c>
      <c r="I432" s="81"/>
      <c r="J432" s="15" t="str">
        <f>IF(E432="Invalid_Segment","Invalid",IFERROR(INDEX(Severity_Matrix!$C$3:$M$10,MATCH('Error Log'!$F432,Severity_Matrix!$B$3:$B$10,0),MATCH('Error Log'!$G432,Severity_Matrix!$C$2:$M$2,0)),"No errors"))</f>
        <v>Critical</v>
      </c>
    </row>
    <row r="433" spans="1:10">
      <c r="A433" s="91" t="s">
        <v>1009</v>
      </c>
      <c r="B433" s="18">
        <v>2</v>
      </c>
      <c r="C433" s="83" t="s">
        <v>955</v>
      </c>
      <c r="D433" s="83" t="s">
        <v>956</v>
      </c>
      <c r="E433" s="81" t="s">
        <v>21</v>
      </c>
      <c r="F433" s="81" t="s">
        <v>7</v>
      </c>
      <c r="G433" s="81" t="s">
        <v>57</v>
      </c>
      <c r="H433" s="90" t="s">
        <v>958</v>
      </c>
      <c r="I433" s="81"/>
      <c r="J433" s="15" t="str">
        <f>IF(E433="Invalid_Segment","Invalid",IFERROR(INDEX(Severity_Matrix!$C$3:$M$10,MATCH('Error Log'!$F433,Severity_Matrix!$B$3:$B$10,0),MATCH('Error Log'!$G433,Severity_Matrix!$C$2:$M$2,0)),"No errors"))</f>
        <v>Critical</v>
      </c>
    </row>
    <row r="434" spans="1:10">
      <c r="A434" s="91" t="s">
        <v>1009</v>
      </c>
      <c r="B434" s="18">
        <v>3</v>
      </c>
      <c r="C434" s="83" t="s">
        <v>955</v>
      </c>
      <c r="D434" s="83" t="s">
        <v>956</v>
      </c>
      <c r="E434" s="81" t="s">
        <v>21</v>
      </c>
      <c r="F434" s="81" t="s">
        <v>7</v>
      </c>
      <c r="G434" s="81" t="s">
        <v>57</v>
      </c>
      <c r="H434" s="81" t="s">
        <v>959</v>
      </c>
      <c r="I434" s="81"/>
      <c r="J434" s="15" t="str">
        <f>IF(E434="Invalid_Segment","Invalid",IFERROR(INDEX(Severity_Matrix!$C$3:$M$10,MATCH('Error Log'!$F434,Severity_Matrix!$B$3:$B$10,0),MATCH('Error Log'!$G434,Severity_Matrix!$C$2:$M$2,0)),"No errors"))</f>
        <v>Critical</v>
      </c>
    </row>
    <row r="435" spans="1:10">
      <c r="A435" s="79" t="s">
        <v>1010</v>
      </c>
      <c r="B435" s="18">
        <v>1</v>
      </c>
      <c r="C435" s="78" t="s">
        <v>1011</v>
      </c>
      <c r="D435" s="78" t="s">
        <v>1012</v>
      </c>
      <c r="E435" s="81" t="s">
        <v>21</v>
      </c>
      <c r="F435" s="81" t="s">
        <v>22</v>
      </c>
      <c r="G435" s="81" t="s">
        <v>57</v>
      </c>
      <c r="H435" s="81" t="s">
        <v>1013</v>
      </c>
      <c r="I435" s="81"/>
      <c r="J435" s="15" t="str">
        <f>IF(E435="Invalid_Segment","Invalid",IFERROR(INDEX(Severity_Matrix!$C$3:$M$10,MATCH('Error Log'!$F435,Severity_Matrix!$B$3:$B$10,0),MATCH('Error Log'!$G435,Severity_Matrix!$C$2:$M$2,0)),"No errors"))</f>
        <v>Major</v>
      </c>
    </row>
    <row r="436" spans="1:10">
      <c r="A436" s="79" t="s">
        <v>1010</v>
      </c>
      <c r="B436" s="18">
        <v>2</v>
      </c>
      <c r="C436" s="78" t="s">
        <v>1011</v>
      </c>
      <c r="D436" s="78" t="s">
        <v>1012</v>
      </c>
      <c r="E436" s="81" t="s">
        <v>21</v>
      </c>
      <c r="F436" s="81" t="s">
        <v>22</v>
      </c>
      <c r="G436" s="81" t="s">
        <v>57</v>
      </c>
      <c r="H436" s="81" t="s">
        <v>1014</v>
      </c>
      <c r="I436" s="81"/>
      <c r="J436" s="15" t="str">
        <f>IF(E436="Invalid_Segment","Invalid",IFERROR(INDEX(Severity_Matrix!$C$3:$M$10,MATCH('Error Log'!$F436,Severity_Matrix!$B$3:$B$10,0),MATCH('Error Log'!$G436,Severity_Matrix!$C$2:$M$2,0)),"No errors"))</f>
        <v>Major</v>
      </c>
    </row>
    <row r="437" spans="1:10">
      <c r="A437" s="79" t="s">
        <v>1010</v>
      </c>
      <c r="B437" s="18">
        <v>3</v>
      </c>
      <c r="C437" s="78" t="s">
        <v>1011</v>
      </c>
      <c r="D437" s="78" t="s">
        <v>1012</v>
      </c>
      <c r="E437" s="81" t="s">
        <v>21</v>
      </c>
      <c r="F437" s="81" t="s">
        <v>22</v>
      </c>
      <c r="G437" s="81" t="s">
        <v>57</v>
      </c>
      <c r="H437" s="81" t="s">
        <v>1015</v>
      </c>
      <c r="I437" s="81"/>
      <c r="J437" s="15" t="str">
        <f>IF(E437="Invalid_Segment","Invalid",IFERROR(INDEX(Severity_Matrix!$C$3:$M$10,MATCH('Error Log'!$F437,Severity_Matrix!$B$3:$B$10,0),MATCH('Error Log'!$G437,Severity_Matrix!$C$2:$M$2,0)),"No errors"))</f>
        <v>Major</v>
      </c>
    </row>
    <row r="438" spans="1:10">
      <c r="A438" s="79" t="s">
        <v>1010</v>
      </c>
      <c r="B438" s="18">
        <v>4</v>
      </c>
      <c r="C438" s="78" t="s">
        <v>1011</v>
      </c>
      <c r="D438" s="78" t="s">
        <v>1012</v>
      </c>
      <c r="E438" s="81" t="s">
        <v>21</v>
      </c>
      <c r="F438" s="81" t="s">
        <v>7</v>
      </c>
      <c r="G438" s="81" t="s">
        <v>57</v>
      </c>
      <c r="H438" s="81" t="s">
        <v>1016</v>
      </c>
      <c r="I438" s="81"/>
      <c r="J438" s="15" t="str">
        <f>IF(E438="Invalid_Segment","Invalid",IFERROR(INDEX(Severity_Matrix!$C$3:$M$10,MATCH('Error Log'!$F438,Severity_Matrix!$B$3:$B$10,0),MATCH('Error Log'!$G438,Severity_Matrix!$C$2:$M$2,0)),"No errors"))</f>
        <v>Critical</v>
      </c>
    </row>
    <row r="439" spans="1:10">
      <c r="A439" s="79" t="s">
        <v>1010</v>
      </c>
      <c r="B439" s="18">
        <v>5</v>
      </c>
      <c r="C439" s="78" t="s">
        <v>1011</v>
      </c>
      <c r="D439" s="78" t="s">
        <v>1012</v>
      </c>
      <c r="E439" s="81" t="s">
        <v>21</v>
      </c>
      <c r="F439" s="81" t="s">
        <v>7</v>
      </c>
      <c r="G439" s="81" t="s">
        <v>57</v>
      </c>
      <c r="H439" s="81" t="s">
        <v>1017</v>
      </c>
      <c r="I439" s="81"/>
      <c r="J439" s="15" t="str">
        <f>IF(E439="Invalid_Segment","Invalid",IFERROR(INDEX(Severity_Matrix!$C$3:$M$10,MATCH('Error Log'!$F439,Severity_Matrix!$B$3:$B$10,0),MATCH('Error Log'!$G439,Severity_Matrix!$C$2:$M$2,0)),"No errors"))</f>
        <v>Critical</v>
      </c>
    </row>
    <row r="440" spans="1:10" ht="15.6">
      <c r="A440" s="105" t="s">
        <v>1018</v>
      </c>
      <c r="B440" s="18">
        <v>1</v>
      </c>
      <c r="C440" s="78" t="s">
        <v>1019</v>
      </c>
      <c r="D440" s="78" t="s">
        <v>1020</v>
      </c>
      <c r="E440" s="81" t="s">
        <v>21</v>
      </c>
      <c r="F440" s="81" t="s">
        <v>22</v>
      </c>
      <c r="G440" s="81" t="s">
        <v>57</v>
      </c>
      <c r="H440" s="81" t="s">
        <v>1021</v>
      </c>
      <c r="I440" s="81"/>
      <c r="J440" s="15" t="str">
        <f>IF(E440="Invalid_Segment","Invalid",IFERROR(INDEX(Severity_Matrix!$C$3:$M$10,MATCH('Error Log'!$F440,Severity_Matrix!$B$3:$B$10,0),MATCH('Error Log'!$G440,Severity_Matrix!$C$2:$M$2,0)),"No errors"))</f>
        <v>Major</v>
      </c>
    </row>
    <row r="441" spans="1:10" ht="15.6">
      <c r="A441" s="105" t="s">
        <v>1018</v>
      </c>
      <c r="B441" s="18">
        <v>2</v>
      </c>
      <c r="C441" s="78" t="s">
        <v>1019</v>
      </c>
      <c r="D441" s="78" t="s">
        <v>1020</v>
      </c>
      <c r="E441" s="81" t="s">
        <v>21</v>
      </c>
      <c r="F441" s="81" t="s">
        <v>7</v>
      </c>
      <c r="G441" s="81" t="s">
        <v>57</v>
      </c>
      <c r="H441" s="81" t="s">
        <v>1022</v>
      </c>
      <c r="I441" s="81"/>
      <c r="J441" s="15" t="str">
        <f>IF(E441="Invalid_Segment","Invalid",IFERROR(INDEX(Severity_Matrix!$C$3:$M$10,MATCH('Error Log'!$F441,Severity_Matrix!$B$3:$B$10,0),MATCH('Error Log'!$G441,Severity_Matrix!$C$2:$M$2,0)),"No errors"))</f>
        <v>Critical</v>
      </c>
    </row>
    <row r="442" spans="1:10" ht="15.6">
      <c r="A442" s="105" t="s">
        <v>1018</v>
      </c>
      <c r="B442" s="18">
        <v>3</v>
      </c>
      <c r="C442" s="78" t="s">
        <v>1019</v>
      </c>
      <c r="D442" s="78" t="s">
        <v>1020</v>
      </c>
      <c r="E442" s="81" t="s">
        <v>21</v>
      </c>
      <c r="F442" s="81" t="s">
        <v>7</v>
      </c>
      <c r="G442" s="81" t="s">
        <v>57</v>
      </c>
      <c r="H442" s="81" t="s">
        <v>1023</v>
      </c>
      <c r="I442" s="81"/>
      <c r="J442" s="15" t="str">
        <f>IF(E442="Invalid_Segment","Invalid",IFERROR(INDEX(Severity_Matrix!$C$3:$M$10,MATCH('Error Log'!$F442,Severity_Matrix!$B$3:$B$10,0),MATCH('Error Log'!$G442,Severity_Matrix!$C$2:$M$2,0)),"No errors"))</f>
        <v>Critical</v>
      </c>
    </row>
    <row r="443" spans="1:10">
      <c r="A443" s="91" t="s">
        <v>1024</v>
      </c>
      <c r="B443" s="18"/>
      <c r="C443" s="78" t="s">
        <v>1025</v>
      </c>
      <c r="D443" s="78" t="s">
        <v>1026</v>
      </c>
      <c r="E443" s="81"/>
      <c r="F443" s="81"/>
      <c r="G443" s="81"/>
      <c r="H443" s="81"/>
      <c r="I443" s="81"/>
      <c r="J443" s="15" t="str">
        <f>IF(E443="Invalid_Segment","Invalid",IFERROR(INDEX(Severity_Matrix!$C$3:$M$10,MATCH('Error Log'!$F443,Severity_Matrix!$B$3:$B$10,0),MATCH('Error Log'!$G443,Severity_Matrix!$C$2:$M$2,0)),"No errors"))</f>
        <v>No errors</v>
      </c>
    </row>
    <row r="444" spans="1:10">
      <c r="A444" s="92" t="s">
        <v>1027</v>
      </c>
      <c r="B444" s="18">
        <v>1</v>
      </c>
      <c r="C444" s="83" t="s">
        <v>1028</v>
      </c>
      <c r="D444" s="78" t="s">
        <v>1029</v>
      </c>
      <c r="E444" s="81" t="s">
        <v>21</v>
      </c>
      <c r="F444" s="81" t="s">
        <v>7</v>
      </c>
      <c r="G444" s="81" t="s">
        <v>57</v>
      </c>
      <c r="H444" s="81" t="s">
        <v>1030</v>
      </c>
      <c r="I444" s="81"/>
      <c r="J444" s="15" t="str">
        <f>IF(E444="Invalid_Segment","Invalid",IFERROR(INDEX(Severity_Matrix!$C$3:$M$10,MATCH('Error Log'!$F444,Severity_Matrix!$B$3:$B$10,0),MATCH('Error Log'!$G444,Severity_Matrix!$C$2:$M$2,0)),"No errors"))</f>
        <v>Critical</v>
      </c>
    </row>
    <row r="445" spans="1:10">
      <c r="A445" s="92" t="s">
        <v>1031</v>
      </c>
      <c r="B445" s="18">
        <v>1</v>
      </c>
      <c r="C445" s="83" t="s">
        <v>1032</v>
      </c>
      <c r="D445" s="78" t="s">
        <v>1033</v>
      </c>
      <c r="E445" s="81" t="s">
        <v>21</v>
      </c>
      <c r="F445" s="81" t="s">
        <v>22</v>
      </c>
      <c r="G445" s="81" t="s">
        <v>57</v>
      </c>
      <c r="H445" s="81" t="s">
        <v>1034</v>
      </c>
      <c r="I445" s="81"/>
      <c r="J445" s="15" t="str">
        <f>IF(E445="Invalid_Segment","Invalid",IFERROR(INDEX(Severity_Matrix!$C$3:$M$10,MATCH('Error Log'!$F445,Severity_Matrix!$B$3:$B$10,0),MATCH('Error Log'!$G445,Severity_Matrix!$C$2:$M$2,0)),"No errors"))</f>
        <v>Major</v>
      </c>
    </row>
    <row r="446" spans="1:10">
      <c r="A446" s="92" t="s">
        <v>1031</v>
      </c>
      <c r="B446" s="18">
        <v>2</v>
      </c>
      <c r="C446" s="83" t="s">
        <v>1032</v>
      </c>
      <c r="D446" s="78" t="s">
        <v>1033</v>
      </c>
      <c r="E446" s="81" t="s">
        <v>21</v>
      </c>
      <c r="F446" s="81" t="s">
        <v>22</v>
      </c>
      <c r="G446" s="81" t="s">
        <v>57</v>
      </c>
      <c r="H446" s="81" t="s">
        <v>1035</v>
      </c>
      <c r="I446" s="81"/>
      <c r="J446" s="15" t="str">
        <f>IF(E446="Invalid_Segment","Invalid",IFERROR(INDEX(Severity_Matrix!$C$3:$M$10,MATCH('Error Log'!$F446,Severity_Matrix!$B$3:$B$10,0),MATCH('Error Log'!$G446,Severity_Matrix!$C$2:$M$2,0)),"No errors"))</f>
        <v>Major</v>
      </c>
    </row>
    <row r="447" spans="1:10">
      <c r="A447" s="92" t="s">
        <v>1031</v>
      </c>
      <c r="B447" s="18">
        <v>3</v>
      </c>
      <c r="C447" s="83" t="s">
        <v>1032</v>
      </c>
      <c r="D447" s="78" t="s">
        <v>1033</v>
      </c>
      <c r="E447" s="81" t="s">
        <v>21</v>
      </c>
      <c r="F447" s="81" t="s">
        <v>7</v>
      </c>
      <c r="G447" s="81" t="s">
        <v>57</v>
      </c>
      <c r="H447" s="81" t="s">
        <v>1036</v>
      </c>
      <c r="I447" s="81"/>
      <c r="J447" s="15" t="str">
        <f>IF(E447="Invalid_Segment","Invalid",IFERROR(INDEX(Severity_Matrix!$C$3:$M$10,MATCH('Error Log'!$F447,Severity_Matrix!$B$3:$B$10,0),MATCH('Error Log'!$G447,Severity_Matrix!$C$2:$M$2,0)),"No errors"))</f>
        <v>Critical</v>
      </c>
    </row>
    <row r="448" spans="1:10">
      <c r="A448" s="106" t="s">
        <v>1037</v>
      </c>
      <c r="B448" s="18">
        <v>1</v>
      </c>
      <c r="C448" s="78" t="s">
        <v>1038</v>
      </c>
      <c r="D448" s="78" t="s">
        <v>1039</v>
      </c>
      <c r="E448" s="81" t="s">
        <v>21</v>
      </c>
      <c r="F448" s="81" t="s">
        <v>22</v>
      </c>
      <c r="G448" s="81" t="s">
        <v>57</v>
      </c>
      <c r="H448" s="81" t="s">
        <v>1040</v>
      </c>
      <c r="I448" s="81"/>
      <c r="J448" s="15" t="str">
        <f>IF(E448="Invalid_Segment","Invalid",IFERROR(INDEX(Severity_Matrix!$C$3:$M$10,MATCH('Error Log'!$F448,Severity_Matrix!$B$3:$B$10,0),MATCH('Error Log'!$G448,Severity_Matrix!$C$2:$M$2,0)),"No errors"))</f>
        <v>Major</v>
      </c>
    </row>
    <row r="449" spans="1:10">
      <c r="A449" s="106" t="s">
        <v>1037</v>
      </c>
      <c r="B449" s="18">
        <v>2</v>
      </c>
      <c r="C449" s="78" t="s">
        <v>1038</v>
      </c>
      <c r="D449" s="78" t="s">
        <v>1039</v>
      </c>
      <c r="E449" s="81" t="s">
        <v>21</v>
      </c>
      <c r="F449" s="81" t="s">
        <v>7</v>
      </c>
      <c r="G449" s="81" t="s">
        <v>57</v>
      </c>
      <c r="H449" s="81" t="s">
        <v>1041</v>
      </c>
      <c r="I449" s="81"/>
      <c r="J449" s="15" t="str">
        <f>IF(E449="Invalid_Segment","Invalid",IFERROR(INDEX(Severity_Matrix!$C$3:$M$10,MATCH('Error Log'!$F449,Severity_Matrix!$B$3:$B$10,0),MATCH('Error Log'!$G449,Severity_Matrix!$C$2:$M$2,0)),"No errors"))</f>
        <v>Critical</v>
      </c>
    </row>
    <row r="450" spans="1:10">
      <c r="A450" s="106" t="s">
        <v>1042</v>
      </c>
      <c r="B450" s="18">
        <v>1</v>
      </c>
      <c r="C450" s="78" t="s">
        <v>1043</v>
      </c>
      <c r="D450" s="78" t="s">
        <v>1044</v>
      </c>
      <c r="E450" s="81" t="s">
        <v>21</v>
      </c>
      <c r="F450" s="81" t="s">
        <v>7</v>
      </c>
      <c r="G450" s="81" t="s">
        <v>57</v>
      </c>
      <c r="H450" s="81" t="s">
        <v>1045</v>
      </c>
      <c r="I450" s="81"/>
      <c r="J450" s="15" t="str">
        <f>IF(E450="Invalid_Segment","Invalid",IFERROR(INDEX(Severity_Matrix!$C$3:$M$10,MATCH('Error Log'!$F450,Severity_Matrix!$B$3:$B$10,0),MATCH('Error Log'!$G450,Severity_Matrix!$C$2:$M$2,0)),"No errors"))</f>
        <v>Critical</v>
      </c>
    </row>
    <row r="451" spans="1:10">
      <c r="A451" s="106" t="s">
        <v>1046</v>
      </c>
      <c r="B451" s="18">
        <v>1</v>
      </c>
      <c r="C451" s="78" t="s">
        <v>1047</v>
      </c>
      <c r="D451" s="78" t="s">
        <v>1048</v>
      </c>
      <c r="E451" s="81" t="s">
        <v>21</v>
      </c>
      <c r="F451" s="81" t="s">
        <v>22</v>
      </c>
      <c r="G451" s="81" t="s">
        <v>57</v>
      </c>
      <c r="H451" s="81" t="s">
        <v>1049</v>
      </c>
      <c r="I451" s="81"/>
      <c r="J451" s="15" t="str">
        <f>IF(E451="Invalid_Segment","Invalid",IFERROR(INDEX(Severity_Matrix!$C$3:$M$10,MATCH('Error Log'!$F451,Severity_Matrix!$B$3:$B$10,0),MATCH('Error Log'!$G451,Severity_Matrix!$C$2:$M$2,0)),"No errors"))</f>
        <v>Major</v>
      </c>
    </row>
    <row r="452" spans="1:10">
      <c r="A452" s="106" t="s">
        <v>1046</v>
      </c>
      <c r="B452" s="18">
        <v>2</v>
      </c>
      <c r="C452" s="78" t="s">
        <v>1047</v>
      </c>
      <c r="D452" s="78" t="s">
        <v>1048</v>
      </c>
      <c r="E452" s="81" t="s">
        <v>21</v>
      </c>
      <c r="F452" s="81" t="s">
        <v>7</v>
      </c>
      <c r="G452" s="81" t="s">
        <v>57</v>
      </c>
      <c r="H452" s="81" t="s">
        <v>1050</v>
      </c>
      <c r="I452" s="81"/>
      <c r="J452" s="15" t="str">
        <f>IF(E452="Invalid_Segment","Invalid",IFERROR(INDEX(Severity_Matrix!$C$3:$M$10,MATCH('Error Log'!$F452,Severity_Matrix!$B$3:$B$10,0),MATCH('Error Log'!$G452,Severity_Matrix!$C$2:$M$2,0)),"No errors"))</f>
        <v>Critical</v>
      </c>
    </row>
    <row r="453" spans="1:10">
      <c r="A453" s="106" t="s">
        <v>1051</v>
      </c>
      <c r="B453" s="18">
        <v>1</v>
      </c>
      <c r="C453" s="78" t="s">
        <v>1052</v>
      </c>
      <c r="D453" s="78" t="s">
        <v>1053</v>
      </c>
      <c r="E453" s="81" t="s">
        <v>21</v>
      </c>
      <c r="F453" s="81" t="s">
        <v>7</v>
      </c>
      <c r="G453" s="81" t="s">
        <v>57</v>
      </c>
      <c r="H453" s="91" t="s">
        <v>1054</v>
      </c>
      <c r="I453" s="81"/>
      <c r="J453" s="15" t="str">
        <f>IF(E453="Invalid_Segment","Invalid",IFERROR(INDEX(Severity_Matrix!$C$3:$M$10,MATCH('Error Log'!$F453,Severity_Matrix!$B$3:$B$10,0),MATCH('Error Log'!$G453,Severity_Matrix!$C$2:$M$2,0)),"No errors"))</f>
        <v>Critical</v>
      </c>
    </row>
    <row r="454" spans="1:10">
      <c r="A454" s="92" t="s">
        <v>1055</v>
      </c>
      <c r="B454" s="18">
        <v>1</v>
      </c>
      <c r="C454" s="83" t="s">
        <v>1056</v>
      </c>
      <c r="D454" s="78" t="s">
        <v>1057</v>
      </c>
      <c r="E454" s="81" t="s">
        <v>21</v>
      </c>
      <c r="F454" s="81" t="s">
        <v>22</v>
      </c>
      <c r="G454" s="81" t="s">
        <v>57</v>
      </c>
      <c r="H454" s="81" t="s">
        <v>1058</v>
      </c>
      <c r="I454" s="81"/>
      <c r="J454" s="15" t="str">
        <f>IF(E454="Invalid_Segment","Invalid",IFERROR(INDEX(Severity_Matrix!$C$3:$M$10,MATCH('Error Log'!$F454,Severity_Matrix!$B$3:$B$10,0),MATCH('Error Log'!$G454,Severity_Matrix!$C$2:$M$2,0)),"No errors"))</f>
        <v>Major</v>
      </c>
    </row>
    <row r="455" spans="1:10">
      <c r="A455" s="92" t="s">
        <v>1055</v>
      </c>
      <c r="B455" s="18">
        <v>2</v>
      </c>
      <c r="C455" s="83" t="s">
        <v>1056</v>
      </c>
      <c r="D455" s="78" t="s">
        <v>1057</v>
      </c>
      <c r="E455" s="81" t="s">
        <v>21</v>
      </c>
      <c r="F455" s="81" t="s">
        <v>7</v>
      </c>
      <c r="G455" s="81" t="s">
        <v>57</v>
      </c>
      <c r="H455" s="81" t="s">
        <v>1059</v>
      </c>
      <c r="I455" s="81"/>
      <c r="J455" s="15" t="str">
        <f>IF(E455="Invalid_Segment","Invalid",IFERROR(INDEX(Severity_Matrix!$C$3:$M$10,MATCH('Error Log'!$F455,Severity_Matrix!$B$3:$B$10,0),MATCH('Error Log'!$G455,Severity_Matrix!$C$2:$M$2,0)),"No errors"))</f>
        <v>Critical</v>
      </c>
    </row>
    <row r="456" spans="1:10">
      <c r="A456" s="92" t="s">
        <v>1060</v>
      </c>
      <c r="B456" s="18">
        <v>1</v>
      </c>
      <c r="C456" s="83" t="s">
        <v>1061</v>
      </c>
      <c r="D456" s="78" t="s">
        <v>1062</v>
      </c>
      <c r="E456" s="81" t="s">
        <v>21</v>
      </c>
      <c r="F456" s="81" t="s">
        <v>22</v>
      </c>
      <c r="G456" s="81" t="s">
        <v>57</v>
      </c>
      <c r="H456" s="81" t="s">
        <v>1063</v>
      </c>
      <c r="I456" s="81"/>
      <c r="J456" s="15" t="str">
        <f>IF(E456="Invalid_Segment","Invalid",IFERROR(INDEX(Severity_Matrix!$C$3:$M$10,MATCH('Error Log'!$F456,Severity_Matrix!$B$3:$B$10,0),MATCH('Error Log'!$G456,Severity_Matrix!$C$2:$M$2,0)),"No errors"))</f>
        <v>Major</v>
      </c>
    </row>
    <row r="457" spans="1:10">
      <c r="A457" s="92" t="s">
        <v>1060</v>
      </c>
      <c r="B457" s="18">
        <v>2</v>
      </c>
      <c r="C457" s="83" t="s">
        <v>1061</v>
      </c>
      <c r="D457" s="78" t="s">
        <v>1062</v>
      </c>
      <c r="E457" s="81" t="s">
        <v>21</v>
      </c>
      <c r="F457" s="81" t="s">
        <v>22</v>
      </c>
      <c r="G457" s="81" t="s">
        <v>57</v>
      </c>
      <c r="H457" s="81" t="s">
        <v>1064</v>
      </c>
      <c r="I457" s="81"/>
      <c r="J457" s="15" t="str">
        <f>IF(E457="Invalid_Segment","Invalid",IFERROR(INDEX(Severity_Matrix!$C$3:$M$10,MATCH('Error Log'!$F457,Severity_Matrix!$B$3:$B$10,0),MATCH('Error Log'!$G457,Severity_Matrix!$C$2:$M$2,0)),"No errors"))</f>
        <v>Major</v>
      </c>
    </row>
    <row r="458" spans="1:10">
      <c r="A458" s="92" t="s">
        <v>1060</v>
      </c>
      <c r="B458" s="18">
        <v>3</v>
      </c>
      <c r="C458" s="83" t="s">
        <v>1061</v>
      </c>
      <c r="D458" s="78" t="s">
        <v>1062</v>
      </c>
      <c r="E458" s="81" t="s">
        <v>21</v>
      </c>
      <c r="F458" s="81" t="s">
        <v>7</v>
      </c>
      <c r="G458" s="81" t="s">
        <v>57</v>
      </c>
      <c r="H458" s="81" t="s">
        <v>1065</v>
      </c>
      <c r="I458" s="81"/>
      <c r="J458" s="15" t="str">
        <f>IF(E458="Invalid_Segment","Invalid",IFERROR(INDEX(Severity_Matrix!$C$3:$M$10,MATCH('Error Log'!$F458,Severity_Matrix!$B$3:$B$10,0),MATCH('Error Log'!$G458,Severity_Matrix!$C$2:$M$2,0)),"No errors"))</f>
        <v>Critical</v>
      </c>
    </row>
    <row r="459" spans="1:10">
      <c r="A459" s="92" t="s">
        <v>1066</v>
      </c>
      <c r="B459" s="18">
        <v>1</v>
      </c>
      <c r="C459" s="83" t="s">
        <v>1067</v>
      </c>
      <c r="D459" s="78" t="s">
        <v>1068</v>
      </c>
      <c r="E459" s="81" t="s">
        <v>21</v>
      </c>
      <c r="F459" s="81" t="s">
        <v>7</v>
      </c>
      <c r="G459" s="81" t="s">
        <v>57</v>
      </c>
      <c r="H459" s="81" t="s">
        <v>1069</v>
      </c>
      <c r="I459" s="81"/>
      <c r="J459" s="15" t="str">
        <f>IF(E459="Invalid_Segment","Invalid",IFERROR(INDEX(Severity_Matrix!$C$3:$M$10,MATCH('Error Log'!$F459,Severity_Matrix!$B$3:$B$10,0),MATCH('Error Log'!$G459,Severity_Matrix!$C$2:$M$2,0)),"No errors"))</f>
        <v>Critical</v>
      </c>
    </row>
    <row r="460" spans="1:10">
      <c r="A460" s="92" t="s">
        <v>1066</v>
      </c>
      <c r="B460" s="18">
        <v>2</v>
      </c>
      <c r="C460" s="83" t="s">
        <v>1067</v>
      </c>
      <c r="D460" s="78" t="s">
        <v>1068</v>
      </c>
      <c r="E460" s="81" t="s">
        <v>21</v>
      </c>
      <c r="F460" s="81" t="s">
        <v>7</v>
      </c>
      <c r="G460" s="81" t="s">
        <v>57</v>
      </c>
      <c r="H460" s="81" t="s">
        <v>1070</v>
      </c>
      <c r="I460" s="81"/>
      <c r="J460" s="15" t="str">
        <f>IF(E460="Invalid_Segment","Invalid",IFERROR(INDEX(Severity_Matrix!$C$3:$M$10,MATCH('Error Log'!$F460,Severity_Matrix!$B$3:$B$10,0),MATCH('Error Log'!$G460,Severity_Matrix!$C$2:$M$2,0)),"No errors"))</f>
        <v>Critical</v>
      </c>
    </row>
    <row r="461" spans="1:10">
      <c r="A461" s="19"/>
      <c r="B461" s="18"/>
      <c r="C461" s="20"/>
      <c r="D461" s="20"/>
      <c r="E461" s="14"/>
      <c r="F461" s="14"/>
      <c r="G461" s="14"/>
      <c r="H461" s="14"/>
      <c r="I461" s="14"/>
      <c r="J461" s="15"/>
    </row>
    <row r="462" spans="1:10">
      <c r="A462" s="19"/>
      <c r="B462" s="18"/>
      <c r="C462" s="20"/>
      <c r="D462" s="20"/>
      <c r="E462" s="14"/>
      <c r="F462" s="14"/>
      <c r="G462" s="14"/>
      <c r="H462" s="14"/>
      <c r="I462" s="14"/>
      <c r="J462" s="15"/>
    </row>
    <row r="463" spans="1:10">
      <c r="A463" s="19"/>
      <c r="B463" s="18"/>
      <c r="C463" s="20"/>
      <c r="D463" s="20"/>
      <c r="E463" s="14"/>
      <c r="F463" s="14"/>
      <c r="G463" s="14"/>
      <c r="H463" s="14"/>
      <c r="I463" s="14"/>
      <c r="J463" s="15"/>
    </row>
    <row r="464" spans="1:10">
      <c r="A464" s="19"/>
      <c r="B464" s="18"/>
      <c r="C464" s="20"/>
      <c r="D464" s="20"/>
      <c r="E464" s="14"/>
      <c r="F464" s="14"/>
      <c r="G464" s="14"/>
      <c r="H464" s="14"/>
      <c r="I464" s="14"/>
      <c r="J464" s="15"/>
    </row>
    <row r="465" spans="1:10">
      <c r="A465" s="19"/>
      <c r="B465" s="18"/>
      <c r="C465" s="20"/>
      <c r="D465" s="20"/>
      <c r="E465" s="14"/>
      <c r="F465" s="14"/>
      <c r="G465" s="14"/>
      <c r="H465" s="14"/>
      <c r="I465" s="14"/>
      <c r="J465" s="15"/>
    </row>
    <row r="466" spans="1:10">
      <c r="A466" s="19"/>
      <c r="B466" s="18"/>
      <c r="C466" s="20"/>
      <c r="D466" s="20"/>
      <c r="E466" s="14"/>
      <c r="F466" s="14"/>
      <c r="G466" s="14"/>
      <c r="H466" s="14"/>
      <c r="I466" s="14"/>
      <c r="J466" s="15"/>
    </row>
    <row r="467" spans="1:10">
      <c r="A467" s="19"/>
      <c r="B467" s="18"/>
      <c r="C467" s="20"/>
      <c r="D467" s="20"/>
      <c r="E467" s="14"/>
      <c r="F467" s="14"/>
      <c r="G467" s="14"/>
      <c r="H467" s="14"/>
      <c r="I467" s="14"/>
      <c r="J467" s="15"/>
    </row>
    <row r="468" spans="1:10">
      <c r="A468" s="19"/>
      <c r="B468" s="18"/>
      <c r="C468" s="20"/>
      <c r="D468" s="20"/>
      <c r="E468" s="14"/>
      <c r="F468" s="14"/>
      <c r="G468" s="14"/>
      <c r="H468" s="14"/>
      <c r="I468" s="14"/>
      <c r="J468" s="15"/>
    </row>
    <row r="469" spans="1:10">
      <c r="A469" s="19"/>
      <c r="B469" s="18"/>
      <c r="C469" s="20"/>
      <c r="D469" s="20"/>
      <c r="E469" s="14"/>
      <c r="F469" s="14"/>
      <c r="G469" s="14"/>
      <c r="H469" s="14"/>
      <c r="I469" s="14"/>
      <c r="J469" s="15"/>
    </row>
    <row r="470" spans="1:10">
      <c r="A470" s="19"/>
      <c r="B470" s="18"/>
      <c r="C470" s="20"/>
      <c r="D470" s="20"/>
      <c r="E470" s="14"/>
      <c r="F470" s="14"/>
      <c r="G470" s="14"/>
      <c r="H470" s="14"/>
      <c r="I470" s="14"/>
      <c r="J470" s="15"/>
    </row>
    <row r="471" spans="1:10">
      <c r="A471" s="19"/>
      <c r="B471" s="18"/>
      <c r="C471" s="20"/>
      <c r="D471" s="20"/>
      <c r="E471" s="14"/>
      <c r="F471" s="14"/>
      <c r="G471" s="14"/>
      <c r="H471" s="14"/>
      <c r="I471" s="14"/>
      <c r="J471" s="15"/>
    </row>
    <row r="472" spans="1:10">
      <c r="A472" s="19"/>
      <c r="B472" s="18"/>
      <c r="C472" s="20"/>
      <c r="D472" s="20"/>
      <c r="E472" s="14"/>
      <c r="F472" s="14"/>
      <c r="G472" s="14"/>
      <c r="H472" s="14"/>
      <c r="I472" s="14"/>
      <c r="J472" s="15"/>
    </row>
    <row r="473" spans="1:10">
      <c r="A473" s="19"/>
      <c r="B473" s="18"/>
      <c r="C473" s="20"/>
      <c r="D473" s="20"/>
      <c r="E473" s="14"/>
      <c r="F473" s="14"/>
      <c r="G473" s="14"/>
      <c r="H473" s="14"/>
      <c r="I473" s="14"/>
      <c r="J473" s="15"/>
    </row>
    <row r="474" spans="1:10">
      <c r="A474" s="19"/>
      <c r="B474" s="18"/>
      <c r="C474" s="20"/>
      <c r="D474" s="20"/>
      <c r="E474" s="14"/>
      <c r="F474" s="14"/>
      <c r="G474" s="14"/>
      <c r="H474" s="14"/>
      <c r="I474" s="14"/>
      <c r="J474" s="15"/>
    </row>
    <row r="475" spans="1:10">
      <c r="A475" s="19"/>
      <c r="B475" s="18"/>
      <c r="C475" s="20"/>
      <c r="D475" s="20"/>
      <c r="E475" s="14"/>
      <c r="F475" s="14"/>
      <c r="G475" s="14"/>
      <c r="H475" s="14"/>
      <c r="I475" s="14"/>
      <c r="J475" s="15"/>
    </row>
    <row r="476" spans="1:10">
      <c r="A476" s="19"/>
      <c r="B476" s="18"/>
      <c r="C476" s="20"/>
      <c r="D476" s="20"/>
      <c r="E476" s="14"/>
      <c r="F476" s="14"/>
      <c r="G476" s="14"/>
      <c r="H476" s="14"/>
      <c r="I476" s="14"/>
      <c r="J476" s="15"/>
    </row>
    <row r="477" spans="1:10">
      <c r="A477" s="19"/>
      <c r="B477" s="18"/>
      <c r="C477" s="20"/>
      <c r="D477" s="20"/>
      <c r="E477" s="14"/>
      <c r="F477" s="14"/>
      <c r="G477" s="14"/>
      <c r="H477" s="14"/>
      <c r="I477" s="14"/>
      <c r="J477" s="15"/>
    </row>
    <row r="478" spans="1:10">
      <c r="A478" s="19"/>
      <c r="B478" s="18"/>
      <c r="C478" s="20"/>
      <c r="D478" s="20"/>
      <c r="E478" s="14"/>
      <c r="F478" s="14"/>
      <c r="G478" s="14"/>
      <c r="H478" s="14"/>
      <c r="I478" s="14"/>
      <c r="J478" s="15"/>
    </row>
    <row r="479" spans="1:10">
      <c r="A479" s="19"/>
      <c r="B479" s="18"/>
      <c r="C479" s="20"/>
      <c r="D479" s="20"/>
      <c r="E479" s="14"/>
      <c r="F479" s="14"/>
      <c r="G479" s="14"/>
      <c r="H479" s="14"/>
      <c r="I479" s="14"/>
      <c r="J479" s="15"/>
    </row>
    <row r="480" spans="1:10">
      <c r="A480" s="19"/>
      <c r="B480" s="18"/>
      <c r="C480" s="20"/>
      <c r="D480" s="20"/>
      <c r="E480" s="14"/>
      <c r="F480" s="14"/>
      <c r="G480" s="14"/>
      <c r="H480" s="14"/>
      <c r="I480" s="14"/>
      <c r="J480" s="15"/>
    </row>
    <row r="481" spans="1:10">
      <c r="A481" s="19"/>
      <c r="B481" s="18"/>
      <c r="C481" s="20"/>
      <c r="D481" s="20"/>
      <c r="E481" s="14"/>
      <c r="F481" s="14"/>
      <c r="G481" s="14"/>
      <c r="H481" s="14"/>
      <c r="I481" s="14"/>
      <c r="J481" s="15"/>
    </row>
    <row r="482" spans="1:10">
      <c r="A482" s="19"/>
      <c r="B482" s="18"/>
      <c r="C482" s="20"/>
      <c r="D482" s="20"/>
      <c r="E482" s="14"/>
      <c r="F482" s="14"/>
      <c r="G482" s="14"/>
      <c r="H482" s="14"/>
      <c r="I482" s="14"/>
      <c r="J482" s="15"/>
    </row>
    <row r="483" spans="1:10">
      <c r="A483" s="19"/>
      <c r="B483" s="18"/>
      <c r="C483" s="20"/>
      <c r="D483" s="20"/>
      <c r="E483" s="14"/>
      <c r="F483" s="14"/>
      <c r="G483" s="14"/>
      <c r="H483" s="14"/>
      <c r="I483" s="14"/>
      <c r="J483" s="15"/>
    </row>
    <row r="484" spans="1:10">
      <c r="A484" s="19"/>
      <c r="B484" s="18"/>
      <c r="C484" s="20"/>
      <c r="D484" s="20"/>
      <c r="E484" s="14"/>
      <c r="F484" s="14"/>
      <c r="G484" s="14"/>
      <c r="H484" s="14"/>
      <c r="I484" s="14"/>
      <c r="J484" s="15"/>
    </row>
    <row r="485" spans="1:10">
      <c r="A485" s="19"/>
      <c r="B485" s="18"/>
      <c r="C485" s="20"/>
      <c r="D485" s="20"/>
      <c r="E485" s="14"/>
      <c r="F485" s="14"/>
      <c r="G485" s="14"/>
      <c r="H485" s="14"/>
      <c r="I485" s="14"/>
      <c r="J485" s="15"/>
    </row>
    <row r="486" spans="1:10">
      <c r="A486" s="19"/>
      <c r="B486" s="18"/>
      <c r="C486" s="20"/>
      <c r="D486" s="20"/>
      <c r="E486" s="14"/>
      <c r="F486" s="14"/>
      <c r="G486" s="14"/>
      <c r="H486" s="14"/>
      <c r="I486" s="14"/>
      <c r="J486" s="15"/>
    </row>
    <row r="487" spans="1:10">
      <c r="A487" s="19"/>
      <c r="B487" s="18"/>
      <c r="C487" s="20"/>
      <c r="D487" s="20"/>
      <c r="E487" s="14"/>
      <c r="F487" s="14"/>
      <c r="G487" s="14"/>
      <c r="H487" s="14"/>
      <c r="I487" s="14"/>
      <c r="J487" s="15"/>
    </row>
    <row r="488" spans="1:10">
      <c r="A488" s="19"/>
      <c r="B488" s="18"/>
      <c r="C488" s="20"/>
      <c r="D488" s="20"/>
      <c r="E488" s="14"/>
      <c r="F488" s="14"/>
      <c r="G488" s="14"/>
      <c r="H488" s="14"/>
      <c r="I488" s="14"/>
      <c r="J488" s="15"/>
    </row>
    <row r="489" spans="1:10">
      <c r="A489" s="19"/>
      <c r="B489" s="18"/>
      <c r="C489" s="20"/>
      <c r="D489" s="20"/>
      <c r="E489" s="14"/>
      <c r="F489" s="14"/>
      <c r="G489" s="14"/>
      <c r="H489" s="14"/>
      <c r="I489" s="14"/>
      <c r="J489" s="15"/>
    </row>
    <row r="490" spans="1:10">
      <c r="A490" s="19"/>
      <c r="B490" s="18"/>
      <c r="C490" s="20"/>
      <c r="D490" s="20"/>
      <c r="E490" s="14"/>
      <c r="F490" s="14"/>
      <c r="G490" s="14"/>
      <c r="H490" s="14"/>
      <c r="I490" s="14"/>
      <c r="J490" s="15"/>
    </row>
    <row r="491" spans="1:10">
      <c r="A491" s="19"/>
      <c r="B491" s="18"/>
      <c r="C491" s="20"/>
      <c r="D491" s="20"/>
      <c r="E491" s="14"/>
      <c r="F491" s="14"/>
      <c r="G491" s="14"/>
      <c r="H491" s="14"/>
      <c r="I491" s="14"/>
      <c r="J491" s="15"/>
    </row>
    <row r="492" spans="1:10">
      <c r="A492" s="19"/>
      <c r="B492" s="18"/>
      <c r="C492" s="20"/>
      <c r="D492" s="20"/>
      <c r="E492" s="14"/>
      <c r="F492" s="14"/>
      <c r="G492" s="14"/>
      <c r="H492" s="14"/>
      <c r="I492" s="14"/>
      <c r="J492" s="15"/>
    </row>
    <row r="493" spans="1:10">
      <c r="A493" s="19"/>
      <c r="B493" s="18"/>
      <c r="C493" s="20"/>
      <c r="D493" s="20"/>
      <c r="E493" s="14"/>
      <c r="F493" s="14"/>
      <c r="G493" s="14"/>
      <c r="H493" s="14"/>
      <c r="I493" s="14"/>
      <c r="J493" s="15"/>
    </row>
    <row r="494" spans="1:10">
      <c r="A494" s="19"/>
      <c r="B494" s="18"/>
      <c r="C494" s="20"/>
      <c r="D494" s="20"/>
      <c r="E494" s="14"/>
      <c r="F494" s="14"/>
      <c r="G494" s="14"/>
      <c r="H494" s="14"/>
      <c r="I494" s="14"/>
      <c r="J494" s="15"/>
    </row>
    <row r="495" spans="1:10">
      <c r="A495" s="19"/>
      <c r="B495" s="18"/>
      <c r="C495" s="20"/>
      <c r="D495" s="20"/>
      <c r="E495" s="14"/>
      <c r="F495" s="14"/>
      <c r="G495" s="14"/>
      <c r="H495" s="14"/>
      <c r="I495" s="14"/>
      <c r="J495" s="15"/>
    </row>
    <row r="496" spans="1:10">
      <c r="A496" s="19"/>
      <c r="B496" s="18"/>
      <c r="C496" s="20"/>
      <c r="D496" s="20"/>
      <c r="E496" s="14"/>
      <c r="F496" s="14"/>
      <c r="G496" s="14"/>
      <c r="H496" s="14"/>
      <c r="I496" s="14"/>
      <c r="J496" s="15"/>
    </row>
    <row r="497" spans="1:10">
      <c r="A497" s="19"/>
      <c r="B497" s="18"/>
      <c r="C497" s="20"/>
      <c r="D497" s="20"/>
      <c r="E497" s="14"/>
      <c r="F497" s="14"/>
      <c r="G497" s="14"/>
      <c r="H497" s="14"/>
      <c r="I497" s="14"/>
      <c r="J497" s="15"/>
    </row>
    <row r="498" spans="1:10">
      <c r="A498" s="19"/>
      <c r="B498" s="18"/>
      <c r="C498" s="20"/>
      <c r="D498" s="20"/>
      <c r="E498" s="14"/>
      <c r="F498" s="14"/>
      <c r="G498" s="14"/>
      <c r="H498" s="14"/>
      <c r="I498" s="14"/>
      <c r="J498" s="15"/>
    </row>
    <row r="499" spans="1:10">
      <c r="A499" s="19"/>
      <c r="B499" s="18"/>
      <c r="C499" s="20"/>
      <c r="D499" s="20"/>
      <c r="E499" s="14"/>
      <c r="F499" s="14"/>
      <c r="G499" s="14"/>
      <c r="H499" s="14"/>
      <c r="I499" s="14"/>
      <c r="J499" s="15"/>
    </row>
    <row r="500" spans="1:10">
      <c r="A500" s="19"/>
      <c r="B500" s="18"/>
      <c r="C500" s="20"/>
      <c r="D500" s="20"/>
      <c r="E500" s="14"/>
      <c r="F500" s="14"/>
      <c r="G500" s="14"/>
      <c r="H500" s="14"/>
      <c r="I500" s="14"/>
      <c r="J500" s="15"/>
    </row>
    <row r="501" spans="1:10">
      <c r="A501" s="19"/>
      <c r="B501" s="18"/>
      <c r="C501" s="20"/>
      <c r="D501" s="20"/>
      <c r="E501" s="14"/>
      <c r="F501" s="14"/>
      <c r="G501" s="14"/>
      <c r="H501" s="14"/>
      <c r="I501" s="14"/>
      <c r="J501" s="15"/>
    </row>
    <row r="502" spans="1:10">
      <c r="A502" s="19"/>
      <c r="B502" s="18"/>
      <c r="C502" s="20"/>
      <c r="D502" s="20"/>
      <c r="E502" s="14"/>
      <c r="F502" s="14"/>
      <c r="G502" s="14"/>
      <c r="H502" s="14"/>
      <c r="I502" s="14"/>
      <c r="J502" s="15"/>
    </row>
    <row r="503" spans="1:10">
      <c r="A503" s="19"/>
      <c r="B503" s="18"/>
      <c r="C503" s="20"/>
      <c r="D503" s="20"/>
      <c r="E503" s="14"/>
      <c r="F503" s="14"/>
      <c r="G503" s="14"/>
      <c r="H503" s="14"/>
      <c r="I503" s="14"/>
      <c r="J503" s="15"/>
    </row>
    <row r="504" spans="1:10">
      <c r="A504" s="19"/>
      <c r="B504" s="18"/>
      <c r="C504" s="20"/>
      <c r="D504" s="20"/>
      <c r="E504" s="14"/>
      <c r="F504" s="14"/>
      <c r="G504" s="14"/>
      <c r="H504" s="14"/>
      <c r="I504" s="14"/>
      <c r="J504" s="15"/>
    </row>
    <row r="505" spans="1:10">
      <c r="A505" s="19"/>
      <c r="B505" s="18"/>
      <c r="C505" s="20"/>
      <c r="D505" s="20"/>
      <c r="E505" s="14"/>
      <c r="F505" s="14"/>
      <c r="G505" s="14"/>
      <c r="H505" s="14"/>
      <c r="I505" s="14"/>
      <c r="J505" s="15"/>
    </row>
    <row r="506" spans="1:10">
      <c r="A506" s="19"/>
      <c r="B506" s="18"/>
      <c r="C506" s="20"/>
      <c r="D506" s="20"/>
      <c r="E506" s="14"/>
      <c r="F506" s="14"/>
      <c r="G506" s="14"/>
      <c r="H506" s="14"/>
      <c r="I506" s="14"/>
      <c r="J506" s="15"/>
    </row>
    <row r="507" spans="1:10">
      <c r="A507" s="19"/>
      <c r="B507" s="18"/>
      <c r="C507" s="20"/>
      <c r="D507" s="20"/>
      <c r="E507" s="14"/>
      <c r="F507" s="14"/>
      <c r="G507" s="14"/>
      <c r="H507" s="14"/>
      <c r="I507" s="14"/>
      <c r="J507" s="15"/>
    </row>
    <row r="508" spans="1:10">
      <c r="A508" s="19"/>
      <c r="B508" s="18"/>
      <c r="C508" s="20"/>
      <c r="D508" s="20"/>
      <c r="E508" s="14"/>
      <c r="F508" s="14"/>
      <c r="G508" s="14"/>
      <c r="H508" s="14"/>
      <c r="I508" s="14"/>
      <c r="J508" s="15"/>
    </row>
    <row r="509" spans="1:10">
      <c r="A509" s="19"/>
      <c r="B509" s="18"/>
      <c r="C509" s="20"/>
      <c r="D509" s="20"/>
      <c r="E509" s="14"/>
      <c r="F509" s="14"/>
      <c r="G509" s="14"/>
      <c r="H509" s="14"/>
      <c r="I509" s="14"/>
      <c r="J509" s="15"/>
    </row>
    <row r="510" spans="1:10">
      <c r="A510" s="19"/>
      <c r="B510" s="18"/>
      <c r="C510" s="20"/>
      <c r="D510" s="20"/>
      <c r="E510" s="14"/>
      <c r="F510" s="14"/>
      <c r="G510" s="14"/>
      <c r="H510" s="14"/>
      <c r="I510" s="14"/>
      <c r="J510" s="15"/>
    </row>
    <row r="511" spans="1:10">
      <c r="A511" s="19"/>
      <c r="B511" s="18"/>
      <c r="C511" s="20"/>
      <c r="D511" s="20"/>
      <c r="E511" s="14"/>
      <c r="F511" s="14"/>
      <c r="G511" s="14"/>
      <c r="H511" s="14"/>
      <c r="I511" s="14"/>
      <c r="J511" s="15"/>
    </row>
    <row r="512" spans="1:10">
      <c r="A512" s="19"/>
      <c r="B512" s="18"/>
      <c r="C512" s="20"/>
      <c r="D512" s="20"/>
      <c r="E512" s="14"/>
      <c r="F512" s="14"/>
      <c r="G512" s="14"/>
      <c r="H512" s="14"/>
      <c r="I512" s="14"/>
      <c r="J512" s="15"/>
    </row>
    <row r="513" spans="1:10">
      <c r="A513" s="19"/>
      <c r="B513" s="18"/>
      <c r="C513" s="20"/>
      <c r="D513" s="20"/>
      <c r="E513" s="14"/>
      <c r="F513" s="14"/>
      <c r="G513" s="14"/>
      <c r="H513" s="14"/>
      <c r="I513" s="14"/>
      <c r="J513" s="15"/>
    </row>
    <row r="514" spans="1:10">
      <c r="A514" s="19"/>
      <c r="B514" s="18"/>
      <c r="C514" s="20"/>
      <c r="D514" s="20"/>
      <c r="E514" s="14"/>
      <c r="F514" s="14"/>
      <c r="G514" s="14"/>
      <c r="H514" s="14"/>
      <c r="I514" s="14"/>
      <c r="J514" s="15"/>
    </row>
    <row r="515" spans="1:10">
      <c r="A515" s="19"/>
      <c r="B515" s="18"/>
      <c r="C515" s="20"/>
      <c r="D515" s="20"/>
      <c r="E515" s="14"/>
      <c r="F515" s="14"/>
      <c r="G515" s="14"/>
      <c r="H515" s="14"/>
      <c r="I515" s="14"/>
      <c r="J515" s="15"/>
    </row>
    <row r="516" spans="1:10">
      <c r="A516" s="19"/>
      <c r="B516" s="18"/>
      <c r="C516" s="20"/>
      <c r="D516" s="20"/>
      <c r="E516" s="14"/>
      <c r="F516" s="14"/>
      <c r="G516" s="14"/>
      <c r="H516" s="14"/>
      <c r="I516" s="14"/>
      <c r="J516" s="15"/>
    </row>
    <row r="517" spans="1:10">
      <c r="A517" s="19"/>
      <c r="B517" s="18"/>
      <c r="C517" s="20"/>
      <c r="D517" s="20"/>
      <c r="E517" s="14"/>
      <c r="F517" s="14"/>
      <c r="G517" s="14"/>
      <c r="H517" s="14"/>
      <c r="I517" s="14"/>
      <c r="J517" s="15"/>
    </row>
    <row r="518" spans="1:10">
      <c r="A518" s="19"/>
      <c r="B518" s="18"/>
      <c r="C518" s="20"/>
      <c r="D518" s="20"/>
      <c r="E518" s="14"/>
      <c r="F518" s="14"/>
      <c r="G518" s="14"/>
      <c r="H518" s="14"/>
      <c r="I518" s="14"/>
      <c r="J518" s="15"/>
    </row>
    <row r="519" spans="1:10">
      <c r="A519" s="19"/>
      <c r="B519" s="18"/>
      <c r="C519" s="20"/>
      <c r="D519" s="20"/>
      <c r="E519" s="14"/>
      <c r="F519" s="14"/>
      <c r="G519" s="14"/>
      <c r="H519" s="14"/>
      <c r="I519" s="14"/>
      <c r="J519" s="15"/>
    </row>
    <row r="520" spans="1:10">
      <c r="A520" s="19"/>
      <c r="B520" s="18"/>
      <c r="C520" s="20"/>
      <c r="D520" s="20"/>
      <c r="E520" s="14"/>
      <c r="F520" s="14"/>
      <c r="G520" s="14"/>
      <c r="H520" s="14"/>
      <c r="I520" s="14"/>
      <c r="J520" s="15"/>
    </row>
    <row r="521" spans="1:10">
      <c r="A521" s="19"/>
      <c r="B521" s="18"/>
      <c r="C521" s="20"/>
      <c r="D521" s="20"/>
      <c r="E521" s="14"/>
      <c r="F521" s="14"/>
      <c r="G521" s="14"/>
      <c r="H521" s="14"/>
      <c r="I521" s="14"/>
      <c r="J521" s="15"/>
    </row>
    <row r="522" spans="1:10">
      <c r="A522" s="19"/>
      <c r="B522" s="18"/>
      <c r="C522" s="20"/>
      <c r="D522" s="20"/>
      <c r="E522" s="14"/>
      <c r="F522" s="14"/>
      <c r="G522" s="14"/>
      <c r="H522" s="14"/>
      <c r="I522" s="14"/>
      <c r="J522" s="15"/>
    </row>
    <row r="523" spans="1:10">
      <c r="A523" s="19"/>
      <c r="B523" s="18"/>
      <c r="C523" s="20"/>
      <c r="D523" s="20"/>
      <c r="E523" s="14"/>
      <c r="F523" s="14"/>
      <c r="G523" s="14"/>
      <c r="H523" s="14"/>
      <c r="I523" s="14"/>
      <c r="J523" s="15"/>
    </row>
    <row r="524" spans="1:10">
      <c r="A524" s="19"/>
      <c r="B524" s="18"/>
      <c r="C524" s="20"/>
      <c r="D524" s="20"/>
      <c r="E524" s="14"/>
      <c r="F524" s="14"/>
      <c r="G524" s="14"/>
      <c r="H524" s="14"/>
      <c r="I524" s="14"/>
      <c r="J524" s="15"/>
    </row>
    <row r="525" spans="1:10">
      <c r="A525" s="19"/>
      <c r="B525" s="18"/>
      <c r="C525" s="20"/>
      <c r="D525" s="20"/>
      <c r="E525" s="14"/>
      <c r="F525" s="14"/>
      <c r="G525" s="14"/>
      <c r="H525" s="14"/>
      <c r="I525" s="14"/>
      <c r="J525" s="15"/>
    </row>
    <row r="526" spans="1:10">
      <c r="A526" s="19"/>
      <c r="B526" s="18"/>
      <c r="C526" s="20"/>
      <c r="D526" s="20"/>
      <c r="E526" s="14"/>
      <c r="F526" s="14"/>
      <c r="G526" s="14"/>
      <c r="H526" s="14"/>
      <c r="I526" s="14"/>
      <c r="J526" s="15"/>
    </row>
    <row r="527" spans="1:10">
      <c r="A527" s="19"/>
      <c r="B527" s="18"/>
      <c r="C527" s="20"/>
      <c r="D527" s="20"/>
      <c r="E527" s="14"/>
      <c r="F527" s="14"/>
      <c r="G527" s="14"/>
      <c r="H527" s="14"/>
      <c r="I527" s="14"/>
      <c r="J527" s="15"/>
    </row>
    <row r="528" spans="1:10">
      <c r="A528" s="19"/>
      <c r="B528" s="18"/>
      <c r="C528" s="20"/>
      <c r="D528" s="20"/>
      <c r="E528" s="14"/>
      <c r="F528" s="14"/>
      <c r="G528" s="14"/>
      <c r="H528" s="14"/>
      <c r="I528" s="14"/>
      <c r="J528" s="15"/>
    </row>
    <row r="529" spans="1:10">
      <c r="A529" s="19"/>
      <c r="B529" s="18"/>
      <c r="C529" s="20"/>
      <c r="D529" s="20"/>
      <c r="E529" s="14"/>
      <c r="F529" s="14"/>
      <c r="G529" s="14"/>
      <c r="H529" s="14"/>
      <c r="I529" s="14"/>
      <c r="J529" s="15"/>
    </row>
    <row r="530" spans="1:10">
      <c r="A530" s="19"/>
      <c r="B530" s="18"/>
      <c r="C530" s="20"/>
      <c r="D530" s="20"/>
      <c r="E530" s="14"/>
      <c r="F530" s="14"/>
      <c r="G530" s="14"/>
      <c r="H530" s="14"/>
      <c r="I530" s="14"/>
      <c r="J530" s="15"/>
    </row>
    <row r="531" spans="1:10">
      <c r="A531" s="19"/>
      <c r="B531" s="18"/>
      <c r="C531" s="20"/>
      <c r="D531" s="20"/>
      <c r="E531" s="14"/>
      <c r="F531" s="14"/>
      <c r="G531" s="14"/>
      <c r="H531" s="14"/>
      <c r="I531" s="14"/>
      <c r="J531" s="15"/>
    </row>
    <row r="532" spans="1:10">
      <c r="A532" s="19"/>
      <c r="B532" s="18"/>
      <c r="C532" s="20"/>
      <c r="D532" s="20"/>
      <c r="E532" s="14"/>
      <c r="F532" s="14"/>
      <c r="G532" s="14"/>
      <c r="H532" s="14"/>
      <c r="I532" s="14"/>
      <c r="J532" s="15"/>
    </row>
    <row r="533" spans="1:10">
      <c r="A533" s="19"/>
      <c r="B533" s="18"/>
      <c r="C533" s="20"/>
      <c r="D533" s="20"/>
      <c r="E533" s="14"/>
      <c r="F533" s="14"/>
      <c r="G533" s="14"/>
      <c r="H533" s="14"/>
      <c r="I533" s="14"/>
      <c r="J533" s="15"/>
    </row>
    <row r="534" spans="1:10">
      <c r="A534" s="19"/>
      <c r="B534" s="18"/>
      <c r="C534" s="20"/>
      <c r="D534" s="20"/>
      <c r="E534" s="14"/>
      <c r="F534" s="14"/>
      <c r="G534" s="14"/>
      <c r="H534" s="14"/>
      <c r="I534" s="14"/>
      <c r="J534" s="15"/>
    </row>
    <row r="535" spans="1:10">
      <c r="A535" s="19"/>
      <c r="B535" s="18"/>
      <c r="C535" s="20"/>
      <c r="D535" s="20"/>
      <c r="E535" s="14"/>
      <c r="F535" s="14"/>
      <c r="G535" s="14"/>
      <c r="H535" s="14"/>
      <c r="I535" s="14"/>
      <c r="J535" s="15"/>
    </row>
    <row r="536" spans="1:10">
      <c r="A536" s="19"/>
      <c r="B536" s="18"/>
      <c r="C536" s="20"/>
      <c r="D536" s="20"/>
      <c r="E536" s="14"/>
      <c r="F536" s="14"/>
      <c r="G536" s="14"/>
      <c r="H536" s="14"/>
      <c r="I536" s="14"/>
      <c r="J536" s="15"/>
    </row>
    <row r="537" spans="1:10">
      <c r="A537" s="19"/>
      <c r="B537" s="18"/>
      <c r="C537" s="20"/>
      <c r="D537" s="20"/>
      <c r="E537" s="14"/>
      <c r="F537" s="14"/>
      <c r="G537" s="14"/>
      <c r="H537" s="14"/>
      <c r="I537" s="14"/>
      <c r="J537" s="15"/>
    </row>
    <row r="538" spans="1:10">
      <c r="A538" s="19"/>
      <c r="B538" s="18"/>
      <c r="C538" s="20"/>
      <c r="D538" s="20"/>
      <c r="E538" s="14"/>
      <c r="F538" s="14"/>
      <c r="G538" s="14"/>
      <c r="H538" s="14"/>
      <c r="I538" s="14"/>
      <c r="J538" s="15"/>
    </row>
    <row r="539" spans="1:10">
      <c r="A539" s="19"/>
      <c r="B539" s="18"/>
      <c r="C539" s="20"/>
      <c r="D539" s="20"/>
      <c r="E539" s="14"/>
      <c r="F539" s="14"/>
      <c r="G539" s="14"/>
      <c r="H539" s="14"/>
      <c r="I539" s="14"/>
      <c r="J539" s="15"/>
    </row>
    <row r="540" spans="1:10">
      <c r="A540" s="19"/>
      <c r="B540" s="18"/>
      <c r="C540" s="20"/>
      <c r="D540" s="20"/>
      <c r="E540" s="14"/>
      <c r="F540" s="14"/>
      <c r="G540" s="14"/>
      <c r="H540" s="14"/>
      <c r="I540" s="14"/>
      <c r="J540" s="15"/>
    </row>
    <row r="541" spans="1:10">
      <c r="A541" s="19"/>
      <c r="B541" s="18"/>
      <c r="C541" s="20"/>
      <c r="D541" s="20"/>
      <c r="E541" s="14"/>
      <c r="F541" s="14"/>
      <c r="G541" s="14"/>
      <c r="H541" s="14"/>
      <c r="I541" s="14"/>
      <c r="J541" s="15"/>
    </row>
    <row r="542" spans="1:10">
      <c r="A542" s="19"/>
      <c r="B542" s="18"/>
      <c r="C542" s="20"/>
      <c r="D542" s="20"/>
      <c r="E542" s="14"/>
      <c r="F542" s="14"/>
      <c r="G542" s="14"/>
      <c r="H542" s="14"/>
      <c r="I542" s="14"/>
      <c r="J542" s="15"/>
    </row>
    <row r="543" spans="1:10">
      <c r="A543" s="19"/>
      <c r="B543" s="18"/>
      <c r="C543" s="20"/>
      <c r="D543" s="20"/>
      <c r="E543" s="14"/>
      <c r="F543" s="14"/>
      <c r="G543" s="14"/>
      <c r="H543" s="14"/>
      <c r="I543" s="14"/>
      <c r="J543" s="15"/>
    </row>
    <row r="544" spans="1:10">
      <c r="A544" s="19"/>
      <c r="B544" s="18"/>
      <c r="C544" s="20"/>
      <c r="D544" s="20"/>
      <c r="E544" s="14"/>
      <c r="F544" s="14"/>
      <c r="G544" s="14"/>
      <c r="H544" s="14"/>
      <c r="I544" s="14"/>
      <c r="J544" s="15"/>
    </row>
    <row r="545" spans="1:10">
      <c r="A545" s="19"/>
      <c r="B545" s="18"/>
      <c r="C545" s="20"/>
      <c r="D545" s="20"/>
      <c r="E545" s="14"/>
      <c r="F545" s="14"/>
      <c r="G545" s="14"/>
      <c r="H545" s="14"/>
      <c r="I545" s="14"/>
      <c r="J545" s="15"/>
    </row>
    <row r="546" spans="1:10">
      <c r="A546" s="19"/>
      <c r="B546" s="18"/>
      <c r="C546" s="20"/>
      <c r="D546" s="20"/>
      <c r="E546" s="14"/>
      <c r="F546" s="14"/>
      <c r="G546" s="14"/>
      <c r="H546" s="14"/>
      <c r="I546" s="14"/>
      <c r="J546" s="15"/>
    </row>
    <row r="547" spans="1:10">
      <c r="A547" s="19"/>
      <c r="B547" s="18"/>
      <c r="C547" s="20"/>
      <c r="D547" s="20"/>
      <c r="E547" s="14"/>
      <c r="F547" s="14"/>
      <c r="G547" s="14"/>
      <c r="H547" s="14"/>
      <c r="I547" s="14"/>
      <c r="J547" s="15"/>
    </row>
    <row r="548" spans="1:10">
      <c r="A548" s="19"/>
      <c r="B548" s="18"/>
      <c r="C548" s="20"/>
      <c r="D548" s="20"/>
      <c r="E548" s="14"/>
      <c r="F548" s="14"/>
      <c r="G548" s="14"/>
      <c r="H548" s="14"/>
      <c r="I548" s="14"/>
      <c r="J548" s="15"/>
    </row>
    <row r="549" spans="1:10">
      <c r="A549" s="19"/>
      <c r="B549" s="18"/>
      <c r="C549" s="20"/>
      <c r="D549" s="20"/>
      <c r="E549" s="14"/>
      <c r="F549" s="14"/>
      <c r="G549" s="14"/>
      <c r="H549" s="14"/>
      <c r="I549" s="14"/>
      <c r="J549" s="15"/>
    </row>
    <row r="550" spans="1:10">
      <c r="A550" s="19"/>
      <c r="B550" s="18"/>
      <c r="C550" s="20"/>
      <c r="D550" s="20"/>
      <c r="E550" s="14"/>
      <c r="F550" s="14"/>
      <c r="G550" s="14"/>
      <c r="H550" s="14"/>
      <c r="I550" s="14"/>
      <c r="J550" s="15"/>
    </row>
    <row r="551" spans="1:10">
      <c r="A551" s="19"/>
      <c r="B551" s="18"/>
      <c r="C551" s="20"/>
      <c r="D551" s="20"/>
      <c r="E551" s="14"/>
      <c r="F551" s="14"/>
      <c r="G551" s="14"/>
      <c r="H551" s="14"/>
      <c r="I551" s="14"/>
      <c r="J551" s="15"/>
    </row>
    <row r="552" spans="1:10">
      <c r="A552" s="19"/>
      <c r="B552" s="18"/>
      <c r="C552" s="20"/>
      <c r="D552" s="20"/>
      <c r="E552" s="14"/>
      <c r="F552" s="14"/>
      <c r="G552" s="14"/>
      <c r="H552" s="14"/>
      <c r="I552" s="14"/>
      <c r="J552" s="15"/>
    </row>
    <row r="553" spans="1:10">
      <c r="A553" s="19"/>
      <c r="B553" s="18"/>
      <c r="C553" s="20"/>
      <c r="D553" s="20"/>
      <c r="E553" s="14"/>
      <c r="F553" s="14"/>
      <c r="G553" s="14"/>
      <c r="H553" s="14"/>
      <c r="I553" s="14"/>
      <c r="J553" s="15"/>
    </row>
    <row r="554" spans="1:10">
      <c r="A554" s="19"/>
      <c r="B554" s="18"/>
      <c r="C554" s="20"/>
      <c r="D554" s="20"/>
      <c r="E554" s="14"/>
      <c r="F554" s="14"/>
      <c r="G554" s="14"/>
      <c r="H554" s="14"/>
      <c r="I554" s="14"/>
      <c r="J554" s="15"/>
    </row>
    <row r="555" spans="1:10">
      <c r="A555" s="19"/>
      <c r="B555" s="18"/>
      <c r="C555" s="20"/>
      <c r="D555" s="20"/>
      <c r="E555" s="14"/>
      <c r="F555" s="14"/>
      <c r="G555" s="14"/>
      <c r="H555" s="14"/>
      <c r="I555" s="14"/>
      <c r="J555" s="15"/>
    </row>
    <row r="556" spans="1:10">
      <c r="A556" s="19"/>
      <c r="B556" s="18"/>
      <c r="C556" s="20"/>
      <c r="D556" s="20"/>
      <c r="E556" s="14"/>
      <c r="F556" s="14"/>
      <c r="G556" s="14"/>
      <c r="H556" s="14"/>
      <c r="I556" s="14"/>
      <c r="J556" s="15"/>
    </row>
    <row r="557" spans="1:10">
      <c r="A557" s="19"/>
      <c r="B557" s="18"/>
      <c r="C557" s="20"/>
      <c r="D557" s="20"/>
      <c r="E557" s="14"/>
      <c r="F557" s="14"/>
      <c r="G557" s="14"/>
      <c r="H557" s="14"/>
      <c r="I557" s="14"/>
      <c r="J557" s="15"/>
    </row>
    <row r="558" spans="1:10">
      <c r="A558" s="19"/>
      <c r="B558" s="18"/>
      <c r="C558" s="20"/>
      <c r="D558" s="20"/>
      <c r="E558" s="14"/>
      <c r="F558" s="14"/>
      <c r="G558" s="14"/>
      <c r="H558" s="14"/>
      <c r="I558" s="14"/>
      <c r="J558" s="15"/>
    </row>
    <row r="559" spans="1:10">
      <c r="A559" s="19"/>
      <c r="B559" s="18"/>
      <c r="C559" s="20"/>
      <c r="D559" s="20"/>
      <c r="E559" s="14"/>
      <c r="F559" s="14"/>
      <c r="G559" s="14"/>
      <c r="H559" s="14"/>
      <c r="I559" s="14"/>
      <c r="J559" s="15"/>
    </row>
    <row r="560" spans="1:10">
      <c r="A560" s="19"/>
      <c r="B560" s="18"/>
      <c r="C560" s="20"/>
      <c r="D560" s="20"/>
      <c r="E560" s="14"/>
      <c r="F560" s="14"/>
      <c r="G560" s="14"/>
      <c r="H560" s="14"/>
      <c r="I560" s="14"/>
      <c r="J560" s="15"/>
    </row>
    <row r="561" spans="1:10">
      <c r="A561" s="19"/>
      <c r="B561" s="18"/>
      <c r="C561" s="20"/>
      <c r="D561" s="20"/>
      <c r="E561" s="14"/>
      <c r="F561" s="14"/>
      <c r="G561" s="14"/>
      <c r="H561" s="14"/>
      <c r="I561" s="14"/>
      <c r="J561" s="15"/>
    </row>
    <row r="562" spans="1:10">
      <c r="A562" s="19"/>
      <c r="B562" s="18"/>
      <c r="C562" s="20"/>
      <c r="D562" s="20"/>
      <c r="E562" s="14"/>
      <c r="F562" s="14"/>
      <c r="G562" s="14"/>
      <c r="H562" s="14"/>
      <c r="I562" s="14"/>
      <c r="J562" s="15"/>
    </row>
    <row r="563" spans="1:10">
      <c r="A563" s="19"/>
      <c r="B563" s="18"/>
      <c r="C563" s="20"/>
      <c r="D563" s="20"/>
      <c r="E563" s="14"/>
      <c r="F563" s="14"/>
      <c r="G563" s="14"/>
      <c r="H563" s="14"/>
      <c r="I563" s="14"/>
      <c r="J563" s="15"/>
    </row>
    <row r="564" spans="1:10">
      <c r="A564" s="19"/>
      <c r="B564" s="18"/>
      <c r="C564" s="20"/>
      <c r="D564" s="20"/>
      <c r="E564" s="14"/>
      <c r="F564" s="14"/>
      <c r="G564" s="14"/>
      <c r="H564" s="14"/>
      <c r="I564" s="14"/>
      <c r="J564" s="15"/>
    </row>
    <row r="565" spans="1:10">
      <c r="A565" s="19"/>
      <c r="B565" s="18"/>
      <c r="C565" s="20"/>
      <c r="D565" s="20"/>
      <c r="E565" s="14"/>
      <c r="F565" s="14"/>
      <c r="G565" s="14"/>
      <c r="H565" s="14"/>
      <c r="I565" s="14"/>
      <c r="J565" s="15"/>
    </row>
    <row r="566" spans="1:10">
      <c r="A566" s="19"/>
      <c r="B566" s="18"/>
      <c r="C566" s="20"/>
      <c r="D566" s="20"/>
      <c r="E566" s="14"/>
      <c r="F566" s="14"/>
      <c r="G566" s="14"/>
      <c r="H566" s="14"/>
      <c r="I566" s="14"/>
      <c r="J566" s="15"/>
    </row>
    <row r="567" spans="1:10">
      <c r="A567" s="19"/>
      <c r="B567" s="18"/>
      <c r="C567" s="20"/>
      <c r="D567" s="20"/>
      <c r="E567" s="14"/>
      <c r="F567" s="14"/>
      <c r="G567" s="14"/>
      <c r="H567" s="14"/>
      <c r="I567" s="14"/>
      <c r="J567" s="15"/>
    </row>
    <row r="568" spans="1:10">
      <c r="A568" s="19"/>
      <c r="B568" s="18"/>
      <c r="C568" s="20"/>
      <c r="D568" s="20"/>
      <c r="E568" s="14"/>
      <c r="F568" s="14"/>
      <c r="G568" s="14"/>
      <c r="H568" s="14"/>
      <c r="I568" s="14"/>
      <c r="J568" s="15"/>
    </row>
    <row r="569" spans="1:10">
      <c r="A569" s="19"/>
      <c r="B569" s="18"/>
      <c r="C569" s="20"/>
      <c r="D569" s="20"/>
      <c r="E569" s="14"/>
      <c r="F569" s="14"/>
      <c r="G569" s="14"/>
      <c r="H569" s="14"/>
      <c r="I569" s="14"/>
      <c r="J569" s="15"/>
    </row>
    <row r="570" spans="1:10">
      <c r="A570" s="19"/>
      <c r="B570" s="18"/>
      <c r="C570" s="20"/>
      <c r="D570" s="20"/>
      <c r="E570" s="14"/>
      <c r="F570" s="14"/>
      <c r="G570" s="14"/>
      <c r="H570" s="14"/>
      <c r="I570" s="14"/>
      <c r="J570" s="15"/>
    </row>
    <row r="571" spans="1:10">
      <c r="A571" s="19"/>
      <c r="B571" s="18"/>
      <c r="C571" s="20"/>
      <c r="D571" s="20"/>
      <c r="E571" s="14"/>
      <c r="F571" s="14"/>
      <c r="G571" s="14"/>
      <c r="H571" s="14"/>
      <c r="I571" s="14"/>
      <c r="J571" s="15"/>
    </row>
    <row r="572" spans="1:10">
      <c r="A572" s="19"/>
      <c r="B572" s="18"/>
      <c r="C572" s="20"/>
      <c r="D572" s="20"/>
      <c r="E572" s="14"/>
      <c r="F572" s="14"/>
      <c r="G572" s="14"/>
      <c r="H572" s="14"/>
      <c r="I572" s="14"/>
      <c r="J572" s="15"/>
    </row>
    <row r="573" spans="1:10">
      <c r="A573" s="19"/>
      <c r="B573" s="18"/>
      <c r="C573" s="20"/>
      <c r="D573" s="20"/>
      <c r="E573" s="14"/>
      <c r="F573" s="14"/>
      <c r="G573" s="14"/>
      <c r="H573" s="14"/>
      <c r="I573" s="14"/>
      <c r="J573" s="15"/>
    </row>
    <row r="574" spans="1:10">
      <c r="A574" s="19"/>
      <c r="B574" s="18"/>
      <c r="C574" s="20"/>
      <c r="D574" s="20"/>
      <c r="E574" s="14"/>
      <c r="F574" s="14"/>
      <c r="G574" s="14"/>
      <c r="H574" s="14"/>
      <c r="I574" s="14"/>
      <c r="J574" s="15"/>
    </row>
    <row r="575" spans="1:10">
      <c r="A575" s="19"/>
      <c r="B575" s="18"/>
      <c r="C575" s="20"/>
      <c r="D575" s="20"/>
      <c r="E575" s="14"/>
      <c r="F575" s="14"/>
      <c r="G575" s="14"/>
      <c r="H575" s="14"/>
      <c r="I575" s="14"/>
      <c r="J575" s="15"/>
    </row>
    <row r="576" spans="1:10">
      <c r="A576" s="19"/>
      <c r="B576" s="18"/>
      <c r="C576" s="20"/>
      <c r="D576" s="20"/>
      <c r="E576" s="14"/>
      <c r="F576" s="14"/>
      <c r="G576" s="14"/>
      <c r="H576" s="14"/>
      <c r="I576" s="14"/>
      <c r="J576" s="15"/>
    </row>
    <row r="577" spans="1:10">
      <c r="A577" s="19"/>
      <c r="B577" s="18"/>
      <c r="C577" s="20"/>
      <c r="D577" s="20"/>
      <c r="E577" s="14"/>
      <c r="F577" s="14"/>
      <c r="G577" s="14"/>
      <c r="H577" s="14"/>
      <c r="I577" s="14"/>
      <c r="J577" s="15"/>
    </row>
    <row r="578" spans="1:10">
      <c r="A578" s="19"/>
      <c r="B578" s="18"/>
      <c r="C578" s="20"/>
      <c r="D578" s="20"/>
      <c r="E578" s="14"/>
      <c r="F578" s="14"/>
      <c r="G578" s="14"/>
      <c r="H578" s="14"/>
      <c r="I578" s="14"/>
      <c r="J578" s="15"/>
    </row>
    <row r="579" spans="1:10">
      <c r="A579" s="19"/>
      <c r="B579" s="18"/>
      <c r="C579" s="20"/>
      <c r="D579" s="20"/>
      <c r="E579" s="14"/>
      <c r="F579" s="14"/>
      <c r="G579" s="14"/>
      <c r="H579" s="14"/>
      <c r="I579" s="14"/>
      <c r="J579" s="15"/>
    </row>
    <row r="580" spans="1:10">
      <c r="A580" s="19"/>
      <c r="B580" s="18"/>
      <c r="C580" s="20"/>
      <c r="D580" s="20"/>
      <c r="E580" s="14"/>
      <c r="F580" s="14"/>
      <c r="G580" s="14"/>
      <c r="H580" s="14"/>
      <c r="I580" s="14"/>
      <c r="J580" s="15"/>
    </row>
    <row r="581" spans="1:10">
      <c r="A581" s="19"/>
      <c r="B581" s="18"/>
      <c r="C581" s="20"/>
      <c r="D581" s="20"/>
      <c r="E581" s="14"/>
      <c r="F581" s="14"/>
      <c r="G581" s="14"/>
      <c r="H581" s="14"/>
      <c r="I581" s="14"/>
      <c r="J581" s="15"/>
    </row>
    <row r="582" spans="1:10">
      <c r="A582" s="19"/>
      <c r="B582" s="18"/>
      <c r="C582" s="20"/>
      <c r="D582" s="20"/>
      <c r="E582" s="14"/>
      <c r="F582" s="14"/>
      <c r="G582" s="14"/>
      <c r="H582" s="14"/>
      <c r="I582" s="14"/>
      <c r="J582" s="15"/>
    </row>
    <row r="583" spans="1:10">
      <c r="A583" s="19"/>
      <c r="B583" s="18"/>
      <c r="C583" s="20"/>
      <c r="D583" s="20"/>
      <c r="E583" s="14"/>
      <c r="F583" s="14"/>
      <c r="G583" s="14"/>
      <c r="H583" s="14"/>
      <c r="I583" s="14"/>
      <c r="J583" s="15"/>
    </row>
    <row r="584" spans="1:10">
      <c r="A584" s="19"/>
      <c r="B584" s="18"/>
      <c r="C584" s="20"/>
      <c r="D584" s="20"/>
      <c r="E584" s="14"/>
      <c r="F584" s="14"/>
      <c r="G584" s="14"/>
      <c r="H584" s="14"/>
      <c r="I584" s="14"/>
      <c r="J584" s="15"/>
    </row>
    <row r="585" spans="1:10">
      <c r="A585" s="19"/>
      <c r="B585" s="18"/>
      <c r="C585" s="20"/>
      <c r="D585" s="20"/>
      <c r="E585" s="14"/>
      <c r="F585" s="14"/>
      <c r="G585" s="14"/>
      <c r="H585" s="14"/>
      <c r="I585" s="14"/>
      <c r="J585" s="15"/>
    </row>
    <row r="586" spans="1:10">
      <c r="A586" s="19"/>
      <c r="B586" s="18"/>
      <c r="C586" s="20"/>
      <c r="D586" s="20"/>
      <c r="E586" s="14"/>
      <c r="F586" s="14"/>
      <c r="G586" s="14"/>
      <c r="H586" s="14"/>
      <c r="I586" s="14"/>
      <c r="J586" s="15"/>
    </row>
    <row r="587" spans="1:10">
      <c r="A587" s="19"/>
      <c r="B587" s="18"/>
      <c r="C587" s="20"/>
      <c r="D587" s="20"/>
      <c r="E587" s="14"/>
      <c r="F587" s="14"/>
      <c r="G587" s="14"/>
      <c r="H587" s="14"/>
      <c r="I587" s="14"/>
      <c r="J587" s="15"/>
    </row>
    <row r="588" spans="1:10">
      <c r="A588" s="19"/>
      <c r="B588" s="18"/>
      <c r="C588" s="20"/>
      <c r="D588" s="20"/>
      <c r="E588" s="14"/>
      <c r="F588" s="14"/>
      <c r="G588" s="14"/>
      <c r="H588" s="14"/>
      <c r="I588" s="14"/>
      <c r="J588" s="15"/>
    </row>
    <row r="589" spans="1:10">
      <c r="A589" s="19"/>
      <c r="B589" s="18"/>
      <c r="C589" s="20"/>
      <c r="D589" s="20"/>
      <c r="E589" s="14"/>
      <c r="F589" s="14"/>
      <c r="G589" s="14"/>
      <c r="H589" s="14"/>
      <c r="I589" s="14"/>
      <c r="J589" s="15"/>
    </row>
    <row r="590" spans="1:10">
      <c r="A590" s="19"/>
      <c r="B590" s="18"/>
      <c r="C590" s="20"/>
      <c r="D590" s="20"/>
      <c r="E590" s="14"/>
      <c r="F590" s="14"/>
      <c r="G590" s="14"/>
      <c r="H590" s="14"/>
      <c r="I590" s="14"/>
      <c r="J590" s="15"/>
    </row>
    <row r="591" spans="1:10">
      <c r="A591" s="19"/>
      <c r="B591" s="18"/>
      <c r="C591" s="20"/>
      <c r="D591" s="20"/>
      <c r="E591" s="14"/>
      <c r="F591" s="14"/>
      <c r="G591" s="14"/>
      <c r="H591" s="14"/>
      <c r="I591" s="14"/>
      <c r="J591" s="15"/>
    </row>
    <row r="592" spans="1:10">
      <c r="A592" s="19"/>
      <c r="B592" s="18"/>
      <c r="C592" s="20"/>
      <c r="D592" s="20"/>
      <c r="E592" s="14"/>
      <c r="F592" s="14"/>
      <c r="G592" s="14"/>
      <c r="H592" s="14"/>
      <c r="I592" s="14"/>
      <c r="J592" s="15"/>
    </row>
    <row r="593" spans="1:10">
      <c r="A593" s="19"/>
      <c r="B593" s="18"/>
      <c r="C593" s="20"/>
      <c r="D593" s="20"/>
      <c r="E593" s="14"/>
      <c r="F593" s="14"/>
      <c r="G593" s="14"/>
      <c r="H593" s="14"/>
      <c r="I593" s="14"/>
      <c r="J593" s="15"/>
    </row>
    <row r="594" spans="1:10">
      <c r="A594" s="19"/>
      <c r="B594" s="18"/>
      <c r="C594" s="20"/>
      <c r="D594" s="20"/>
      <c r="E594" s="14"/>
      <c r="F594" s="14"/>
      <c r="G594" s="14"/>
      <c r="H594" s="14"/>
      <c r="I594" s="14"/>
      <c r="J594" s="15"/>
    </row>
    <row r="595" spans="1:10">
      <c r="A595" s="19"/>
      <c r="B595" s="18"/>
      <c r="C595" s="20"/>
      <c r="D595" s="20"/>
      <c r="E595" s="14"/>
      <c r="F595" s="14"/>
      <c r="G595" s="14"/>
      <c r="H595" s="14"/>
      <c r="I595" s="14"/>
      <c r="J595" s="15"/>
    </row>
    <row r="596" spans="1:10">
      <c r="A596" s="19"/>
      <c r="B596" s="18"/>
      <c r="C596" s="20"/>
      <c r="D596" s="20"/>
      <c r="E596" s="14"/>
      <c r="F596" s="14"/>
      <c r="G596" s="14"/>
      <c r="H596" s="14"/>
      <c r="I596" s="14"/>
      <c r="J596" s="15"/>
    </row>
    <row r="597" spans="1:10">
      <c r="A597" s="19"/>
      <c r="B597" s="18"/>
      <c r="C597" s="20"/>
      <c r="D597" s="20"/>
      <c r="E597" s="14"/>
      <c r="F597" s="14"/>
      <c r="G597" s="14"/>
      <c r="H597" s="14"/>
      <c r="I597" s="14"/>
      <c r="J597" s="15"/>
    </row>
    <row r="598" spans="1:10">
      <c r="A598" s="19"/>
      <c r="B598" s="18"/>
      <c r="C598" s="20"/>
      <c r="D598" s="20"/>
      <c r="E598" s="14"/>
      <c r="F598" s="14"/>
      <c r="G598" s="14"/>
      <c r="H598" s="14"/>
      <c r="I598" s="14"/>
      <c r="J598" s="15"/>
    </row>
    <row r="599" spans="1:10">
      <c r="A599" s="19"/>
      <c r="B599" s="18"/>
      <c r="C599" s="20"/>
      <c r="D599" s="20"/>
      <c r="E599" s="14"/>
      <c r="F599" s="14"/>
      <c r="G599" s="14"/>
      <c r="H599" s="14"/>
      <c r="I599" s="14"/>
      <c r="J599" s="15"/>
    </row>
    <row r="600" spans="1:10">
      <c r="A600" s="19"/>
      <c r="B600" s="18"/>
      <c r="C600" s="20"/>
      <c r="D600" s="20"/>
      <c r="E600" s="14"/>
      <c r="F600" s="14"/>
      <c r="G600" s="14"/>
      <c r="H600" s="14"/>
      <c r="I600" s="14"/>
      <c r="J600" s="15"/>
    </row>
    <row r="601" spans="1:10">
      <c r="A601" s="19"/>
      <c r="B601" s="18"/>
      <c r="C601" s="20"/>
      <c r="D601" s="20"/>
      <c r="E601" s="14"/>
      <c r="F601" s="14"/>
      <c r="G601" s="14"/>
      <c r="H601" s="14"/>
      <c r="I601" s="14"/>
      <c r="J601" s="15"/>
    </row>
    <row r="602" spans="1:10">
      <c r="A602" s="19"/>
      <c r="B602" s="18"/>
      <c r="C602" s="20"/>
      <c r="D602" s="20"/>
      <c r="E602" s="14"/>
      <c r="F602" s="14"/>
      <c r="G602" s="14"/>
      <c r="H602" s="14"/>
      <c r="I602" s="14"/>
      <c r="J602" s="15"/>
    </row>
    <row r="603" spans="1:10">
      <c r="A603" s="19"/>
      <c r="B603" s="18"/>
      <c r="C603" s="20"/>
      <c r="D603" s="20"/>
      <c r="E603" s="14"/>
      <c r="F603" s="14"/>
      <c r="G603" s="14"/>
      <c r="H603" s="14"/>
      <c r="I603" s="14"/>
      <c r="J603" s="15"/>
    </row>
    <row r="604" spans="1:10">
      <c r="A604" s="19"/>
      <c r="B604" s="18"/>
      <c r="C604" s="20"/>
      <c r="D604" s="20"/>
      <c r="E604" s="14"/>
      <c r="F604" s="14"/>
      <c r="G604" s="14"/>
      <c r="H604" s="14"/>
      <c r="I604" s="14"/>
      <c r="J604" s="15"/>
    </row>
    <row r="605" spans="1:10">
      <c r="A605" s="19"/>
      <c r="B605" s="18"/>
      <c r="C605" s="20"/>
      <c r="D605" s="20"/>
      <c r="E605" s="14"/>
      <c r="F605" s="14"/>
      <c r="G605" s="14"/>
      <c r="H605" s="14"/>
      <c r="I605" s="14"/>
      <c r="J605" s="15"/>
    </row>
    <row r="606" spans="1:10">
      <c r="A606" s="19"/>
      <c r="B606" s="18"/>
      <c r="C606" s="20"/>
      <c r="D606" s="20"/>
      <c r="E606" s="14"/>
      <c r="F606" s="14"/>
      <c r="G606" s="14"/>
      <c r="H606" s="14"/>
      <c r="I606" s="14"/>
      <c r="J606" s="15"/>
    </row>
    <row r="607" spans="1:10">
      <c r="A607" s="19"/>
      <c r="B607" s="18"/>
      <c r="C607" s="20"/>
      <c r="D607" s="20"/>
      <c r="E607" s="14"/>
      <c r="F607" s="14"/>
      <c r="G607" s="14"/>
      <c r="H607" s="14"/>
      <c r="I607" s="14"/>
      <c r="J607" s="15"/>
    </row>
    <row r="608" spans="1:10">
      <c r="A608" s="19"/>
      <c r="B608" s="18"/>
      <c r="C608" s="20"/>
      <c r="D608" s="20"/>
      <c r="E608" s="14"/>
      <c r="F608" s="14"/>
      <c r="G608" s="14"/>
      <c r="H608" s="14"/>
      <c r="I608" s="14"/>
      <c r="J608" s="15"/>
    </row>
    <row r="609" spans="1:10">
      <c r="A609" s="19"/>
      <c r="B609" s="18"/>
      <c r="C609" s="20"/>
      <c r="D609" s="20"/>
      <c r="E609" s="14"/>
      <c r="F609" s="14"/>
      <c r="G609" s="14"/>
      <c r="H609" s="14"/>
      <c r="I609" s="14"/>
      <c r="J609" s="15"/>
    </row>
    <row r="610" spans="1:10">
      <c r="A610" s="19"/>
      <c r="B610" s="18"/>
      <c r="C610" s="20"/>
      <c r="D610" s="20"/>
      <c r="E610" s="14"/>
      <c r="F610" s="14"/>
      <c r="G610" s="14"/>
      <c r="H610" s="14"/>
      <c r="I610" s="14"/>
      <c r="J610" s="15"/>
    </row>
    <row r="611" spans="1:10">
      <c r="A611" s="19"/>
      <c r="B611" s="18"/>
      <c r="C611" s="20"/>
      <c r="D611" s="20"/>
      <c r="E611" s="14"/>
      <c r="F611" s="14"/>
      <c r="G611" s="14"/>
      <c r="H611" s="14"/>
      <c r="I611" s="14"/>
      <c r="J611" s="15"/>
    </row>
    <row r="612" spans="1:10">
      <c r="A612" s="19"/>
      <c r="B612" s="18"/>
      <c r="C612" s="20"/>
      <c r="D612" s="20"/>
      <c r="E612" s="14"/>
      <c r="F612" s="14"/>
      <c r="G612" s="14"/>
      <c r="H612" s="14"/>
      <c r="I612" s="14"/>
      <c r="J612" s="15"/>
    </row>
    <row r="613" spans="1:10">
      <c r="A613" s="19"/>
      <c r="B613" s="18"/>
      <c r="C613" s="20"/>
      <c r="D613" s="20"/>
      <c r="E613" s="14"/>
      <c r="F613" s="14"/>
      <c r="G613" s="14"/>
      <c r="H613" s="14"/>
      <c r="I613" s="14"/>
      <c r="J613" s="15"/>
    </row>
    <row r="614" spans="1:10">
      <c r="A614" s="19"/>
      <c r="B614" s="18"/>
      <c r="C614" s="20"/>
      <c r="D614" s="20"/>
      <c r="E614" s="14"/>
      <c r="F614" s="14"/>
      <c r="G614" s="14"/>
      <c r="H614" s="14"/>
      <c r="I614" s="14"/>
      <c r="J614" s="15"/>
    </row>
    <row r="615" spans="1:10">
      <c r="A615" s="19"/>
      <c r="B615" s="18"/>
      <c r="C615" s="20"/>
      <c r="D615" s="20"/>
      <c r="E615" s="14"/>
      <c r="F615" s="14"/>
      <c r="G615" s="14"/>
      <c r="H615" s="14"/>
      <c r="I615" s="14"/>
      <c r="J615" s="15"/>
    </row>
    <row r="616" spans="1:10">
      <c r="A616" s="19"/>
      <c r="B616" s="18"/>
      <c r="C616" s="20"/>
      <c r="D616" s="20"/>
      <c r="E616" s="14"/>
      <c r="F616" s="14"/>
      <c r="G616" s="14"/>
      <c r="H616" s="14"/>
      <c r="I616" s="14"/>
      <c r="J616" s="15"/>
    </row>
    <row r="617" spans="1:10">
      <c r="A617" s="19"/>
      <c r="B617" s="18"/>
      <c r="C617" s="20"/>
      <c r="D617" s="20"/>
      <c r="E617" s="14"/>
      <c r="F617" s="14"/>
      <c r="G617" s="14"/>
      <c r="H617" s="14"/>
      <c r="I617" s="14"/>
      <c r="J617" s="15"/>
    </row>
    <row r="618" spans="1:10">
      <c r="A618" s="19"/>
      <c r="B618" s="18"/>
      <c r="C618" s="20"/>
      <c r="D618" s="20"/>
      <c r="E618" s="14"/>
      <c r="F618" s="14"/>
      <c r="G618" s="14"/>
      <c r="H618" s="14"/>
      <c r="I618" s="14"/>
      <c r="J618" s="15"/>
    </row>
    <row r="619" spans="1:10">
      <c r="A619" s="19"/>
      <c r="B619" s="18"/>
      <c r="C619" s="20"/>
      <c r="D619" s="20"/>
      <c r="E619" s="14"/>
      <c r="F619" s="14"/>
      <c r="G619" s="14"/>
      <c r="H619" s="14"/>
      <c r="I619" s="14"/>
      <c r="J619" s="15"/>
    </row>
    <row r="620" spans="1:10">
      <c r="A620" s="19"/>
      <c r="B620" s="18"/>
      <c r="C620" s="20"/>
      <c r="D620" s="20"/>
      <c r="E620" s="14"/>
      <c r="F620" s="14"/>
      <c r="G620" s="14"/>
      <c r="H620" s="14"/>
      <c r="I620" s="14"/>
      <c r="J620" s="15"/>
    </row>
    <row r="621" spans="1:10">
      <c r="A621" s="19"/>
      <c r="B621" s="18"/>
      <c r="C621" s="20"/>
      <c r="D621" s="20"/>
      <c r="E621" s="14"/>
      <c r="F621" s="14"/>
      <c r="G621" s="14"/>
      <c r="H621" s="14"/>
      <c r="I621" s="14"/>
      <c r="J621" s="15"/>
    </row>
    <row r="622" spans="1:10">
      <c r="A622" s="19"/>
      <c r="B622" s="18"/>
      <c r="C622" s="20"/>
      <c r="D622" s="20"/>
      <c r="E622" s="14"/>
      <c r="F622" s="14"/>
      <c r="G622" s="14"/>
      <c r="H622" s="14"/>
      <c r="I622" s="14"/>
      <c r="J622" s="15"/>
    </row>
    <row r="623" spans="1:10">
      <c r="A623" s="19"/>
      <c r="B623" s="18"/>
      <c r="C623" s="20"/>
      <c r="D623" s="20"/>
      <c r="E623" s="14"/>
      <c r="F623" s="14"/>
      <c r="G623" s="14"/>
      <c r="H623" s="14"/>
      <c r="I623" s="14"/>
      <c r="J623" s="15"/>
    </row>
    <row r="624" spans="1:10">
      <c r="A624" s="19"/>
      <c r="B624" s="18"/>
      <c r="C624" s="20"/>
      <c r="D624" s="20"/>
      <c r="E624" s="14"/>
      <c r="F624" s="14"/>
      <c r="G624" s="14"/>
      <c r="H624" s="14"/>
      <c r="I624" s="14"/>
      <c r="J624" s="15"/>
    </row>
    <row r="625" spans="1:10">
      <c r="A625" s="19"/>
      <c r="B625" s="18"/>
      <c r="C625" s="20"/>
      <c r="D625" s="20"/>
      <c r="E625" s="14"/>
      <c r="F625" s="14"/>
      <c r="G625" s="14"/>
      <c r="H625" s="14"/>
      <c r="I625" s="14"/>
      <c r="J625" s="15"/>
    </row>
    <row r="626" spans="1:10">
      <c r="A626" s="19"/>
      <c r="B626" s="18"/>
      <c r="C626" s="20"/>
      <c r="D626" s="20"/>
      <c r="E626" s="14"/>
      <c r="F626" s="14"/>
      <c r="G626" s="14"/>
      <c r="H626" s="14"/>
      <c r="I626" s="14"/>
      <c r="J626" s="15"/>
    </row>
    <row r="627" spans="1:10">
      <c r="A627" s="19"/>
      <c r="B627" s="18"/>
      <c r="C627" s="20"/>
      <c r="D627" s="20"/>
      <c r="E627" s="14"/>
      <c r="F627" s="14"/>
      <c r="G627" s="14"/>
      <c r="H627" s="14"/>
      <c r="I627" s="14"/>
      <c r="J627" s="15"/>
    </row>
    <row r="628" spans="1:10">
      <c r="A628" s="19"/>
      <c r="B628" s="18"/>
      <c r="C628" s="20"/>
      <c r="D628" s="20"/>
      <c r="E628" s="14"/>
      <c r="F628" s="14"/>
      <c r="G628" s="14"/>
      <c r="H628" s="14"/>
      <c r="I628" s="14"/>
      <c r="J628" s="15"/>
    </row>
    <row r="629" spans="1:10">
      <c r="A629" s="19"/>
      <c r="B629" s="18"/>
      <c r="C629" s="20"/>
      <c r="D629" s="20"/>
      <c r="E629" s="14"/>
      <c r="F629" s="14"/>
      <c r="G629" s="14"/>
      <c r="H629" s="14"/>
      <c r="I629" s="14"/>
      <c r="J629" s="15"/>
    </row>
    <row r="630" spans="1:10">
      <c r="A630" s="19"/>
      <c r="B630" s="18"/>
      <c r="C630" s="20"/>
      <c r="D630" s="20"/>
      <c r="E630" s="14"/>
      <c r="F630" s="14"/>
      <c r="G630" s="14"/>
      <c r="H630" s="14"/>
      <c r="I630" s="14"/>
      <c r="J630" s="15"/>
    </row>
    <row r="631" spans="1:10">
      <c r="A631" s="19"/>
      <c r="B631" s="18"/>
      <c r="C631" s="20"/>
      <c r="D631" s="20"/>
      <c r="E631" s="14"/>
      <c r="F631" s="14"/>
      <c r="G631" s="14"/>
      <c r="H631" s="14"/>
      <c r="I631" s="14"/>
      <c r="J631" s="15"/>
    </row>
    <row r="632" spans="1:10">
      <c r="A632" s="19"/>
      <c r="B632" s="18"/>
      <c r="C632" s="20"/>
      <c r="D632" s="20"/>
      <c r="E632" s="14"/>
      <c r="F632" s="14"/>
      <c r="G632" s="14"/>
      <c r="H632" s="14"/>
      <c r="I632" s="14"/>
      <c r="J632" s="15"/>
    </row>
    <row r="633" spans="1:10">
      <c r="A633" s="19"/>
      <c r="B633" s="18"/>
      <c r="C633" s="20"/>
      <c r="D633" s="20"/>
      <c r="E633" s="14"/>
      <c r="F633" s="14"/>
      <c r="G633" s="14"/>
      <c r="H633" s="14"/>
      <c r="I633" s="14"/>
      <c r="J633" s="15"/>
    </row>
    <row r="634" spans="1:10">
      <c r="A634" s="19"/>
      <c r="B634" s="18"/>
      <c r="C634" s="20"/>
      <c r="D634" s="20"/>
      <c r="E634" s="14"/>
      <c r="F634" s="14"/>
      <c r="G634" s="14"/>
      <c r="H634" s="14"/>
      <c r="I634" s="14"/>
      <c r="J634" s="15"/>
    </row>
    <row r="635" spans="1:10">
      <c r="A635" s="19"/>
      <c r="B635" s="18"/>
      <c r="C635" s="20"/>
      <c r="D635" s="20"/>
      <c r="E635" s="14"/>
      <c r="F635" s="14"/>
      <c r="G635" s="14"/>
      <c r="H635" s="14"/>
      <c r="I635" s="14"/>
      <c r="J635" s="15"/>
    </row>
    <row r="636" spans="1:10">
      <c r="A636" s="19"/>
      <c r="B636" s="18"/>
      <c r="C636" s="20"/>
      <c r="D636" s="20"/>
      <c r="E636" s="14"/>
      <c r="F636" s="14"/>
      <c r="G636" s="14"/>
      <c r="H636" s="14"/>
      <c r="I636" s="14"/>
      <c r="J636" s="15"/>
    </row>
    <row r="637" spans="1:10">
      <c r="A637" s="19"/>
      <c r="B637" s="18"/>
      <c r="C637" s="20"/>
      <c r="D637" s="20"/>
      <c r="E637" s="14"/>
      <c r="F637" s="14"/>
      <c r="G637" s="14"/>
      <c r="H637" s="14"/>
      <c r="I637" s="14"/>
      <c r="J637" s="15"/>
    </row>
    <row r="638" spans="1:10">
      <c r="A638" s="19"/>
      <c r="B638" s="18"/>
      <c r="C638" s="20"/>
      <c r="D638" s="20"/>
      <c r="E638" s="14"/>
      <c r="F638" s="14"/>
      <c r="G638" s="14"/>
      <c r="H638" s="14"/>
      <c r="I638" s="14"/>
      <c r="J638" s="15"/>
    </row>
    <row r="639" spans="1:10">
      <c r="A639" s="19"/>
      <c r="B639" s="18"/>
      <c r="C639" s="20"/>
      <c r="D639" s="20"/>
      <c r="E639" s="14"/>
      <c r="F639" s="14"/>
      <c r="G639" s="14"/>
      <c r="H639" s="14"/>
      <c r="I639" s="14"/>
      <c r="J639" s="15"/>
    </row>
    <row r="640" spans="1:10">
      <c r="A640" s="19"/>
      <c r="B640" s="18"/>
      <c r="C640" s="20"/>
      <c r="D640" s="20"/>
      <c r="E640" s="14"/>
      <c r="F640" s="14"/>
      <c r="G640" s="14"/>
      <c r="H640" s="14"/>
      <c r="I640" s="14"/>
      <c r="J640" s="15"/>
    </row>
    <row r="641" spans="1:10">
      <c r="A641" s="19"/>
      <c r="B641" s="18"/>
      <c r="C641" s="20"/>
      <c r="D641" s="20"/>
      <c r="E641" s="14"/>
      <c r="F641" s="14"/>
      <c r="G641" s="14"/>
      <c r="H641" s="14"/>
      <c r="I641" s="14"/>
      <c r="J641" s="15"/>
    </row>
    <row r="642" spans="1:10">
      <c r="A642" s="19"/>
      <c r="B642" s="18"/>
      <c r="C642" s="20"/>
      <c r="D642" s="20"/>
      <c r="E642" s="14"/>
      <c r="F642" s="14"/>
      <c r="G642" s="14"/>
      <c r="H642" s="14"/>
      <c r="I642" s="14"/>
      <c r="J642" s="15"/>
    </row>
    <row r="643" spans="1:10">
      <c r="A643" s="19"/>
      <c r="B643" s="18"/>
      <c r="C643" s="20"/>
      <c r="D643" s="20"/>
      <c r="E643" s="14"/>
      <c r="F643" s="14"/>
      <c r="G643" s="14"/>
      <c r="H643" s="14"/>
      <c r="I643" s="14"/>
      <c r="J643" s="15"/>
    </row>
    <row r="644" spans="1:10">
      <c r="A644" s="19"/>
      <c r="B644" s="18"/>
      <c r="C644" s="20"/>
      <c r="D644" s="20"/>
      <c r="E644" s="14"/>
      <c r="F644" s="14"/>
      <c r="G644" s="14"/>
      <c r="H644" s="14"/>
      <c r="I644" s="14"/>
      <c r="J644" s="15"/>
    </row>
    <row r="645" spans="1:10">
      <c r="A645" s="19"/>
      <c r="B645" s="18"/>
      <c r="C645" s="20"/>
      <c r="D645" s="20"/>
      <c r="E645" s="14"/>
      <c r="F645" s="14"/>
      <c r="G645" s="14"/>
      <c r="H645" s="14"/>
      <c r="I645" s="14"/>
      <c r="J645" s="15"/>
    </row>
    <row r="646" spans="1:10">
      <c r="A646" s="19"/>
      <c r="B646" s="18"/>
      <c r="C646" s="20"/>
      <c r="D646" s="20"/>
      <c r="E646" s="14"/>
      <c r="F646" s="14"/>
      <c r="G646" s="14"/>
      <c r="H646" s="14"/>
      <c r="I646" s="14"/>
      <c r="J646" s="15"/>
    </row>
    <row r="647" spans="1:10">
      <c r="A647" s="19"/>
      <c r="B647" s="18"/>
      <c r="C647" s="20"/>
      <c r="D647" s="20"/>
      <c r="E647" s="14"/>
      <c r="F647" s="14"/>
      <c r="G647" s="14"/>
      <c r="H647" s="14"/>
      <c r="I647" s="14"/>
      <c r="J647" s="15"/>
    </row>
    <row r="648" spans="1:10">
      <c r="A648" s="19"/>
      <c r="B648" s="18"/>
      <c r="C648" s="20"/>
      <c r="D648" s="20"/>
      <c r="E648" s="14"/>
      <c r="F648" s="14"/>
      <c r="G648" s="14"/>
      <c r="H648" s="14"/>
      <c r="I648" s="14"/>
      <c r="J648" s="15"/>
    </row>
    <row r="649" spans="1:10">
      <c r="A649" s="19"/>
      <c r="B649" s="18"/>
      <c r="C649" s="20"/>
      <c r="D649" s="20"/>
      <c r="E649" s="14"/>
      <c r="F649" s="14"/>
      <c r="G649" s="14"/>
      <c r="H649" s="14"/>
      <c r="I649" s="14"/>
      <c r="J649" s="15"/>
    </row>
    <row r="650" spans="1:10">
      <c r="A650" s="19"/>
      <c r="B650" s="18"/>
      <c r="C650" s="20"/>
      <c r="D650" s="20"/>
      <c r="E650" s="14"/>
      <c r="F650" s="14"/>
      <c r="G650" s="14"/>
      <c r="H650" s="14"/>
      <c r="I650" s="14"/>
      <c r="J650" s="15"/>
    </row>
    <row r="651" spans="1:10">
      <c r="A651" s="19"/>
      <c r="B651" s="18"/>
      <c r="C651" s="20"/>
      <c r="D651" s="20"/>
      <c r="E651" s="14"/>
      <c r="F651" s="14"/>
      <c r="G651" s="14"/>
      <c r="H651" s="14"/>
      <c r="I651" s="14"/>
      <c r="J651" s="15"/>
    </row>
    <row r="652" spans="1:10">
      <c r="A652" s="19"/>
      <c r="B652" s="18"/>
      <c r="C652" s="20"/>
      <c r="D652" s="20"/>
      <c r="E652" s="14"/>
      <c r="F652" s="14"/>
      <c r="G652" s="14"/>
      <c r="H652" s="14"/>
      <c r="I652" s="14"/>
      <c r="J652" s="15"/>
    </row>
    <row r="653" spans="1:10">
      <c r="A653" s="19"/>
      <c r="B653" s="18"/>
      <c r="C653" s="20"/>
      <c r="D653" s="20"/>
      <c r="E653" s="14"/>
      <c r="F653" s="14"/>
      <c r="G653" s="14"/>
      <c r="H653" s="14"/>
      <c r="I653" s="14"/>
      <c r="J653" s="15"/>
    </row>
    <row r="654" spans="1:10">
      <c r="A654" s="19"/>
      <c r="B654" s="18"/>
      <c r="C654" s="20"/>
      <c r="D654" s="20"/>
      <c r="E654" s="14"/>
      <c r="F654" s="14"/>
      <c r="G654" s="14"/>
      <c r="H654" s="14"/>
      <c r="I654" s="14"/>
      <c r="J654" s="15"/>
    </row>
    <row r="655" spans="1:10">
      <c r="A655" s="19"/>
      <c r="B655" s="18"/>
      <c r="C655" s="20"/>
      <c r="D655" s="20"/>
      <c r="E655" s="14"/>
      <c r="F655" s="14"/>
      <c r="G655" s="14"/>
      <c r="H655" s="14"/>
      <c r="I655" s="14"/>
      <c r="J655" s="15"/>
    </row>
    <row r="656" spans="1:10">
      <c r="A656" s="19"/>
      <c r="B656" s="18"/>
      <c r="C656" s="20"/>
      <c r="D656" s="20"/>
      <c r="E656" s="14"/>
      <c r="F656" s="14"/>
      <c r="G656" s="14"/>
      <c r="H656" s="14"/>
      <c r="I656" s="14"/>
      <c r="J656" s="15"/>
    </row>
    <row r="657" spans="1:10">
      <c r="A657" s="19"/>
      <c r="B657" s="18"/>
      <c r="C657" s="20"/>
      <c r="D657" s="20"/>
      <c r="E657" s="14"/>
      <c r="F657" s="14"/>
      <c r="G657" s="14"/>
      <c r="H657" s="14"/>
      <c r="I657" s="14"/>
      <c r="J657" s="15"/>
    </row>
    <row r="658" spans="1:10">
      <c r="A658" s="19"/>
      <c r="B658" s="18"/>
      <c r="C658" s="20"/>
      <c r="D658" s="20"/>
      <c r="E658" s="14"/>
      <c r="F658" s="14"/>
      <c r="G658" s="14"/>
      <c r="H658" s="14"/>
      <c r="I658" s="14"/>
      <c r="J658" s="15"/>
    </row>
    <row r="659" spans="1:10">
      <c r="A659" s="19"/>
      <c r="B659" s="18"/>
      <c r="C659" s="20"/>
      <c r="D659" s="20"/>
      <c r="E659" s="14"/>
      <c r="F659" s="14"/>
      <c r="G659" s="14"/>
      <c r="H659" s="14"/>
      <c r="I659" s="14"/>
      <c r="J659" s="15"/>
    </row>
    <row r="660" spans="1:10">
      <c r="A660" s="19"/>
      <c r="B660" s="18"/>
      <c r="C660" s="20"/>
      <c r="D660" s="20"/>
      <c r="E660" s="14"/>
      <c r="F660" s="14"/>
      <c r="G660" s="14"/>
      <c r="H660" s="14"/>
      <c r="I660" s="14"/>
      <c r="J660" s="15"/>
    </row>
    <row r="661" spans="1:10">
      <c r="A661" s="19"/>
      <c r="B661" s="18"/>
      <c r="C661" s="20"/>
      <c r="D661" s="20"/>
      <c r="E661" s="14"/>
      <c r="F661" s="14"/>
      <c r="G661" s="14"/>
      <c r="H661" s="14"/>
      <c r="I661" s="14"/>
      <c r="J661" s="15"/>
    </row>
    <row r="662" spans="1:10">
      <c r="A662" s="19"/>
      <c r="B662" s="18"/>
      <c r="C662" s="20"/>
      <c r="D662" s="20"/>
      <c r="E662" s="14"/>
      <c r="F662" s="14"/>
      <c r="G662" s="14"/>
      <c r="H662" s="14"/>
      <c r="I662" s="14"/>
      <c r="J662" s="15"/>
    </row>
    <row r="663" spans="1:10">
      <c r="A663" s="19"/>
      <c r="B663" s="18"/>
      <c r="C663" s="20"/>
      <c r="D663" s="20"/>
      <c r="E663" s="14"/>
      <c r="F663" s="14"/>
      <c r="G663" s="14"/>
      <c r="H663" s="14"/>
      <c r="I663" s="14"/>
      <c r="J663" s="15"/>
    </row>
    <row r="664" spans="1:10">
      <c r="A664" s="19"/>
      <c r="B664" s="18"/>
      <c r="C664" s="20"/>
      <c r="D664" s="20"/>
      <c r="E664" s="14"/>
      <c r="F664" s="14"/>
      <c r="G664" s="14"/>
      <c r="H664" s="14"/>
      <c r="I664" s="14"/>
      <c r="J664" s="15"/>
    </row>
    <row r="665" spans="1:10">
      <c r="A665" s="19"/>
      <c r="B665" s="18"/>
      <c r="C665" s="20"/>
      <c r="D665" s="20"/>
      <c r="E665" s="14"/>
      <c r="F665" s="14"/>
      <c r="G665" s="14"/>
      <c r="H665" s="14"/>
      <c r="I665" s="14"/>
      <c r="J665" s="15"/>
    </row>
    <row r="666" spans="1:10">
      <c r="A666" s="19"/>
      <c r="B666" s="18"/>
      <c r="C666" s="20"/>
      <c r="D666" s="20"/>
      <c r="E666" s="14"/>
      <c r="F666" s="14"/>
      <c r="G666" s="14"/>
      <c r="H666" s="14"/>
      <c r="I666" s="14"/>
      <c r="J666" s="15"/>
    </row>
    <row r="667" spans="1:10">
      <c r="A667" s="19"/>
      <c r="B667" s="18"/>
      <c r="C667" s="20"/>
      <c r="D667" s="20"/>
      <c r="E667" s="14"/>
      <c r="F667" s="14"/>
      <c r="G667" s="14"/>
      <c r="H667" s="14"/>
      <c r="I667" s="14"/>
      <c r="J667" s="15"/>
    </row>
    <row r="668" spans="1:10">
      <c r="A668" s="19"/>
      <c r="B668" s="18"/>
      <c r="C668" s="20"/>
      <c r="D668" s="20"/>
      <c r="E668" s="14"/>
      <c r="F668" s="14"/>
      <c r="G668" s="14"/>
      <c r="H668" s="14"/>
      <c r="I668" s="14"/>
      <c r="J668" s="15"/>
    </row>
    <row r="669" spans="1:10">
      <c r="A669" s="19"/>
      <c r="B669" s="18"/>
      <c r="C669" s="20"/>
      <c r="D669" s="20"/>
      <c r="E669" s="14"/>
      <c r="F669" s="14"/>
      <c r="G669" s="14"/>
      <c r="H669" s="14"/>
      <c r="I669" s="14"/>
      <c r="J669" s="15"/>
    </row>
    <row r="670" spans="1:10">
      <c r="A670" s="19"/>
      <c r="B670" s="18"/>
      <c r="C670" s="20"/>
      <c r="D670" s="20"/>
      <c r="E670" s="14"/>
      <c r="F670" s="14"/>
      <c r="G670" s="14"/>
      <c r="H670" s="14"/>
      <c r="I670" s="14"/>
      <c r="J670" s="15"/>
    </row>
    <row r="671" spans="1:10">
      <c r="A671" s="19"/>
      <c r="B671" s="18"/>
      <c r="C671" s="20"/>
      <c r="D671" s="20"/>
      <c r="E671" s="14"/>
      <c r="F671" s="14"/>
      <c r="G671" s="14"/>
      <c r="H671" s="14"/>
      <c r="I671" s="14"/>
      <c r="J671" s="15"/>
    </row>
    <row r="672" spans="1:10">
      <c r="A672" s="19"/>
      <c r="B672" s="18"/>
      <c r="C672" s="20"/>
      <c r="D672" s="20"/>
      <c r="E672" s="14"/>
      <c r="F672" s="14"/>
      <c r="G672" s="14"/>
      <c r="H672" s="14"/>
      <c r="I672" s="14"/>
      <c r="J672" s="15"/>
    </row>
    <row r="673" spans="1:10">
      <c r="A673" s="19"/>
      <c r="B673" s="18"/>
      <c r="C673" s="20"/>
      <c r="D673" s="20"/>
      <c r="E673" s="14"/>
      <c r="F673" s="14"/>
      <c r="G673" s="14"/>
      <c r="H673" s="14"/>
      <c r="I673" s="14"/>
      <c r="J673" s="15"/>
    </row>
    <row r="674" spans="1:10">
      <c r="A674" s="19"/>
      <c r="B674" s="18"/>
      <c r="C674" s="20"/>
      <c r="D674" s="20"/>
      <c r="E674" s="14"/>
      <c r="F674" s="14"/>
      <c r="G674" s="14"/>
      <c r="H674" s="14"/>
      <c r="I674" s="14"/>
      <c r="J674" s="15"/>
    </row>
    <row r="675" spans="1:10">
      <c r="A675" s="19"/>
      <c r="B675" s="18"/>
      <c r="C675" s="20"/>
      <c r="D675" s="20"/>
      <c r="E675" s="14"/>
      <c r="F675" s="14"/>
      <c r="G675" s="14"/>
      <c r="H675" s="14"/>
      <c r="I675" s="14"/>
      <c r="J675" s="15"/>
    </row>
    <row r="676" spans="1:10">
      <c r="A676" s="19"/>
      <c r="B676" s="18"/>
      <c r="C676" s="20"/>
      <c r="D676" s="20"/>
      <c r="E676" s="14"/>
      <c r="F676" s="14"/>
      <c r="G676" s="14"/>
      <c r="H676" s="14"/>
      <c r="I676" s="14"/>
      <c r="J676" s="15"/>
    </row>
    <row r="677" spans="1:10">
      <c r="A677" s="19"/>
      <c r="B677" s="18"/>
      <c r="C677" s="20"/>
      <c r="D677" s="20"/>
      <c r="E677" s="14"/>
      <c r="F677" s="14"/>
      <c r="G677" s="14"/>
      <c r="H677" s="14"/>
      <c r="I677" s="14"/>
      <c r="J677" s="15"/>
    </row>
    <row r="678" spans="1:10">
      <c r="A678" s="19"/>
      <c r="B678" s="18"/>
      <c r="C678" s="20"/>
      <c r="D678" s="20"/>
      <c r="E678" s="14"/>
      <c r="F678" s="14"/>
      <c r="G678" s="14"/>
      <c r="H678" s="14"/>
      <c r="I678" s="14"/>
      <c r="J678" s="15"/>
    </row>
    <row r="679" spans="1:10">
      <c r="A679" s="19"/>
      <c r="B679" s="18"/>
      <c r="C679" s="20"/>
      <c r="D679" s="20"/>
      <c r="E679" s="14"/>
      <c r="F679" s="14"/>
      <c r="G679" s="14"/>
      <c r="H679" s="14"/>
      <c r="I679" s="14"/>
      <c r="J679" s="15"/>
    </row>
    <row r="680" spans="1:10">
      <c r="A680" s="19"/>
      <c r="B680" s="18"/>
      <c r="C680" s="20"/>
      <c r="D680" s="20"/>
      <c r="E680" s="14"/>
      <c r="F680" s="14"/>
      <c r="G680" s="14"/>
      <c r="H680" s="14"/>
      <c r="I680" s="14"/>
      <c r="J680" s="15"/>
    </row>
    <row r="681" spans="1:10">
      <c r="A681" s="19"/>
      <c r="B681" s="18"/>
      <c r="C681" s="20"/>
      <c r="D681" s="20"/>
      <c r="E681" s="14"/>
      <c r="F681" s="14"/>
      <c r="G681" s="14"/>
      <c r="H681" s="14"/>
      <c r="I681" s="14"/>
      <c r="J681" s="15"/>
    </row>
    <row r="682" spans="1:10">
      <c r="A682" s="19"/>
      <c r="B682" s="18"/>
      <c r="C682" s="20"/>
      <c r="D682" s="20"/>
      <c r="E682" s="14"/>
      <c r="F682" s="14"/>
      <c r="G682" s="14"/>
      <c r="H682" s="14"/>
      <c r="I682" s="14"/>
      <c r="J682" s="15"/>
    </row>
    <row r="683" spans="1:10">
      <c r="A683" s="19"/>
      <c r="B683" s="18"/>
      <c r="C683" s="20"/>
      <c r="D683" s="20"/>
      <c r="E683" s="14"/>
      <c r="F683" s="14"/>
      <c r="G683" s="14"/>
      <c r="H683" s="14"/>
      <c r="I683" s="14"/>
      <c r="J683" s="15"/>
    </row>
    <row r="684" spans="1:10">
      <c r="A684" s="19"/>
      <c r="B684" s="18"/>
      <c r="C684" s="20"/>
      <c r="D684" s="20"/>
      <c r="E684" s="14"/>
      <c r="F684" s="14"/>
      <c r="G684" s="14"/>
      <c r="H684" s="14"/>
      <c r="I684" s="14"/>
      <c r="J684" s="15"/>
    </row>
    <row r="685" spans="1:10">
      <c r="A685" s="19"/>
      <c r="B685" s="18"/>
      <c r="C685" s="20"/>
      <c r="D685" s="20"/>
      <c r="E685" s="14"/>
      <c r="F685" s="14"/>
      <c r="G685" s="14"/>
      <c r="H685" s="14"/>
      <c r="I685" s="14"/>
      <c r="J685" s="15"/>
    </row>
    <row r="686" spans="1:10">
      <c r="A686" s="19"/>
      <c r="B686" s="18"/>
      <c r="C686" s="20"/>
      <c r="D686" s="20"/>
      <c r="E686" s="14"/>
      <c r="F686" s="14"/>
      <c r="G686" s="14"/>
      <c r="H686" s="14"/>
      <c r="I686" s="14"/>
      <c r="J686" s="15"/>
    </row>
    <row r="687" spans="1:10">
      <c r="A687" s="19"/>
      <c r="B687" s="18"/>
      <c r="C687" s="20"/>
      <c r="D687" s="20"/>
      <c r="E687" s="14"/>
      <c r="F687" s="14"/>
      <c r="G687" s="14"/>
      <c r="H687" s="14"/>
      <c r="I687" s="14"/>
      <c r="J687" s="15"/>
    </row>
    <row r="688" spans="1:10">
      <c r="A688" s="19"/>
      <c r="B688" s="18"/>
      <c r="C688" s="20"/>
      <c r="D688" s="20"/>
      <c r="E688" s="14"/>
      <c r="F688" s="14"/>
      <c r="G688" s="14"/>
      <c r="H688" s="14"/>
      <c r="I688" s="14"/>
      <c r="J688" s="15"/>
    </row>
    <row r="689" spans="1:10">
      <c r="A689" s="19"/>
      <c r="B689" s="18"/>
      <c r="C689" s="20"/>
      <c r="D689" s="20"/>
      <c r="E689" s="14"/>
      <c r="F689" s="14"/>
      <c r="G689" s="14"/>
      <c r="H689" s="14"/>
      <c r="I689" s="14"/>
      <c r="J689" s="15"/>
    </row>
    <row r="690" spans="1:10">
      <c r="A690" s="19"/>
      <c r="B690" s="18"/>
      <c r="C690" s="20"/>
      <c r="D690" s="20"/>
      <c r="E690" s="14"/>
      <c r="F690" s="14"/>
      <c r="G690" s="14"/>
      <c r="H690" s="14"/>
      <c r="I690" s="14"/>
      <c r="J690" s="15"/>
    </row>
    <row r="691" spans="1:10">
      <c r="A691" s="19"/>
      <c r="B691" s="18"/>
      <c r="C691" s="20"/>
      <c r="D691" s="20"/>
      <c r="E691" s="14"/>
      <c r="F691" s="14"/>
      <c r="G691" s="14"/>
      <c r="H691" s="14"/>
      <c r="I691" s="14"/>
      <c r="J691" s="15"/>
    </row>
    <row r="692" spans="1:10">
      <c r="A692" s="19"/>
      <c r="B692" s="18"/>
      <c r="C692" s="20"/>
      <c r="D692" s="20"/>
      <c r="E692" s="14"/>
      <c r="F692" s="14"/>
      <c r="G692" s="14"/>
      <c r="H692" s="14"/>
      <c r="I692" s="14"/>
      <c r="J692" s="15"/>
    </row>
    <row r="693" spans="1:10">
      <c r="A693" s="19"/>
      <c r="B693" s="18"/>
      <c r="C693" s="20"/>
      <c r="D693" s="20"/>
      <c r="E693" s="14"/>
      <c r="F693" s="14"/>
      <c r="G693" s="14"/>
      <c r="H693" s="14"/>
      <c r="I693" s="14"/>
      <c r="J693" s="15"/>
    </row>
    <row r="694" spans="1:10">
      <c r="A694" s="19"/>
      <c r="B694" s="18"/>
      <c r="C694" s="20"/>
      <c r="D694" s="20"/>
      <c r="E694" s="14"/>
      <c r="F694" s="14"/>
      <c r="G694" s="14"/>
      <c r="H694" s="14"/>
      <c r="I694" s="14"/>
      <c r="J694" s="15"/>
    </row>
    <row r="695" spans="1:10">
      <c r="A695" s="19"/>
      <c r="B695" s="18"/>
      <c r="C695" s="20"/>
      <c r="D695" s="20"/>
      <c r="E695" s="14"/>
      <c r="F695" s="14"/>
      <c r="G695" s="14"/>
      <c r="H695" s="14"/>
      <c r="I695" s="14"/>
      <c r="J695" s="15"/>
    </row>
    <row r="696" spans="1:10">
      <c r="A696" s="19"/>
      <c r="B696" s="18"/>
      <c r="C696" s="20"/>
      <c r="D696" s="20"/>
      <c r="E696" s="14"/>
      <c r="F696" s="14"/>
      <c r="G696" s="14"/>
      <c r="H696" s="14"/>
      <c r="I696" s="14"/>
      <c r="J696" s="15"/>
    </row>
    <row r="697" spans="1:10">
      <c r="A697" s="19"/>
      <c r="B697" s="18"/>
      <c r="C697" s="20"/>
      <c r="D697" s="20"/>
      <c r="E697" s="14"/>
      <c r="F697" s="14"/>
      <c r="G697" s="14"/>
      <c r="H697" s="14"/>
      <c r="I697" s="14"/>
      <c r="J697" s="15"/>
    </row>
    <row r="698" spans="1:10">
      <c r="A698" s="19"/>
      <c r="B698" s="18"/>
      <c r="C698" s="20"/>
      <c r="D698" s="20"/>
      <c r="E698" s="14"/>
      <c r="F698" s="14"/>
      <c r="G698" s="14"/>
      <c r="H698" s="14"/>
      <c r="I698" s="14"/>
      <c r="J698" s="15"/>
    </row>
    <row r="699" spans="1:10">
      <c r="A699" s="19"/>
      <c r="B699" s="18"/>
      <c r="C699" s="20"/>
      <c r="D699" s="20"/>
      <c r="E699" s="14"/>
      <c r="F699" s="14"/>
      <c r="G699" s="14"/>
      <c r="H699" s="14"/>
      <c r="I699" s="14"/>
      <c r="J699" s="15"/>
    </row>
    <row r="700" spans="1:10">
      <c r="A700" s="19"/>
      <c r="B700" s="18"/>
      <c r="C700" s="20"/>
      <c r="D700" s="20"/>
      <c r="E700" s="14"/>
      <c r="F700" s="14"/>
      <c r="G700" s="14"/>
      <c r="H700" s="14"/>
      <c r="I700" s="14"/>
      <c r="J700" s="15"/>
    </row>
    <row r="701" spans="1:10">
      <c r="A701" s="19"/>
      <c r="B701" s="18"/>
      <c r="C701" s="20"/>
      <c r="D701" s="20"/>
      <c r="E701" s="14"/>
      <c r="F701" s="14"/>
      <c r="G701" s="14"/>
      <c r="H701" s="14"/>
      <c r="I701" s="14"/>
      <c r="J701" s="15"/>
    </row>
    <row r="702" spans="1:10">
      <c r="A702" s="19"/>
      <c r="B702" s="18"/>
      <c r="C702" s="20"/>
      <c r="D702" s="20"/>
      <c r="E702" s="14"/>
      <c r="F702" s="14"/>
      <c r="G702" s="14"/>
      <c r="H702" s="14"/>
      <c r="I702" s="14"/>
      <c r="J702" s="15"/>
    </row>
    <row r="703" spans="1:10">
      <c r="A703" s="19"/>
      <c r="B703" s="18"/>
      <c r="C703" s="20"/>
      <c r="D703" s="20"/>
      <c r="E703" s="14"/>
      <c r="F703" s="14"/>
      <c r="G703" s="14"/>
      <c r="H703" s="14"/>
      <c r="I703" s="14"/>
      <c r="J703" s="15"/>
    </row>
    <row r="704" spans="1:10">
      <c r="A704" s="19"/>
      <c r="B704" s="18"/>
      <c r="C704" s="20"/>
      <c r="D704" s="20"/>
      <c r="E704" s="14"/>
      <c r="F704" s="14"/>
      <c r="G704" s="14"/>
      <c r="H704" s="14"/>
      <c r="I704" s="14"/>
      <c r="J704" s="15"/>
    </row>
    <row r="705" spans="1:10">
      <c r="A705" s="19"/>
      <c r="B705" s="18"/>
      <c r="C705" s="20"/>
      <c r="D705" s="20"/>
      <c r="E705" s="14"/>
      <c r="F705" s="14"/>
      <c r="G705" s="14"/>
      <c r="H705" s="14"/>
      <c r="I705" s="14"/>
      <c r="J705" s="15"/>
    </row>
    <row r="706" spans="1:10">
      <c r="A706" s="19"/>
      <c r="B706" s="18"/>
      <c r="C706" s="20"/>
      <c r="D706" s="20"/>
      <c r="E706" s="14"/>
      <c r="F706" s="14"/>
      <c r="G706" s="14"/>
      <c r="H706" s="14"/>
      <c r="I706" s="14"/>
      <c r="J706" s="15"/>
    </row>
    <row r="707" spans="1:10">
      <c r="A707" s="19"/>
      <c r="B707" s="18"/>
      <c r="C707" s="20"/>
      <c r="D707" s="20"/>
      <c r="E707" s="14"/>
      <c r="F707" s="14"/>
      <c r="G707" s="14"/>
      <c r="H707" s="14"/>
      <c r="I707" s="14"/>
      <c r="J707" s="15"/>
    </row>
    <row r="708" spans="1:10">
      <c r="A708" s="19"/>
      <c r="B708" s="18"/>
      <c r="C708" s="20"/>
      <c r="D708" s="20"/>
      <c r="E708" s="14"/>
      <c r="F708" s="14"/>
      <c r="G708" s="14"/>
      <c r="H708" s="14"/>
      <c r="I708" s="14"/>
      <c r="J708" s="15"/>
    </row>
    <row r="709" spans="1:10">
      <c r="A709" s="19"/>
      <c r="B709" s="18"/>
      <c r="C709" s="20"/>
      <c r="D709" s="20"/>
      <c r="E709" s="14"/>
      <c r="F709" s="14"/>
      <c r="G709" s="14"/>
      <c r="H709" s="14"/>
      <c r="I709" s="14"/>
      <c r="J709" s="15"/>
    </row>
    <row r="710" spans="1:10">
      <c r="A710" s="19"/>
      <c r="B710" s="18"/>
      <c r="C710" s="20"/>
      <c r="D710" s="20"/>
      <c r="E710" s="14"/>
      <c r="F710" s="14"/>
      <c r="G710" s="14"/>
      <c r="H710" s="14"/>
      <c r="I710" s="14"/>
      <c r="J710" s="15"/>
    </row>
    <row r="711" spans="1:10">
      <c r="A711" s="19"/>
      <c r="B711" s="18"/>
      <c r="C711" s="20"/>
      <c r="D711" s="20"/>
      <c r="E711" s="14"/>
      <c r="F711" s="14"/>
      <c r="G711" s="14"/>
      <c r="H711" s="14"/>
      <c r="I711" s="14"/>
      <c r="J711" s="15"/>
    </row>
    <row r="712" spans="1:10">
      <c r="A712" s="19"/>
      <c r="B712" s="18"/>
      <c r="C712" s="20"/>
      <c r="D712" s="20"/>
      <c r="E712" s="14"/>
      <c r="F712" s="14"/>
      <c r="G712" s="14"/>
      <c r="H712" s="14"/>
      <c r="I712" s="14"/>
      <c r="J712" s="15"/>
    </row>
    <row r="713" spans="1:10">
      <c r="A713" s="19"/>
      <c r="B713" s="18"/>
      <c r="C713" s="20"/>
      <c r="D713" s="20"/>
      <c r="E713" s="14"/>
      <c r="F713" s="14"/>
      <c r="G713" s="14"/>
      <c r="H713" s="14"/>
      <c r="I713" s="14"/>
      <c r="J713" s="15"/>
    </row>
    <row r="714" spans="1:10">
      <c r="A714" s="19"/>
      <c r="B714" s="18"/>
      <c r="C714" s="20"/>
      <c r="D714" s="20"/>
      <c r="E714" s="14"/>
      <c r="F714" s="14"/>
      <c r="G714" s="14"/>
      <c r="H714" s="14"/>
      <c r="I714" s="14"/>
      <c r="J714" s="15"/>
    </row>
    <row r="715" spans="1:10">
      <c r="A715" s="19"/>
      <c r="B715" s="18"/>
      <c r="C715" s="20"/>
      <c r="D715" s="20"/>
      <c r="E715" s="14"/>
      <c r="F715" s="14"/>
      <c r="G715" s="14"/>
      <c r="H715" s="14"/>
      <c r="I715" s="14"/>
      <c r="J715" s="15"/>
    </row>
    <row r="716" spans="1:10">
      <c r="A716" s="19"/>
      <c r="B716" s="18"/>
      <c r="C716" s="20"/>
      <c r="D716" s="20"/>
      <c r="E716" s="14"/>
      <c r="F716" s="14"/>
      <c r="G716" s="14"/>
      <c r="H716" s="14"/>
      <c r="I716" s="14"/>
      <c r="J716" s="15"/>
    </row>
    <row r="717" spans="1:10">
      <c r="A717" s="19"/>
      <c r="B717" s="18"/>
      <c r="C717" s="20"/>
      <c r="D717" s="20"/>
      <c r="E717" s="14"/>
      <c r="F717" s="14"/>
      <c r="G717" s="14"/>
      <c r="H717" s="14"/>
      <c r="I717" s="14"/>
      <c r="J717" s="15"/>
    </row>
    <row r="718" spans="1:10">
      <c r="A718" s="19"/>
      <c r="B718" s="18"/>
      <c r="C718" s="20"/>
      <c r="D718" s="20"/>
      <c r="E718" s="14"/>
      <c r="F718" s="14"/>
      <c r="G718" s="14"/>
      <c r="H718" s="14"/>
      <c r="I718" s="14"/>
      <c r="J718" s="15"/>
    </row>
    <row r="719" spans="1:10">
      <c r="A719" s="19"/>
      <c r="B719" s="18"/>
      <c r="C719" s="20"/>
      <c r="D719" s="20"/>
      <c r="E719" s="14"/>
      <c r="F719" s="14"/>
      <c r="G719" s="14"/>
      <c r="H719" s="14"/>
      <c r="I719" s="14"/>
      <c r="J719" s="15"/>
    </row>
    <row r="720" spans="1:10">
      <c r="A720" s="19"/>
      <c r="B720" s="18"/>
      <c r="C720" s="20"/>
      <c r="D720" s="20"/>
      <c r="E720" s="14"/>
      <c r="F720" s="14"/>
      <c r="G720" s="14"/>
      <c r="H720" s="14"/>
      <c r="I720" s="14"/>
      <c r="J720" s="15"/>
    </row>
    <row r="721" spans="1:10">
      <c r="A721" s="19"/>
      <c r="B721" s="18"/>
      <c r="C721" s="20"/>
      <c r="D721" s="20"/>
      <c r="E721" s="14"/>
      <c r="F721" s="14"/>
      <c r="G721" s="14"/>
      <c r="H721" s="14"/>
      <c r="I721" s="14"/>
      <c r="J721" s="15"/>
    </row>
    <row r="722" spans="1:10">
      <c r="A722" s="19"/>
      <c r="B722" s="18"/>
      <c r="C722" s="20"/>
      <c r="D722" s="20"/>
      <c r="E722" s="14"/>
      <c r="F722" s="14"/>
      <c r="G722" s="14"/>
      <c r="H722" s="14"/>
      <c r="I722" s="14"/>
      <c r="J722" s="15"/>
    </row>
    <row r="723" spans="1:10">
      <c r="A723" s="19"/>
      <c r="B723" s="18"/>
      <c r="C723" s="20"/>
      <c r="D723" s="20"/>
      <c r="E723" s="14"/>
      <c r="F723" s="14"/>
      <c r="G723" s="14"/>
      <c r="H723" s="14"/>
      <c r="I723" s="14"/>
      <c r="J723" s="15"/>
    </row>
    <row r="724" spans="1:10">
      <c r="A724" s="19"/>
      <c r="B724" s="18"/>
      <c r="C724" s="20"/>
      <c r="D724" s="20"/>
      <c r="E724" s="14"/>
      <c r="F724" s="14"/>
      <c r="G724" s="14"/>
      <c r="H724" s="14"/>
      <c r="I724" s="14"/>
      <c r="J724" s="15"/>
    </row>
    <row r="725" spans="1:10">
      <c r="A725" s="19"/>
      <c r="B725" s="18"/>
      <c r="C725" s="20"/>
      <c r="D725" s="20"/>
      <c r="E725" s="14"/>
      <c r="F725" s="14"/>
      <c r="G725" s="14"/>
      <c r="H725" s="14"/>
      <c r="I725" s="14"/>
      <c r="J725" s="15"/>
    </row>
    <row r="726" spans="1:10">
      <c r="A726" s="19"/>
      <c r="B726" s="18"/>
      <c r="C726" s="20"/>
      <c r="D726" s="20"/>
      <c r="E726" s="14"/>
      <c r="F726" s="14"/>
      <c r="G726" s="14"/>
      <c r="H726" s="14"/>
      <c r="I726" s="14"/>
      <c r="J726" s="15"/>
    </row>
    <row r="727" spans="1:10">
      <c r="A727" s="19"/>
      <c r="B727" s="18"/>
      <c r="C727" s="20"/>
      <c r="D727" s="20"/>
      <c r="E727" s="14"/>
      <c r="F727" s="14"/>
      <c r="G727" s="14"/>
      <c r="H727" s="14"/>
      <c r="I727" s="14"/>
      <c r="J727" s="15"/>
    </row>
    <row r="728" spans="1:10">
      <c r="A728" s="19"/>
      <c r="B728" s="18"/>
      <c r="C728" s="20"/>
      <c r="D728" s="20"/>
      <c r="E728" s="14"/>
      <c r="F728" s="14"/>
      <c r="G728" s="14"/>
      <c r="H728" s="14"/>
      <c r="I728" s="14"/>
      <c r="J728" s="15"/>
    </row>
    <row r="729" spans="1:10">
      <c r="A729" s="19"/>
      <c r="B729" s="18"/>
      <c r="C729" s="20"/>
      <c r="D729" s="20"/>
      <c r="E729" s="14"/>
      <c r="F729" s="14"/>
      <c r="G729" s="14"/>
      <c r="H729" s="14"/>
      <c r="I729" s="14"/>
      <c r="J729" s="15"/>
    </row>
    <row r="730" spans="1:10">
      <c r="A730" s="19"/>
      <c r="B730" s="18"/>
      <c r="C730" s="20"/>
      <c r="D730" s="20"/>
      <c r="E730" s="14"/>
      <c r="F730" s="14"/>
      <c r="G730" s="14"/>
      <c r="H730" s="14"/>
      <c r="I730" s="14"/>
      <c r="J730" s="15"/>
    </row>
    <row r="731" spans="1:10">
      <c r="A731" s="19"/>
      <c r="B731" s="18"/>
      <c r="C731" s="20"/>
      <c r="D731" s="20"/>
      <c r="E731" s="14"/>
      <c r="F731" s="14"/>
      <c r="G731" s="14"/>
      <c r="H731" s="14"/>
      <c r="I731" s="14"/>
      <c r="J731" s="15"/>
    </row>
    <row r="732" spans="1:10">
      <c r="A732" s="19"/>
      <c r="B732" s="18"/>
      <c r="C732" s="20"/>
      <c r="D732" s="20"/>
      <c r="E732" s="14"/>
      <c r="F732" s="14"/>
      <c r="G732" s="14"/>
      <c r="H732" s="14"/>
      <c r="I732" s="14"/>
      <c r="J732" s="15"/>
    </row>
    <row r="733" spans="1:10">
      <c r="A733" s="19"/>
      <c r="B733" s="18"/>
      <c r="C733" s="20"/>
      <c r="D733" s="20"/>
      <c r="E733" s="14"/>
      <c r="F733" s="14"/>
      <c r="G733" s="14"/>
      <c r="H733" s="14"/>
      <c r="I733" s="14"/>
      <c r="J733" s="15"/>
    </row>
    <row r="734" spans="1:10">
      <c r="A734" s="19"/>
      <c r="B734" s="18"/>
      <c r="C734" s="20"/>
      <c r="D734" s="20"/>
      <c r="E734" s="14"/>
      <c r="F734" s="14"/>
      <c r="G734" s="14"/>
      <c r="H734" s="14"/>
      <c r="I734" s="14"/>
      <c r="J734" s="15"/>
    </row>
    <row r="735" spans="1:10">
      <c r="A735" s="19"/>
      <c r="B735" s="18"/>
      <c r="C735" s="20"/>
      <c r="D735" s="20"/>
      <c r="E735" s="14"/>
      <c r="F735" s="14"/>
      <c r="G735" s="14"/>
      <c r="H735" s="14"/>
      <c r="I735" s="14"/>
      <c r="J735" s="15"/>
    </row>
    <row r="736" spans="1:10">
      <c r="A736" s="19"/>
      <c r="B736" s="18"/>
      <c r="C736" s="20"/>
      <c r="D736" s="20"/>
      <c r="E736" s="14"/>
      <c r="F736" s="14"/>
      <c r="G736" s="14"/>
      <c r="H736" s="14"/>
      <c r="I736" s="14"/>
      <c r="J736" s="15"/>
    </row>
    <row r="737" spans="1:10">
      <c r="A737" s="19"/>
      <c r="B737" s="18"/>
      <c r="C737" s="20"/>
      <c r="D737" s="20"/>
      <c r="E737" s="14"/>
      <c r="F737" s="14"/>
      <c r="G737" s="14"/>
      <c r="H737" s="14"/>
      <c r="I737" s="14"/>
      <c r="J737" s="15"/>
    </row>
    <row r="738" spans="1:10">
      <c r="A738" s="19"/>
      <c r="B738" s="18"/>
      <c r="C738" s="20"/>
      <c r="D738" s="20"/>
      <c r="E738" s="14"/>
      <c r="F738" s="14"/>
      <c r="G738" s="14"/>
      <c r="H738" s="14"/>
      <c r="I738" s="14"/>
      <c r="J738" s="15"/>
    </row>
    <row r="739" spans="1:10">
      <c r="A739" s="19"/>
      <c r="B739" s="18"/>
      <c r="C739" s="20"/>
      <c r="D739" s="20"/>
      <c r="E739" s="14"/>
      <c r="F739" s="14"/>
      <c r="G739" s="14"/>
      <c r="H739" s="14"/>
      <c r="I739" s="14"/>
      <c r="J739" s="15"/>
    </row>
    <row r="740" spans="1:10">
      <c r="A740" s="19"/>
      <c r="B740" s="18"/>
      <c r="C740" s="20"/>
      <c r="D740" s="20"/>
      <c r="E740" s="14"/>
      <c r="F740" s="14"/>
      <c r="G740" s="14"/>
      <c r="H740" s="14"/>
      <c r="I740" s="14"/>
      <c r="J740" s="15"/>
    </row>
    <row r="741" spans="1:10">
      <c r="A741" s="19"/>
      <c r="B741" s="18"/>
      <c r="C741" s="20"/>
      <c r="D741" s="20"/>
      <c r="E741" s="14"/>
      <c r="F741" s="14"/>
      <c r="G741" s="14"/>
      <c r="H741" s="14"/>
      <c r="I741" s="14"/>
      <c r="J741" s="15"/>
    </row>
    <row r="742" spans="1:10">
      <c r="A742" s="19"/>
      <c r="B742" s="18"/>
      <c r="C742" s="20"/>
      <c r="D742" s="20"/>
      <c r="E742" s="14"/>
      <c r="F742" s="14"/>
      <c r="G742" s="14"/>
      <c r="H742" s="14"/>
      <c r="I742" s="14"/>
      <c r="J742" s="15"/>
    </row>
    <row r="743" spans="1:10">
      <c r="A743" s="19"/>
      <c r="B743" s="18"/>
      <c r="C743" s="20"/>
      <c r="D743" s="20"/>
      <c r="E743" s="14"/>
      <c r="F743" s="14"/>
      <c r="G743" s="14"/>
      <c r="H743" s="14"/>
      <c r="I743" s="14"/>
      <c r="J743" s="15"/>
    </row>
    <row r="744" spans="1:10">
      <c r="A744" s="19"/>
      <c r="B744" s="18"/>
      <c r="C744" s="20"/>
      <c r="D744" s="20"/>
      <c r="E744" s="14"/>
      <c r="F744" s="14"/>
      <c r="G744" s="14"/>
      <c r="H744" s="14"/>
      <c r="I744" s="14"/>
      <c r="J744" s="15"/>
    </row>
    <row r="745" spans="1:10">
      <c r="A745" s="19"/>
      <c r="B745" s="18"/>
      <c r="C745" s="20"/>
      <c r="D745" s="20"/>
      <c r="E745" s="14"/>
      <c r="F745" s="14"/>
      <c r="G745" s="14"/>
      <c r="H745" s="14"/>
      <c r="I745" s="14"/>
      <c r="J745" s="15"/>
    </row>
    <row r="746" spans="1:10">
      <c r="A746" s="19"/>
      <c r="B746" s="18"/>
      <c r="C746" s="20"/>
      <c r="D746" s="20"/>
      <c r="E746" s="14"/>
      <c r="F746" s="14"/>
      <c r="G746" s="14"/>
      <c r="H746" s="14"/>
      <c r="I746" s="14"/>
      <c r="J746" s="15"/>
    </row>
    <row r="747" spans="1:10">
      <c r="A747" s="19"/>
      <c r="B747" s="18"/>
      <c r="C747" s="20"/>
      <c r="D747" s="20"/>
      <c r="E747" s="14"/>
      <c r="F747" s="14"/>
      <c r="G747" s="14"/>
      <c r="H747" s="14"/>
      <c r="I747" s="14"/>
      <c r="J747" s="15"/>
    </row>
    <row r="748" spans="1:10">
      <c r="A748" s="19"/>
      <c r="B748" s="18"/>
      <c r="C748" s="20"/>
      <c r="D748" s="20"/>
      <c r="E748" s="14"/>
      <c r="F748" s="14"/>
      <c r="G748" s="14"/>
      <c r="H748" s="14"/>
      <c r="I748" s="14"/>
      <c r="J748" s="15"/>
    </row>
    <row r="749" spans="1:10">
      <c r="A749" s="19"/>
      <c r="B749" s="18"/>
      <c r="C749" s="20"/>
      <c r="D749" s="20"/>
      <c r="E749" s="14"/>
      <c r="F749" s="14"/>
      <c r="G749" s="14"/>
      <c r="H749" s="14"/>
      <c r="I749" s="14"/>
      <c r="J749" s="15"/>
    </row>
    <row r="750" spans="1:10">
      <c r="A750" s="19"/>
      <c r="B750" s="18"/>
      <c r="C750" s="20"/>
      <c r="D750" s="20"/>
      <c r="E750" s="14"/>
      <c r="F750" s="14"/>
      <c r="G750" s="14"/>
      <c r="H750" s="14"/>
      <c r="I750" s="14"/>
      <c r="J750" s="15"/>
    </row>
    <row r="751" spans="1:10">
      <c r="A751" s="19"/>
      <c r="B751" s="18"/>
      <c r="C751" s="20"/>
      <c r="D751" s="20"/>
      <c r="E751" s="14"/>
      <c r="F751" s="14"/>
      <c r="G751" s="14"/>
      <c r="H751" s="14"/>
      <c r="I751" s="14"/>
      <c r="J751" s="15"/>
    </row>
    <row r="752" spans="1:10">
      <c r="A752" s="19"/>
      <c r="B752" s="18"/>
      <c r="C752" s="20"/>
      <c r="D752" s="20"/>
      <c r="E752" s="14"/>
      <c r="F752" s="14"/>
      <c r="G752" s="14"/>
      <c r="H752" s="14"/>
      <c r="I752" s="14"/>
      <c r="J752" s="15"/>
    </row>
    <row r="753" spans="1:10">
      <c r="A753" s="19"/>
      <c r="B753" s="18"/>
      <c r="C753" s="20"/>
      <c r="D753" s="20"/>
      <c r="E753" s="14"/>
      <c r="F753" s="14"/>
      <c r="G753" s="14"/>
      <c r="H753" s="14"/>
      <c r="I753" s="14"/>
      <c r="J753" s="15"/>
    </row>
    <row r="754" spans="1:10">
      <c r="A754" s="19"/>
      <c r="B754" s="18"/>
      <c r="C754" s="20"/>
      <c r="D754" s="20"/>
      <c r="E754" s="14"/>
      <c r="F754" s="14"/>
      <c r="G754" s="14"/>
      <c r="H754" s="14"/>
      <c r="I754" s="14"/>
      <c r="J754" s="15"/>
    </row>
    <row r="755" spans="1:10">
      <c r="A755" s="19"/>
      <c r="B755" s="18"/>
      <c r="C755" s="20"/>
      <c r="D755" s="20"/>
      <c r="E755" s="14"/>
      <c r="F755" s="14"/>
      <c r="G755" s="14"/>
      <c r="H755" s="14"/>
      <c r="I755" s="14"/>
      <c r="J755" s="15"/>
    </row>
    <row r="756" spans="1:10">
      <c r="A756" s="19"/>
      <c r="B756" s="18"/>
      <c r="C756" s="20"/>
      <c r="D756" s="20"/>
      <c r="E756" s="14"/>
      <c r="F756" s="14"/>
      <c r="G756" s="14"/>
      <c r="H756" s="14"/>
      <c r="I756" s="14"/>
      <c r="J756" s="15"/>
    </row>
    <row r="757" spans="1:10">
      <c r="A757" s="19"/>
      <c r="B757" s="18"/>
      <c r="C757" s="20"/>
      <c r="D757" s="20"/>
      <c r="E757" s="14"/>
      <c r="F757" s="14"/>
      <c r="G757" s="14"/>
      <c r="H757" s="14"/>
      <c r="I757" s="14"/>
      <c r="J757" s="15"/>
    </row>
    <row r="758" spans="1:10">
      <c r="A758" s="19"/>
      <c r="B758" s="18"/>
      <c r="C758" s="20"/>
      <c r="D758" s="20"/>
      <c r="E758" s="14"/>
      <c r="F758" s="14"/>
      <c r="G758" s="14"/>
      <c r="H758" s="14"/>
      <c r="I758" s="14"/>
      <c r="J758" s="15"/>
    </row>
    <row r="759" spans="1:10">
      <c r="A759" s="19"/>
      <c r="B759" s="18"/>
      <c r="C759" s="20"/>
      <c r="D759" s="20"/>
      <c r="E759" s="14"/>
      <c r="F759" s="14"/>
      <c r="G759" s="14"/>
      <c r="H759" s="14"/>
      <c r="I759" s="14"/>
      <c r="J759" s="15"/>
    </row>
    <row r="760" spans="1:10">
      <c r="A760" s="19"/>
      <c r="B760" s="18"/>
      <c r="C760" s="20"/>
      <c r="D760" s="20"/>
      <c r="E760" s="14"/>
      <c r="F760" s="14"/>
      <c r="G760" s="14"/>
      <c r="H760" s="14"/>
      <c r="I760" s="14"/>
      <c r="J760" s="15"/>
    </row>
    <row r="761" spans="1:10">
      <c r="A761" s="19"/>
      <c r="B761" s="18"/>
      <c r="C761" s="20"/>
      <c r="D761" s="20"/>
      <c r="E761" s="14"/>
      <c r="F761" s="14"/>
      <c r="G761" s="14"/>
      <c r="H761" s="14"/>
      <c r="I761" s="14"/>
      <c r="J761" s="15"/>
    </row>
    <row r="762" spans="1:10">
      <c r="A762" s="19"/>
      <c r="B762" s="18"/>
      <c r="C762" s="20"/>
      <c r="D762" s="20"/>
      <c r="E762" s="14"/>
      <c r="F762" s="14"/>
      <c r="G762" s="14"/>
      <c r="H762" s="14"/>
      <c r="I762" s="14"/>
      <c r="J762" s="15"/>
    </row>
    <row r="763" spans="1:10">
      <c r="A763" s="19"/>
      <c r="B763" s="18"/>
      <c r="C763" s="20"/>
      <c r="D763" s="20"/>
      <c r="E763" s="14"/>
      <c r="F763" s="14"/>
      <c r="G763" s="14"/>
      <c r="H763" s="14"/>
      <c r="I763" s="14"/>
      <c r="J763" s="15"/>
    </row>
    <row r="764" spans="1:10">
      <c r="A764" s="19"/>
      <c r="B764" s="18"/>
      <c r="C764" s="20"/>
      <c r="D764" s="20"/>
      <c r="E764" s="14"/>
      <c r="F764" s="14"/>
      <c r="G764" s="14"/>
      <c r="H764" s="14"/>
      <c r="I764" s="14"/>
      <c r="J764" s="15"/>
    </row>
    <row r="765" spans="1:10">
      <c r="A765" s="19"/>
      <c r="B765" s="18"/>
      <c r="C765" s="20"/>
      <c r="D765" s="20"/>
      <c r="E765" s="14"/>
      <c r="F765" s="14"/>
      <c r="G765" s="14"/>
      <c r="H765" s="14"/>
      <c r="I765" s="14"/>
      <c r="J765" s="15"/>
    </row>
    <row r="766" spans="1:10">
      <c r="A766" s="19"/>
      <c r="B766" s="18"/>
      <c r="C766" s="20"/>
      <c r="D766" s="20"/>
      <c r="E766" s="14"/>
      <c r="F766" s="14"/>
      <c r="G766" s="14"/>
      <c r="H766" s="14"/>
      <c r="I766" s="14"/>
      <c r="J766" s="15"/>
    </row>
    <row r="767" spans="1:10">
      <c r="A767" s="19"/>
      <c r="B767" s="18"/>
      <c r="C767" s="20"/>
      <c r="D767" s="20"/>
      <c r="E767" s="14"/>
      <c r="F767" s="14"/>
      <c r="G767" s="14"/>
      <c r="H767" s="14"/>
      <c r="I767" s="14"/>
      <c r="J767" s="15"/>
    </row>
    <row r="768" spans="1:10">
      <c r="A768" s="19"/>
      <c r="B768" s="18"/>
      <c r="C768" s="20"/>
      <c r="D768" s="20"/>
      <c r="E768" s="14"/>
      <c r="F768" s="14"/>
      <c r="G768" s="14"/>
      <c r="H768" s="14"/>
      <c r="I768" s="14"/>
      <c r="J768" s="15"/>
    </row>
    <row r="769" spans="1:10">
      <c r="A769" s="19"/>
      <c r="B769" s="18"/>
      <c r="C769" s="20"/>
      <c r="D769" s="20"/>
      <c r="E769" s="14"/>
      <c r="F769" s="14"/>
      <c r="G769" s="14"/>
      <c r="H769" s="14"/>
      <c r="I769" s="14"/>
      <c r="J769" s="15"/>
    </row>
    <row r="770" spans="1:10">
      <c r="A770" s="19"/>
      <c r="B770" s="18"/>
      <c r="C770" s="20"/>
      <c r="D770" s="20"/>
      <c r="E770" s="14"/>
      <c r="F770" s="14"/>
      <c r="G770" s="14"/>
      <c r="H770" s="14"/>
      <c r="I770" s="14"/>
      <c r="J770" s="15"/>
    </row>
    <row r="771" spans="1:10">
      <c r="A771" s="19"/>
      <c r="B771" s="18"/>
      <c r="C771" s="20"/>
      <c r="D771" s="20"/>
      <c r="E771" s="14"/>
      <c r="F771" s="14"/>
      <c r="G771" s="14"/>
      <c r="H771" s="14"/>
      <c r="I771" s="14"/>
      <c r="J771" s="15"/>
    </row>
    <row r="772" spans="1:10">
      <c r="A772" s="19"/>
      <c r="B772" s="18"/>
      <c r="C772" s="20"/>
      <c r="D772" s="20"/>
      <c r="E772" s="14"/>
      <c r="F772" s="14"/>
      <c r="G772" s="14"/>
      <c r="H772" s="14"/>
      <c r="I772" s="14"/>
      <c r="J772" s="15"/>
    </row>
    <row r="773" spans="1:10">
      <c r="A773" s="19"/>
      <c r="B773" s="18"/>
      <c r="C773" s="20"/>
      <c r="D773" s="20"/>
      <c r="E773" s="14"/>
      <c r="F773" s="14"/>
      <c r="G773" s="14"/>
      <c r="H773" s="14"/>
      <c r="I773" s="14"/>
      <c r="J773" s="15"/>
    </row>
    <row r="774" spans="1:10">
      <c r="A774" s="19"/>
      <c r="B774" s="18"/>
      <c r="C774" s="20"/>
      <c r="D774" s="20"/>
      <c r="E774" s="14"/>
      <c r="F774" s="14"/>
      <c r="G774" s="14"/>
      <c r="H774" s="14"/>
      <c r="I774" s="14"/>
      <c r="J774" s="15"/>
    </row>
    <row r="775" spans="1:10">
      <c r="A775" s="19"/>
      <c r="B775" s="18"/>
      <c r="C775" s="20"/>
      <c r="D775" s="20"/>
      <c r="E775" s="14"/>
      <c r="F775" s="14"/>
      <c r="G775" s="14"/>
      <c r="H775" s="14"/>
      <c r="I775" s="14"/>
      <c r="J775" s="15"/>
    </row>
    <row r="776" spans="1:10">
      <c r="A776" s="19"/>
      <c r="B776" s="18"/>
      <c r="C776" s="20"/>
      <c r="D776" s="20"/>
      <c r="E776" s="14"/>
      <c r="F776" s="14"/>
      <c r="G776" s="14"/>
      <c r="H776" s="14"/>
      <c r="I776" s="14"/>
      <c r="J776" s="15"/>
    </row>
    <row r="777" spans="1:10">
      <c r="A777" s="19"/>
      <c r="B777" s="18"/>
      <c r="C777" s="20"/>
      <c r="D777" s="20"/>
      <c r="E777" s="14"/>
      <c r="F777" s="14"/>
      <c r="G777" s="14"/>
      <c r="H777" s="14"/>
      <c r="I777" s="14"/>
      <c r="J777" s="15"/>
    </row>
    <row r="778" spans="1:10">
      <c r="A778" s="19"/>
      <c r="B778" s="18"/>
      <c r="C778" s="20"/>
      <c r="D778" s="20"/>
      <c r="E778" s="14"/>
      <c r="F778" s="14"/>
      <c r="G778" s="14"/>
      <c r="H778" s="14"/>
      <c r="I778" s="14"/>
      <c r="J778" s="15"/>
    </row>
    <row r="779" spans="1:10">
      <c r="A779" s="19"/>
      <c r="B779" s="18"/>
      <c r="C779" s="20"/>
      <c r="D779" s="20"/>
      <c r="E779" s="14"/>
      <c r="F779" s="14"/>
      <c r="G779" s="14"/>
      <c r="H779" s="14"/>
      <c r="I779" s="14"/>
      <c r="J779" s="15"/>
    </row>
    <row r="780" spans="1:10">
      <c r="A780" s="19"/>
      <c r="B780" s="18"/>
      <c r="C780" s="20"/>
      <c r="D780" s="20"/>
      <c r="E780" s="14"/>
      <c r="F780" s="14"/>
      <c r="G780" s="14"/>
      <c r="H780" s="14"/>
      <c r="I780" s="14"/>
      <c r="J780" s="15"/>
    </row>
    <row r="781" spans="1:10">
      <c r="A781" s="19"/>
      <c r="B781" s="18"/>
      <c r="C781" s="20"/>
      <c r="D781" s="20"/>
      <c r="E781" s="14"/>
      <c r="F781" s="14"/>
      <c r="G781" s="14"/>
      <c r="H781" s="14"/>
      <c r="I781" s="14"/>
      <c r="J781" s="15"/>
    </row>
    <row r="782" spans="1:10">
      <c r="A782" s="19"/>
      <c r="B782" s="18"/>
      <c r="C782" s="20"/>
      <c r="D782" s="20"/>
      <c r="E782" s="14"/>
      <c r="F782" s="14"/>
      <c r="G782" s="14"/>
      <c r="H782" s="14"/>
      <c r="I782" s="14"/>
      <c r="J782" s="15"/>
    </row>
    <row r="783" spans="1:10">
      <c r="A783" s="19"/>
      <c r="B783" s="18"/>
      <c r="C783" s="20"/>
      <c r="D783" s="20"/>
      <c r="E783" s="14"/>
      <c r="F783" s="14"/>
      <c r="G783" s="14"/>
      <c r="H783" s="14"/>
      <c r="I783" s="14"/>
      <c r="J783" s="15"/>
    </row>
    <row r="784" spans="1:10">
      <c r="A784" s="19"/>
      <c r="B784" s="18"/>
      <c r="C784" s="20"/>
      <c r="D784" s="20"/>
      <c r="E784" s="14"/>
      <c r="F784" s="14"/>
      <c r="G784" s="14"/>
      <c r="H784" s="14"/>
      <c r="I784" s="14"/>
      <c r="J784" s="15"/>
    </row>
    <row r="785" spans="1:10">
      <c r="A785" s="19"/>
      <c r="B785" s="18"/>
      <c r="C785" s="20"/>
      <c r="D785" s="20"/>
      <c r="E785" s="14"/>
      <c r="F785" s="14"/>
      <c r="G785" s="14"/>
      <c r="H785" s="14"/>
      <c r="I785" s="14"/>
      <c r="J785" s="15"/>
    </row>
    <row r="786" spans="1:10">
      <c r="A786" s="19"/>
      <c r="B786" s="18"/>
      <c r="C786" s="20"/>
      <c r="D786" s="20"/>
      <c r="E786" s="14"/>
      <c r="F786" s="14"/>
      <c r="G786" s="14"/>
      <c r="H786" s="14"/>
      <c r="I786" s="14"/>
      <c r="J786" s="15"/>
    </row>
    <row r="787" spans="1:10">
      <c r="A787" s="19"/>
      <c r="B787" s="18"/>
      <c r="C787" s="20"/>
      <c r="D787" s="20"/>
      <c r="E787" s="14"/>
      <c r="F787" s="14"/>
      <c r="G787" s="14"/>
      <c r="H787" s="14"/>
      <c r="I787" s="14"/>
      <c r="J787" s="15"/>
    </row>
    <row r="788" spans="1:10">
      <c r="A788" s="19"/>
      <c r="B788" s="18"/>
      <c r="C788" s="20"/>
      <c r="D788" s="20"/>
      <c r="E788" s="14"/>
      <c r="F788" s="14"/>
      <c r="G788" s="14"/>
      <c r="H788" s="14"/>
      <c r="I788" s="14"/>
      <c r="J788" s="15"/>
    </row>
    <row r="789" spans="1:10">
      <c r="A789" s="19"/>
      <c r="B789" s="18"/>
      <c r="C789" s="20"/>
      <c r="D789" s="20"/>
      <c r="E789" s="14"/>
      <c r="F789" s="14"/>
      <c r="G789" s="14"/>
      <c r="H789" s="14"/>
      <c r="I789" s="14"/>
      <c r="J789" s="15"/>
    </row>
    <row r="790" spans="1:10">
      <c r="A790" s="19"/>
      <c r="B790" s="18"/>
      <c r="C790" s="20"/>
      <c r="D790" s="20"/>
      <c r="E790" s="14"/>
      <c r="F790" s="14"/>
      <c r="G790" s="14"/>
      <c r="H790" s="14"/>
      <c r="I790" s="14"/>
      <c r="J790" s="15"/>
    </row>
    <row r="791" spans="1:10">
      <c r="A791" s="19"/>
      <c r="B791" s="18"/>
      <c r="C791" s="20"/>
      <c r="D791" s="20"/>
      <c r="E791" s="14"/>
      <c r="F791" s="14"/>
      <c r="G791" s="14"/>
      <c r="H791" s="14"/>
      <c r="I791" s="14"/>
      <c r="J791" s="15"/>
    </row>
    <row r="792" spans="1:10">
      <c r="A792" s="19"/>
      <c r="B792" s="18"/>
      <c r="C792" s="20"/>
      <c r="D792" s="20"/>
      <c r="E792" s="14"/>
      <c r="F792" s="14"/>
      <c r="G792" s="14"/>
      <c r="H792" s="14"/>
      <c r="I792" s="14"/>
      <c r="J792" s="15"/>
    </row>
    <row r="793" spans="1:10">
      <c r="A793" s="19"/>
      <c r="B793" s="18"/>
      <c r="C793" s="20"/>
      <c r="D793" s="20"/>
      <c r="E793" s="14"/>
      <c r="F793" s="14"/>
      <c r="G793" s="14"/>
      <c r="H793" s="14"/>
      <c r="I793" s="14"/>
      <c r="J793" s="15"/>
    </row>
    <row r="794" spans="1:10">
      <c r="A794" s="19"/>
      <c r="B794" s="18"/>
      <c r="C794" s="20"/>
      <c r="D794" s="20"/>
      <c r="E794" s="14"/>
      <c r="F794" s="14"/>
      <c r="G794" s="14"/>
      <c r="H794" s="14"/>
      <c r="I794" s="14"/>
      <c r="J794" s="15"/>
    </row>
    <row r="795" spans="1:10">
      <c r="A795" s="19"/>
      <c r="B795" s="18"/>
      <c r="C795" s="20"/>
      <c r="D795" s="20"/>
      <c r="E795" s="14"/>
      <c r="F795" s="14"/>
      <c r="G795" s="14"/>
      <c r="H795" s="14"/>
      <c r="I795" s="14"/>
      <c r="J795" s="15"/>
    </row>
    <row r="796" spans="1:10">
      <c r="A796" s="19"/>
      <c r="B796" s="18"/>
      <c r="C796" s="20"/>
      <c r="D796" s="20"/>
      <c r="E796" s="14"/>
      <c r="F796" s="14"/>
      <c r="G796" s="14"/>
      <c r="H796" s="14"/>
      <c r="I796" s="14"/>
      <c r="J796" s="15"/>
    </row>
    <row r="797" spans="1:10">
      <c r="A797" s="19"/>
      <c r="B797" s="18"/>
      <c r="C797" s="20"/>
      <c r="D797" s="20"/>
      <c r="E797" s="14"/>
      <c r="F797" s="14"/>
      <c r="G797" s="14"/>
      <c r="H797" s="14"/>
      <c r="I797" s="14"/>
      <c r="J797" s="15"/>
    </row>
    <row r="798" spans="1:10">
      <c r="A798" s="19"/>
      <c r="B798" s="18"/>
      <c r="C798" s="20"/>
      <c r="D798" s="20"/>
      <c r="E798" s="14"/>
      <c r="F798" s="14"/>
      <c r="G798" s="14"/>
      <c r="H798" s="14"/>
      <c r="I798" s="14"/>
      <c r="J798" s="15"/>
    </row>
    <row r="799" spans="1:10">
      <c r="A799" s="19"/>
      <c r="B799" s="18"/>
      <c r="C799" s="20"/>
      <c r="D799" s="20"/>
      <c r="E799" s="14"/>
      <c r="F799" s="14"/>
      <c r="G799" s="14"/>
      <c r="H799" s="14"/>
      <c r="I799" s="14"/>
      <c r="J799" s="15"/>
    </row>
    <row r="800" spans="1:10">
      <c r="A800" s="19"/>
      <c r="B800" s="18"/>
      <c r="C800" s="20"/>
      <c r="D800" s="20"/>
      <c r="E800" s="14"/>
      <c r="F800" s="14"/>
      <c r="G800" s="14"/>
      <c r="H800" s="14"/>
      <c r="I800" s="14"/>
      <c r="J800" s="15"/>
    </row>
    <row r="801" spans="1:10">
      <c r="A801" s="19"/>
      <c r="B801" s="18"/>
      <c r="C801" s="20"/>
      <c r="D801" s="20"/>
      <c r="E801" s="14"/>
      <c r="F801" s="14"/>
      <c r="G801" s="14"/>
      <c r="H801" s="14"/>
      <c r="I801" s="14"/>
      <c r="J801" s="15"/>
    </row>
    <row r="802" spans="1:10">
      <c r="A802" s="19"/>
      <c r="B802" s="18"/>
      <c r="C802" s="20"/>
      <c r="D802" s="20"/>
      <c r="E802" s="14"/>
      <c r="F802" s="14"/>
      <c r="G802" s="14"/>
      <c r="H802" s="14"/>
      <c r="I802" s="14"/>
      <c r="J802" s="15"/>
    </row>
    <row r="803" spans="1:10">
      <c r="A803" s="19"/>
      <c r="B803" s="18"/>
      <c r="C803" s="20"/>
      <c r="D803" s="20"/>
      <c r="E803" s="14"/>
      <c r="F803" s="14"/>
      <c r="G803" s="14"/>
      <c r="H803" s="14"/>
      <c r="I803" s="14"/>
      <c r="J803" s="15"/>
    </row>
    <row r="804" spans="1:10">
      <c r="A804" s="19"/>
      <c r="B804" s="18"/>
      <c r="C804" s="20"/>
      <c r="D804" s="20"/>
      <c r="E804" s="14"/>
      <c r="F804" s="14"/>
      <c r="G804" s="14"/>
      <c r="H804" s="14"/>
      <c r="I804" s="14"/>
      <c r="J804" s="15"/>
    </row>
    <row r="805" spans="1:10">
      <c r="A805" s="19"/>
      <c r="B805" s="18"/>
      <c r="C805" s="20"/>
      <c r="D805" s="20"/>
      <c r="E805" s="14"/>
      <c r="F805" s="14"/>
      <c r="G805" s="14"/>
      <c r="H805" s="14"/>
      <c r="I805" s="14"/>
      <c r="J805" s="15"/>
    </row>
    <row r="806" spans="1:10">
      <c r="A806" s="19"/>
      <c r="B806" s="18"/>
      <c r="C806" s="20"/>
      <c r="D806" s="20"/>
      <c r="E806" s="14"/>
      <c r="F806" s="14"/>
      <c r="G806" s="14"/>
      <c r="H806" s="14"/>
      <c r="I806" s="14"/>
      <c r="J806" s="15"/>
    </row>
    <row r="807" spans="1:10">
      <c r="A807" s="19"/>
      <c r="B807" s="18"/>
      <c r="C807" s="20"/>
      <c r="D807" s="20"/>
      <c r="E807" s="14"/>
      <c r="F807" s="14"/>
      <c r="G807" s="14"/>
      <c r="H807" s="14"/>
      <c r="I807" s="14"/>
      <c r="J807" s="15"/>
    </row>
    <row r="808" spans="1:10">
      <c r="A808" s="19"/>
      <c r="B808" s="18"/>
      <c r="C808" s="20"/>
      <c r="D808" s="20"/>
      <c r="E808" s="14"/>
      <c r="F808" s="14"/>
      <c r="G808" s="14"/>
      <c r="H808" s="14"/>
      <c r="I808" s="14"/>
      <c r="J808" s="15"/>
    </row>
    <row r="809" spans="1:10">
      <c r="A809" s="19"/>
      <c r="B809" s="18"/>
      <c r="C809" s="20"/>
      <c r="D809" s="20"/>
      <c r="E809" s="14"/>
      <c r="F809" s="14"/>
      <c r="G809" s="14"/>
      <c r="H809" s="14"/>
      <c r="I809" s="14"/>
      <c r="J809" s="15"/>
    </row>
    <row r="810" spans="1:10">
      <c r="A810" s="19"/>
      <c r="B810" s="18"/>
      <c r="C810" s="20"/>
      <c r="D810" s="20"/>
      <c r="E810" s="14"/>
      <c r="F810" s="14"/>
      <c r="G810" s="14"/>
      <c r="H810" s="14"/>
      <c r="I810" s="14"/>
      <c r="J810" s="15"/>
    </row>
    <row r="811" spans="1:10">
      <c r="A811" s="19"/>
      <c r="B811" s="18"/>
      <c r="C811" s="20"/>
      <c r="D811" s="20"/>
      <c r="E811" s="14"/>
      <c r="F811" s="14"/>
      <c r="G811" s="14"/>
      <c r="H811" s="14"/>
      <c r="I811" s="14"/>
      <c r="J811" s="15"/>
    </row>
    <row r="812" spans="1:10">
      <c r="A812" s="19"/>
      <c r="B812" s="18"/>
      <c r="C812" s="20"/>
      <c r="D812" s="20"/>
      <c r="E812" s="14"/>
      <c r="F812" s="14"/>
      <c r="G812" s="14"/>
      <c r="H812" s="14"/>
      <c r="I812" s="14"/>
      <c r="J812" s="15"/>
    </row>
    <row r="813" spans="1:10">
      <c r="A813" s="19"/>
      <c r="B813" s="18"/>
      <c r="C813" s="20"/>
      <c r="D813" s="20"/>
      <c r="E813" s="14"/>
      <c r="F813" s="14"/>
      <c r="G813" s="14"/>
      <c r="H813" s="14"/>
      <c r="I813" s="14"/>
      <c r="J813" s="15"/>
    </row>
    <row r="814" spans="1:10">
      <c r="A814" s="19"/>
      <c r="B814" s="18"/>
      <c r="C814" s="20"/>
      <c r="D814" s="20"/>
      <c r="E814" s="14"/>
      <c r="F814" s="14"/>
      <c r="G814" s="14"/>
      <c r="H814" s="14"/>
      <c r="I814" s="14"/>
      <c r="J814" s="15"/>
    </row>
    <row r="815" spans="1:10">
      <c r="A815" s="19"/>
      <c r="B815" s="18"/>
      <c r="C815" s="20"/>
      <c r="D815" s="20"/>
      <c r="E815" s="14"/>
      <c r="F815" s="14"/>
      <c r="G815" s="14"/>
      <c r="H815" s="14"/>
      <c r="I815" s="14"/>
      <c r="J815" s="15"/>
    </row>
    <row r="816" spans="1:10">
      <c r="A816" s="19"/>
      <c r="B816" s="18"/>
      <c r="C816" s="20"/>
      <c r="D816" s="20"/>
      <c r="E816" s="14"/>
      <c r="F816" s="14"/>
      <c r="G816" s="14"/>
      <c r="H816" s="14"/>
      <c r="I816" s="14"/>
      <c r="J816" s="15"/>
    </row>
    <row r="817" spans="1:10">
      <c r="A817" s="19"/>
      <c r="B817" s="18"/>
      <c r="C817" s="20"/>
      <c r="D817" s="20"/>
      <c r="E817" s="14"/>
      <c r="F817" s="14"/>
      <c r="G817" s="14"/>
      <c r="H817" s="14"/>
      <c r="I817" s="14"/>
      <c r="J817" s="15"/>
    </row>
    <row r="818" spans="1:10">
      <c r="A818" s="19"/>
      <c r="B818" s="18"/>
      <c r="C818" s="20"/>
      <c r="D818" s="20"/>
      <c r="E818" s="14"/>
      <c r="F818" s="14"/>
      <c r="G818" s="14"/>
      <c r="H818" s="14"/>
      <c r="I818" s="14"/>
      <c r="J818" s="15"/>
    </row>
    <row r="819" spans="1:10">
      <c r="A819" s="19"/>
      <c r="B819" s="18"/>
      <c r="C819" s="20"/>
      <c r="D819" s="20"/>
      <c r="E819" s="14"/>
      <c r="F819" s="14"/>
      <c r="G819" s="14"/>
      <c r="H819" s="14"/>
      <c r="I819" s="14"/>
      <c r="J819" s="15"/>
    </row>
    <row r="820" spans="1:10">
      <c r="A820" s="19"/>
      <c r="B820" s="18"/>
      <c r="C820" s="20"/>
      <c r="D820" s="20"/>
      <c r="E820" s="14"/>
      <c r="F820" s="14"/>
      <c r="G820" s="14"/>
      <c r="H820" s="14"/>
      <c r="I820" s="14"/>
      <c r="J820" s="15"/>
    </row>
    <row r="821" spans="1:10">
      <c r="A821" s="19"/>
      <c r="B821" s="18"/>
      <c r="C821" s="20"/>
      <c r="D821" s="20"/>
      <c r="E821" s="14"/>
      <c r="F821" s="14"/>
      <c r="G821" s="14"/>
      <c r="H821" s="14"/>
      <c r="I821" s="14"/>
      <c r="J821" s="15"/>
    </row>
    <row r="822" spans="1:10">
      <c r="A822" s="19"/>
      <c r="B822" s="18"/>
      <c r="C822" s="20"/>
      <c r="D822" s="20"/>
      <c r="E822" s="14"/>
      <c r="F822" s="14"/>
      <c r="G822" s="14"/>
      <c r="H822" s="14"/>
      <c r="I822" s="14"/>
      <c r="J822" s="15"/>
    </row>
    <row r="823" spans="1:10">
      <c r="A823" s="19"/>
      <c r="B823" s="18"/>
      <c r="C823" s="20"/>
      <c r="D823" s="20"/>
      <c r="E823" s="14"/>
      <c r="F823" s="14"/>
      <c r="G823" s="14"/>
      <c r="H823" s="14"/>
      <c r="I823" s="14"/>
      <c r="J823" s="15"/>
    </row>
    <row r="824" spans="1:10">
      <c r="A824" s="19"/>
      <c r="B824" s="18"/>
      <c r="C824" s="20"/>
      <c r="D824" s="20"/>
      <c r="E824" s="14"/>
      <c r="F824" s="14"/>
      <c r="G824" s="14"/>
      <c r="H824" s="14"/>
      <c r="I824" s="14"/>
      <c r="J824" s="15"/>
    </row>
    <row r="825" spans="1:10">
      <c r="A825" s="19"/>
      <c r="B825" s="18"/>
      <c r="C825" s="20"/>
      <c r="D825" s="20"/>
      <c r="E825" s="14"/>
      <c r="F825" s="14"/>
      <c r="G825" s="14"/>
      <c r="H825" s="14"/>
      <c r="I825" s="14"/>
      <c r="J825" s="15"/>
    </row>
  </sheetData>
  <sheetProtection formatCells="0" formatColumns="0" formatRows="0" insertRows="0" deleteRows="0" autoFilter="0"/>
  <phoneticPr fontId="4" type="noConversion"/>
  <conditionalFormatting sqref="E1 E309:G309 E461:G825 E311:G313 G310 E315:G315 G314 E317:G321 G316 E323:G323 G322 E326:G328 G324:G325 E331:G331 G329:G330 E334:G336 G332:G333 E338:G338 G337 E341:G347 G339:G340 E350:G351 G348:G349 E353:G353 G352 E356:G358 G354:G355 E360:G361 G359 E365:G365 G362:G364 E368:G369 G366:G367 E372:G377 G370:G371 E380:G380 G378:G379 E382:G382 G381 E385:G386 G383:G384 E388:G388 G387 E390:G390 G389 E461:E1048576 E41:E43">
    <cfRule type="expression" dxfId="618" priority="3324">
      <formula>IF(OR(AND(E1="",F1="",OR(G1="Critical",G1="Major",G1="Minor"))),1,0)</formula>
    </cfRule>
  </conditionalFormatting>
  <conditionalFormatting sqref="F1 F309 F311:F313 F315 F317:F321 F323 F326:F328 F331 F334:F336 F338 F341:F347 F350:F351 F353 F356:F358 F360:F361 F365 F368:F369 F372:F377 F380 F382 F385:F386 F388 F390 F461:F1048576 F40:F43">
    <cfRule type="expression" dxfId="617" priority="3323">
      <formula>IF(AND(F1="",OR(E1="Accuracy",E1="Fluency",E1="Segment",E1="Other")),1,0)</formula>
    </cfRule>
  </conditionalFormatting>
  <conditionalFormatting sqref="G1 G309:G390 G461:G1048576">
    <cfRule type="expression" dxfId="616" priority="3322">
      <formula>IF(AND(OR(G1="",E1="Segment"),OR(E1="Accuracy",E1="Fluency",E1="Other")),1,0)</formula>
    </cfRule>
  </conditionalFormatting>
  <conditionalFormatting sqref="E37:G38">
    <cfRule type="expression" dxfId="615" priority="625">
      <formula>IF(OR(AND(E37="",F37="",OR(G37="Critical",G37="Major",G37="Minor"))),1,0)</formula>
    </cfRule>
  </conditionalFormatting>
  <conditionalFormatting sqref="F37:F38">
    <cfRule type="expression" dxfId="614" priority="624">
      <formula>IF(AND(F37="",OR(E37="Accuracy",E37="Fluency",E37="Segment",E37="Other")),1,0)</formula>
    </cfRule>
  </conditionalFormatting>
  <conditionalFormatting sqref="E39:G39">
    <cfRule type="expression" dxfId="613" priority="622">
      <formula>IF(OR(AND(E39="",F39="",OR(G39="Critical",G39="Major",G39="Minor"))),1,0)</formula>
    </cfRule>
  </conditionalFormatting>
  <conditionalFormatting sqref="F39">
    <cfRule type="expression" dxfId="612" priority="621">
      <formula>IF(AND(F39="",OR(E39="Accuracy",E39="Fluency",E39="Segment",E39="Other")),1,0)</formula>
    </cfRule>
  </conditionalFormatting>
  <conditionalFormatting sqref="G39">
    <cfRule type="expression" dxfId="611" priority="623">
      <formula>IF(AND(OR(G39="",#REF!="Segment"),OR(#REF!="Accuracy",#REF!="Fluency",#REF!="Other")),1,0)</formula>
    </cfRule>
  </conditionalFormatting>
  <conditionalFormatting sqref="G42">
    <cfRule type="expression" dxfId="610" priority="615">
      <formula>IF(OR(AND(G42="",H42="",OR(I42="Critical",I42="Major",I42="Minor"))),1,0)</formula>
    </cfRule>
  </conditionalFormatting>
  <conditionalFormatting sqref="G42">
    <cfRule type="expression" dxfId="609" priority="616">
      <formula>IF(AND(OR(G42="",#REF!="Segment"),OR(#REF!="Accuracy",#REF!="Fluency",#REF!="Other")),1,0)</formula>
    </cfRule>
  </conditionalFormatting>
  <conditionalFormatting sqref="E54:F54">
    <cfRule type="expression" dxfId="608" priority="600">
      <formula>IF(OR(AND(E54="",F54="",OR(G54="Critical",G54="Major",G54="Minor"))),1,0)</formula>
    </cfRule>
  </conditionalFormatting>
  <conditionalFormatting sqref="F54">
    <cfRule type="expression" dxfId="607" priority="599">
      <formula>IF(AND(F54="",OR(E54="Accuracy",E54="Fluency",E54="Segment",E54="Other")),1,0)</formula>
    </cfRule>
  </conditionalFormatting>
  <conditionalFormatting sqref="G68">
    <cfRule type="expression" dxfId="606" priority="591">
      <formula>IF(OR(AND(G68="",H68="",OR(I68="Critical",I68="Major",I68="Minor"))),1,0)</formula>
    </cfRule>
  </conditionalFormatting>
  <conditionalFormatting sqref="G68">
    <cfRule type="expression" dxfId="605" priority="592">
      <formula>IF(AND(OR(G68="",#REF!="Segment"),OR(#REF!="Accuracy",#REF!="Fluency",#REF!="Other")),1,0)</formula>
    </cfRule>
  </conditionalFormatting>
  <conditionalFormatting sqref="E75:E76">
    <cfRule type="expression" dxfId="604" priority="576">
      <formula>IF(OR(AND(E75="",F75="",OR(G75="Critical",G75="Major",G75="Minor"))),1,0)</formula>
    </cfRule>
  </conditionalFormatting>
  <conditionalFormatting sqref="E71:G71">
    <cfRule type="expression" dxfId="603" priority="585">
      <formula>IF(OR(AND(E71="",F71="",OR(G71="Critical",G71="Major",G71="Minor"))),1,0)</formula>
    </cfRule>
  </conditionalFormatting>
  <conditionalFormatting sqref="F71">
    <cfRule type="expression" dxfId="602" priority="584">
      <formula>IF(AND(F71="",OR(E71="Accuracy",E71="Fluency",E71="Segment",E71="Other")),1,0)</formula>
    </cfRule>
  </conditionalFormatting>
  <conditionalFormatting sqref="G71">
    <cfRule type="expression" dxfId="601" priority="586">
      <formula>IF(AND(OR(G71="",#REF!="Segment"),OR(#REF!="Accuracy",#REF!="Fluency",#REF!="Other")),1,0)</formula>
    </cfRule>
  </conditionalFormatting>
  <conditionalFormatting sqref="E72:G72">
    <cfRule type="expression" dxfId="600" priority="582">
      <formula>IF(OR(AND(E72="",F72="",OR(G72="Critical",G72="Major",G72="Minor"))),1,0)</formula>
    </cfRule>
  </conditionalFormatting>
  <conditionalFormatting sqref="F72">
    <cfRule type="expression" dxfId="599" priority="581">
      <formula>IF(AND(F72="",OR(E72="Accuracy",E72="Fluency",E72="Segment",E72="Other")),1,0)</formula>
    </cfRule>
  </conditionalFormatting>
  <conditionalFormatting sqref="G72">
    <cfRule type="expression" dxfId="598" priority="583">
      <formula>IF(AND(OR(G72="",#REF!="Segment"),OR(#REF!="Accuracy",#REF!="Fluency",#REF!="Other")),1,0)</formula>
    </cfRule>
  </conditionalFormatting>
  <conditionalFormatting sqref="E74">
    <cfRule type="expression" dxfId="597" priority="580">
      <formula>IF(OR(AND(E74="",F74="",OR(G74="Critical",G74="Major",G74="Minor"))),1,0)</formula>
    </cfRule>
  </conditionalFormatting>
  <conditionalFormatting sqref="E82:G83">
    <cfRule type="expression" dxfId="596" priority="565">
      <formula>IF(OR(AND(E82="",F82="",OR(G82="Critical",G82="Major",G82="Minor"))),1,0)</formula>
    </cfRule>
  </conditionalFormatting>
  <conditionalFormatting sqref="F82:F83">
    <cfRule type="expression" dxfId="595" priority="564">
      <formula>IF(AND(F82="",OR(E82="Accuracy",E82="Fluency",E82="Segment",E82="Other")),1,0)</formula>
    </cfRule>
  </conditionalFormatting>
  <conditionalFormatting sqref="E88:F88">
    <cfRule type="expression" dxfId="594" priority="557">
      <formula>IF(OR(AND(E88="",F88="",OR(G88="Critical",G88="Major",G88="Minor"))),1,0)</formula>
    </cfRule>
  </conditionalFormatting>
  <conditionalFormatting sqref="F88">
    <cfRule type="expression" dxfId="593" priority="556">
      <formula>IF(AND(F88="",OR(E88="Accuracy",E88="Fluency",E88="Segment",E88="Other")),1,0)</formula>
    </cfRule>
  </conditionalFormatting>
  <conditionalFormatting sqref="F74:G74">
    <cfRule type="expression" dxfId="592" priority="578">
      <formula>IF(OR(AND(F74="",G74="",OR(H74="Critical",H74="Major",H74="Minor"))),1,0)</formula>
    </cfRule>
  </conditionalFormatting>
  <conditionalFormatting sqref="F74">
    <cfRule type="expression" dxfId="591" priority="577">
      <formula>IF(AND(F74="",OR(E74="Accuracy",E74="Fluency",E74="Segment",E74="Other")),1,0)</formula>
    </cfRule>
  </conditionalFormatting>
  <conditionalFormatting sqref="G74">
    <cfRule type="expression" dxfId="590" priority="579">
      <formula>IF(AND(OR(G74="",#REF!="Segment"),OR(#REF!="Accuracy",#REF!="Fluency",#REF!="Other")),1,0)</formula>
    </cfRule>
  </conditionalFormatting>
  <conditionalFormatting sqref="F75:G76">
    <cfRule type="expression" dxfId="589" priority="574">
      <formula>IF(OR(AND(F75="",G75="",OR(H75="Critical",H75="Major",H75="Minor"))),1,0)</formula>
    </cfRule>
  </conditionalFormatting>
  <conditionalFormatting sqref="F75:F76">
    <cfRule type="expression" dxfId="588" priority="573">
      <formula>IF(AND(F75="",OR(E75="Accuracy",E75="Fluency",E75="Segment",E75="Other")),1,0)</formula>
    </cfRule>
  </conditionalFormatting>
  <conditionalFormatting sqref="G75:G76">
    <cfRule type="expression" dxfId="587" priority="575">
      <formula>IF(AND(OR(G75="",#REF!="Segment"),OR(#REF!="Accuracy",#REF!="Fluency",#REF!="Other")),1,0)</formula>
    </cfRule>
  </conditionalFormatting>
  <conditionalFormatting sqref="E77:G77">
    <cfRule type="expression" dxfId="586" priority="571">
      <formula>IF(OR(AND(E77="",F77="",OR(G77="Critical",G77="Major",G77="Minor"))),1,0)</formula>
    </cfRule>
  </conditionalFormatting>
  <conditionalFormatting sqref="F77">
    <cfRule type="expression" dxfId="585" priority="570">
      <formula>IF(AND(F77="",OR(E77="Accuracy",E77="Fluency",E77="Segment",E77="Other")),1,0)</formula>
    </cfRule>
  </conditionalFormatting>
  <conditionalFormatting sqref="G77">
    <cfRule type="expression" dxfId="584" priority="572">
      <formula>IF(AND(OR(G77="",#REF!="Segment"),OR(#REF!="Accuracy",#REF!="Fluency",#REF!="Other")),1,0)</formula>
    </cfRule>
  </conditionalFormatting>
  <conditionalFormatting sqref="E78:G78">
    <cfRule type="expression" dxfId="583" priority="568">
      <formula>IF(OR(AND(E78="",F78="",OR(G78="Critical",G78="Major",G78="Minor"))),1,0)</formula>
    </cfRule>
  </conditionalFormatting>
  <conditionalFormatting sqref="F78">
    <cfRule type="expression" dxfId="582" priority="567">
      <formula>IF(AND(F78="",OR(E78="Accuracy",E78="Fluency",E78="Segment",E78="Other")),1,0)</formula>
    </cfRule>
  </conditionalFormatting>
  <conditionalFormatting sqref="G78">
    <cfRule type="expression" dxfId="581" priority="569">
      <formula>IF(AND(OR(G78="",#REF!="Segment"),OR(#REF!="Accuracy",#REF!="Fluency",#REF!="Other")),1,0)</formula>
    </cfRule>
  </conditionalFormatting>
  <conditionalFormatting sqref="G82:G83">
    <cfRule type="expression" dxfId="580" priority="566">
      <formula>IF(AND(OR(G82="",#REF!="Segment"),OR(#REF!="Accuracy",#REF!="Fluency",#REF!="Other")),1,0)</formula>
    </cfRule>
  </conditionalFormatting>
  <conditionalFormatting sqref="E103">
    <cfRule type="expression" dxfId="579" priority="539">
      <formula>IF(OR(AND(E103="",F103="",OR(G103="Critical",G103="Major",G103="Minor"))),1,0)</formula>
    </cfRule>
  </conditionalFormatting>
  <conditionalFormatting sqref="F103">
    <cfRule type="expression" dxfId="578" priority="538">
      <formula>IF(AND(F103="",OR(E103="Accuracy",E103="Fluency",E103="Segment",E103="Other")),1,0)</formula>
    </cfRule>
  </conditionalFormatting>
  <conditionalFormatting sqref="G103">
    <cfRule type="expression" dxfId="577" priority="540">
      <formula>IF(AND(OR(G103="",#REF!="Segment"),OR(#REF!="Accuracy",#REF!="Fluency",#REF!="Other")),1,0)</formula>
    </cfRule>
  </conditionalFormatting>
  <conditionalFormatting sqref="E2:F4">
    <cfRule type="expression" dxfId="576" priority="668">
      <formula>IF(OR(AND(E2="",F2="",OR(G2="Critical",G2="Major",G2="Minor"))),1,0)</formula>
    </cfRule>
  </conditionalFormatting>
  <conditionalFormatting sqref="F2:F4">
    <cfRule type="expression" dxfId="575" priority="667">
      <formula>IF(AND(F2="",OR(E2="Accuracy",E2="Fluency",E2="Segment",E2="Other")),1,0)</formula>
    </cfRule>
  </conditionalFormatting>
  <conditionalFormatting sqref="G2:G4">
    <cfRule type="expression" dxfId="574" priority="666">
      <formula>IF(OR(AND(G2="",H2="",OR(I2="Critical",I2="Major",I2="Minor"))),1,0)</formula>
    </cfRule>
  </conditionalFormatting>
  <conditionalFormatting sqref="G2:G4">
    <cfRule type="expression" dxfId="573" priority="665">
      <formula>IF(AND(OR(G2="",E2="Segment"),OR(E2="Accuracy",E2="Fluency",E2="Other")),1,0)</formula>
    </cfRule>
  </conditionalFormatting>
  <conditionalFormatting sqref="E5:G8">
    <cfRule type="expression" dxfId="572" priority="664">
      <formula>IF(OR(AND(E5="",F5="",OR(G5="Critical",G5="Major",G5="Minor"))),1,0)</formula>
    </cfRule>
  </conditionalFormatting>
  <conditionalFormatting sqref="F5:F8">
    <cfRule type="expression" dxfId="571" priority="663">
      <formula>IF(AND(F5="",OR(E5="Accuracy",E5="Fluency",E5="Segment",E5="Other")),1,0)</formula>
    </cfRule>
  </conditionalFormatting>
  <conditionalFormatting sqref="G5:G8">
    <cfRule type="expression" dxfId="570" priority="662">
      <formula>IF(AND(OR(G5="",E5="Segment"),OR(E5="Accuracy",E5="Fluency",E5="Other")),1,0)</formula>
    </cfRule>
  </conditionalFormatting>
  <conditionalFormatting sqref="E140:G140 G134 E136:G137 G117 E119:G121 G93:G99 E87:G87 G88 E73:G73 E69:G69 E66:G66 E63:G63 E45:G45 E40:G40 G32 E25:G26 E10:E11 E9:F9 G41 G64 G67 E99:E101 G128 G138 E13:G22 E29:G30 E32:F34 F41:F42 E47:G52 E55:G59 E64:F65 E67:F68 E79:G81 E84:G84 E89:G91 F99:F100 E107:G110 E114:G114 E117:F118 E122:F124 E126:G127 E128:F130 E134:F135 E138:F139 E143:G148 E151:G152 E154:F154 E157:F157 E160:F162 E169:F169 E175:F175 E178:F178 E183:F183 E186:F187 E200:F200 E204:F205 E213:F213 E217:F218 E223:F223 E227:F227 E232:F232 E234:F236 E240:F240 E244:F246 E252:F252 E254:F254 E258:F258 E260:F262 E266:F267 E269:F269 E271:F271 E273:F276 E281:F281 E283:F284 E288:F288 E291:F291 E294:F294 E299:F299 E302:F302 E304:F305 E310:F310 E314:F314 E316:F316 E322:F322 E324:F325 E329:F330 E332:F333 E337:F337 E339:F340 E348:F349 E352:F352 E354:F355 E359:F359 E362:F364 E366:F367 E370:F371 E378:F379 E381:F381 E383:F384 E387:F387 E389:F389 E391:F392 E396:F397 E401:F401 E406:F406 E408:F408 E410:F410 E414:F414 E417:F418 E421:F422 E428:F429">
    <cfRule type="expression" dxfId="569" priority="661">
      <formula>IF(OR(AND(E9="",F9="",OR(G9="Critical",G9="Major",G9="Minor"))),1,0)</formula>
    </cfRule>
  </conditionalFormatting>
  <conditionalFormatting sqref="F87 F73 F45 F25:F26 F9:F11 F13:F22 F29:F30 F32:F34 F47:F52 F55:F59 F63:F69 F79:F81 F84 F89:F91 F99:F101 F107:F110 F114 F117:F124 F126:F130 F134:F140 F143:F148 F151:F152 F154 F157 F160:F162 F169 F175 F178 F183 F186:F187 F200 F204:F205 F213 F217:F218 F223 F227 F232 F234:F236 F240 F244:F246 F252 F254 F258 F260:F262 F266:F267 F269 F271 F273:F276 F281 F283:F284 F288 F291 F294 F299 F302 F304:F305 F310 F314 F316 F322 F324:F325 F329:F330 F332:F333 F337 F339:F340 F348:F349 F352 F354:F355 F359 F362:F364 F366:F367 F370:F371 F378:F379 F381 F383:F384 F387 F389 F391:F392 F396:F397 F401 F406 F408 F410 F414 F417:F418 F421:F422 F428:F429">
    <cfRule type="expression" dxfId="568" priority="660">
      <formula>IF(AND(F9="",OR(E9="Accuracy",E9="Fluency",E9="Segment",E9="Other")),1,0)</formula>
    </cfRule>
  </conditionalFormatting>
  <conditionalFormatting sqref="G9">
    <cfRule type="expression" dxfId="567" priority="659">
      <formula>IF(OR(AND(G9="",H9="",OR(I9="Critical",I9="Major",I9="Minor"))),1,0)</formula>
    </cfRule>
  </conditionalFormatting>
  <conditionalFormatting sqref="G9">
    <cfRule type="expression" dxfId="566" priority="658">
      <formula>IF(AND(OR(G9="",E9="Segment"),OR(E9="Accuracy",E9="Fluency",E9="Other")),1,0)</formula>
    </cfRule>
  </conditionalFormatting>
  <conditionalFormatting sqref="F10">
    <cfRule type="expression" dxfId="565" priority="657">
      <formula>IF(OR(AND(F10="",G10="",OR(H20="Critical",H20="Major",H20="Minor"))),1,0)</formula>
    </cfRule>
  </conditionalFormatting>
  <conditionalFormatting sqref="G10">
    <cfRule type="expression" dxfId="564" priority="656">
      <formula>IF(OR(AND(G10="",H10="",OR(I10="Critical",I10="Major",I10="Minor"))),1,0)</formula>
    </cfRule>
  </conditionalFormatting>
  <conditionalFormatting sqref="G10">
    <cfRule type="expression" dxfId="563" priority="655">
      <formula>IF(AND(OR(G10="",E10="Segment"),OR(E10="Accuracy",E10="Fluency",E10="Other")),1,0)</formula>
    </cfRule>
  </conditionalFormatting>
  <conditionalFormatting sqref="H11">
    <cfRule type="expression" dxfId="562" priority="653">
      <formula>IF(OR(AND(H11="",J11="",OR(#REF!="Critical",#REF!="Major",#REF!="Minor"))),1,0)</formula>
    </cfRule>
  </conditionalFormatting>
  <conditionalFormatting sqref="G11">
    <cfRule type="expression" dxfId="561" priority="652">
      <formula>IF(OR(AND(G11="",H11="",OR(I11="Critical",I11="Major",I11="Minor"))),1,0)</formula>
    </cfRule>
  </conditionalFormatting>
  <conditionalFormatting sqref="G11">
    <cfRule type="expression" dxfId="560" priority="651">
      <formula>IF(AND(OR(G11="",E11="Segment"),OR(E11="Accuracy",E11="Fluency",E11="Other")),1,0)</formula>
    </cfRule>
  </conditionalFormatting>
  <conditionalFormatting sqref="E12">
    <cfRule type="expression" dxfId="559" priority="649">
      <formula>IF(OR(AND(E12="",F12="",OR(G12="Critical",G12="Major",G12="Minor"))),1,0)</formula>
    </cfRule>
  </conditionalFormatting>
  <conditionalFormatting sqref="F12">
    <cfRule type="expression" dxfId="558" priority="648">
      <formula>IF(AND(F12="",OR(E12="Accuracy",E12="Fluency",E12="Segment",E12="Other")),1,0)</formula>
    </cfRule>
  </conditionalFormatting>
  <conditionalFormatting sqref="H12">
    <cfRule type="expression" dxfId="557" priority="650">
      <formula>IF(OR(AND(H12="",J12="",OR(#REF!="Critical",#REF!="Major",#REF!="Minor"))),1,0)</formula>
    </cfRule>
  </conditionalFormatting>
  <conditionalFormatting sqref="G12">
    <cfRule type="expression" dxfId="556" priority="647">
      <formula>IF(OR(AND(G12="",H12="",OR(I12="Critical",I12="Major",I12="Minor"))),1,0)</formula>
    </cfRule>
  </conditionalFormatting>
  <conditionalFormatting sqref="G12">
    <cfRule type="expression" dxfId="555" priority="646">
      <formula>IF(AND(OR(G12="",E12="Segment"),OR(E12="Accuracy",E12="Fluency",E12="Other")),1,0)</formula>
    </cfRule>
  </conditionalFormatting>
  <conditionalFormatting sqref="F11:F12">
    <cfRule type="expression" dxfId="554" priority="654">
      <formula>IF(OR(AND(F11="",G11="",OR(H34="Critical",H34="Major",H34="Minor"))),1,0)</formula>
    </cfRule>
  </conditionalFormatting>
  <conditionalFormatting sqref="G143:G148 G151:G152 G138 G140 G134 G136 G126:G128 G117 G119:G121 G114 G107:G110 G101 G93:G99 G87:G91 G84 G79:G81 G73 G69 G66:G67 G63:G64 G55:G59 G45 G47:G52 G40:G41 G32 G29:G30 G25:G26 G13:G22 G43">
    <cfRule type="expression" dxfId="553" priority="645">
      <formula>IF(AND(OR(G13="",#REF!="Segment"),OR(#REF!="Accuracy",#REF!="Fluency",#REF!="Other")),1,0)</formula>
    </cfRule>
  </conditionalFormatting>
  <conditionalFormatting sqref="E23:G24">
    <cfRule type="expression" dxfId="552" priority="643">
      <formula>IF(OR(AND(E23="",F23="",OR(G23="Critical",G23="Major",G23="Minor"))),1,0)</formula>
    </cfRule>
  </conditionalFormatting>
  <conditionalFormatting sqref="F23:F24">
    <cfRule type="expression" dxfId="551" priority="642">
      <formula>IF(AND(F23="",OR(E23="Accuracy",E23="Fluency",E23="Segment",E23="Other")),1,0)</formula>
    </cfRule>
  </conditionalFormatting>
  <conditionalFormatting sqref="G23:G24">
    <cfRule type="expression" dxfId="550" priority="644">
      <formula>IF(AND(OR(G23="",#REF!="Segment"),OR(#REF!="Accuracy",#REF!="Fluency",#REF!="Other")),1,0)</formula>
    </cfRule>
  </conditionalFormatting>
  <conditionalFormatting sqref="E27:G27">
    <cfRule type="expression" dxfId="549" priority="640">
      <formula>IF(OR(AND(E27="",F27="",OR(G27="Critical",G27="Major",G27="Minor"))),1,0)</formula>
    </cfRule>
  </conditionalFormatting>
  <conditionalFormatting sqref="F27">
    <cfRule type="expression" dxfId="548" priority="639">
      <formula>IF(AND(F27="",OR(E27="Accuracy",E27="Fluency",E27="Segment",E27="Other")),1,0)</formula>
    </cfRule>
  </conditionalFormatting>
  <conditionalFormatting sqref="G27">
    <cfRule type="expression" dxfId="547" priority="641">
      <formula>IF(AND(OR(G27="",#REF!="Segment"),OR(#REF!="Accuracy",#REF!="Fluency",#REF!="Other")),1,0)</formula>
    </cfRule>
  </conditionalFormatting>
  <conditionalFormatting sqref="E28:G28">
    <cfRule type="expression" dxfId="546" priority="637">
      <formula>IF(OR(AND(E28="",F28="",OR(G28="Critical",G28="Major",G28="Minor"))),1,0)</formula>
    </cfRule>
  </conditionalFormatting>
  <conditionalFormatting sqref="F28">
    <cfRule type="expression" dxfId="545" priority="636">
      <formula>IF(AND(F28="",OR(E28="Accuracy",E28="Fluency",E28="Segment",E28="Other")),1,0)</formula>
    </cfRule>
  </conditionalFormatting>
  <conditionalFormatting sqref="G28">
    <cfRule type="expression" dxfId="544" priority="638">
      <formula>IF(AND(OR(G28="",#REF!="Segment"),OR(#REF!="Accuracy",#REF!="Fluency",#REF!="Other")),1,0)</formula>
    </cfRule>
  </conditionalFormatting>
  <conditionalFormatting sqref="E31:G31">
    <cfRule type="expression" dxfId="543" priority="634">
      <formula>IF(OR(AND(E31="",F31="",OR(G31="Critical",G31="Major",G31="Minor"))),1,0)</formula>
    </cfRule>
  </conditionalFormatting>
  <conditionalFormatting sqref="F31">
    <cfRule type="expression" dxfId="542" priority="633">
      <formula>IF(AND(F31="",OR(E31="Accuracy",E31="Fluency",E31="Segment",E31="Other")),1,0)</formula>
    </cfRule>
  </conditionalFormatting>
  <conditionalFormatting sqref="G31">
    <cfRule type="expression" dxfId="541" priority="635">
      <formula>IF(AND(OR(G31="",#REF!="Segment"),OR(#REF!="Accuracy",#REF!="Fluency",#REF!="Other")),1,0)</formula>
    </cfRule>
  </conditionalFormatting>
  <conditionalFormatting sqref="E35:G35 G33:G34">
    <cfRule type="expression" dxfId="540" priority="631">
      <formula>IF(OR(AND(E33="",F33="",OR(G33="Critical",G33="Major",G33="Minor"))),1,0)</formula>
    </cfRule>
  </conditionalFormatting>
  <conditionalFormatting sqref="F35">
    <cfRule type="expression" dxfId="539" priority="630">
      <formula>IF(AND(F35="",OR(E35="Accuracy",E35="Fluency",E35="Segment",E35="Other")),1,0)</formula>
    </cfRule>
  </conditionalFormatting>
  <conditionalFormatting sqref="G33:G35">
    <cfRule type="expression" dxfId="538" priority="632">
      <formula>IF(AND(OR(G33="",#REF!="Segment"),OR(#REF!="Accuracy",#REF!="Fluency",#REF!="Other")),1,0)</formula>
    </cfRule>
  </conditionalFormatting>
  <conditionalFormatting sqref="E36:G36">
    <cfRule type="expression" dxfId="537" priority="628">
      <formula>IF(OR(AND(E36="",F36="",OR(G36="Critical",G36="Major",G36="Minor"))),1,0)</formula>
    </cfRule>
  </conditionalFormatting>
  <conditionalFormatting sqref="F36">
    <cfRule type="expression" dxfId="536" priority="627">
      <formula>IF(AND(F36="",OR(E36="Accuracy",E36="Fluency",E36="Segment",E36="Other")),1,0)</formula>
    </cfRule>
  </conditionalFormatting>
  <conditionalFormatting sqref="G36">
    <cfRule type="expression" dxfId="535" priority="629">
      <formula>IF(AND(OR(G36="",#REF!="Segment"),OR(#REF!="Accuracy",#REF!="Fluency",#REF!="Other")),1,0)</formula>
    </cfRule>
  </conditionalFormatting>
  <conditionalFormatting sqref="G37:G38">
    <cfRule type="expression" dxfId="534" priority="626">
      <formula>IF(AND(OR(G37="",#REF!="Segment"),OR(#REF!="Accuracy",#REF!="Fluency",#REF!="Other")),1,0)</formula>
    </cfRule>
  </conditionalFormatting>
  <conditionalFormatting sqref="E44">
    <cfRule type="expression" dxfId="533" priority="610">
      <formula>IF(OR(AND(E44="",F44="",OR(G44="Critical",G44="Major",G44="Minor"))),1,0)</formula>
    </cfRule>
  </conditionalFormatting>
  <conditionalFormatting sqref="F44">
    <cfRule type="expression" dxfId="532" priority="609">
      <formula>IF(AND(F44="",OR(E44="Accuracy",E44="Fluency",E44="Segment",E44="Other")),1,0)</formula>
    </cfRule>
  </conditionalFormatting>
  <conditionalFormatting sqref="G44">
    <cfRule type="expression" dxfId="531" priority="611">
      <formula>IF(AND(OR(G44="",#REF!="Segment"),OR(#REF!="Accuracy",#REF!="Fluency",#REF!="Other")),1,0)</formula>
    </cfRule>
  </conditionalFormatting>
  <conditionalFormatting sqref="E46:G46">
    <cfRule type="expression" dxfId="530" priority="607">
      <formula>IF(OR(AND(E46="",F46="",OR(G46="Critical",G46="Major",G46="Minor"))),1,0)</formula>
    </cfRule>
  </conditionalFormatting>
  <conditionalFormatting sqref="F46">
    <cfRule type="expression" dxfId="529" priority="606">
      <formula>IF(AND(F46="",OR(E46="Accuracy",E46="Fluency",E46="Segment",E46="Other")),1,0)</formula>
    </cfRule>
  </conditionalFormatting>
  <conditionalFormatting sqref="G46">
    <cfRule type="expression" dxfId="528" priority="608">
      <formula>IF(AND(OR(G46="",#REF!="Segment"),OR(#REF!="Accuracy",#REF!="Fluency",#REF!="Other")),1,0)</formula>
    </cfRule>
  </conditionalFormatting>
  <conditionalFormatting sqref="E53:G53">
    <cfRule type="expression" dxfId="527" priority="604">
      <formula>IF(OR(AND(E53="",F53="",OR(G53="Critical",G53="Major",G53="Minor"))),1,0)</formula>
    </cfRule>
  </conditionalFormatting>
  <conditionalFormatting sqref="F53">
    <cfRule type="expression" dxfId="526" priority="603">
      <formula>IF(AND(F53="",OR(E53="Accuracy",E53="Fluency",E53="Segment",E53="Other")),1,0)</formula>
    </cfRule>
  </conditionalFormatting>
  <conditionalFormatting sqref="G53">
    <cfRule type="expression" dxfId="525" priority="605">
      <formula>IF(AND(OR(G53="",#REF!="Segment"),OR(#REF!="Accuracy",#REF!="Fluency",#REF!="Other")),1,0)</formula>
    </cfRule>
  </conditionalFormatting>
  <conditionalFormatting sqref="G54">
    <cfRule type="expression" dxfId="524" priority="601">
      <formula>IF(OR(AND(G54="",H54="",OR(I54="Critical",I54="Major",I54="Minor"))),1,0)</formula>
    </cfRule>
  </conditionalFormatting>
  <conditionalFormatting sqref="G54">
    <cfRule type="expression" dxfId="523" priority="602">
      <formula>IF(AND(OR(G54="",#REF!="Segment"),OR(#REF!="Accuracy",#REF!="Fluency",#REF!="Other")),1,0)</formula>
    </cfRule>
  </conditionalFormatting>
  <conditionalFormatting sqref="E60:G62">
    <cfRule type="expression" dxfId="522" priority="597">
      <formula>IF(OR(AND(E60="",F60="",OR(G60="Critical",G60="Major",G60="Minor"))),1,0)</formula>
    </cfRule>
  </conditionalFormatting>
  <conditionalFormatting sqref="F60:F62">
    <cfRule type="expression" dxfId="521" priority="596">
      <formula>IF(AND(F60="",OR(E60="Accuracy",E60="Fluency",E60="Segment",E60="Other")),1,0)</formula>
    </cfRule>
  </conditionalFormatting>
  <conditionalFormatting sqref="G60:G62">
    <cfRule type="expression" dxfId="520" priority="598">
      <formula>IF(AND(OR(G60="",#REF!="Segment"),OR(#REF!="Accuracy",#REF!="Fluency",#REF!="Other")),1,0)</formula>
    </cfRule>
  </conditionalFormatting>
  <conditionalFormatting sqref="G65">
    <cfRule type="expression" dxfId="519" priority="594">
      <formula>IF(OR(AND(G65="",H65="",OR(I65="Critical",I65="Major",I65="Minor"))),1,0)</formula>
    </cfRule>
  </conditionalFormatting>
  <conditionalFormatting sqref="G65">
    <cfRule type="expression" dxfId="518" priority="595">
      <formula>IF(AND(OR(G65="",#REF!="Segment"),OR(#REF!="Accuracy",#REF!="Fluency",#REF!="Other")),1,0)</formula>
    </cfRule>
  </conditionalFormatting>
  <conditionalFormatting sqref="E70:G70">
    <cfRule type="expression" dxfId="517" priority="588">
      <formula>IF(OR(AND(E70="",F70="",OR(G70="Critical",G70="Major",G70="Minor"))),1,0)</formula>
    </cfRule>
  </conditionalFormatting>
  <conditionalFormatting sqref="F70">
    <cfRule type="expression" dxfId="516" priority="587">
      <formula>IF(AND(F70="",OR(E70="Accuracy",E70="Fluency",E70="Segment",E70="Other")),1,0)</formula>
    </cfRule>
  </conditionalFormatting>
  <conditionalFormatting sqref="G70">
    <cfRule type="expression" dxfId="515" priority="589">
      <formula>IF(AND(OR(G70="",#REF!="Segment"),OR(#REF!="Accuracy",#REF!="Fluency",#REF!="Other")),1,0)</formula>
    </cfRule>
  </conditionalFormatting>
  <conditionalFormatting sqref="E85:G85">
    <cfRule type="expression" dxfId="514" priority="562">
      <formula>IF(OR(AND(E85="",F85="",OR(G85="Critical",G85="Major",G85="Minor"))),1,0)</formula>
    </cfRule>
  </conditionalFormatting>
  <conditionalFormatting sqref="F85">
    <cfRule type="expression" dxfId="513" priority="561">
      <formula>IF(AND(F85="",OR(E85="Accuracy",E85="Fluency",E85="Segment",E85="Other")),1,0)</formula>
    </cfRule>
  </conditionalFormatting>
  <conditionalFormatting sqref="G85">
    <cfRule type="expression" dxfId="512" priority="563">
      <formula>IF(AND(OR(G85="",#REF!="Segment"),OR(#REF!="Accuracy",#REF!="Fluency",#REF!="Other")),1,0)</formula>
    </cfRule>
  </conditionalFormatting>
  <conditionalFormatting sqref="E86:G86">
    <cfRule type="expression" dxfId="511" priority="559">
      <formula>IF(OR(AND(E86="",F86="",OR(G86="Critical",G86="Major",G86="Minor"))),1,0)</formula>
    </cfRule>
  </conditionalFormatting>
  <conditionalFormatting sqref="F86">
    <cfRule type="expression" dxfId="510" priority="558">
      <formula>IF(AND(F86="",OR(E86="Accuracy",E86="Fluency",E86="Segment",E86="Other")),1,0)</formula>
    </cfRule>
  </conditionalFormatting>
  <conditionalFormatting sqref="G86">
    <cfRule type="expression" dxfId="509" priority="560">
      <formula>IF(AND(OR(G86="",#REF!="Segment"),OR(#REF!="Accuracy",#REF!="Fluency",#REF!="Other")),1,0)</formula>
    </cfRule>
  </conditionalFormatting>
  <conditionalFormatting sqref="E92:G92 E93:F98">
    <cfRule type="expression" dxfId="508" priority="554">
      <formula>IF(OR(AND(E92="",F92="",OR(G92="Critical",G92="Major",G92="Minor"))),1,0)</formula>
    </cfRule>
  </conditionalFormatting>
  <conditionalFormatting sqref="F92:F98">
    <cfRule type="expression" dxfId="507" priority="553">
      <formula>IF(AND(F92="",OR(E92="Accuracy",E92="Fluency",E92="Segment",E92="Other")),1,0)</formula>
    </cfRule>
  </conditionalFormatting>
  <conditionalFormatting sqref="G92">
    <cfRule type="expression" dxfId="506" priority="555">
      <formula>IF(AND(OR(G92="",#REF!="Segment"),OR(#REF!="Accuracy",#REF!="Fluency",#REF!="Other")),1,0)</formula>
    </cfRule>
  </conditionalFormatting>
  <conditionalFormatting sqref="G101 G43">
    <cfRule type="expression" dxfId="505" priority="551">
      <formula>IF(OR(AND(G43="",H42="",OR(I43="Critical",I43="Major",I43="Minor"))),1,0)</formula>
    </cfRule>
  </conditionalFormatting>
  <conditionalFormatting sqref="F101 F43">
    <cfRule type="expression" dxfId="504" priority="552">
      <formula>IF(OR(AND(F43="",G43="",OR(H42="Critical",H42="Major",H42="Minor"))),1,0)</formula>
    </cfRule>
  </conditionalFormatting>
  <conditionalFormatting sqref="G100">
    <cfRule type="expression" dxfId="503" priority="549">
      <formula>IF(OR(AND(G100="",H100="",OR(I100="Critical",I100="Major",I100="Minor"))),1,0)</formula>
    </cfRule>
  </conditionalFormatting>
  <conditionalFormatting sqref="G100">
    <cfRule type="expression" dxfId="502" priority="550">
      <formula>IF(AND(OR(G100="",#REF!="Segment"),OR(#REF!="Accuracy",#REF!="Fluency",#REF!="Other")),1,0)</formula>
    </cfRule>
  </conditionalFormatting>
  <conditionalFormatting sqref="E102">
    <cfRule type="expression" dxfId="501" priority="544">
      <formula>IF(OR(AND(E102="",F102="",OR(G102="Critical",G102="Major",G102="Minor"))),1,0)</formula>
    </cfRule>
  </conditionalFormatting>
  <conditionalFormatting sqref="F102">
    <cfRule type="expression" dxfId="500" priority="543">
      <formula>IF(AND(F102="",OR(E102="Accuracy",E102="Fluency",E102="Segment",E102="Other")),1,0)</formula>
    </cfRule>
  </conditionalFormatting>
  <conditionalFormatting sqref="G102">
    <cfRule type="expression" dxfId="499" priority="545">
      <formula>IF(AND(OR(G102="",#REF!="Segment"),OR(#REF!="Accuracy",#REF!="Fluency",#REF!="Other")),1,0)</formula>
    </cfRule>
  </conditionalFormatting>
  <conditionalFormatting sqref="G102">
    <cfRule type="expression" dxfId="498" priority="546">
      <formula>IF(OR(AND(G102="",H101="",OR(I102="Critical",I102="Major",I102="Minor"))),1,0)</formula>
    </cfRule>
  </conditionalFormatting>
  <conditionalFormatting sqref="F102">
    <cfRule type="expression" dxfId="497" priority="547">
      <formula>IF(OR(AND(F102="",G102="",OR(H101="Critical",H101="Major",H101="Minor"))),1,0)</formula>
    </cfRule>
  </conditionalFormatting>
  <conditionalFormatting sqref="G103">
    <cfRule type="expression" dxfId="496" priority="541">
      <formula>IF(OR(AND(G103="",H102="",OR(I103="Critical",I103="Major",I103="Minor"))),1,0)</formula>
    </cfRule>
  </conditionalFormatting>
  <conditionalFormatting sqref="F103">
    <cfRule type="expression" dxfId="495" priority="542">
      <formula>IF(OR(AND(F103="",G103="",OR(H102="Critical",H102="Major",H102="Minor"))),1,0)</formula>
    </cfRule>
  </conditionalFormatting>
  <conditionalFormatting sqref="E104">
    <cfRule type="expression" dxfId="494" priority="534">
      <formula>IF(OR(AND(E104="",F104="",OR(G104="Critical",G104="Major",G104="Minor"))),1,0)</formula>
    </cfRule>
  </conditionalFormatting>
  <conditionalFormatting sqref="F104">
    <cfRule type="expression" dxfId="493" priority="533">
      <formula>IF(AND(F104="",OR(E104="Accuracy",E104="Fluency",E104="Segment",E104="Other")),1,0)</formula>
    </cfRule>
  </conditionalFormatting>
  <conditionalFormatting sqref="G104">
    <cfRule type="expression" dxfId="492" priority="535">
      <formula>IF(AND(OR(G104="",#REF!="Segment"),OR(#REF!="Accuracy",#REF!="Fluency",#REF!="Other")),1,0)</formula>
    </cfRule>
  </conditionalFormatting>
  <conditionalFormatting sqref="G104">
    <cfRule type="expression" dxfId="491" priority="536">
      <formula>IF(OR(AND(G104="",H103="",OR(I104="Critical",I104="Major",I104="Minor"))),1,0)</formula>
    </cfRule>
  </conditionalFormatting>
  <conditionalFormatting sqref="F104">
    <cfRule type="expression" dxfId="490" priority="537">
      <formula>IF(OR(AND(F104="",G104="",OR(H103="Critical",H103="Major",H103="Minor"))),1,0)</formula>
    </cfRule>
  </conditionalFormatting>
  <conditionalFormatting sqref="E105">
    <cfRule type="expression" dxfId="489" priority="529">
      <formula>IF(OR(AND(E105="",F105="",OR(G105="Critical",G105="Major",G105="Minor"))),1,0)</formula>
    </cfRule>
  </conditionalFormatting>
  <conditionalFormatting sqref="F105">
    <cfRule type="expression" dxfId="488" priority="528">
      <formula>IF(AND(F105="",OR(E105="Accuracy",E105="Fluency",E105="Segment",E105="Other")),1,0)</formula>
    </cfRule>
  </conditionalFormatting>
  <conditionalFormatting sqref="G105">
    <cfRule type="expression" dxfId="487" priority="530">
      <formula>IF(AND(OR(G105="",#REF!="Segment"),OR(#REF!="Accuracy",#REF!="Fluency",#REF!="Other")),1,0)</formula>
    </cfRule>
  </conditionalFormatting>
  <conditionalFormatting sqref="G105">
    <cfRule type="expression" dxfId="486" priority="531">
      <formula>IF(OR(AND(G105="",H104="",OR(I105="Critical",I105="Major",I105="Minor"))),1,0)</formula>
    </cfRule>
  </conditionalFormatting>
  <conditionalFormatting sqref="F105">
    <cfRule type="expression" dxfId="485" priority="532">
      <formula>IF(OR(AND(F105="",G105="",OR(H104="Critical",H104="Major",H104="Minor"))),1,0)</formula>
    </cfRule>
  </conditionalFormatting>
  <conditionalFormatting sqref="E106">
    <cfRule type="expression" dxfId="484" priority="524">
      <formula>IF(OR(AND(E106="",F106="",OR(G106="Critical",G106="Major",G106="Minor"))),1,0)</formula>
    </cfRule>
  </conditionalFormatting>
  <conditionalFormatting sqref="F106">
    <cfRule type="expression" dxfId="483" priority="523">
      <formula>IF(AND(F106="",OR(E106="Accuracy",E106="Fluency",E106="Segment",E106="Other")),1,0)</formula>
    </cfRule>
  </conditionalFormatting>
  <conditionalFormatting sqref="G106">
    <cfRule type="expression" dxfId="482" priority="525">
      <formula>IF(AND(OR(G106="",#REF!="Segment"),OR(#REF!="Accuracy",#REF!="Fluency",#REF!="Other")),1,0)</formula>
    </cfRule>
  </conditionalFormatting>
  <conditionalFormatting sqref="G106">
    <cfRule type="expression" dxfId="481" priority="526">
      <formula>IF(OR(AND(G106="",H105="",OR(I106="Critical",I106="Major",I106="Minor"))),1,0)</formula>
    </cfRule>
  </conditionalFormatting>
  <conditionalFormatting sqref="F106">
    <cfRule type="expression" dxfId="480" priority="527">
      <formula>IF(OR(AND(F106="",G106="",OR(H105="Critical",H105="Major",H105="Minor"))),1,0)</formula>
    </cfRule>
  </conditionalFormatting>
  <conditionalFormatting sqref="E111:G111">
    <cfRule type="expression" dxfId="479" priority="521">
      <formula>IF(OR(AND(E111="",F111="",OR(G111="Critical",G111="Major",G111="Minor"))),1,0)</formula>
    </cfRule>
  </conditionalFormatting>
  <conditionalFormatting sqref="F111">
    <cfRule type="expression" dxfId="478" priority="520">
      <formula>IF(AND(F111="",OR(E111="Accuracy",E111="Fluency",E111="Segment",E111="Other")),1,0)</formula>
    </cfRule>
  </conditionalFormatting>
  <conditionalFormatting sqref="G111">
    <cfRule type="expression" dxfId="477" priority="522">
      <formula>IF(AND(OR(G111="",#REF!="Segment"),OR(#REF!="Accuracy",#REF!="Fluency",#REF!="Other")),1,0)</formula>
    </cfRule>
  </conditionalFormatting>
  <conditionalFormatting sqref="E112:G112">
    <cfRule type="expression" dxfId="476" priority="518">
      <formula>IF(OR(AND(E112="",F112="",OR(G112="Critical",G112="Major",G112="Minor"))),1,0)</formula>
    </cfRule>
  </conditionalFormatting>
  <conditionalFormatting sqref="F112">
    <cfRule type="expression" dxfId="475" priority="517">
      <formula>IF(AND(F112="",OR(E112="Accuracy",E112="Fluency",E112="Segment",E112="Other")),1,0)</formula>
    </cfRule>
  </conditionalFormatting>
  <conditionalFormatting sqref="G112">
    <cfRule type="expression" dxfId="474" priority="519">
      <formula>IF(AND(OR(G112="",#REF!="Segment"),OR(#REF!="Accuracy",#REF!="Fluency",#REF!="Other")),1,0)</formula>
    </cfRule>
  </conditionalFormatting>
  <conditionalFormatting sqref="E113:G113">
    <cfRule type="expression" dxfId="473" priority="515">
      <formula>IF(OR(AND(E113="",F113="",OR(G113="Critical",G113="Major",G113="Minor"))),1,0)</formula>
    </cfRule>
  </conditionalFormatting>
  <conditionalFormatting sqref="F113">
    <cfRule type="expression" dxfId="472" priority="514">
      <formula>IF(AND(F113="",OR(E113="Accuracy",E113="Fluency",E113="Segment",E113="Other")),1,0)</formula>
    </cfRule>
  </conditionalFormatting>
  <conditionalFormatting sqref="G113">
    <cfRule type="expression" dxfId="471" priority="516">
      <formula>IF(AND(OR(G113="",#REF!="Segment"),OR(#REF!="Accuracy",#REF!="Fluency",#REF!="Other")),1,0)</formula>
    </cfRule>
  </conditionalFormatting>
  <conditionalFormatting sqref="E115:G116">
    <cfRule type="expression" dxfId="470" priority="512">
      <formula>IF(OR(AND(E115="",F115="",OR(G115="Critical",G115="Major",G115="Minor"))),1,0)</formula>
    </cfRule>
  </conditionalFormatting>
  <conditionalFormatting sqref="F115:F116">
    <cfRule type="expression" dxfId="469" priority="511">
      <formula>IF(AND(F115="",OR(E115="Accuracy",E115="Fluency",E115="Segment",E115="Other")),1,0)</formula>
    </cfRule>
  </conditionalFormatting>
  <conditionalFormatting sqref="G115:G116">
    <cfRule type="expression" dxfId="468" priority="513">
      <formula>IF(AND(OR(G115="",#REF!="Segment"),OR(#REF!="Accuracy",#REF!="Fluency",#REF!="Other")),1,0)</formula>
    </cfRule>
  </conditionalFormatting>
  <conditionalFormatting sqref="G118">
    <cfRule type="expression" dxfId="467" priority="509">
      <formula>IF(OR(AND(G118="",H118="",OR(I118="Critical",I118="Major",I118="Minor"))),1,0)</formula>
    </cfRule>
  </conditionalFormatting>
  <conditionalFormatting sqref="G118">
    <cfRule type="expression" dxfId="466" priority="510">
      <formula>IF(AND(OR(G118="",#REF!="Segment"),OR(#REF!="Accuracy",#REF!="Fluency",#REF!="Other")),1,0)</formula>
    </cfRule>
  </conditionalFormatting>
  <conditionalFormatting sqref="G122">
    <cfRule type="expression" dxfId="465" priority="506">
      <formula>IF(OR(AND(G122="",H122="",OR(I122="Critical",I122="Major",I122="Minor"))),1,0)</formula>
    </cfRule>
  </conditionalFormatting>
  <conditionalFormatting sqref="G122">
    <cfRule type="expression" dxfId="464" priority="507">
      <formula>IF(AND(OR(G122="",#REF!="Segment"),OR(#REF!="Accuracy",#REF!="Fluency",#REF!="Other")),1,0)</formula>
    </cfRule>
  </conditionalFormatting>
  <conditionalFormatting sqref="G123">
    <cfRule type="expression" dxfId="463" priority="503">
      <formula>IF(OR(AND(G123="",H123="",OR(I123="Critical",I123="Major",I123="Minor"))),1,0)</formula>
    </cfRule>
  </conditionalFormatting>
  <conditionalFormatting sqref="G123">
    <cfRule type="expression" dxfId="462" priority="504">
      <formula>IF(AND(OR(G123="",#REF!="Segment"),OR(#REF!="Accuracy",#REF!="Fluency",#REF!="Other")),1,0)</formula>
    </cfRule>
  </conditionalFormatting>
  <conditionalFormatting sqref="G124">
    <cfRule type="expression" dxfId="461" priority="500">
      <formula>IF(OR(AND(G124="",H124="",OR(I124="Critical",I124="Major",I124="Minor"))),1,0)</formula>
    </cfRule>
  </conditionalFormatting>
  <conditionalFormatting sqref="G124">
    <cfRule type="expression" dxfId="460" priority="501">
      <formula>IF(AND(OR(G124="",#REF!="Segment"),OR(#REF!="Accuracy",#REF!="Fluency",#REF!="Other")),1,0)</formula>
    </cfRule>
  </conditionalFormatting>
  <conditionalFormatting sqref="E125:G125">
    <cfRule type="expression" dxfId="459" priority="497">
      <formula>IF(OR(AND(E125="",F125="",OR(G125="Critical",G125="Major",G125="Minor"))),1,0)</formula>
    </cfRule>
  </conditionalFormatting>
  <conditionalFormatting sqref="F125">
    <cfRule type="expression" dxfId="458" priority="496">
      <formula>IF(AND(F125="",OR(E125="Accuracy",E125="Fluency",E125="Segment",E125="Other")),1,0)</formula>
    </cfRule>
  </conditionalFormatting>
  <conditionalFormatting sqref="G125">
    <cfRule type="expression" dxfId="457" priority="498">
      <formula>IF(AND(OR(G125="",#REF!="Segment"),OR(#REF!="Accuracy",#REF!="Fluency",#REF!="Other")),1,0)</formula>
    </cfRule>
  </conditionalFormatting>
  <conditionalFormatting sqref="G129">
    <cfRule type="expression" dxfId="456" priority="494">
      <formula>IF(OR(AND(G129="",H129="",OR(I129="Critical",I129="Major",I129="Minor"))),1,0)</formula>
    </cfRule>
  </conditionalFormatting>
  <conditionalFormatting sqref="G129">
    <cfRule type="expression" dxfId="455" priority="495">
      <formula>IF(AND(OR(G129="",#REF!="Segment"),OR(#REF!="Accuracy",#REF!="Fluency",#REF!="Other")),1,0)</formula>
    </cfRule>
  </conditionalFormatting>
  <conditionalFormatting sqref="G130">
    <cfRule type="expression" dxfId="454" priority="491">
      <formula>IF(OR(AND(G130="",H130="",OR(I130="Critical",I130="Major",I130="Minor"))),1,0)</formula>
    </cfRule>
  </conditionalFormatting>
  <conditionalFormatting sqref="G130">
    <cfRule type="expression" dxfId="453" priority="492">
      <formula>IF(AND(OR(G130="",#REF!="Segment"),OR(#REF!="Accuracy",#REF!="Fluency",#REF!="Other")),1,0)</formula>
    </cfRule>
  </conditionalFormatting>
  <conditionalFormatting sqref="E131:G131">
    <cfRule type="expression" dxfId="452" priority="488">
      <formula>IF(OR(AND(E131="",F131="",OR(G131="Critical",G131="Major",G131="Minor"))),1,0)</formula>
    </cfRule>
  </conditionalFormatting>
  <conditionalFormatting sqref="F131">
    <cfRule type="expression" dxfId="451" priority="487">
      <formula>IF(AND(F131="",OR(E131="Accuracy",E131="Fluency",E131="Segment",E131="Other")),1,0)</formula>
    </cfRule>
  </conditionalFormatting>
  <conditionalFormatting sqref="G131">
    <cfRule type="expression" dxfId="450" priority="489">
      <formula>IF(AND(OR(G131="",#REF!="Segment"),OR(#REF!="Accuracy",#REF!="Fluency",#REF!="Other")),1,0)</formula>
    </cfRule>
  </conditionalFormatting>
  <conditionalFormatting sqref="E132:G132">
    <cfRule type="expression" dxfId="449" priority="485">
      <formula>IF(OR(AND(E132="",F132="",OR(G132="Critical",G132="Major",G132="Minor"))),1,0)</formula>
    </cfRule>
  </conditionalFormatting>
  <conditionalFormatting sqref="F132">
    <cfRule type="expression" dxfId="448" priority="484">
      <formula>IF(AND(F132="",OR(E132="Accuracy",E132="Fluency",E132="Segment",E132="Other")),1,0)</formula>
    </cfRule>
  </conditionalFormatting>
  <conditionalFormatting sqref="G132">
    <cfRule type="expression" dxfId="447" priority="486">
      <formula>IF(AND(OR(G132="",#REF!="Segment"),OR(#REF!="Accuracy",#REF!="Fluency",#REF!="Other")),1,0)</formula>
    </cfRule>
  </conditionalFormatting>
  <conditionalFormatting sqref="E133:G133">
    <cfRule type="expression" dxfId="446" priority="482">
      <formula>IF(OR(AND(E133="",F133="",OR(G133="Critical",G133="Major",G133="Minor"))),1,0)</formula>
    </cfRule>
  </conditionalFormatting>
  <conditionalFormatting sqref="F133">
    <cfRule type="expression" dxfId="445" priority="481">
      <formula>IF(AND(F133="",OR(E133="Accuracy",E133="Fluency",E133="Segment",E133="Other")),1,0)</formula>
    </cfRule>
  </conditionalFormatting>
  <conditionalFormatting sqref="G133">
    <cfRule type="expression" dxfId="444" priority="483">
      <formula>IF(AND(OR(G133="",#REF!="Segment"),OR(#REF!="Accuracy",#REF!="Fluency",#REF!="Other")),1,0)</formula>
    </cfRule>
  </conditionalFormatting>
  <conditionalFormatting sqref="G135">
    <cfRule type="expression" dxfId="443" priority="479">
      <formula>IF(OR(AND(G135="",H135="",OR(I135="Critical",I135="Major",I135="Minor"))),1,0)</formula>
    </cfRule>
  </conditionalFormatting>
  <conditionalFormatting sqref="G135">
    <cfRule type="expression" dxfId="442" priority="480">
      <formula>IF(AND(OR(G135="",#REF!="Segment"),OR(#REF!="Accuracy",#REF!="Fluency",#REF!="Other")),1,0)</formula>
    </cfRule>
  </conditionalFormatting>
  <conditionalFormatting sqref="G137">
    <cfRule type="expression" dxfId="441" priority="477">
      <formula>IF(AND(OR(G137="",#REF!="Segment"),OR(#REF!="Accuracy",#REF!="Fluency",#REF!="Other")),1,0)</formula>
    </cfRule>
  </conditionalFormatting>
  <conditionalFormatting sqref="G139">
    <cfRule type="expression" dxfId="440" priority="475">
      <formula>IF(OR(AND(G139="",H139="",OR(I139="Critical",I139="Major",I139="Minor"))),1,0)</formula>
    </cfRule>
  </conditionalFormatting>
  <conditionalFormatting sqref="G139">
    <cfRule type="expression" dxfId="439" priority="476">
      <formula>IF(AND(OR(G139="",#REF!="Segment"),OR(#REF!="Accuracy",#REF!="Fluency",#REF!="Other")),1,0)</formula>
    </cfRule>
  </conditionalFormatting>
  <conditionalFormatting sqref="E141:G141">
    <cfRule type="expression" dxfId="438" priority="472">
      <formula>IF(OR(AND(E141="",F141="",OR(G141="Critical",G141="Major",G141="Minor"))),1,0)</formula>
    </cfRule>
  </conditionalFormatting>
  <conditionalFormatting sqref="F141">
    <cfRule type="expression" dxfId="437" priority="471">
      <formula>IF(AND(F141="",OR(E141="Accuracy",E141="Fluency",E141="Segment",E141="Other")),1,0)</formula>
    </cfRule>
  </conditionalFormatting>
  <conditionalFormatting sqref="G141">
    <cfRule type="expression" dxfId="436" priority="473">
      <formula>IF(AND(OR(G141="",#REF!="Segment"),OR(#REF!="Accuracy",#REF!="Fluency",#REF!="Other")),1,0)</formula>
    </cfRule>
  </conditionalFormatting>
  <conditionalFormatting sqref="E142:G142">
    <cfRule type="expression" dxfId="435" priority="469">
      <formula>IF(OR(AND(E142="",F142="",OR(G142="Critical",G142="Major",G142="Minor"))),1,0)</formula>
    </cfRule>
  </conditionalFormatting>
  <conditionalFormatting sqref="F142">
    <cfRule type="expression" dxfId="434" priority="468">
      <formula>IF(AND(F142="",OR(E142="Accuracy",E142="Fluency",E142="Segment",E142="Other")),1,0)</formula>
    </cfRule>
  </conditionalFormatting>
  <conditionalFormatting sqref="G142">
    <cfRule type="expression" dxfId="433" priority="470">
      <formula>IF(AND(OR(G142="",#REF!="Segment"),OR(#REF!="Accuracy",#REF!="Fluency",#REF!="Other")),1,0)</formula>
    </cfRule>
  </conditionalFormatting>
  <conditionalFormatting sqref="E149:G150">
    <cfRule type="expression" dxfId="432" priority="466">
      <formula>IF(OR(AND(E149="",F149="",OR(G149="Critical",G149="Major",G149="Minor"))),1,0)</formula>
    </cfRule>
  </conditionalFormatting>
  <conditionalFormatting sqref="F149:F150">
    <cfRule type="expression" dxfId="431" priority="465">
      <formula>IF(AND(F149="",OR(E149="Accuracy",E149="Fluency",E149="Segment",E149="Other")),1,0)</formula>
    </cfRule>
  </conditionalFormatting>
  <conditionalFormatting sqref="G149:G150">
    <cfRule type="expression" dxfId="430" priority="467">
      <formula>IF(AND(OR(G149="",#REF!="Segment"),OR(#REF!="Accuracy",#REF!="Fluency",#REF!="Other")),1,0)</formula>
    </cfRule>
  </conditionalFormatting>
  <conditionalFormatting sqref="E153:G153">
    <cfRule type="expression" dxfId="429" priority="463">
      <formula>IF(OR(AND(E153="",F153="",OR(G153="Critical",G153="Major",G153="Minor"))),1,0)</formula>
    </cfRule>
  </conditionalFormatting>
  <conditionalFormatting sqref="F153">
    <cfRule type="expression" dxfId="428" priority="462">
      <formula>IF(AND(F153="",OR(E153="Accuracy",E153="Fluency",E153="Segment",E153="Other")),1,0)</formula>
    </cfRule>
  </conditionalFormatting>
  <conditionalFormatting sqref="G153">
    <cfRule type="expression" dxfId="427" priority="464">
      <formula>IF(AND(OR(G153="",#REF!="Segment"),OR(#REF!="Accuracy",#REF!="Fluency",#REF!="Other")),1,0)</formula>
    </cfRule>
  </conditionalFormatting>
  <conditionalFormatting sqref="G217 G213 E208:G210 E198:G198 E201:G201 E190:G195 G186 G183 E176:G177 E172:G174 G169 G166 E163:F163 E179:G179 G178 G199:G200">
    <cfRule type="expression" dxfId="426" priority="461">
      <formula>IF(OR(AND(E163="",F163="",OR(G163="Critical",G163="Major",G163="Minor"))),1,0)</formula>
    </cfRule>
  </conditionalFormatting>
  <conditionalFormatting sqref="F208:F210 F198 F201 F190:F195 F176:F177 F172:F174 F163 F179">
    <cfRule type="expression" dxfId="425" priority="460">
      <formula>IF(AND(F163="",OR(E163="Accuracy",E163="Fluency",E163="Segment",E163="Other")),1,0)</formula>
    </cfRule>
  </conditionalFormatting>
  <conditionalFormatting sqref="G154">
    <cfRule type="expression" dxfId="424" priority="459">
      <formula>IF(OR(AND(G154="",H154="",OR(I154="Critical",I154="Major",I154="Minor"))),1,0)</formula>
    </cfRule>
  </conditionalFormatting>
  <conditionalFormatting sqref="G154">
    <cfRule type="expression" dxfId="423" priority="458">
      <formula>IF(AND(OR(G154="",E154="Segment"),OR(E154="Accuracy",E154="Fluency",E154="Other")),1,0)</formula>
    </cfRule>
  </conditionalFormatting>
  <conditionalFormatting sqref="E155:G156">
    <cfRule type="expression" dxfId="422" priority="457">
      <formula>IF(OR(AND(E155="",F155="",OR(G155="Critical",G155="Major",G155="Minor"))),1,0)</formula>
    </cfRule>
  </conditionalFormatting>
  <conditionalFormatting sqref="F155:F156">
    <cfRule type="expression" dxfId="421" priority="456">
      <formula>IF(AND(F155="",OR(E155="Accuracy",E155="Fluency",E155="Segment",E155="Other")),1,0)</formula>
    </cfRule>
  </conditionalFormatting>
  <conditionalFormatting sqref="G155:G156">
    <cfRule type="expression" dxfId="420" priority="455">
      <formula>IF(AND(OR(G155="",E155="Segment"),OR(E155="Accuracy",E155="Fluency",E155="Other")),1,0)</formula>
    </cfRule>
  </conditionalFormatting>
  <conditionalFormatting sqref="G157">
    <cfRule type="expression" dxfId="419" priority="452">
      <formula>IF(AND(OR(G157="",E157="Segment"),OR(E157="Accuracy",E157="Fluency",E157="Other")),1,0)</formula>
    </cfRule>
  </conditionalFormatting>
  <conditionalFormatting sqref="G157">
    <cfRule type="expression" dxfId="418" priority="454">
      <formula>IF(OR(AND(G157="",H157="",OR(I157="Critical",I157="Major",I157="Minor"))),1,0)</formula>
    </cfRule>
  </conditionalFormatting>
  <conditionalFormatting sqref="G158">
    <cfRule type="expression" dxfId="417" priority="451">
      <formula>IF(OR(AND(G158="",H158="",OR(I158="Critical",I158="Major",I158="Minor"))),1,0)</formula>
    </cfRule>
  </conditionalFormatting>
  <conditionalFormatting sqref="G158">
    <cfRule type="expression" dxfId="416" priority="450">
      <formula>IF(AND(OR(G158="",E158="Segment"),OR(E158="Accuracy",E158="Fluency",E158="Other")),1,0)</formula>
    </cfRule>
  </conditionalFormatting>
  <conditionalFormatting sqref="E158:F158">
    <cfRule type="expression" dxfId="415" priority="449">
      <formula>IF(OR(AND(E158="",F158="",OR(G158="Critical",G158="Major",G158="Minor"))),1,0)</formula>
    </cfRule>
  </conditionalFormatting>
  <conditionalFormatting sqref="F158">
    <cfRule type="expression" dxfId="414" priority="448">
      <formula>IF(AND(F158="",OR(E158="Accuracy",E158="Fluency",E158="Segment",E158="Other")),1,0)</formula>
    </cfRule>
  </conditionalFormatting>
  <conditionalFormatting sqref="G159">
    <cfRule type="expression" dxfId="413" priority="447">
      <formula>IF(OR(AND(G159="",H159="",OR(I159="Critical",I159="Major",I159="Minor"))),1,0)</formula>
    </cfRule>
  </conditionalFormatting>
  <conditionalFormatting sqref="G159">
    <cfRule type="expression" dxfId="412" priority="446">
      <formula>IF(AND(OR(G159="",E159="Segment"),OR(E159="Accuracy",E159="Fluency",E159="Other")),1,0)</formula>
    </cfRule>
  </conditionalFormatting>
  <conditionalFormatting sqref="E159:F159">
    <cfRule type="expression" dxfId="411" priority="445">
      <formula>IF(OR(AND(E159="",F159="",OR(G159="Critical",G159="Major",G159="Minor"))),1,0)</formula>
    </cfRule>
  </conditionalFormatting>
  <conditionalFormatting sqref="F159">
    <cfRule type="expression" dxfId="410" priority="444">
      <formula>IF(AND(F159="",OR(E159="Accuracy",E159="Fluency",E159="Segment",E159="Other")),1,0)</formula>
    </cfRule>
  </conditionalFormatting>
  <conditionalFormatting sqref="G160 G163">
    <cfRule type="expression" dxfId="409" priority="443">
      <formula>IF(OR(AND(G160="",H160="",OR(I160="Critical",I160="Major",I160="Minor"))),1,0)</formula>
    </cfRule>
  </conditionalFormatting>
  <conditionalFormatting sqref="G160 G163">
    <cfRule type="expression" dxfId="408" priority="442">
      <formula>IF(AND(OR(G160="",E160="Segment"),OR(E160="Accuracy",E160="Fluency",E160="Other")),1,0)</formula>
    </cfRule>
  </conditionalFormatting>
  <conditionalFormatting sqref="G161:G162">
    <cfRule type="expression" dxfId="407" priority="439">
      <formula>IF(OR(AND(G161="",H161="",OR(I161="Critical",I161="Major",I161="Minor"))),1,0)</formula>
    </cfRule>
  </conditionalFormatting>
  <conditionalFormatting sqref="G161:G162">
    <cfRule type="expression" dxfId="406" priority="438">
      <formula>IF(AND(OR(G161="",E161="Segment"),OR(E161="Accuracy",E161="Fluency",E161="Other")),1,0)</formula>
    </cfRule>
  </conditionalFormatting>
  <conditionalFormatting sqref="E164:F164">
    <cfRule type="expression" dxfId="405" priority="437">
      <formula>IF(OR(AND(E164="",F164="",OR(G164="Critical",G164="Major",G164="Minor"))),1,0)</formula>
    </cfRule>
  </conditionalFormatting>
  <conditionalFormatting sqref="F164">
    <cfRule type="expression" dxfId="404" priority="436">
      <formula>IF(AND(F164="",OR(E164="Accuracy",E164="Fluency",E164="Segment",E164="Other")),1,0)</formula>
    </cfRule>
  </conditionalFormatting>
  <conditionalFormatting sqref="G164">
    <cfRule type="expression" dxfId="403" priority="435">
      <formula>IF(OR(AND(G164="",H164="",OR(I164="Critical",I164="Major",I164="Minor"))),1,0)</formula>
    </cfRule>
  </conditionalFormatting>
  <conditionalFormatting sqref="G164">
    <cfRule type="expression" dxfId="402" priority="434">
      <formula>IF(AND(OR(G164="",E164="Segment"),OR(E164="Accuracy",E164="Fluency",E164="Other")),1,0)</formula>
    </cfRule>
  </conditionalFormatting>
  <conditionalFormatting sqref="E165:F165">
    <cfRule type="expression" dxfId="401" priority="433">
      <formula>IF(OR(AND(E165="",F165="",OR(G165="Critical",G165="Major",G165="Minor"))),1,0)</formula>
    </cfRule>
  </conditionalFormatting>
  <conditionalFormatting sqref="F165">
    <cfRule type="expression" dxfId="400" priority="432">
      <formula>IF(AND(F165="",OR(E165="Accuracy",E165="Fluency",E165="Segment",E165="Other")),1,0)</formula>
    </cfRule>
  </conditionalFormatting>
  <conditionalFormatting sqref="G165">
    <cfRule type="expression" dxfId="399" priority="431">
      <formula>IF(OR(AND(G165="",H165="",OR(I165="Critical",I165="Major",I165="Minor"))),1,0)</formula>
    </cfRule>
  </conditionalFormatting>
  <conditionalFormatting sqref="G165">
    <cfRule type="expression" dxfId="398" priority="430">
      <formula>IF(AND(OR(G165="",E165="Segment"),OR(E165="Accuracy",E165="Fluency",E165="Other")),1,0)</formula>
    </cfRule>
  </conditionalFormatting>
  <conditionalFormatting sqref="H166:H168">
    <cfRule type="expression" dxfId="397" priority="428">
      <formula>IF(OR(AND(H166="",J166="",OR(#REF!="Critical",#REF!="Major",#REF!="Minor"))),1,0)</formula>
    </cfRule>
  </conditionalFormatting>
  <conditionalFormatting sqref="G217 G213 G208:G210 G198:G201 G190:G195 G186 G183 G176:G179 G172:G174 G169 G166">
    <cfRule type="expression" dxfId="396" priority="429">
      <formula>IF(AND(OR(G166="",#REF!="Segment"),OR(#REF!="Accuracy",#REF!="Fluency",#REF!="Other")),1,0)</formula>
    </cfRule>
  </conditionalFormatting>
  <conditionalFormatting sqref="E166">
    <cfRule type="expression" dxfId="395" priority="426">
      <formula>IF(OR(AND(E166="",F166="",OR(G166="Critical",G166="Major",G166="Minor"))),1,0)</formula>
    </cfRule>
  </conditionalFormatting>
  <conditionalFormatting sqref="F166">
    <cfRule type="expression" dxfId="394" priority="425">
      <formula>IF(AND(F166="",OR(E166="Accuracy",E166="Fluency",E166="Segment",E166="Other")),1,0)</formula>
    </cfRule>
  </conditionalFormatting>
  <conditionalFormatting sqref="F166">
    <cfRule type="expression" dxfId="393" priority="427">
      <formula>IF(OR(AND(F166="",G166="",OR(H187="Critical",H187="Major",H187="Minor"))),1,0)</formula>
    </cfRule>
  </conditionalFormatting>
  <conditionalFormatting sqref="E167:G168">
    <cfRule type="expression" dxfId="392" priority="423">
      <formula>IF(OR(AND(E167="",F167="",OR(G167="Critical",G167="Major",G167="Minor"))),1,0)</formula>
    </cfRule>
  </conditionalFormatting>
  <conditionalFormatting sqref="F167:F168">
    <cfRule type="expression" dxfId="391" priority="422">
      <formula>IF(AND(F167="",OR(E167="Accuracy",E167="Fluency",E167="Segment",E167="Other")),1,0)</formula>
    </cfRule>
  </conditionalFormatting>
  <conditionalFormatting sqref="G167:G168">
    <cfRule type="expression" dxfId="390" priority="424">
      <formula>IF(AND(OR(G167="",#REF!="Segment"),OR(#REF!="Accuracy",#REF!="Fluency",#REF!="Other")),1,0)</formula>
    </cfRule>
  </conditionalFormatting>
  <conditionalFormatting sqref="E170:G170">
    <cfRule type="expression" dxfId="389" priority="420">
      <formula>IF(OR(AND(E170="",F170="",OR(G170="Critical",G170="Major",G170="Minor"))),1,0)</formula>
    </cfRule>
  </conditionalFormatting>
  <conditionalFormatting sqref="F170">
    <cfRule type="expression" dxfId="388" priority="419">
      <formula>IF(AND(F170="",OR(E170="Accuracy",E170="Fluency",E170="Segment",E170="Other")),1,0)</formula>
    </cfRule>
  </conditionalFormatting>
  <conditionalFormatting sqref="G170">
    <cfRule type="expression" dxfId="387" priority="421">
      <formula>IF(AND(OR(G170="",#REF!="Segment"),OR(#REF!="Accuracy",#REF!="Fluency",#REF!="Other")),1,0)</formula>
    </cfRule>
  </conditionalFormatting>
  <conditionalFormatting sqref="E171:G171">
    <cfRule type="expression" dxfId="386" priority="417">
      <formula>IF(OR(AND(E171="",F171="",OR(G171="Critical",G171="Major",G171="Minor"))),1,0)</formula>
    </cfRule>
  </conditionalFormatting>
  <conditionalFormatting sqref="F171">
    <cfRule type="expression" dxfId="385" priority="416">
      <formula>IF(AND(F171="",OR(E171="Accuracy",E171="Fluency",E171="Segment",E171="Other")),1,0)</formula>
    </cfRule>
  </conditionalFormatting>
  <conditionalFormatting sqref="G171">
    <cfRule type="expression" dxfId="384" priority="418">
      <formula>IF(AND(OR(G171="",#REF!="Segment"),OR(#REF!="Accuracy",#REF!="Fluency",#REF!="Other")),1,0)</formula>
    </cfRule>
  </conditionalFormatting>
  <conditionalFormatting sqref="G175">
    <cfRule type="expression" dxfId="383" priority="414">
      <formula>IF(OR(AND(G175="",H175="",OR(I175="Critical",I175="Major",I175="Minor"))),1,0)</formula>
    </cfRule>
  </conditionalFormatting>
  <conditionalFormatting sqref="G175">
    <cfRule type="expression" dxfId="382" priority="415">
      <formula>IF(AND(OR(G175="",#REF!="Segment"),OR(#REF!="Accuracy",#REF!="Fluency",#REF!="Other")),1,0)</formula>
    </cfRule>
  </conditionalFormatting>
  <conditionalFormatting sqref="E180:G180">
    <cfRule type="expression" dxfId="381" priority="411">
      <formula>IF(OR(AND(E180="",F180="",OR(G180="Critical",G180="Major",G180="Minor"))),1,0)</formula>
    </cfRule>
  </conditionalFormatting>
  <conditionalFormatting sqref="F180">
    <cfRule type="expression" dxfId="380" priority="410">
      <formula>IF(AND(F180="",OR(E180="Accuracy",E180="Fluency",E180="Segment",E180="Other")),1,0)</formula>
    </cfRule>
  </conditionalFormatting>
  <conditionalFormatting sqref="G180">
    <cfRule type="expression" dxfId="379" priority="412">
      <formula>IF(AND(OR(G180="",#REF!="Segment"),OR(#REF!="Accuracy",#REF!="Fluency",#REF!="Other")),1,0)</formula>
    </cfRule>
  </conditionalFormatting>
  <conditionalFormatting sqref="E181:G181">
    <cfRule type="expression" dxfId="378" priority="408">
      <formula>IF(OR(AND(E181="",F181="",OR(G181="Critical",G181="Major",G181="Minor"))),1,0)</formula>
    </cfRule>
  </conditionalFormatting>
  <conditionalFormatting sqref="F181">
    <cfRule type="expression" dxfId="377" priority="407">
      <formula>IF(AND(F181="",OR(E181="Accuracy",E181="Fluency",E181="Segment",E181="Other")),1,0)</formula>
    </cfRule>
  </conditionalFormatting>
  <conditionalFormatting sqref="G181">
    <cfRule type="expression" dxfId="376" priority="409">
      <formula>IF(AND(OR(G181="",#REF!="Segment"),OR(#REF!="Accuracy",#REF!="Fluency",#REF!="Other")),1,0)</formula>
    </cfRule>
  </conditionalFormatting>
  <conditionalFormatting sqref="E182:G182">
    <cfRule type="expression" dxfId="375" priority="405">
      <formula>IF(OR(AND(E182="",F182="",OR(G182="Critical",G182="Major",G182="Minor"))),1,0)</formula>
    </cfRule>
  </conditionalFormatting>
  <conditionalFormatting sqref="F182">
    <cfRule type="expression" dxfId="374" priority="404">
      <formula>IF(AND(F182="",OR(E182="Accuracy",E182="Fluency",E182="Segment",E182="Other")),1,0)</formula>
    </cfRule>
  </conditionalFormatting>
  <conditionalFormatting sqref="G182">
    <cfRule type="expression" dxfId="373" priority="406">
      <formula>IF(AND(OR(G182="",#REF!="Segment"),OR(#REF!="Accuracy",#REF!="Fluency",#REF!="Other")),1,0)</formula>
    </cfRule>
  </conditionalFormatting>
  <conditionalFormatting sqref="E184:G184">
    <cfRule type="expression" dxfId="372" priority="402">
      <formula>IF(OR(AND(E184="",F184="",OR(G184="Critical",G184="Major",G184="Minor"))),1,0)</formula>
    </cfRule>
  </conditionalFormatting>
  <conditionalFormatting sqref="F184">
    <cfRule type="expression" dxfId="371" priority="401">
      <formula>IF(AND(F184="",OR(E184="Accuracy",E184="Fluency",E184="Segment",E184="Other")),1,0)</formula>
    </cfRule>
  </conditionalFormatting>
  <conditionalFormatting sqref="G184">
    <cfRule type="expression" dxfId="370" priority="403">
      <formula>IF(AND(OR(G184="",#REF!="Segment"),OR(#REF!="Accuracy",#REF!="Fluency",#REF!="Other")),1,0)</formula>
    </cfRule>
  </conditionalFormatting>
  <conditionalFormatting sqref="E185:G185">
    <cfRule type="expression" dxfId="369" priority="399">
      <formula>IF(OR(AND(E185="",F185="",OR(G185="Critical",G185="Major",G185="Minor"))),1,0)</formula>
    </cfRule>
  </conditionalFormatting>
  <conditionalFormatting sqref="F185">
    <cfRule type="expression" dxfId="368" priority="398">
      <formula>IF(AND(F185="",OR(E185="Accuracy",E185="Fluency",E185="Segment",E185="Other")),1,0)</formula>
    </cfRule>
  </conditionalFormatting>
  <conditionalFormatting sqref="G185">
    <cfRule type="expression" dxfId="367" priority="400">
      <formula>IF(AND(OR(G185="",#REF!="Segment"),OR(#REF!="Accuracy",#REF!="Fluency",#REF!="Other")),1,0)</formula>
    </cfRule>
  </conditionalFormatting>
  <conditionalFormatting sqref="G187">
    <cfRule type="expression" dxfId="366" priority="396">
      <formula>IF(OR(AND(G187="",H187="",OR(I187="Critical",I187="Major",I187="Minor"))),1,0)</formula>
    </cfRule>
  </conditionalFormatting>
  <conditionalFormatting sqref="G187">
    <cfRule type="expression" dxfId="365" priority="397">
      <formula>IF(AND(OR(G187="",#REF!="Segment"),OR(#REF!="Accuracy",#REF!="Fluency",#REF!="Other")),1,0)</formula>
    </cfRule>
  </conditionalFormatting>
  <conditionalFormatting sqref="E188:G189">
    <cfRule type="expression" dxfId="364" priority="393">
      <formula>IF(OR(AND(E188="",F188="",OR(G188="Critical",G188="Major",G188="Minor"))),1,0)</formula>
    </cfRule>
  </conditionalFormatting>
  <conditionalFormatting sqref="F188:F189">
    <cfRule type="expression" dxfId="363" priority="392">
      <formula>IF(AND(F188="",OR(E188="Accuracy",E188="Fluency",E188="Segment",E188="Other")),1,0)</formula>
    </cfRule>
  </conditionalFormatting>
  <conditionalFormatting sqref="G188:G189">
    <cfRule type="expression" dxfId="362" priority="394">
      <formula>IF(AND(OR(G188="",#REF!="Segment"),OR(#REF!="Accuracy",#REF!="Fluency",#REF!="Other")),1,0)</formula>
    </cfRule>
  </conditionalFormatting>
  <conditionalFormatting sqref="E196:G196">
    <cfRule type="expression" dxfId="361" priority="390">
      <formula>IF(OR(AND(E196="",F196="",OR(G196="Critical",G196="Major",G196="Minor"))),1,0)</formula>
    </cfRule>
  </conditionalFormatting>
  <conditionalFormatting sqref="F196">
    <cfRule type="expression" dxfId="360" priority="389">
      <formula>IF(AND(F196="",OR(E196="Accuracy",E196="Fluency",E196="Segment",E196="Other")),1,0)</formula>
    </cfRule>
  </conditionalFormatting>
  <conditionalFormatting sqref="G196">
    <cfRule type="expression" dxfId="359" priority="391">
      <formula>IF(AND(OR(G196="",#REF!="Segment"),OR(#REF!="Accuracy",#REF!="Fluency",#REF!="Other")),1,0)</formula>
    </cfRule>
  </conditionalFormatting>
  <conditionalFormatting sqref="E197:G197">
    <cfRule type="expression" dxfId="358" priority="387">
      <formula>IF(OR(AND(E197="",F197="",OR(G197="Critical",G197="Major",G197="Minor"))),1,0)</formula>
    </cfRule>
  </conditionalFormatting>
  <conditionalFormatting sqref="F197">
    <cfRule type="expression" dxfId="357" priority="386">
      <formula>IF(AND(F197="",OR(E197="Accuracy",E197="Fluency",E197="Segment",E197="Other")),1,0)</formula>
    </cfRule>
  </conditionalFormatting>
  <conditionalFormatting sqref="G197">
    <cfRule type="expression" dxfId="356" priority="388">
      <formula>IF(AND(OR(G197="",#REF!="Segment"),OR(#REF!="Accuracy",#REF!="Fluency",#REF!="Other")),1,0)</formula>
    </cfRule>
  </conditionalFormatting>
  <conditionalFormatting sqref="E199:F199">
    <cfRule type="expression" dxfId="355" priority="385">
      <formula>IF(OR(AND(E199="",F199="",OR(G199="Critical",G199="Major",G199="Minor"))),1,0)</formula>
    </cfRule>
  </conditionalFormatting>
  <conditionalFormatting sqref="F199">
    <cfRule type="expression" dxfId="354" priority="384">
      <formula>IF(AND(F199="",OR(E199="Accuracy",E199="Fluency",E199="Segment",E199="Other")),1,0)</formula>
    </cfRule>
  </conditionalFormatting>
  <conditionalFormatting sqref="E202:G202">
    <cfRule type="expression" dxfId="353" priority="382">
      <formula>IF(OR(AND(E202="",F202="",OR(G202="Critical",G202="Major",G202="Minor"))),1,0)</formula>
    </cfRule>
  </conditionalFormatting>
  <conditionalFormatting sqref="F202">
    <cfRule type="expression" dxfId="352" priority="381">
      <formula>IF(AND(F202="",OR(E202="Accuracy",E202="Fluency",E202="Segment",E202="Other")),1,0)</formula>
    </cfRule>
  </conditionalFormatting>
  <conditionalFormatting sqref="G202">
    <cfRule type="expression" dxfId="351" priority="383">
      <formula>IF(AND(OR(G202="",#REF!="Segment"),OR(#REF!="Accuracy",#REF!="Fluency",#REF!="Other")),1,0)</formula>
    </cfRule>
  </conditionalFormatting>
  <conditionalFormatting sqref="E203:G203">
    <cfRule type="expression" dxfId="350" priority="379">
      <formula>IF(OR(AND(E203="",F203="",OR(G203="Critical",G203="Major",G203="Minor"))),1,0)</formula>
    </cfRule>
  </conditionalFormatting>
  <conditionalFormatting sqref="F203">
    <cfRule type="expression" dxfId="349" priority="378">
      <formula>IF(AND(F203="",OR(E203="Accuracy",E203="Fluency",E203="Segment",E203="Other")),1,0)</formula>
    </cfRule>
  </conditionalFormatting>
  <conditionalFormatting sqref="G203">
    <cfRule type="expression" dxfId="348" priority="380">
      <formula>IF(AND(OR(G203="",#REF!="Segment"),OR(#REF!="Accuracy",#REF!="Fluency",#REF!="Other")),1,0)</formula>
    </cfRule>
  </conditionalFormatting>
  <conditionalFormatting sqref="G204">
    <cfRule type="expression" dxfId="347" priority="376">
      <formula>IF(OR(AND(G204="",H204="",OR(I204="Critical",I204="Major",I204="Minor"))),1,0)</formula>
    </cfRule>
  </conditionalFormatting>
  <conditionalFormatting sqref="G204">
    <cfRule type="expression" dxfId="346" priority="377">
      <formula>IF(AND(OR(G204="",#REF!="Segment"),OR(#REF!="Accuracy",#REF!="Fluency",#REF!="Other")),1,0)</formula>
    </cfRule>
  </conditionalFormatting>
  <conditionalFormatting sqref="G205">
    <cfRule type="expression" dxfId="345" priority="373">
      <formula>IF(OR(AND(G205="",H205="",OR(I205="Critical",I205="Major",I205="Minor"))),1,0)</formula>
    </cfRule>
  </conditionalFormatting>
  <conditionalFormatting sqref="G205">
    <cfRule type="expression" dxfId="344" priority="374">
      <formula>IF(AND(OR(G205="",#REF!="Segment"),OR(#REF!="Accuracy",#REF!="Fluency",#REF!="Other")),1,0)</formula>
    </cfRule>
  </conditionalFormatting>
  <conditionalFormatting sqref="E206:G206">
    <cfRule type="expression" dxfId="343" priority="370">
      <formula>IF(OR(AND(E206="",F206="",OR(G206="Critical",G206="Major",G206="Minor"))),1,0)</formula>
    </cfRule>
  </conditionalFormatting>
  <conditionalFormatting sqref="F206">
    <cfRule type="expression" dxfId="342" priority="369">
      <formula>IF(AND(F206="",OR(E206="Accuracy",E206="Fluency",E206="Segment",E206="Other")),1,0)</formula>
    </cfRule>
  </conditionalFormatting>
  <conditionalFormatting sqref="G206">
    <cfRule type="expression" dxfId="341" priority="371">
      <formula>IF(AND(OR(G206="",#REF!="Segment"),OR(#REF!="Accuracy",#REF!="Fluency",#REF!="Other")),1,0)</formula>
    </cfRule>
  </conditionalFormatting>
  <conditionalFormatting sqref="E207:G207">
    <cfRule type="expression" dxfId="340" priority="367">
      <formula>IF(OR(AND(E207="",F207="",OR(G207="Critical",G207="Major",G207="Minor"))),1,0)</formula>
    </cfRule>
  </conditionalFormatting>
  <conditionalFormatting sqref="F207">
    <cfRule type="expression" dxfId="339" priority="366">
      <formula>IF(AND(F207="",OR(E207="Accuracy",E207="Fluency",E207="Segment",E207="Other")),1,0)</formula>
    </cfRule>
  </conditionalFormatting>
  <conditionalFormatting sqref="G207">
    <cfRule type="expression" dxfId="338" priority="368">
      <formula>IF(AND(OR(G207="",#REF!="Segment"),OR(#REF!="Accuracy",#REF!="Fluency",#REF!="Other")),1,0)</formula>
    </cfRule>
  </conditionalFormatting>
  <conditionalFormatting sqref="E211:G211">
    <cfRule type="expression" dxfId="337" priority="364">
      <formula>IF(OR(AND(E211="",F211="",OR(G211="Critical",G211="Major",G211="Minor"))),1,0)</formula>
    </cfRule>
  </conditionalFormatting>
  <conditionalFormatting sqref="F211">
    <cfRule type="expression" dxfId="336" priority="363">
      <formula>IF(AND(F211="",OR(E211="Accuracy",E211="Fluency",E211="Segment",E211="Other")),1,0)</formula>
    </cfRule>
  </conditionalFormatting>
  <conditionalFormatting sqref="G211">
    <cfRule type="expression" dxfId="335" priority="365">
      <formula>IF(AND(OR(G211="",#REF!="Segment"),OR(#REF!="Accuracy",#REF!="Fluency",#REF!="Other")),1,0)</formula>
    </cfRule>
  </conditionalFormatting>
  <conditionalFormatting sqref="E212:G212">
    <cfRule type="expression" dxfId="334" priority="361">
      <formula>IF(OR(AND(E212="",F212="",OR(G212="Critical",G212="Major",G212="Minor"))),1,0)</formula>
    </cfRule>
  </conditionalFormatting>
  <conditionalFormatting sqref="F212">
    <cfRule type="expression" dxfId="333" priority="360">
      <formula>IF(AND(F212="",OR(E212="Accuracy",E212="Fluency",E212="Segment",E212="Other")),1,0)</formula>
    </cfRule>
  </conditionalFormatting>
  <conditionalFormatting sqref="G212">
    <cfRule type="expression" dxfId="332" priority="362">
      <formula>IF(AND(OR(G212="",#REF!="Segment"),OR(#REF!="Accuracy",#REF!="Fluency",#REF!="Other")),1,0)</formula>
    </cfRule>
  </conditionalFormatting>
  <conditionalFormatting sqref="E214:G214">
    <cfRule type="expression" dxfId="331" priority="358">
      <formula>IF(OR(AND(E214="",F214="",OR(G214="Critical",G214="Major",G214="Minor"))),1,0)</formula>
    </cfRule>
  </conditionalFormatting>
  <conditionalFormatting sqref="F214">
    <cfRule type="expression" dxfId="330" priority="357">
      <formula>IF(AND(F214="",OR(E214="Accuracy",E214="Fluency",E214="Segment",E214="Other")),1,0)</formula>
    </cfRule>
  </conditionalFormatting>
  <conditionalFormatting sqref="G214">
    <cfRule type="expression" dxfId="329" priority="359">
      <formula>IF(AND(OR(G214="",#REF!="Segment"),OR(#REF!="Accuracy",#REF!="Fluency",#REF!="Other")),1,0)</formula>
    </cfRule>
  </conditionalFormatting>
  <conditionalFormatting sqref="E215:G215">
    <cfRule type="expression" dxfId="328" priority="355">
      <formula>IF(OR(AND(E215="",F215="",OR(G215="Critical",G215="Major",G215="Minor"))),1,0)</formula>
    </cfRule>
  </conditionalFormatting>
  <conditionalFormatting sqref="F215">
    <cfRule type="expression" dxfId="327" priority="354">
      <formula>IF(AND(F215="",OR(E215="Accuracy",E215="Fluency",E215="Segment",E215="Other")),1,0)</formula>
    </cfRule>
  </conditionalFormatting>
  <conditionalFormatting sqref="G215">
    <cfRule type="expression" dxfId="326" priority="356">
      <formula>IF(AND(OR(G215="",#REF!="Segment"),OR(#REF!="Accuracy",#REF!="Fluency",#REF!="Other")),1,0)</formula>
    </cfRule>
  </conditionalFormatting>
  <conditionalFormatting sqref="E216:G216">
    <cfRule type="expression" dxfId="325" priority="352">
      <formula>IF(OR(AND(E216="",F216="",OR(G216="Critical",G216="Major",G216="Minor"))),1,0)</formula>
    </cfRule>
  </conditionalFormatting>
  <conditionalFormatting sqref="F216">
    <cfRule type="expression" dxfId="324" priority="351">
      <formula>IF(AND(F216="",OR(E216="Accuracy",E216="Fluency",E216="Segment",E216="Other")),1,0)</formula>
    </cfRule>
  </conditionalFormatting>
  <conditionalFormatting sqref="G216">
    <cfRule type="expression" dxfId="323" priority="353">
      <formula>IF(AND(OR(G216="",#REF!="Segment"),OR(#REF!="Accuracy",#REF!="Fluency",#REF!="Other")),1,0)</formula>
    </cfRule>
  </conditionalFormatting>
  <conditionalFormatting sqref="G218">
    <cfRule type="expression" dxfId="322" priority="349">
      <formula>IF(OR(AND(G218="",H218="",OR(I218="Critical",I218="Major",I218="Minor"))),1,0)</formula>
    </cfRule>
  </conditionalFormatting>
  <conditionalFormatting sqref="G218">
    <cfRule type="expression" dxfId="321" priority="350">
      <formula>IF(AND(OR(G218="",#REF!="Segment"),OR(#REF!="Accuracy",#REF!="Fluency",#REF!="Other")),1,0)</formula>
    </cfRule>
  </conditionalFormatting>
  <conditionalFormatting sqref="E219:G219">
    <cfRule type="expression" dxfId="320" priority="346">
      <formula>IF(OR(AND(E219="",F219="",OR(G219="Critical",G219="Major",G219="Minor"))),1,0)</formula>
    </cfRule>
  </conditionalFormatting>
  <conditionalFormatting sqref="F219">
    <cfRule type="expression" dxfId="319" priority="345">
      <formula>IF(AND(F219="",OR(E219="Accuracy",E219="Fluency",E219="Segment",E219="Other")),1,0)</formula>
    </cfRule>
  </conditionalFormatting>
  <conditionalFormatting sqref="G219">
    <cfRule type="expression" dxfId="318" priority="347">
      <formula>IF(AND(OR(G219="",#REF!="Segment"),OR(#REF!="Accuracy",#REF!="Fluency",#REF!="Other")),1,0)</formula>
    </cfRule>
  </conditionalFormatting>
  <conditionalFormatting sqref="E220:G220">
    <cfRule type="expression" dxfId="317" priority="343">
      <formula>IF(OR(AND(E220="",F220="",OR(G220="Critical",G220="Major",G220="Minor"))),1,0)</formula>
    </cfRule>
  </conditionalFormatting>
  <conditionalFormatting sqref="F220">
    <cfRule type="expression" dxfId="316" priority="342">
      <formula>IF(AND(F220="",OR(E220="Accuracy",E220="Fluency",E220="Segment",E220="Other")),1,0)</formula>
    </cfRule>
  </conditionalFormatting>
  <conditionalFormatting sqref="G220">
    <cfRule type="expression" dxfId="315" priority="344">
      <formula>IF(AND(OR(G220="",#REF!="Segment"),OR(#REF!="Accuracy",#REF!="Fluency",#REF!="Other")),1,0)</formula>
    </cfRule>
  </conditionalFormatting>
  <conditionalFormatting sqref="E221:G221">
    <cfRule type="expression" dxfId="314" priority="340">
      <formula>IF(OR(AND(E221="",F221="",OR(G221="Critical",G221="Major",G221="Minor"))),1,0)</formula>
    </cfRule>
  </conditionalFormatting>
  <conditionalFormatting sqref="F221">
    <cfRule type="expression" dxfId="313" priority="339">
      <formula>IF(AND(F221="",OR(E221="Accuracy",E221="Fluency",E221="Segment",E221="Other")),1,0)</formula>
    </cfRule>
  </conditionalFormatting>
  <conditionalFormatting sqref="G221">
    <cfRule type="expression" dxfId="312" priority="341">
      <formula>IF(AND(OR(G221="",#REF!="Segment"),OR(#REF!="Accuracy",#REF!="Fluency",#REF!="Other")),1,0)</formula>
    </cfRule>
  </conditionalFormatting>
  <conditionalFormatting sqref="E222:G222">
    <cfRule type="expression" dxfId="311" priority="337">
      <formula>IF(OR(AND(E222="",F222="",OR(G222="Critical",G222="Major",G222="Minor"))),1,0)</formula>
    </cfRule>
  </conditionalFormatting>
  <conditionalFormatting sqref="F222">
    <cfRule type="expression" dxfId="310" priority="336">
      <formula>IF(AND(F222="",OR(E222="Accuracy",E222="Fluency",E222="Segment",E222="Other")),1,0)</formula>
    </cfRule>
  </conditionalFormatting>
  <conditionalFormatting sqref="G222">
    <cfRule type="expression" dxfId="309" priority="338">
      <formula>IF(AND(OR(G222="",#REF!="Segment"),OR(#REF!="Accuracy",#REF!="Fluency",#REF!="Other")),1,0)</formula>
    </cfRule>
  </conditionalFormatting>
  <conditionalFormatting sqref="G305 E300:G301 E289:G289 G283:G284 G273 E268:G268 E241:G243 G235:G236 E233:G233 E225:G226 G227 G232 G240 G269 G299 G302">
    <cfRule type="expression" dxfId="308" priority="332">
      <formula>IF(OR(AND(E225="",F225="",OR(G225="Critical",G225="Major",G225="Minor"))),1,0)</formula>
    </cfRule>
  </conditionalFormatting>
  <conditionalFormatting sqref="F300:F301 F289 F268 F241:F243 F233 F225:F226">
    <cfRule type="expression" dxfId="307" priority="331">
      <formula>IF(AND(F225="",OR(E225="Accuracy",E225="Fluency",E225="Segment",E225="Other")),1,0)</formula>
    </cfRule>
  </conditionalFormatting>
  <conditionalFormatting sqref="G305 G299:G302 G289 G283:G284 G281 G273 G268:G269 G240:G243 G235:G236 G232:G233 G225:G227">
    <cfRule type="expression" dxfId="306" priority="333">
      <formula>IF(AND(OR(G225="",#REF!="Segment"),OR(#REF!="Accuracy",#REF!="Fluency",#REF!="Other")),1,0)</formula>
    </cfRule>
  </conditionalFormatting>
  <conditionalFormatting sqref="G223">
    <cfRule type="expression" dxfId="305" priority="330">
      <formula>IF(AND(OR(G223="",#REF!="Segment"),OR(#REF!="Accuracy",#REF!="Fluency",#REF!="Other")),1,0)</formula>
    </cfRule>
  </conditionalFormatting>
  <conditionalFormatting sqref="E224:G224">
    <cfRule type="expression" dxfId="304" priority="327">
      <formula>IF(OR(AND(E224="",F224="",OR(G224="Critical",G224="Major",G224="Minor"))),1,0)</formula>
    </cfRule>
  </conditionalFormatting>
  <conditionalFormatting sqref="F224">
    <cfRule type="expression" dxfId="303" priority="326">
      <formula>IF(AND(F224="",OR(E224="Accuracy",E224="Fluency",E224="Segment",E224="Other")),1,0)</formula>
    </cfRule>
  </conditionalFormatting>
  <conditionalFormatting sqref="G224">
    <cfRule type="expression" dxfId="302" priority="328">
      <formula>IF(AND(OR(G224="",#REF!="Segment"),OR(#REF!="Accuracy",#REF!="Fluency",#REF!="Other")),1,0)</formula>
    </cfRule>
  </conditionalFormatting>
  <conditionalFormatting sqref="G281 G260:G262 G223">
    <cfRule type="expression" dxfId="301" priority="334">
      <formula>IF(OR(AND(G223="",H222="",OR(I223="Critical",I223="Major",I223="Minor"))),1,0)</formula>
    </cfRule>
  </conditionalFormatting>
  <conditionalFormatting sqref="E228:G230">
    <cfRule type="expression" dxfId="300" priority="324">
      <formula>IF(OR(AND(E228="",F228="",OR(G228="Critical",G228="Major",G228="Minor"))),1,0)</formula>
    </cfRule>
  </conditionalFormatting>
  <conditionalFormatting sqref="F228:F230">
    <cfRule type="expression" dxfId="299" priority="323">
      <formula>IF(AND(F228="",OR(E228="Accuracy",E228="Fluency",E228="Segment",E228="Other")),1,0)</formula>
    </cfRule>
  </conditionalFormatting>
  <conditionalFormatting sqref="G228:G230">
    <cfRule type="expression" dxfId="298" priority="325">
      <formula>IF(AND(OR(G228="",#REF!="Segment"),OR(#REF!="Accuracy",#REF!="Fluency",#REF!="Other")),1,0)</formula>
    </cfRule>
  </conditionalFormatting>
  <conditionalFormatting sqref="E231:G231">
    <cfRule type="expression" dxfId="297" priority="321">
      <formula>IF(OR(AND(E231="",F231="",OR(G231="Critical",G231="Major",G231="Minor"))),1,0)</formula>
    </cfRule>
  </conditionalFormatting>
  <conditionalFormatting sqref="F231">
    <cfRule type="expression" dxfId="296" priority="320">
      <formula>IF(AND(F231="",OR(E231="Accuracy",E231="Fluency",E231="Segment",E231="Other")),1,0)</formula>
    </cfRule>
  </conditionalFormatting>
  <conditionalFormatting sqref="G231">
    <cfRule type="expression" dxfId="295" priority="322">
      <formula>IF(AND(OR(G231="",#REF!="Segment"),OR(#REF!="Accuracy",#REF!="Fluency",#REF!="Other")),1,0)</formula>
    </cfRule>
  </conditionalFormatting>
  <conditionalFormatting sqref="G234">
    <cfRule type="expression" dxfId="294" priority="318">
      <formula>IF(OR(AND(G234="",H234="",OR(I234="Critical",I234="Major",I234="Minor"))),1,0)</formula>
    </cfRule>
  </conditionalFormatting>
  <conditionalFormatting sqref="G234">
    <cfRule type="expression" dxfId="293" priority="319">
      <formula>IF(AND(OR(G234="",#REF!="Segment"),OR(#REF!="Accuracy",#REF!="Fluency",#REF!="Other")),1,0)</formula>
    </cfRule>
  </conditionalFormatting>
  <conditionalFormatting sqref="E237:G239">
    <cfRule type="expression" dxfId="292" priority="315">
      <formula>IF(OR(AND(E237="",F237="",OR(G237="Critical",G237="Major",G237="Minor"))),1,0)</formula>
    </cfRule>
  </conditionalFormatting>
  <conditionalFormatting sqref="F237:F239">
    <cfRule type="expression" dxfId="291" priority="314">
      <formula>IF(AND(F237="",OR(E237="Accuracy",E237="Fluency",E237="Segment",E237="Other")),1,0)</formula>
    </cfRule>
  </conditionalFormatting>
  <conditionalFormatting sqref="G237:G239">
    <cfRule type="expression" dxfId="290" priority="316">
      <formula>IF(AND(OR(G237="",#REF!="Segment"),OR(#REF!="Accuracy",#REF!="Fluency",#REF!="Other")),1,0)</formula>
    </cfRule>
  </conditionalFormatting>
  <conditionalFormatting sqref="G244:G246">
    <cfRule type="expression" dxfId="289" priority="312">
      <formula>IF(OR(AND(G244="",H244="",OR(I244="Critical",I244="Major",I244="Minor"))),1,0)</formula>
    </cfRule>
  </conditionalFormatting>
  <conditionalFormatting sqref="G244:G246">
    <cfRule type="expression" dxfId="288" priority="313">
      <formula>IF(AND(OR(G244="",#REF!="Segment"),OR(#REF!="Accuracy",#REF!="Fluency",#REF!="Other")),1,0)</formula>
    </cfRule>
  </conditionalFormatting>
  <conditionalFormatting sqref="E247:G249">
    <cfRule type="expression" dxfId="287" priority="309">
      <formula>IF(OR(AND(E247="",F247="",OR(G247="Critical",G247="Major",G247="Minor"))),1,0)</formula>
    </cfRule>
  </conditionalFormatting>
  <conditionalFormatting sqref="F247:F249">
    <cfRule type="expression" dxfId="286" priority="308">
      <formula>IF(AND(F247="",OR(E247="Accuracy",E247="Fluency",E247="Segment",E247="Other")),1,0)</formula>
    </cfRule>
  </conditionalFormatting>
  <conditionalFormatting sqref="G247:G249">
    <cfRule type="expression" dxfId="285" priority="310">
      <formula>IF(AND(OR(G247="",#REF!="Segment"),OR(#REF!="Accuracy",#REF!="Fluency",#REF!="Other")),1,0)</formula>
    </cfRule>
  </conditionalFormatting>
  <conditionalFormatting sqref="E250:G251">
    <cfRule type="expression" dxfId="284" priority="306">
      <formula>IF(OR(AND(E250="",F250="",OR(G250="Critical",G250="Major",G250="Minor"))),1,0)</formula>
    </cfRule>
  </conditionalFormatting>
  <conditionalFormatting sqref="F250:F251">
    <cfRule type="expression" dxfId="283" priority="305">
      <formula>IF(AND(F250="",OR(E250="Accuracy",E250="Fluency",E250="Segment",E250="Other")),1,0)</formula>
    </cfRule>
  </conditionalFormatting>
  <conditionalFormatting sqref="G250:G251">
    <cfRule type="expression" dxfId="282" priority="307">
      <formula>IF(AND(OR(G250="",#REF!="Segment"),OR(#REF!="Accuracy",#REF!="Fluency",#REF!="Other")),1,0)</formula>
    </cfRule>
  </conditionalFormatting>
  <conditionalFormatting sqref="G252">
    <cfRule type="expression" dxfId="281" priority="303">
      <formula>IF(OR(AND(G252="",H252="",OR(I252="Critical",I252="Major",I252="Minor"))),1,0)</formula>
    </cfRule>
  </conditionalFormatting>
  <conditionalFormatting sqref="G252">
    <cfRule type="expression" dxfId="280" priority="304">
      <formula>IF(AND(OR(G252="",#REF!="Segment"),OR(#REF!="Accuracy",#REF!="Fluency",#REF!="Other")),1,0)</formula>
    </cfRule>
  </conditionalFormatting>
  <conditionalFormatting sqref="E253:G253">
    <cfRule type="expression" dxfId="279" priority="300">
      <formula>IF(OR(AND(E253="",F253="",OR(G253="Critical",G253="Major",G253="Minor"))),1,0)</formula>
    </cfRule>
  </conditionalFormatting>
  <conditionalFormatting sqref="F253">
    <cfRule type="expression" dxfId="278" priority="299">
      <formula>IF(AND(F253="",OR(E253="Accuracy",E253="Fluency",E253="Segment",E253="Other")),1,0)</formula>
    </cfRule>
  </conditionalFormatting>
  <conditionalFormatting sqref="G253">
    <cfRule type="expression" dxfId="277" priority="301">
      <formula>IF(AND(OR(G253="",#REF!="Segment"),OR(#REF!="Accuracy",#REF!="Fluency",#REF!="Other")),1,0)</formula>
    </cfRule>
  </conditionalFormatting>
  <conditionalFormatting sqref="G254">
    <cfRule type="expression" dxfId="276" priority="297">
      <formula>IF(OR(AND(G254="",H254="",OR(I254="Critical",I254="Major",I254="Minor"))),1,0)</formula>
    </cfRule>
  </conditionalFormatting>
  <conditionalFormatting sqref="G254">
    <cfRule type="expression" dxfId="275" priority="298">
      <formula>IF(AND(OR(G254="",#REF!="Segment"),OR(#REF!="Accuracy",#REF!="Fluency",#REF!="Other")),1,0)</formula>
    </cfRule>
  </conditionalFormatting>
  <conditionalFormatting sqref="E255:G255">
    <cfRule type="expression" dxfId="274" priority="294">
      <formula>IF(OR(AND(E255="",F255="",OR(G255="Critical",G255="Major",G255="Minor"))),1,0)</formula>
    </cfRule>
  </conditionalFormatting>
  <conditionalFormatting sqref="F255">
    <cfRule type="expression" dxfId="273" priority="293">
      <formula>IF(AND(F255="",OR(E255="Accuracy",E255="Fluency",E255="Segment",E255="Other")),1,0)</formula>
    </cfRule>
  </conditionalFormatting>
  <conditionalFormatting sqref="G255">
    <cfRule type="expression" dxfId="272" priority="295">
      <formula>IF(AND(OR(G255="",#REF!="Segment"),OR(#REF!="Accuracy",#REF!="Fluency",#REF!="Other")),1,0)</formula>
    </cfRule>
  </conditionalFormatting>
  <conditionalFormatting sqref="E256:G256">
    <cfRule type="expression" dxfId="271" priority="291">
      <formula>IF(OR(AND(E256="",F256="",OR(G256="Critical",G256="Major",G256="Minor"))),1,0)</formula>
    </cfRule>
  </conditionalFormatting>
  <conditionalFormatting sqref="F256">
    <cfRule type="expression" dxfId="270" priority="290">
      <formula>IF(AND(F256="",OR(E256="Accuracy",E256="Fluency",E256="Segment",E256="Other")),1,0)</formula>
    </cfRule>
  </conditionalFormatting>
  <conditionalFormatting sqref="G256">
    <cfRule type="expression" dxfId="269" priority="292">
      <formula>IF(AND(OR(G256="",#REF!="Segment"),OR(#REF!="Accuracy",#REF!="Fluency",#REF!="Other")),1,0)</formula>
    </cfRule>
  </conditionalFormatting>
  <conditionalFormatting sqref="G258:G259">
    <cfRule type="expression" dxfId="268" priority="288">
      <formula>IF(OR(AND(G258="",H258="",OR(I258="Critical",I258="Major",I258="Minor"))),1,0)</formula>
    </cfRule>
  </conditionalFormatting>
  <conditionalFormatting sqref="G258:G259">
    <cfRule type="expression" dxfId="267" priority="289">
      <formula>IF(AND(OR(G258="",#REF!="Segment"),OR(#REF!="Accuracy",#REF!="Fluency",#REF!="Other")),1,0)</formula>
    </cfRule>
  </conditionalFormatting>
  <conditionalFormatting sqref="E257:G257 E259:F259">
    <cfRule type="expression" dxfId="266" priority="286">
      <formula>IF(OR(AND(E257="",F257="",OR(G257="Critical",G257="Major",G257="Minor"))),1,0)</formula>
    </cfRule>
  </conditionalFormatting>
  <conditionalFormatting sqref="F257 F259">
    <cfRule type="expression" dxfId="265" priority="285">
      <formula>IF(AND(F257="",OR(E257="Accuracy",E257="Fluency",E257="Segment",E257="Other")),1,0)</formula>
    </cfRule>
  </conditionalFormatting>
  <conditionalFormatting sqref="G257">
    <cfRule type="expression" dxfId="264" priority="287">
      <formula>IF(AND(OR(G257="",#REF!="Segment"),OR(#REF!="Accuracy",#REF!="Fluency",#REF!="Other")),1,0)</formula>
    </cfRule>
  </conditionalFormatting>
  <conditionalFormatting sqref="G260:G262">
    <cfRule type="expression" dxfId="263" priority="284">
      <formula>IF(AND(OR(G260="",#REF!="Segment"),OR(#REF!="Accuracy",#REF!="Fluency",#REF!="Other")),1,0)</formula>
    </cfRule>
  </conditionalFormatting>
  <conditionalFormatting sqref="E263:G263">
    <cfRule type="expression" dxfId="262" priority="281">
      <formula>IF(OR(AND(E263="",F263="",OR(G263="Critical",G263="Major",G263="Minor"))),1,0)</formula>
    </cfRule>
  </conditionalFormatting>
  <conditionalFormatting sqref="F263">
    <cfRule type="expression" dxfId="261" priority="280">
      <formula>IF(AND(F263="",OR(E263="Accuracy",E263="Fluency",E263="Segment",E263="Other")),1,0)</formula>
    </cfRule>
  </conditionalFormatting>
  <conditionalFormatting sqref="G263">
    <cfRule type="expression" dxfId="260" priority="282">
      <formula>IF(AND(OR(G263="",#REF!="Segment"),OR(#REF!="Accuracy",#REF!="Fluency",#REF!="Other")),1,0)</formula>
    </cfRule>
  </conditionalFormatting>
  <conditionalFormatting sqref="E264:G265">
    <cfRule type="expression" dxfId="259" priority="278">
      <formula>IF(OR(AND(E264="",F264="",OR(G264="Critical",G264="Major",G264="Minor"))),1,0)</formula>
    </cfRule>
  </conditionalFormatting>
  <conditionalFormatting sqref="F264:F265">
    <cfRule type="expression" dxfId="258" priority="277">
      <formula>IF(AND(F264="",OR(E264="Accuracy",E264="Fluency",E264="Segment",E264="Other")),1,0)</formula>
    </cfRule>
  </conditionalFormatting>
  <conditionalFormatting sqref="G264:G265">
    <cfRule type="expression" dxfId="257" priority="279">
      <formula>IF(AND(OR(G264="",#REF!="Segment"),OR(#REF!="Accuracy",#REF!="Fluency",#REF!="Other")),1,0)</formula>
    </cfRule>
  </conditionalFormatting>
  <conditionalFormatting sqref="G266:G267">
    <cfRule type="expression" dxfId="256" priority="275">
      <formula>IF(OR(AND(G266="",H266="",OR(I266="Critical",I266="Major",I266="Minor"))),1,0)</formula>
    </cfRule>
  </conditionalFormatting>
  <conditionalFormatting sqref="G266:G267">
    <cfRule type="expression" dxfId="255" priority="276">
      <formula>IF(AND(OR(G266="",#REF!="Segment"),OR(#REF!="Accuracy",#REF!="Fluency",#REF!="Other")),1,0)</formula>
    </cfRule>
  </conditionalFormatting>
  <conditionalFormatting sqref="E270:G270">
    <cfRule type="expression" dxfId="254" priority="272">
      <formula>IF(OR(AND(E270="",F270="",OR(G270="Critical",G270="Major",G270="Minor"))),1,0)</formula>
    </cfRule>
  </conditionalFormatting>
  <conditionalFormatting sqref="F270">
    <cfRule type="expression" dxfId="253" priority="271">
      <formula>IF(AND(F270="",OR(E270="Accuracy",E270="Fluency",E270="Segment",E270="Other")),1,0)</formula>
    </cfRule>
  </conditionalFormatting>
  <conditionalFormatting sqref="G270">
    <cfRule type="expression" dxfId="252" priority="273">
      <formula>IF(AND(OR(G270="",#REF!="Segment"),OR(#REF!="Accuracy",#REF!="Fluency",#REF!="Other")),1,0)</formula>
    </cfRule>
  </conditionalFormatting>
  <conditionalFormatting sqref="G271">
    <cfRule type="expression" dxfId="251" priority="268">
      <formula>IF(AND(OR(G271="",#REF!="Segment"),OR(#REF!="Accuracy",#REF!="Fluency",#REF!="Other")),1,0)</formula>
    </cfRule>
  </conditionalFormatting>
  <conditionalFormatting sqref="G271">
    <cfRule type="expression" dxfId="250" priority="269">
      <formula>IF(OR(AND(G271="",#REF!="",OR(I271="Critical",I271="Major",I271="Minor"))),1,0)</formula>
    </cfRule>
  </conditionalFormatting>
  <conditionalFormatting sqref="E272">
    <cfRule type="expression" dxfId="249" priority="265">
      <formula>IF(OR(AND(E272="",F272="",OR(G272="Critical",G272="Major",G272="Minor"))),1,0)</formula>
    </cfRule>
  </conditionalFormatting>
  <conditionalFormatting sqref="F272:G272">
    <cfRule type="expression" dxfId="248" priority="263">
      <formula>IF(OR(AND(F272="",G272="",OR(H272="Critical",H272="Major",H272="Minor"))),1,0)</formula>
    </cfRule>
  </conditionalFormatting>
  <conditionalFormatting sqref="F272">
    <cfRule type="expression" dxfId="247" priority="262">
      <formula>IF(AND(F272="",OR(E272="Accuracy",E272="Fluency",E272="Segment",E272="Other")),1,0)</formula>
    </cfRule>
  </conditionalFormatting>
  <conditionalFormatting sqref="G272">
    <cfRule type="expression" dxfId="246" priority="264">
      <formula>IF(AND(OR(G272="",#REF!="Segment"),OR(#REF!="Accuracy",#REF!="Fluency",#REF!="Other")),1,0)</formula>
    </cfRule>
  </conditionalFormatting>
  <conditionalFormatting sqref="G274:G276">
    <cfRule type="expression" dxfId="245" priority="260">
      <formula>IF(OR(AND(G274="",H274="",OR(I274="Critical",I274="Major",I274="Minor"))),1,0)</formula>
    </cfRule>
  </conditionalFormatting>
  <conditionalFormatting sqref="G274:G276">
    <cfRule type="expression" dxfId="244" priority="261">
      <formula>IF(AND(OR(G274="",#REF!="Segment"),OR(#REF!="Accuracy",#REF!="Fluency",#REF!="Other")),1,0)</formula>
    </cfRule>
  </conditionalFormatting>
  <conditionalFormatting sqref="E277">
    <cfRule type="expression" dxfId="243" priority="256">
      <formula>IF(OR(AND(E277="",F277="",OR(G277="Critical",G277="Major",G277="Minor"))),1,0)</formula>
    </cfRule>
  </conditionalFormatting>
  <conditionalFormatting sqref="G277">
    <cfRule type="expression" dxfId="242" priority="257">
      <formula>IF(OR(AND(G277="",H276="",OR(I277="Critical",I277="Major",I277="Minor"))),1,0)</formula>
    </cfRule>
  </conditionalFormatting>
  <conditionalFormatting sqref="F277">
    <cfRule type="expression" dxfId="241" priority="258">
      <formula>IF(OR(AND(F277="",G277="",OR(H276="Critical",H276="Major",H276="Minor"))),1,0)</formula>
    </cfRule>
  </conditionalFormatting>
  <conditionalFormatting sqref="F277">
    <cfRule type="expression" dxfId="240" priority="254">
      <formula>IF(AND(F277="",OR(E277="Accuracy",E277="Fluency",E277="Segment",E277="Other")),1,0)</formula>
    </cfRule>
  </conditionalFormatting>
  <conditionalFormatting sqref="G277">
    <cfRule type="expression" dxfId="239" priority="255">
      <formula>IF(AND(OR(G277="",#REF!="Segment"),OR(#REF!="Accuracy",#REF!="Fluency",#REF!="Other")),1,0)</formula>
    </cfRule>
  </conditionalFormatting>
  <conditionalFormatting sqref="E278">
    <cfRule type="expression" dxfId="238" priority="251">
      <formula>IF(OR(AND(E278="",F278="",OR(G278="Critical",G278="Major",G278="Minor"))),1,0)</formula>
    </cfRule>
  </conditionalFormatting>
  <conditionalFormatting sqref="G278">
    <cfRule type="expression" dxfId="237" priority="252">
      <formula>IF(OR(AND(G278="",H277="",OR(I278="Critical",I278="Major",I278="Minor"))),1,0)</formula>
    </cfRule>
  </conditionalFormatting>
  <conditionalFormatting sqref="F278">
    <cfRule type="expression" dxfId="236" priority="253">
      <formula>IF(OR(AND(F278="",G278="",OR(H277="Critical",H277="Major",H277="Minor"))),1,0)</formula>
    </cfRule>
  </conditionalFormatting>
  <conditionalFormatting sqref="F278">
    <cfRule type="expression" dxfId="235" priority="249">
      <formula>IF(AND(F278="",OR(E278="Accuracy",E278="Fluency",E278="Segment",E278="Other")),1,0)</formula>
    </cfRule>
  </conditionalFormatting>
  <conditionalFormatting sqref="G278">
    <cfRule type="expression" dxfId="234" priority="250">
      <formula>IF(AND(OR(G278="",#REF!="Segment"),OR(#REF!="Accuracy",#REF!="Fluency",#REF!="Other")),1,0)</formula>
    </cfRule>
  </conditionalFormatting>
  <conditionalFormatting sqref="E279">
    <cfRule type="expression" dxfId="233" priority="246">
      <formula>IF(OR(AND(E279="",F279="",OR(G279="Critical",G279="Major",G279="Minor"))),1,0)</formula>
    </cfRule>
  </conditionalFormatting>
  <conditionalFormatting sqref="G279">
    <cfRule type="expression" dxfId="232" priority="247">
      <formula>IF(OR(AND(G279="",H278="",OR(I279="Critical",I279="Major",I279="Minor"))),1,0)</formula>
    </cfRule>
  </conditionalFormatting>
  <conditionalFormatting sqref="F279">
    <cfRule type="expression" dxfId="231" priority="248">
      <formula>IF(OR(AND(F279="",G279="",OR(H278="Critical",H278="Major",H278="Minor"))),1,0)</formula>
    </cfRule>
  </conditionalFormatting>
  <conditionalFormatting sqref="F279">
    <cfRule type="expression" dxfId="230" priority="244">
      <formula>IF(AND(F279="",OR(E279="Accuracy",E279="Fluency",E279="Segment",E279="Other")),1,0)</formula>
    </cfRule>
  </conditionalFormatting>
  <conditionalFormatting sqref="G279">
    <cfRule type="expression" dxfId="229" priority="245">
      <formula>IF(AND(OR(G279="",#REF!="Segment"),OR(#REF!="Accuracy",#REF!="Fluency",#REF!="Other")),1,0)</formula>
    </cfRule>
  </conditionalFormatting>
  <conditionalFormatting sqref="E280:G280">
    <cfRule type="expression" dxfId="228" priority="242">
      <formula>IF(OR(AND(E280="",F280="",OR(G280="Critical",G280="Major",G280="Minor"))),1,0)</formula>
    </cfRule>
  </conditionalFormatting>
  <conditionalFormatting sqref="F280">
    <cfRule type="expression" dxfId="227" priority="241">
      <formula>IF(AND(F280="",OR(E280="Accuracy",E280="Fluency",E280="Segment",E280="Other")),1,0)</formula>
    </cfRule>
  </conditionalFormatting>
  <conditionalFormatting sqref="G280">
    <cfRule type="expression" dxfId="226" priority="243">
      <formula>IF(AND(OR(G280="",#REF!="Segment"),OR(#REF!="Accuracy",#REF!="Fluency",#REF!="Other")),1,0)</formula>
    </cfRule>
  </conditionalFormatting>
  <conditionalFormatting sqref="E282:G282">
    <cfRule type="expression" dxfId="225" priority="239">
      <formula>IF(OR(AND(E282="",F282="",OR(G282="Critical",G282="Major",G282="Minor"))),1,0)</formula>
    </cfRule>
  </conditionalFormatting>
  <conditionalFormatting sqref="F282">
    <cfRule type="expression" dxfId="224" priority="238">
      <formula>IF(AND(F282="",OR(E282="Accuracy",E282="Fluency",E282="Segment",E282="Other")),1,0)</formula>
    </cfRule>
  </conditionalFormatting>
  <conditionalFormatting sqref="G282">
    <cfRule type="expression" dxfId="223" priority="240">
      <formula>IF(AND(OR(G282="",#REF!="Segment"),OR(#REF!="Accuracy",#REF!="Fluency",#REF!="Other")),1,0)</formula>
    </cfRule>
  </conditionalFormatting>
  <conditionalFormatting sqref="E285:G285">
    <cfRule type="expression" dxfId="222" priority="236">
      <formula>IF(OR(AND(E285="",F285="",OR(G285="Critical",G285="Major",G285="Minor"))),1,0)</formula>
    </cfRule>
  </conditionalFormatting>
  <conditionalFormatting sqref="F285">
    <cfRule type="expression" dxfId="221" priority="235">
      <formula>IF(AND(F285="",OR(E285="Accuracy",E285="Fluency",E285="Segment",E285="Other")),1,0)</formula>
    </cfRule>
  </conditionalFormatting>
  <conditionalFormatting sqref="G285">
    <cfRule type="expression" dxfId="220" priority="237">
      <formula>IF(AND(OR(G285="",#REF!="Segment"),OR(#REF!="Accuracy",#REF!="Fluency",#REF!="Other")),1,0)</formula>
    </cfRule>
  </conditionalFormatting>
  <conditionalFormatting sqref="E286:G286">
    <cfRule type="expression" dxfId="219" priority="233">
      <formula>IF(OR(AND(E286="",F286="",OR(G286="Critical",G286="Major",G286="Minor"))),1,0)</formula>
    </cfRule>
  </conditionalFormatting>
  <conditionalFormatting sqref="F286">
    <cfRule type="expression" dxfId="218" priority="232">
      <formula>IF(AND(F286="",OR(E286="Accuracy",E286="Fluency",E286="Segment",E286="Other")),1,0)</formula>
    </cfRule>
  </conditionalFormatting>
  <conditionalFormatting sqref="G286">
    <cfRule type="expression" dxfId="217" priority="234">
      <formula>IF(AND(OR(G286="",#REF!="Segment"),OR(#REF!="Accuracy",#REF!="Fluency",#REF!="Other")),1,0)</formula>
    </cfRule>
  </conditionalFormatting>
  <conditionalFormatting sqref="E287:G287">
    <cfRule type="expression" dxfId="216" priority="230">
      <formula>IF(OR(AND(E287="",F287="",OR(G287="Critical",G287="Major",G287="Minor"))),1,0)</formula>
    </cfRule>
  </conditionalFormatting>
  <conditionalFormatting sqref="F287">
    <cfRule type="expression" dxfId="215" priority="229">
      <formula>IF(AND(F287="",OR(E287="Accuracy",E287="Fluency",E287="Segment",E287="Other")),1,0)</formula>
    </cfRule>
  </conditionalFormatting>
  <conditionalFormatting sqref="G287">
    <cfRule type="expression" dxfId="214" priority="231">
      <formula>IF(AND(OR(G287="",#REF!="Segment"),OR(#REF!="Accuracy",#REF!="Fluency",#REF!="Other")),1,0)</formula>
    </cfRule>
  </conditionalFormatting>
  <conditionalFormatting sqref="G288">
    <cfRule type="expression" dxfId="213" priority="227">
      <formula>IF(OR(AND(G288="",H288="",OR(I288="Critical",I288="Major",I288="Minor"))),1,0)</formula>
    </cfRule>
  </conditionalFormatting>
  <conditionalFormatting sqref="G288">
    <cfRule type="expression" dxfId="212" priority="228">
      <formula>IF(AND(OR(G288="",#REF!="Segment"),OR(#REF!="Accuracy",#REF!="Fluency",#REF!="Other")),1,0)</formula>
    </cfRule>
  </conditionalFormatting>
  <conditionalFormatting sqref="G290">
    <cfRule type="expression" dxfId="211" priority="224">
      <formula>IF(OR(AND(G290="",H290="",OR(I290="Critical",I290="Major",I290="Minor"))),1,0)</formula>
    </cfRule>
  </conditionalFormatting>
  <conditionalFormatting sqref="G290">
    <cfRule type="expression" dxfId="210" priority="225">
      <formula>IF(AND(OR(G290="",#REF!="Segment"),OR(#REF!="Accuracy",#REF!="Fluency",#REF!="Other")),1,0)</formula>
    </cfRule>
  </conditionalFormatting>
  <conditionalFormatting sqref="E290:F290">
    <cfRule type="expression" dxfId="209" priority="223">
      <formula>IF(OR(AND(E290="",F290="",OR(G290="Critical",G290="Major",G290="Minor"))),1,0)</formula>
    </cfRule>
  </conditionalFormatting>
  <conditionalFormatting sqref="F290">
    <cfRule type="expression" dxfId="208" priority="222">
      <formula>IF(AND(F290="",OR(E290="Accuracy",E290="Fluency",E290="Segment",E290="Other")),1,0)</formula>
    </cfRule>
  </conditionalFormatting>
  <conditionalFormatting sqref="G291">
    <cfRule type="expression" dxfId="207" priority="219">
      <formula>IF(AND(OR(G291="",#REF!="Segment"),OR(#REF!="Accuracy",#REF!="Fluency",#REF!="Other")),1,0)</formula>
    </cfRule>
  </conditionalFormatting>
  <conditionalFormatting sqref="G291">
    <cfRule type="expression" dxfId="206" priority="220">
      <formula>IF(OR(AND(G291="",H290="",OR(I291="Critical",I291="Major",I291="Minor"))),1,0)</formula>
    </cfRule>
  </conditionalFormatting>
  <conditionalFormatting sqref="E292">
    <cfRule type="expression" dxfId="205" priority="213">
      <formula>IF(OR(AND(E292="",F292="",OR(G292="Critical",G292="Major",G292="Minor"))),1,0)</formula>
    </cfRule>
  </conditionalFormatting>
  <conditionalFormatting sqref="F292">
    <cfRule type="expression" dxfId="204" priority="212">
      <formula>IF(AND(F292="",OR(E292="Accuracy",E292="Fluency",E292="Segment",E292="Other")),1,0)</formula>
    </cfRule>
  </conditionalFormatting>
  <conditionalFormatting sqref="G292">
    <cfRule type="expression" dxfId="203" priority="214">
      <formula>IF(AND(OR(G292="",#REF!="Segment"),OR(#REF!="Accuracy",#REF!="Fluency",#REF!="Other")),1,0)</formula>
    </cfRule>
  </conditionalFormatting>
  <conditionalFormatting sqref="G292">
    <cfRule type="expression" dxfId="202" priority="215">
      <formula>IF(OR(AND(G292="",H291="",OR(I292="Critical",I292="Major",I292="Minor"))),1,0)</formula>
    </cfRule>
  </conditionalFormatting>
  <conditionalFormatting sqref="F292">
    <cfRule type="expression" dxfId="201" priority="216">
      <formula>IF(OR(AND(F292="",G292="",OR(H291="Critical",H291="Major",H291="Minor"))),1,0)</formula>
    </cfRule>
  </conditionalFormatting>
  <conditionalFormatting sqref="E293">
    <cfRule type="expression" dxfId="200" priority="208">
      <formula>IF(OR(AND(E293="",F293="",OR(G293="Critical",G293="Major",G293="Minor"))),1,0)</formula>
    </cfRule>
  </conditionalFormatting>
  <conditionalFormatting sqref="F293">
    <cfRule type="expression" dxfId="199" priority="207">
      <formula>IF(AND(F293="",OR(E293="Accuracy",E293="Fluency",E293="Segment",E293="Other")),1,0)</formula>
    </cfRule>
  </conditionalFormatting>
  <conditionalFormatting sqref="G293">
    <cfRule type="expression" dxfId="198" priority="209">
      <formula>IF(AND(OR(G293="",#REF!="Segment"),OR(#REF!="Accuracy",#REF!="Fluency",#REF!="Other")),1,0)</formula>
    </cfRule>
  </conditionalFormatting>
  <conditionalFormatting sqref="G293">
    <cfRule type="expression" dxfId="197" priority="210">
      <formula>IF(OR(AND(G293="",H292="",OR(I293="Critical",I293="Major",I293="Minor"))),1,0)</formula>
    </cfRule>
  </conditionalFormatting>
  <conditionalFormatting sqref="F293">
    <cfRule type="expression" dxfId="196" priority="211">
      <formula>IF(OR(AND(F293="",G293="",OR(H292="Critical",H292="Major",H292="Minor"))),1,0)</formula>
    </cfRule>
  </conditionalFormatting>
  <conditionalFormatting sqref="G294">
    <cfRule type="expression" dxfId="195" priority="205">
      <formula>IF(OR(AND(G294="",H294="",OR(I294="Critical",I294="Major",I294="Minor"))),1,0)</formula>
    </cfRule>
  </conditionalFormatting>
  <conditionalFormatting sqref="G294">
    <cfRule type="expression" dxfId="194" priority="206">
      <formula>IF(AND(OR(G294="",#REF!="Segment"),OR(#REF!="Accuracy",#REF!="Fluency",#REF!="Other")),1,0)</formula>
    </cfRule>
  </conditionalFormatting>
  <conditionalFormatting sqref="E295">
    <cfRule type="expression" dxfId="193" priority="200">
      <formula>IF(OR(AND(E295="",F295="",OR(G295="Critical",G295="Major",G295="Minor"))),1,0)</formula>
    </cfRule>
  </conditionalFormatting>
  <conditionalFormatting sqref="F295">
    <cfRule type="expression" dxfId="192" priority="199">
      <formula>IF(AND(F295="",OR(E295="Accuracy",E295="Fluency",E295="Segment",E295="Other")),1,0)</formula>
    </cfRule>
  </conditionalFormatting>
  <conditionalFormatting sqref="G295">
    <cfRule type="expression" dxfId="191" priority="201">
      <formula>IF(AND(OR(G295="",#REF!="Segment"),OR(#REF!="Accuracy",#REF!="Fluency",#REF!="Other")),1,0)</formula>
    </cfRule>
  </conditionalFormatting>
  <conditionalFormatting sqref="G295">
    <cfRule type="expression" dxfId="190" priority="202">
      <formula>IF(OR(AND(G295="",H294="",OR(I295="Critical",I295="Major",I295="Minor"))),1,0)</formula>
    </cfRule>
  </conditionalFormatting>
  <conditionalFormatting sqref="F295">
    <cfRule type="expression" dxfId="189" priority="203">
      <formula>IF(OR(AND(F295="",G295="",OR(H294="Critical",H294="Major",H294="Minor"))),1,0)</formula>
    </cfRule>
  </conditionalFormatting>
  <conditionalFormatting sqref="E296">
    <cfRule type="expression" dxfId="188" priority="195">
      <formula>IF(OR(AND(E296="",F296="",OR(G296="Critical",G296="Major",G296="Minor"))),1,0)</formula>
    </cfRule>
  </conditionalFormatting>
  <conditionalFormatting sqref="F296">
    <cfRule type="expression" dxfId="187" priority="194">
      <formula>IF(AND(F296="",OR(E296="Accuracy",E296="Fluency",E296="Segment",E296="Other")),1,0)</formula>
    </cfRule>
  </conditionalFormatting>
  <conditionalFormatting sqref="G296">
    <cfRule type="expression" dxfId="186" priority="196">
      <formula>IF(AND(OR(G296="",#REF!="Segment"),OR(#REF!="Accuracy",#REF!="Fluency",#REF!="Other")),1,0)</formula>
    </cfRule>
  </conditionalFormatting>
  <conditionalFormatting sqref="G296">
    <cfRule type="expression" dxfId="185" priority="197">
      <formula>IF(OR(AND(G296="",H295="",OR(I296="Critical",I296="Major",I296="Minor"))),1,0)</formula>
    </cfRule>
  </conditionalFormatting>
  <conditionalFormatting sqref="F296">
    <cfRule type="expression" dxfId="184" priority="198">
      <formula>IF(OR(AND(F296="",G296="",OR(H295="Critical",H295="Major",H295="Minor"))),1,0)</formula>
    </cfRule>
  </conditionalFormatting>
  <conditionalFormatting sqref="E297:G297">
    <cfRule type="expression" dxfId="183" priority="192">
      <formula>IF(OR(AND(E297="",F297="",OR(G297="Critical",G297="Major",G297="Minor"))),1,0)</formula>
    </cfRule>
  </conditionalFormatting>
  <conditionalFormatting sqref="F297">
    <cfRule type="expression" dxfId="182" priority="191">
      <formula>IF(AND(F297="",OR(E297="Accuracy",E297="Fluency",E297="Segment",E297="Other")),1,0)</formula>
    </cfRule>
  </conditionalFormatting>
  <conditionalFormatting sqref="G297">
    <cfRule type="expression" dxfId="181" priority="193">
      <formula>IF(AND(OR(G297="",#REF!="Segment"),OR(#REF!="Accuracy",#REF!="Fluency",#REF!="Other")),1,0)</formula>
    </cfRule>
  </conditionalFormatting>
  <conditionalFormatting sqref="E298">
    <cfRule type="expression" dxfId="180" priority="187">
      <formula>IF(OR(AND(E298="",F298="",OR(G298="Critical",G298="Major",G298="Minor"))),1,0)</formula>
    </cfRule>
  </conditionalFormatting>
  <conditionalFormatting sqref="F298">
    <cfRule type="expression" dxfId="179" priority="186">
      <formula>IF(AND(F298="",OR(E298="Accuracy",E298="Fluency",E298="Segment",E298="Other")),1,0)</formula>
    </cfRule>
  </conditionalFormatting>
  <conditionalFormatting sqref="G298">
    <cfRule type="expression" dxfId="178" priority="188">
      <formula>IF(AND(OR(G298="",#REF!="Segment"),OR(#REF!="Accuracy",#REF!="Fluency",#REF!="Other")),1,0)</formula>
    </cfRule>
  </conditionalFormatting>
  <conditionalFormatting sqref="G298">
    <cfRule type="expression" dxfId="177" priority="189">
      <formula>IF(OR(AND(G298="",H297="",OR(I298="Critical",I298="Major",I298="Minor"))),1,0)</formula>
    </cfRule>
  </conditionalFormatting>
  <conditionalFormatting sqref="F298">
    <cfRule type="expression" dxfId="176" priority="190">
      <formula>IF(OR(AND(F298="",G298="",OR(H297="Critical",H297="Major",H297="Minor"))),1,0)</formula>
    </cfRule>
  </conditionalFormatting>
  <conditionalFormatting sqref="E303:G303">
    <cfRule type="expression" dxfId="175" priority="184">
      <formula>IF(OR(AND(E303="",F303="",OR(G303="Critical",G303="Major",G303="Minor"))),1,0)</formula>
    </cfRule>
  </conditionalFormatting>
  <conditionalFormatting sqref="F303">
    <cfRule type="expression" dxfId="174" priority="183">
      <formula>IF(AND(F303="",OR(E303="Accuracy",E303="Fluency",E303="Segment",E303="Other")),1,0)</formula>
    </cfRule>
  </conditionalFormatting>
  <conditionalFormatting sqref="G303">
    <cfRule type="expression" dxfId="173" priority="185">
      <formula>IF(AND(OR(G303="",#REF!="Segment"),OR(#REF!="Accuracy",#REF!="Fluency",#REF!="Other")),1,0)</formula>
    </cfRule>
  </conditionalFormatting>
  <conditionalFormatting sqref="G304">
    <cfRule type="expression" dxfId="172" priority="181">
      <formula>IF(OR(AND(G304="",H304="",OR(I304="Critical",I304="Major",I304="Minor"))),1,0)</formula>
    </cfRule>
  </conditionalFormatting>
  <conditionalFormatting sqref="G304">
    <cfRule type="expression" dxfId="171" priority="182">
      <formula>IF(AND(OR(G304="",#REF!="Segment"),OR(#REF!="Accuracy",#REF!="Fluency",#REF!="Other")),1,0)</formula>
    </cfRule>
  </conditionalFormatting>
  <conditionalFormatting sqref="E306:G306">
    <cfRule type="expression" dxfId="170" priority="178">
      <formula>IF(OR(AND(E306="",F306="",OR(G306="Critical",G306="Major",G306="Minor"))),1,0)</formula>
    </cfRule>
  </conditionalFormatting>
  <conditionalFormatting sqref="F306">
    <cfRule type="expression" dxfId="169" priority="177">
      <formula>IF(AND(F306="",OR(E306="Accuracy",E306="Fluency",E306="Segment",E306="Other")),1,0)</formula>
    </cfRule>
  </conditionalFormatting>
  <conditionalFormatting sqref="G306">
    <cfRule type="expression" dxfId="168" priority="179">
      <formula>IF(AND(OR(G306="",#REF!="Segment"),OR(#REF!="Accuracy",#REF!="Fluency",#REF!="Other")),1,0)</formula>
    </cfRule>
  </conditionalFormatting>
  <conditionalFormatting sqref="E307:G307">
    <cfRule type="expression" dxfId="167" priority="175">
      <formula>IF(OR(AND(E307="",F307="",OR(G307="Critical",G307="Major",G307="Minor"))),1,0)</formula>
    </cfRule>
  </conditionalFormatting>
  <conditionalFormatting sqref="F307">
    <cfRule type="expression" dxfId="166" priority="174">
      <formula>IF(AND(F307="",OR(E307="Accuracy",E307="Fluency",E307="Segment",E307="Other")),1,0)</formula>
    </cfRule>
  </conditionalFormatting>
  <conditionalFormatting sqref="G307">
    <cfRule type="expression" dxfId="165" priority="176">
      <formula>IF(AND(OR(G307="",#REF!="Segment"),OR(#REF!="Accuracy",#REF!="Fluency",#REF!="Other")),1,0)</formula>
    </cfRule>
  </conditionalFormatting>
  <conditionalFormatting sqref="E308:G308">
    <cfRule type="expression" dxfId="164" priority="172">
      <formula>IF(OR(AND(E308="",F308="",OR(G308="Critical",G308="Major",G308="Minor"))),1,0)</formula>
    </cfRule>
  </conditionalFormatting>
  <conditionalFormatting sqref="F308">
    <cfRule type="expression" dxfId="163" priority="171">
      <formula>IF(AND(F308="",OR(E308="Accuracy",E308="Fluency",E308="Segment",E308="Other")),1,0)</formula>
    </cfRule>
  </conditionalFormatting>
  <conditionalFormatting sqref="G308">
    <cfRule type="expression" dxfId="162" priority="173">
      <formula>IF(AND(OR(G308="",#REF!="Segment"),OR(#REF!="Accuracy",#REF!="Fluency",#REF!="Other")),1,0)</formula>
    </cfRule>
  </conditionalFormatting>
  <conditionalFormatting sqref="H391">
    <cfRule type="expression" dxfId="161" priority="170">
      <formula>IF(OR(AND(H391="",J391="",OR(#REF!="Critical",#REF!="Major",#REF!="Minor"))),1,0)</formula>
    </cfRule>
  </conditionalFormatting>
  <conditionalFormatting sqref="G391">
    <cfRule type="expression" dxfId="160" priority="168">
      <formula>IF(OR(AND(G391="",H391="",OR(I391="Critical",I391="Major",I391="Minor"))),1,0)</formula>
    </cfRule>
  </conditionalFormatting>
  <conditionalFormatting sqref="G391">
    <cfRule type="expression" dxfId="159" priority="169">
      <formula>IF(AND(OR(G391="",#REF!="Segment"),OR(#REF!="Accuracy",#REF!="Fluency",#REF!="Other")),1,0)</formula>
    </cfRule>
  </conditionalFormatting>
  <conditionalFormatting sqref="G392">
    <cfRule type="expression" dxfId="158" priority="165">
      <formula>IF(OR(AND(G392="",H392="",OR(I392="Critical",I392="Major",I392="Minor"))),1,0)</formula>
    </cfRule>
  </conditionalFormatting>
  <conditionalFormatting sqref="G392">
    <cfRule type="expression" dxfId="157" priority="166">
      <formula>IF(AND(OR(G392="",#REF!="Segment"),OR(#REF!="Accuracy",#REF!="Fluency",#REF!="Other")),1,0)</formula>
    </cfRule>
  </conditionalFormatting>
  <conditionalFormatting sqref="E393:G394">
    <cfRule type="expression" dxfId="156" priority="162">
      <formula>IF(OR(AND(E393="",F393="",OR(G393="Critical",G393="Major",G393="Minor"))),1,0)</formula>
    </cfRule>
  </conditionalFormatting>
  <conditionalFormatting sqref="F393:F394">
    <cfRule type="expression" dxfId="155" priority="161">
      <formula>IF(AND(F393="",OR(E393="Accuracy",E393="Fluency",E393="Segment",E393="Other")),1,0)</formula>
    </cfRule>
  </conditionalFormatting>
  <conditionalFormatting sqref="G393:G394">
    <cfRule type="expression" dxfId="154" priority="163">
      <formula>IF(AND(OR(G393="",#REF!="Segment"),OR(#REF!="Accuracy",#REF!="Fluency",#REF!="Other")),1,0)</formula>
    </cfRule>
  </conditionalFormatting>
  <conditionalFormatting sqref="G428 G410 E405:G405 E400:G400 G395 G401 E407:G407 G406 G408">
    <cfRule type="expression" dxfId="153" priority="159">
      <formula>IF(OR(AND(E395="",F395="",OR(G395="Critical",G395="Major",G395="Minor"))),1,0)</formula>
    </cfRule>
  </conditionalFormatting>
  <conditionalFormatting sqref="G428 G410 G405:G407 G400:G401 G395">
    <cfRule type="expression" dxfId="152" priority="160">
      <formula>IF(AND(OR(G395="",#REF!="Segment"),OR(#REF!="Accuracy",#REF!="Fluency",#REF!="Other")),1,0)</formula>
    </cfRule>
  </conditionalFormatting>
  <conditionalFormatting sqref="E395:F395">
    <cfRule type="expression" dxfId="151" priority="158">
      <formula>IF(OR(AND(E395="",F395="",OR(G395="Critical",G395="Major",G395="Minor"))),1,0)</formula>
    </cfRule>
  </conditionalFormatting>
  <conditionalFormatting sqref="F395">
    <cfRule type="expression" dxfId="150" priority="157">
      <formula>IF(AND(F395="",OR(E395="Accuracy",E395="Fluency",E395="Segment",E395="Other")),1,0)</formula>
    </cfRule>
  </conditionalFormatting>
  <conditionalFormatting sqref="G396">
    <cfRule type="expression" dxfId="149" priority="155">
      <formula>IF(OR(AND(G396="",H396="",OR(I396="Critical",I396="Major",I396="Minor"))),1,0)</formula>
    </cfRule>
  </conditionalFormatting>
  <conditionalFormatting sqref="G396">
    <cfRule type="expression" dxfId="148" priority="156">
      <formula>IF(AND(OR(G396="",#REF!="Segment"),OR(#REF!="Accuracy",#REF!="Fluency",#REF!="Other")),1,0)</formula>
    </cfRule>
  </conditionalFormatting>
  <conditionalFormatting sqref="G397">
    <cfRule type="expression" dxfId="147" priority="152">
      <formula>IF(OR(AND(G397="",H397="",OR(I397="Critical",I397="Major",I397="Minor"))),1,0)</formula>
    </cfRule>
  </conditionalFormatting>
  <conditionalFormatting sqref="G397">
    <cfRule type="expression" dxfId="146" priority="153">
      <formula>IF(AND(OR(G397="",#REF!="Segment"),OR(#REF!="Accuracy",#REF!="Fluency",#REF!="Other")),1,0)</formula>
    </cfRule>
  </conditionalFormatting>
  <conditionalFormatting sqref="E398:G398">
    <cfRule type="expression" dxfId="145" priority="149">
      <formula>IF(OR(AND(E398="",F398="",OR(G398="Critical",G398="Major",G398="Minor"))),1,0)</formula>
    </cfRule>
  </conditionalFormatting>
  <conditionalFormatting sqref="F398">
    <cfRule type="expression" dxfId="144" priority="148">
      <formula>IF(AND(F398="",OR(E398="Accuracy",E398="Fluency",E398="Segment",E398="Other")),1,0)</formula>
    </cfRule>
  </conditionalFormatting>
  <conditionalFormatting sqref="G398">
    <cfRule type="expression" dxfId="143" priority="150">
      <formula>IF(AND(OR(G398="",#REF!="Segment"),OR(#REF!="Accuracy",#REF!="Fluency",#REF!="Other")),1,0)</formula>
    </cfRule>
  </conditionalFormatting>
  <conditionalFormatting sqref="E399:G399">
    <cfRule type="expression" dxfId="142" priority="146">
      <formula>IF(OR(AND(E399="",F399="",OR(G399="Critical",G399="Major",G399="Minor"))),1,0)</formula>
    </cfRule>
  </conditionalFormatting>
  <conditionalFormatting sqref="F399">
    <cfRule type="expression" dxfId="141" priority="145">
      <formula>IF(AND(F399="",OR(E399="Accuracy",E399="Fluency",E399="Segment",E399="Other")),1,0)</formula>
    </cfRule>
  </conditionalFormatting>
  <conditionalFormatting sqref="G399">
    <cfRule type="expression" dxfId="140" priority="147">
      <formula>IF(AND(OR(G399="",#REF!="Segment"),OR(#REF!="Accuracy",#REF!="Fluency",#REF!="Other")),1,0)</formula>
    </cfRule>
  </conditionalFormatting>
  <conditionalFormatting sqref="F405 F400 F407">
    <cfRule type="expression" dxfId="139" priority="144">
      <formula>IF(AND(F400="",OR(E400="Accuracy",E400="Fluency",E400="Segment",E400="Other")),1,0)</formula>
    </cfRule>
  </conditionalFormatting>
  <conditionalFormatting sqref="E403:G403">
    <cfRule type="expression" dxfId="138" priority="142">
      <formula>IF(OR(AND(E403="",F403="",OR(G403="Critical",G403="Major",G403="Minor"))),1,0)</formula>
    </cfRule>
  </conditionalFormatting>
  <conditionalFormatting sqref="F403">
    <cfRule type="expression" dxfId="137" priority="141">
      <formula>IF(AND(F403="",OR(E403="Accuracy",E403="Fluency",E403="Segment",E403="Other")),1,0)</formula>
    </cfRule>
  </conditionalFormatting>
  <conditionalFormatting sqref="G403">
    <cfRule type="expression" dxfId="136" priority="143">
      <formula>IF(AND(OR(G403="",#REF!="Segment"),OR(#REF!="Accuracy",#REF!="Fluency",#REF!="Other")),1,0)</formula>
    </cfRule>
  </conditionalFormatting>
  <conditionalFormatting sqref="E402:G402">
    <cfRule type="expression" dxfId="135" priority="139">
      <formula>IF(OR(AND(E402="",F402="",OR(G402="Critical",G402="Major",G402="Minor"))),1,0)</formula>
    </cfRule>
  </conditionalFormatting>
  <conditionalFormatting sqref="F402">
    <cfRule type="expression" dxfId="134" priority="138">
      <formula>IF(AND(F402="",OR(E402="Accuracy",E402="Fluency",E402="Segment",E402="Other")),1,0)</formula>
    </cfRule>
  </conditionalFormatting>
  <conditionalFormatting sqref="G402">
    <cfRule type="expression" dxfId="133" priority="140">
      <formula>IF(AND(OR(G402="",#REF!="Segment"),OR(#REF!="Accuracy",#REF!="Fluency",#REF!="Other")),1,0)</formula>
    </cfRule>
  </conditionalFormatting>
  <conditionalFormatting sqref="E404:G404">
    <cfRule type="expression" dxfId="132" priority="136">
      <formula>IF(OR(AND(E404="",F404="",OR(G404="Critical",G404="Major",G404="Minor"))),1,0)</formula>
    </cfRule>
  </conditionalFormatting>
  <conditionalFormatting sqref="F404">
    <cfRule type="expression" dxfId="131" priority="135">
      <formula>IF(AND(F404="",OR(E404="Accuracy",E404="Fluency",E404="Segment",E404="Other")),1,0)</formula>
    </cfRule>
  </conditionalFormatting>
  <conditionalFormatting sqref="G404">
    <cfRule type="expression" dxfId="130" priority="137">
      <formula>IF(AND(OR(G404="",#REF!="Segment"),OR(#REF!="Accuracy",#REF!="Fluency",#REF!="Other")),1,0)</formula>
    </cfRule>
  </conditionalFormatting>
  <conditionalFormatting sqref="G408">
    <cfRule type="expression" dxfId="129" priority="134">
      <formula>IF(AND(OR(G408="",#REF!="Segment"),OR(#REF!="Accuracy",#REF!="Fluency",#REF!="Other")),1,0)</formula>
    </cfRule>
  </conditionalFormatting>
  <conditionalFormatting sqref="E409:G409">
    <cfRule type="expression" dxfId="128" priority="132">
      <formula>IF(OR(AND(E409="",F409="",OR(G409="Critical",G409="Major",G409="Minor"))),1,0)</formula>
    </cfRule>
  </conditionalFormatting>
  <conditionalFormatting sqref="F409">
    <cfRule type="expression" dxfId="127" priority="131">
      <formula>IF(AND(F409="",OR(E409="Accuracy",E409="Fluency",E409="Segment",E409="Other")),1,0)</formula>
    </cfRule>
  </conditionalFormatting>
  <conditionalFormatting sqref="G409">
    <cfRule type="expression" dxfId="126" priority="133">
      <formula>IF(AND(OR(G409="",#REF!="Segment"),OR(#REF!="Accuracy",#REF!="Fluency",#REF!="Other")),1,0)</formula>
    </cfRule>
  </conditionalFormatting>
  <conditionalFormatting sqref="E411:G411">
    <cfRule type="expression" dxfId="125" priority="129">
      <formula>IF(OR(AND(E411="",F411="",OR(G411="Critical",G411="Major",G411="Minor"))),1,0)</formula>
    </cfRule>
  </conditionalFormatting>
  <conditionalFormatting sqref="F411">
    <cfRule type="expression" dxfId="124" priority="128">
      <formula>IF(AND(F411="",OR(E411="Accuracy",E411="Fluency",E411="Segment",E411="Other")),1,0)</formula>
    </cfRule>
  </conditionalFormatting>
  <conditionalFormatting sqref="G411">
    <cfRule type="expression" dxfId="123" priority="130">
      <formula>IF(AND(OR(G411="",#REF!="Segment"),OR(#REF!="Accuracy",#REF!="Fluency",#REF!="Other")),1,0)</formula>
    </cfRule>
  </conditionalFormatting>
  <conditionalFormatting sqref="E412:G412">
    <cfRule type="expression" dxfId="122" priority="126">
      <formula>IF(OR(AND(E412="",F412="",OR(G412="Critical",G412="Major",G412="Minor"))),1,0)</formula>
    </cfRule>
  </conditionalFormatting>
  <conditionalFormatting sqref="F412">
    <cfRule type="expression" dxfId="121" priority="125">
      <formula>IF(AND(F412="",OR(E412="Accuracy",E412="Fluency",E412="Segment",E412="Other")),1,0)</formula>
    </cfRule>
  </conditionalFormatting>
  <conditionalFormatting sqref="G412">
    <cfRule type="expression" dxfId="120" priority="127">
      <formula>IF(AND(OR(G412="",#REF!="Segment"),OR(#REF!="Accuracy",#REF!="Fluency",#REF!="Other")),1,0)</formula>
    </cfRule>
  </conditionalFormatting>
  <conditionalFormatting sqref="G413">
    <cfRule type="expression" dxfId="119" priority="123">
      <formula>IF(OR(AND(G413="",H413="",OR(I413="Critical",I413="Major",I413="Minor"))),1,0)</formula>
    </cfRule>
  </conditionalFormatting>
  <conditionalFormatting sqref="G413">
    <cfRule type="expression" dxfId="118" priority="124">
      <formula>IF(AND(OR(G413="",#REF!="Segment"),OR(#REF!="Accuracy",#REF!="Fluency",#REF!="Other")),1,0)</formula>
    </cfRule>
  </conditionalFormatting>
  <conditionalFormatting sqref="E413:F413">
    <cfRule type="expression" dxfId="117" priority="122">
      <formula>IF(OR(AND(E413="",F413="",OR(G413="Critical",G413="Major",G413="Minor"))),1,0)</formula>
    </cfRule>
  </conditionalFormatting>
  <conditionalFormatting sqref="F413">
    <cfRule type="expression" dxfId="116" priority="121">
      <formula>IF(AND(F413="",OR(E413="Accuracy",E413="Fluency",E413="Segment",E413="Other")),1,0)</formula>
    </cfRule>
  </conditionalFormatting>
  <conditionalFormatting sqref="E415:G415">
    <cfRule type="expression" dxfId="115" priority="119">
      <formula>IF(OR(AND(E415="",F415="",OR(G415="Critical",G415="Major",G415="Minor"))),1,0)</formula>
    </cfRule>
  </conditionalFormatting>
  <conditionalFormatting sqref="F415">
    <cfRule type="expression" dxfId="114" priority="118">
      <formula>IF(AND(F415="",OR(E415="Accuracy",E415="Fluency",E415="Segment",E415="Other")),1,0)</formula>
    </cfRule>
  </conditionalFormatting>
  <conditionalFormatting sqref="G415">
    <cfRule type="expression" dxfId="113" priority="120">
      <formula>IF(AND(OR(G415="",#REF!="Segment"),OR(#REF!="Accuracy",#REF!="Fluency",#REF!="Other")),1,0)</formula>
    </cfRule>
  </conditionalFormatting>
  <conditionalFormatting sqref="G414">
    <cfRule type="expression" dxfId="112" priority="116">
      <formula>IF(OR(AND(G414="",H414="",OR(I414="Critical",I414="Major",I414="Minor"))),1,0)</formula>
    </cfRule>
  </conditionalFormatting>
  <conditionalFormatting sqref="G414">
    <cfRule type="expression" dxfId="111" priority="117">
      <formula>IF(AND(OR(G414="",#REF!="Segment"),OR(#REF!="Accuracy",#REF!="Fluency",#REF!="Other")),1,0)</formula>
    </cfRule>
  </conditionalFormatting>
  <conditionalFormatting sqref="E416:G416">
    <cfRule type="expression" dxfId="110" priority="113">
      <formula>IF(OR(AND(E416="",F416="",OR(G416="Critical",G416="Major",G416="Minor"))),1,0)</formula>
    </cfRule>
  </conditionalFormatting>
  <conditionalFormatting sqref="F416">
    <cfRule type="expression" dxfId="109" priority="112">
      <formula>IF(AND(F416="",OR(E416="Accuracy",E416="Fluency",E416="Segment",E416="Other")),1,0)</formula>
    </cfRule>
  </conditionalFormatting>
  <conditionalFormatting sqref="G416">
    <cfRule type="expression" dxfId="108" priority="114">
      <formula>IF(AND(OR(G416="",#REF!="Segment"),OR(#REF!="Accuracy",#REF!="Fluency",#REF!="Other")),1,0)</formula>
    </cfRule>
  </conditionalFormatting>
  <conditionalFormatting sqref="G417">
    <cfRule type="expression" dxfId="107" priority="110">
      <formula>IF(OR(AND(G417="",H417="",OR(I417="Critical",I417="Major",I417="Minor"))),1,0)</formula>
    </cfRule>
  </conditionalFormatting>
  <conditionalFormatting sqref="G417">
    <cfRule type="expression" dxfId="106" priority="111">
      <formula>IF(AND(OR(G417="",#REF!="Segment"),OR(#REF!="Accuracy",#REF!="Fluency",#REF!="Other")),1,0)</formula>
    </cfRule>
  </conditionalFormatting>
  <conditionalFormatting sqref="G418">
    <cfRule type="expression" dxfId="105" priority="107">
      <formula>IF(OR(AND(G418="",H418="",OR(I418="Critical",I418="Major",I418="Minor"))),1,0)</formula>
    </cfRule>
  </conditionalFormatting>
  <conditionalFormatting sqref="G418">
    <cfRule type="expression" dxfId="104" priority="108">
      <formula>IF(AND(OR(G418="",#REF!="Segment"),OR(#REF!="Accuracy",#REF!="Fluency",#REF!="Other")),1,0)</formula>
    </cfRule>
  </conditionalFormatting>
  <conditionalFormatting sqref="E419:G419">
    <cfRule type="expression" dxfId="103" priority="104">
      <formula>IF(OR(AND(E419="",F419="",OR(G419="Critical",G419="Major",G419="Minor"))),1,0)</formula>
    </cfRule>
  </conditionalFormatting>
  <conditionalFormatting sqref="F419">
    <cfRule type="expression" dxfId="102" priority="103">
      <formula>IF(AND(F419="",OR(E419="Accuracy",E419="Fluency",E419="Segment",E419="Other")),1,0)</formula>
    </cfRule>
  </conditionalFormatting>
  <conditionalFormatting sqref="G419">
    <cfRule type="expression" dxfId="101" priority="105">
      <formula>IF(AND(OR(G419="",#REF!="Segment"),OR(#REF!="Accuracy",#REF!="Fluency",#REF!="Other")),1,0)</formula>
    </cfRule>
  </conditionalFormatting>
  <conditionalFormatting sqref="E420:G420">
    <cfRule type="expression" dxfId="100" priority="101">
      <formula>IF(OR(AND(E420="",F420="",OR(G420="Critical",G420="Major",G420="Minor"))),1,0)</formula>
    </cfRule>
  </conditionalFormatting>
  <conditionalFormatting sqref="F420">
    <cfRule type="expression" dxfId="99" priority="100">
      <formula>IF(AND(F420="",OR(E420="Accuracy",E420="Fluency",E420="Segment",E420="Other")),1,0)</formula>
    </cfRule>
  </conditionalFormatting>
  <conditionalFormatting sqref="G420">
    <cfRule type="expression" dxfId="98" priority="102">
      <formula>IF(AND(OR(G420="",#REF!="Segment"),OR(#REF!="Accuracy",#REF!="Fluency",#REF!="Other")),1,0)</formula>
    </cfRule>
  </conditionalFormatting>
  <conditionalFormatting sqref="G421">
    <cfRule type="expression" dxfId="97" priority="98">
      <formula>IF(OR(AND(G421="",H421="",OR(I421="Critical",I421="Major",I421="Minor"))),1,0)</formula>
    </cfRule>
  </conditionalFormatting>
  <conditionalFormatting sqref="G421">
    <cfRule type="expression" dxfId="96" priority="99">
      <formula>IF(AND(OR(G421="",#REF!="Segment"),OR(#REF!="Accuracy",#REF!="Fluency",#REF!="Other")),1,0)</formula>
    </cfRule>
  </conditionalFormatting>
  <conditionalFormatting sqref="G422">
    <cfRule type="expression" dxfId="95" priority="95">
      <formula>IF(OR(AND(G422="",H422="",OR(I422="Critical",I422="Major",I422="Minor"))),1,0)</formula>
    </cfRule>
  </conditionalFormatting>
  <conditionalFormatting sqref="G422">
    <cfRule type="expression" dxfId="94" priority="96">
      <formula>IF(AND(OR(G422="",#REF!="Segment"),OR(#REF!="Accuracy",#REF!="Fluency",#REF!="Other")),1,0)</formula>
    </cfRule>
  </conditionalFormatting>
  <conditionalFormatting sqref="E423:G423">
    <cfRule type="expression" dxfId="93" priority="92">
      <formula>IF(OR(AND(E423="",F423="",OR(G423="Critical",G423="Major",G423="Minor"))),1,0)</formula>
    </cfRule>
  </conditionalFormatting>
  <conditionalFormatting sqref="F423">
    <cfRule type="expression" dxfId="92" priority="91">
      <formula>IF(AND(F423="",OR(E423="Accuracy",E423="Fluency",E423="Segment",E423="Other")),1,0)</formula>
    </cfRule>
  </conditionalFormatting>
  <conditionalFormatting sqref="G423">
    <cfRule type="expression" dxfId="91" priority="93">
      <formula>IF(AND(OR(G423="",#REF!="Segment"),OR(#REF!="Accuracy",#REF!="Fluency",#REF!="Other")),1,0)</formula>
    </cfRule>
  </conditionalFormatting>
  <conditionalFormatting sqref="E424:G424">
    <cfRule type="expression" dxfId="90" priority="89">
      <formula>IF(OR(AND(E424="",F424="",OR(G424="Critical",G424="Major",G424="Minor"))),1,0)</formula>
    </cfRule>
  </conditionalFormatting>
  <conditionalFormatting sqref="F424">
    <cfRule type="expression" dxfId="89" priority="88">
      <formula>IF(AND(F424="",OR(E424="Accuracy",E424="Fluency",E424="Segment",E424="Other")),1,0)</formula>
    </cfRule>
  </conditionalFormatting>
  <conditionalFormatting sqref="G424">
    <cfRule type="expression" dxfId="88" priority="90">
      <formula>IF(AND(OR(G424="",#REF!="Segment"),OR(#REF!="Accuracy",#REF!="Fluency",#REF!="Other")),1,0)</formula>
    </cfRule>
  </conditionalFormatting>
  <conditionalFormatting sqref="E425:G425">
    <cfRule type="expression" dxfId="87" priority="86">
      <formula>IF(OR(AND(E425="",F425="",OR(G425="Critical",G425="Major",G425="Minor"))),1,0)</formula>
    </cfRule>
  </conditionalFormatting>
  <conditionalFormatting sqref="F425">
    <cfRule type="expression" dxfId="86" priority="85">
      <formula>IF(AND(F425="",OR(E425="Accuracy",E425="Fluency",E425="Segment",E425="Other")),1,0)</formula>
    </cfRule>
  </conditionalFormatting>
  <conditionalFormatting sqref="G425">
    <cfRule type="expression" dxfId="85" priority="87">
      <formula>IF(AND(OR(G425="",#REF!="Segment"),OR(#REF!="Accuracy",#REF!="Fluency",#REF!="Other")),1,0)</formula>
    </cfRule>
  </conditionalFormatting>
  <conditionalFormatting sqref="E426:G426">
    <cfRule type="expression" dxfId="84" priority="83">
      <formula>IF(OR(AND(E426="",F426="",OR(G426="Critical",G426="Major",G426="Minor"))),1,0)</formula>
    </cfRule>
  </conditionalFormatting>
  <conditionalFormatting sqref="F426">
    <cfRule type="expression" dxfId="83" priority="82">
      <formula>IF(AND(F426="",OR(E426="Accuracy",E426="Fluency",E426="Segment",E426="Other")),1,0)</formula>
    </cfRule>
  </conditionalFormatting>
  <conditionalFormatting sqref="G426">
    <cfRule type="expression" dxfId="82" priority="84">
      <formula>IF(AND(OR(G426="",#REF!="Segment"),OR(#REF!="Accuracy",#REF!="Fluency",#REF!="Other")),1,0)</formula>
    </cfRule>
  </conditionalFormatting>
  <conditionalFormatting sqref="F427">
    <cfRule type="expression" dxfId="81" priority="79">
      <formula>IF(AND(F427="",OR(E427="Accuracy",E427="Fluency",E427="Segment",E427="Other")),1,0)</formula>
    </cfRule>
  </conditionalFormatting>
  <conditionalFormatting sqref="E427:G427">
    <cfRule type="expression" dxfId="80" priority="80">
      <formula>IF(OR(AND(E427="",F427="",OR(G427="Critical",G427="Major",G427="Minor"))),1,0)</formula>
    </cfRule>
  </conditionalFormatting>
  <conditionalFormatting sqref="G427">
    <cfRule type="expression" dxfId="79" priority="81">
      <formula>IF(AND(OR(G427="",#REF!="Segment"),OR(#REF!="Accuracy",#REF!="Fluency",#REF!="Other")),1,0)</formula>
    </cfRule>
  </conditionalFormatting>
  <conditionalFormatting sqref="G429">
    <cfRule type="expression" dxfId="78" priority="77">
      <formula>IF(OR(AND(G429="",H429="",OR(I429="Critical",I429="Major",I429="Minor"))),1,0)</formula>
    </cfRule>
  </conditionalFormatting>
  <conditionalFormatting sqref="G429">
    <cfRule type="expression" dxfId="77" priority="78">
      <formula>IF(AND(OR(G429="",#REF!="Segment"),OR(#REF!="Accuracy",#REF!="Fluency",#REF!="Other")),1,0)</formula>
    </cfRule>
  </conditionalFormatting>
  <conditionalFormatting sqref="E430:G431">
    <cfRule type="expression" dxfId="76" priority="74">
      <formula>IF(OR(AND(E430="",F430="",OR(G430="Critical",G430="Major",G430="Minor"))),1,0)</formula>
    </cfRule>
  </conditionalFormatting>
  <conditionalFormatting sqref="F430:F431">
    <cfRule type="expression" dxfId="75" priority="73">
      <formula>IF(AND(F430="",OR(E430="Accuracy",E430="Fluency",E430="Segment",E430="Other")),1,0)</formula>
    </cfRule>
  </conditionalFormatting>
  <conditionalFormatting sqref="G430:G431">
    <cfRule type="expression" dxfId="74" priority="75">
      <formula>IF(AND(OR(G430="",#REF!="Segment"),OR(#REF!="Accuracy",#REF!="Fluency",#REF!="Other")),1,0)</formula>
    </cfRule>
  </conditionalFormatting>
  <conditionalFormatting sqref="E433:E434">
    <cfRule type="expression" dxfId="73" priority="67">
      <formula>IF(OR(AND(E433="",F433="",OR(G433="Critical",G433="Major",G433="Minor"))),1,0)</formula>
    </cfRule>
  </conditionalFormatting>
  <conditionalFormatting sqref="F433:F434">
    <cfRule type="expression" dxfId="72" priority="65">
      <formula>IF(OR(AND(F433="",G433="",OR(H431="Critical",H431="Major",H431="Minor"))),1,0)</formula>
    </cfRule>
  </conditionalFormatting>
  <conditionalFormatting sqref="G433:G434">
    <cfRule type="expression" dxfId="71" priority="66">
      <formula>IF(OR(AND(G433="",H431="",OR(I431="Critical",I431="Major",I431="Minor"))),1,0)</formula>
    </cfRule>
  </conditionalFormatting>
  <conditionalFormatting sqref="F433:F434">
    <cfRule type="expression" dxfId="70" priority="63">
      <formula>IF(AND(F433="",OR(E433="Accuracy",E433="Fluency",E433="Segment",E433="Other")),1,0)</formula>
    </cfRule>
  </conditionalFormatting>
  <conditionalFormatting sqref="G433:G434">
    <cfRule type="expression" dxfId="69" priority="64">
      <formula>IF(AND(OR(G433="",#REF!="Segment"),OR(#REF!="Accuracy",#REF!="Fluency",#REF!="Other")),1,0)</formula>
    </cfRule>
  </conditionalFormatting>
  <conditionalFormatting sqref="E432">
    <cfRule type="expression" dxfId="68" priority="72">
      <formula>IF(OR(AND(E432="",F432="",OR(G432="Critical",G432="Major",G432="Minor"))),1,0)</formula>
    </cfRule>
  </conditionalFormatting>
  <conditionalFormatting sqref="F432">
    <cfRule type="expression" dxfId="67" priority="70">
      <formula>IF(OR(AND(F432="",G432="",OR(H430="Critical",H430="Major",H430="Minor"))),1,0)</formula>
    </cfRule>
  </conditionalFormatting>
  <conditionalFormatting sqref="G432">
    <cfRule type="expression" dxfId="66" priority="71">
      <formula>IF(OR(AND(G432="",H430="",OR(I430="Critical",I430="Major",I430="Minor"))),1,0)</formula>
    </cfRule>
  </conditionalFormatting>
  <conditionalFormatting sqref="F432">
    <cfRule type="expression" dxfId="65" priority="68">
      <formula>IF(AND(F432="",OR(E432="Accuracy",E432="Fluency",E432="Segment",E432="Other")),1,0)</formula>
    </cfRule>
  </conditionalFormatting>
  <conditionalFormatting sqref="G432">
    <cfRule type="expression" dxfId="64" priority="69">
      <formula>IF(AND(OR(G432="",#REF!="Segment"),OR(#REF!="Accuracy",#REF!="Fluency",#REF!="Other")),1,0)</formula>
    </cfRule>
  </conditionalFormatting>
  <conditionalFormatting sqref="G44">
    <cfRule type="expression" dxfId="63" priority="3338">
      <formula>IF(OR(AND(G44="",#REF!="",OR(I44="Critical",I44="Major",I44="Minor"))),1,0)</formula>
    </cfRule>
  </conditionalFormatting>
  <conditionalFormatting sqref="F44">
    <cfRule type="expression" dxfId="62" priority="3339">
      <formula>IF(OR(AND(F44="",G44="",OR(#REF!="Critical",#REF!="Major",#REF!="Minor"))),1,0)</formula>
    </cfRule>
  </conditionalFormatting>
  <conditionalFormatting sqref="E435:G439">
    <cfRule type="expression" dxfId="61" priority="60">
      <formula>IF(OR(AND(E435="",F435="",OR(G435="Critical",G435="Major",G435="Minor"))),1,0)</formula>
    </cfRule>
  </conditionalFormatting>
  <conditionalFormatting sqref="F435:F439">
    <cfRule type="expression" dxfId="60" priority="59">
      <formula>IF(AND(F435="",OR(E435="Accuracy",E435="Fluency",E435="Segment",E435="Other")),1,0)</formula>
    </cfRule>
  </conditionalFormatting>
  <conditionalFormatting sqref="H435:H442">
    <cfRule type="expression" dxfId="59" priority="61">
      <formula>IF(OR(AND(H435="",J435="",OR(#REF!="Critical",#REF!="Major",#REF!="Minor"))),1,0)</formula>
    </cfRule>
  </conditionalFormatting>
  <conditionalFormatting sqref="G435:G439">
    <cfRule type="expression" dxfId="58" priority="62">
      <formula>IF(AND(OR(G435="",#REF!="Segment"),OR(#REF!="Accuracy",#REF!="Fluency",#REF!="Other")),1,0)</formula>
    </cfRule>
  </conditionalFormatting>
  <conditionalFormatting sqref="E440:G440">
    <cfRule type="expression" dxfId="57" priority="57">
      <formula>IF(OR(AND(E440="",F440="",OR(G440="Critical",G440="Major",G440="Minor"))),1,0)</formula>
    </cfRule>
  </conditionalFormatting>
  <conditionalFormatting sqref="F440">
    <cfRule type="expression" dxfId="56" priority="56">
      <formula>IF(AND(F440="",OR(E440="Accuracy",E440="Fluency",E440="Segment",E440="Other")),1,0)</formula>
    </cfRule>
  </conditionalFormatting>
  <conditionalFormatting sqref="G440">
    <cfRule type="expression" dxfId="55" priority="58">
      <formula>IF(AND(OR(G440="",#REF!="Segment"),OR(#REF!="Accuracy",#REF!="Fluency",#REF!="Other")),1,0)</formula>
    </cfRule>
  </conditionalFormatting>
  <conditionalFormatting sqref="E441:G442">
    <cfRule type="expression" dxfId="54" priority="54">
      <formula>IF(OR(AND(E441="",F441="",OR(G441="Critical",G441="Major",G441="Minor"))),1,0)</formula>
    </cfRule>
  </conditionalFormatting>
  <conditionalFormatting sqref="F441:F442">
    <cfRule type="expression" dxfId="53" priority="53">
      <formula>IF(AND(F441="",OR(E441="Accuracy",E441="Fluency",E441="Segment",E441="Other")),1,0)</formula>
    </cfRule>
  </conditionalFormatting>
  <conditionalFormatting sqref="G441:G442">
    <cfRule type="expression" dxfId="52" priority="55">
      <formula>IF(AND(OR(G441="",#REF!="Segment"),OR(#REF!="Accuracy",#REF!="Fluency",#REF!="Other")),1,0)</formula>
    </cfRule>
  </conditionalFormatting>
  <conditionalFormatting sqref="E443:G443">
    <cfRule type="expression" dxfId="51" priority="51">
      <formula>IF(OR(AND(E443="",F443="",OR(G443="Critical",G443="Major",G443="Minor"))),1,0)</formula>
    </cfRule>
  </conditionalFormatting>
  <conditionalFormatting sqref="F443">
    <cfRule type="expression" dxfId="50" priority="50">
      <formula>IF(AND(F443="",OR(E443="Accuracy",E443="Fluency",E443="Segment",E443="Other")),1,0)</formula>
    </cfRule>
  </conditionalFormatting>
  <conditionalFormatting sqref="G443">
    <cfRule type="expression" dxfId="49" priority="52">
      <formula>IF(AND(OR(G443="",#REF!="Segment"),OR(#REF!="Accuracy",#REF!="Fluency",#REF!="Other")),1,0)</formula>
    </cfRule>
  </conditionalFormatting>
  <conditionalFormatting sqref="E444:F444">
    <cfRule type="expression" dxfId="48" priority="49">
      <formula>IF(OR(AND(E444="",F444="",OR(G444="Critical",G444="Major",G444="Minor"))),1,0)</formula>
    </cfRule>
  </conditionalFormatting>
  <conditionalFormatting sqref="F444">
    <cfRule type="expression" dxfId="47" priority="48">
      <formula>IF(AND(F444="",OR(E444="Accuracy",E444="Fluency",E444="Segment",E444="Other")),1,0)</formula>
    </cfRule>
  </conditionalFormatting>
  <conditionalFormatting sqref="G444">
    <cfRule type="expression" dxfId="46" priority="46">
      <formula>IF(OR(AND(G444="",H444="",OR(I444="Critical",I444="Major",I444="Minor"))),1,0)</formula>
    </cfRule>
  </conditionalFormatting>
  <conditionalFormatting sqref="G444">
    <cfRule type="expression" dxfId="45" priority="47">
      <formula>IF(AND(OR(G444="",#REF!="Segment"),OR(#REF!="Accuracy",#REF!="Fluency",#REF!="Other")),1,0)</formula>
    </cfRule>
  </conditionalFormatting>
  <conditionalFormatting sqref="E445:F445 E447:F447">
    <cfRule type="expression" dxfId="44" priority="45">
      <formula>IF(OR(AND(E445="",F445="",OR(G445="Critical",G445="Major",G445="Minor"))),1,0)</formula>
    </cfRule>
  </conditionalFormatting>
  <conditionalFormatting sqref="F445 F447">
    <cfRule type="expression" dxfId="43" priority="44">
      <formula>IF(AND(F445="",OR(E445="Accuracy",E445="Fluency",E445="Segment",E445="Other")),1,0)</formula>
    </cfRule>
  </conditionalFormatting>
  <conditionalFormatting sqref="G445 G447">
    <cfRule type="expression" dxfId="42" priority="43">
      <formula>IF(OR(AND(G445="",H445="",OR(I445="Critical",I445="Major",I445="Minor"))),1,0)</formula>
    </cfRule>
  </conditionalFormatting>
  <conditionalFormatting sqref="G445 G447">
    <cfRule type="expression" dxfId="41" priority="42">
      <formula>IF(AND(OR(G445="",#REF!="Segment"),OR(#REF!="Accuracy",#REF!="Fluency",#REF!="Other")),1,0)</formula>
    </cfRule>
  </conditionalFormatting>
  <conditionalFormatting sqref="E446:F446">
    <cfRule type="expression" dxfId="40" priority="41">
      <formula>IF(OR(AND(E446="",F446="",OR(G446="Critical",G446="Major",G446="Minor"))),1,0)</formula>
    </cfRule>
  </conditionalFormatting>
  <conditionalFormatting sqref="F446">
    <cfRule type="expression" dxfId="39" priority="40">
      <formula>IF(AND(F446="",OR(E446="Accuracy",E446="Fluency",E446="Segment",E446="Other")),1,0)</formula>
    </cfRule>
  </conditionalFormatting>
  <conditionalFormatting sqref="G446">
    <cfRule type="expression" dxfId="38" priority="39">
      <formula>IF(OR(AND(G446="",H446="",OR(I446="Critical",I446="Major",I446="Minor"))),1,0)</formula>
    </cfRule>
  </conditionalFormatting>
  <conditionalFormatting sqref="G446">
    <cfRule type="expression" dxfId="37" priority="38">
      <formula>IF(AND(OR(G446="",#REF!="Segment"),OR(#REF!="Accuracy",#REF!="Fluency",#REF!="Other")),1,0)</formula>
    </cfRule>
  </conditionalFormatting>
  <conditionalFormatting sqref="F448">
    <cfRule type="expression" dxfId="36" priority="37">
      <formula>IF(AND(F448="",OR(E448="Accuracy",E448="Fluency",E448="Segment",E448="Other")),1,0)</formula>
    </cfRule>
  </conditionalFormatting>
  <conditionalFormatting sqref="E448:G448">
    <cfRule type="expression" dxfId="35" priority="36">
      <formula>IF(OR(AND(E448="",F448="",OR(G448="Critical",G448="Major",G448="Minor"))),1,0)</formula>
    </cfRule>
  </conditionalFormatting>
  <conditionalFormatting sqref="G448">
    <cfRule type="expression" dxfId="34" priority="35">
      <formula>IF(AND(OR(G448="",#REF!="Segment"),OR(#REF!="Accuracy",#REF!="Fluency",#REF!="Other")),1,0)</formula>
    </cfRule>
  </conditionalFormatting>
  <conditionalFormatting sqref="E449:F449">
    <cfRule type="expression" dxfId="33" priority="34">
      <formula>IF(OR(AND(E449="",F449="",OR(G449="Critical",G449="Major",G449="Minor"))),1,0)</formula>
    </cfRule>
  </conditionalFormatting>
  <conditionalFormatting sqref="F449">
    <cfRule type="expression" dxfId="32" priority="33">
      <formula>IF(AND(F449="",OR(E449="Accuracy",E449="Fluency",E449="Segment",E449="Other")),1,0)</formula>
    </cfRule>
  </conditionalFormatting>
  <conditionalFormatting sqref="G449">
    <cfRule type="expression" dxfId="31" priority="32">
      <formula>IF(OR(AND(G449="",H449="",OR(I449="Critical",I449="Major",I449="Minor"))),1,0)</formula>
    </cfRule>
  </conditionalFormatting>
  <conditionalFormatting sqref="G449">
    <cfRule type="expression" dxfId="30" priority="31">
      <formula>IF(AND(OR(G449="",#REF!="Segment"),OR(#REF!="Accuracy",#REF!="Fluency",#REF!="Other")),1,0)</formula>
    </cfRule>
  </conditionalFormatting>
  <conditionalFormatting sqref="F450">
    <cfRule type="expression" dxfId="29" priority="30">
      <formula>IF(AND(F450="",OR(E450="Accuracy",E450="Fluency",E450="Segment",E450="Other")),1,0)</formula>
    </cfRule>
  </conditionalFormatting>
  <conditionalFormatting sqref="E450:G450">
    <cfRule type="expression" dxfId="28" priority="29">
      <formula>IF(OR(AND(E450="",F450="",OR(G450="Critical",G450="Major",G450="Minor"))),1,0)</formula>
    </cfRule>
  </conditionalFormatting>
  <conditionalFormatting sqref="G450">
    <cfRule type="expression" dxfId="27" priority="28">
      <formula>IF(AND(OR(G450="",#REF!="Segment"),OR(#REF!="Accuracy",#REF!="Fluency",#REF!="Other")),1,0)</formula>
    </cfRule>
  </conditionalFormatting>
  <conditionalFormatting sqref="E451:G451">
    <cfRule type="expression" dxfId="26" priority="25">
      <formula>IF(OR(AND(E451="",F451="",OR(G451="Critical",G451="Major",G451="Minor"))),1,0)</formula>
    </cfRule>
  </conditionalFormatting>
  <conditionalFormatting sqref="F451">
    <cfRule type="expression" dxfId="25" priority="24">
      <formula>IF(AND(F451="",OR(E451="Accuracy",E451="Fluency",E451="Segment",E451="Other")),1,0)</formula>
    </cfRule>
  </conditionalFormatting>
  <conditionalFormatting sqref="G451">
    <cfRule type="expression" dxfId="24" priority="26">
      <formula>IF(AND(OR(G451="",#REF!="Segment"),OR(#REF!="Accuracy",#REF!="Fluency",#REF!="Other")),1,0)</formula>
    </cfRule>
  </conditionalFormatting>
  <conditionalFormatting sqref="E452:F452">
    <cfRule type="expression" dxfId="23" priority="23">
      <formula>IF(OR(AND(E452="",F452="",OR(G452="Critical",G452="Major",G452="Minor"))),1,0)</formula>
    </cfRule>
  </conditionalFormatting>
  <conditionalFormatting sqref="F452">
    <cfRule type="expression" dxfId="22" priority="22">
      <formula>IF(AND(F452="",OR(E452="Accuracy",E452="Fluency",E452="Segment",E452="Other")),1,0)</formula>
    </cfRule>
  </conditionalFormatting>
  <conditionalFormatting sqref="G452">
    <cfRule type="expression" dxfId="21" priority="21">
      <formula>IF(AND(OR(G452="",#REF!="Segment"),OR(#REF!="Accuracy",#REF!="Fluency",#REF!="Other")),1,0)</formula>
    </cfRule>
  </conditionalFormatting>
  <conditionalFormatting sqref="G452">
    <cfRule type="expression" dxfId="20" priority="27">
      <formula>IF(OR(AND(G452="",H437="",OR(I452="Critical",I452="Major",I452="Minor"))),1,0)</formula>
    </cfRule>
  </conditionalFormatting>
  <conditionalFormatting sqref="E453:G453">
    <cfRule type="expression" dxfId="19" priority="20">
      <formula>IF(OR(AND(E453="",F453="",OR(G453="Critical",G453="Major",G453="Minor"))),1,0)</formula>
    </cfRule>
  </conditionalFormatting>
  <conditionalFormatting sqref="F453">
    <cfRule type="expression" dxfId="18" priority="19">
      <formula>IF(AND(F453="",OR(E453="Accuracy",E453="Fluency",E453="Segment",E453="Other")),1,0)</formula>
    </cfRule>
  </conditionalFormatting>
  <conditionalFormatting sqref="G453">
    <cfRule type="expression" dxfId="17" priority="18">
      <formula>IF(AND(OR(G453="",#REF!="Segment"),OR(#REF!="Accuracy",#REF!="Fluency",#REF!="Other")),1,0)</formula>
    </cfRule>
  </conditionalFormatting>
  <conditionalFormatting sqref="G454:G455">
    <cfRule type="expression" dxfId="16" priority="17">
      <formula>IF(AND(OR(G454="",#REF!="Segment"),OR(#REF!="Accuracy",#REF!="Fluency",#REF!="Other")),1,0)</formula>
    </cfRule>
  </conditionalFormatting>
  <conditionalFormatting sqref="G454:G455">
    <cfRule type="expression" dxfId="15" priority="16">
      <formula>IF(OR(AND(G454="",H454="",OR(I454="Critical",I454="Major",I454="Minor"))),1,0)</formula>
    </cfRule>
  </conditionalFormatting>
  <conditionalFormatting sqref="E454:F455">
    <cfRule type="expression" dxfId="14" priority="15">
      <formula>IF(OR(AND(E454="",F454="",OR(G454="Critical",G454="Major",G454="Minor"))),1,0)</formula>
    </cfRule>
  </conditionalFormatting>
  <conditionalFormatting sqref="F454:F455">
    <cfRule type="expression" dxfId="13" priority="14">
      <formula>IF(AND(F454="",OR(E454="Accuracy",E454="Fluency",E454="Segment",E454="Other")),1,0)</formula>
    </cfRule>
  </conditionalFormatting>
  <conditionalFormatting sqref="E456:F457">
    <cfRule type="expression" dxfId="12" priority="11">
      <formula>IF(OR(AND(E456="",F456="",OR(G456="Critical",G456="Major",G456="Minor"))),1,0)</formula>
    </cfRule>
  </conditionalFormatting>
  <conditionalFormatting sqref="F456:F457">
    <cfRule type="expression" dxfId="11" priority="10">
      <formula>IF(AND(F456="",OR(E456="Accuracy",E456="Fluency",E456="Segment",E456="Other")),1,0)</formula>
    </cfRule>
  </conditionalFormatting>
  <conditionalFormatting sqref="G456:G457">
    <cfRule type="expression" dxfId="10" priority="12">
      <formula>IF(OR(AND(G456="",H456="",OR(I456="Critical",I456="Major",I456="Minor"))),1,0)</formula>
    </cfRule>
  </conditionalFormatting>
  <conditionalFormatting sqref="G456:G457">
    <cfRule type="expression" dxfId="9" priority="13">
      <formula>IF(AND(OR(G456="",#REF!="Segment"),OR(#REF!="Accuracy",#REF!="Fluency",#REF!="Other")),1,0)</formula>
    </cfRule>
  </conditionalFormatting>
  <conditionalFormatting sqref="E458:G458">
    <cfRule type="expression" dxfId="8" priority="8">
      <formula>IF(OR(AND(E458="",F458="",OR(G458="Critical",G458="Major",G458="Minor"))),1,0)</formula>
    </cfRule>
  </conditionalFormatting>
  <conditionalFormatting sqref="F458">
    <cfRule type="expression" dxfId="7" priority="7">
      <formula>IF(AND(F458="",OR(E458="Accuracy",E458="Fluency",E458="Segment",E458="Other")),1,0)</formula>
    </cfRule>
  </conditionalFormatting>
  <conditionalFormatting sqref="G458">
    <cfRule type="expression" dxfId="6" priority="9">
      <formula>IF(AND(OR(G458="",#REF!="Segment"),OR(#REF!="Accuracy",#REF!="Fluency",#REF!="Other")),1,0)</formula>
    </cfRule>
  </conditionalFormatting>
  <conditionalFormatting sqref="E459:G459">
    <cfRule type="expression" dxfId="5" priority="6">
      <formula>IF(OR(AND(E459="",F459="",OR(G459="Critical",G459="Major",G459="Minor"))),1,0)</formula>
    </cfRule>
  </conditionalFormatting>
  <conditionalFormatting sqref="F459">
    <cfRule type="expression" dxfId="4" priority="5">
      <formula>IF(AND(F459="",OR(E459="Accuracy",E459="Fluency",E459="Segment",E459="Other")),1,0)</formula>
    </cfRule>
  </conditionalFormatting>
  <conditionalFormatting sqref="G459">
    <cfRule type="expression" dxfId="3" priority="4">
      <formula>IF(AND(OR(G459="",E459="Segment"),OR(E459="Accuracy",E459="Fluency",E459="Other")),1,0)</formula>
    </cfRule>
  </conditionalFormatting>
  <conditionalFormatting sqref="E460:G460">
    <cfRule type="expression" dxfId="2" priority="3">
      <formula>IF(OR(AND(E460="",F460="",OR(G460="Critical",G460="Major",G460="Minor"))),1,0)</formula>
    </cfRule>
  </conditionalFormatting>
  <conditionalFormatting sqref="F460">
    <cfRule type="expression" dxfId="1" priority="2">
      <formula>IF(AND(F460="",OR(E460="Accuracy",E460="Fluency",E460="Segment",E460="Other")),1,0)</formula>
    </cfRule>
  </conditionalFormatting>
  <conditionalFormatting sqref="G460">
    <cfRule type="expression" dxfId="0" priority="1">
      <formula>IF(AND(OR(G460="",E460="Segment"),OR(E460="Accuracy",E460="Fluency",E460="Other")),1,0)</formula>
    </cfRule>
  </conditionalFormatting>
  <dataValidations count="3">
    <dataValidation allowBlank="1" showDropDown="1" showInputMessage="1" showErrorMessage="1" sqref="E1:G1 H205:H222 H102:H203 H1:H42 H44:H100 H224:H259 H261:H270 H272:H280 H282:H392 H394:H432 H434:H452 H454:H825 I1:I825" xr:uid="{00000000-0002-0000-0100-000000000000}"/>
    <dataValidation type="list" allowBlank="1" showInputMessage="1" showErrorMessage="1" sqref="E2:E825" xr:uid="{00000000-0002-0000-0100-000001000000}">
      <formula1>Issue_Type</formula1>
    </dataValidation>
    <dataValidation type="list" allowBlank="1" showInputMessage="1" showErrorMessage="1" sqref="F2:G825" xr:uid="{00000000-0002-0000-0100-000002000000}">
      <formula1>INDIRECT(E2)</formula1>
    </dataValidation>
  </dataValidation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plicateRows">
                <anchor moveWithCells="1" sizeWithCells="1">
                  <from>
                    <xdr:col>10</xdr:col>
                    <xdr:colOff>152400</xdr:colOff>
                    <xdr:row>0</xdr:row>
                    <xdr:rowOff>22860</xdr:rowOff>
                  </from>
                  <to>
                    <xdr:col>10</xdr:col>
                    <xdr:colOff>1013460</xdr:colOff>
                    <xdr:row>0</xdr:row>
                    <xdr:rowOff>365760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501"/>
  <sheetViews>
    <sheetView zoomScale="90" zoomScaleNormal="90" workbookViewId="0">
      <pane ySplit="1" topLeftCell="A2" activePane="bottomLeft" state="frozen"/>
      <selection pane="bottomLeft" sqref="A1:A1048576"/>
    </sheetView>
  </sheetViews>
  <sheetFormatPr defaultColWidth="9" defaultRowHeight="15"/>
  <cols>
    <col min="1" max="1" width="9" style="124"/>
    <col min="2" max="2" width="23.19921875" style="32" customWidth="1"/>
    <col min="3" max="3" width="47" style="32" customWidth="1"/>
    <col min="4" max="4" width="11" style="32" bestFit="1" customWidth="1"/>
    <col min="5" max="9" width="9" style="32"/>
    <col min="10" max="10" width="17" style="32" bestFit="1" customWidth="1"/>
    <col min="11" max="16384" width="9" style="32"/>
  </cols>
  <sheetData>
    <row r="1" spans="1:10" ht="27.6">
      <c r="A1" s="116" t="s">
        <v>20</v>
      </c>
      <c r="B1" s="13" t="s">
        <v>4</v>
      </c>
      <c r="C1" s="13" t="s">
        <v>5</v>
      </c>
      <c r="D1" s="16" t="s">
        <v>44</v>
      </c>
      <c r="E1" s="12" t="s">
        <v>25</v>
      </c>
      <c r="F1" s="12" t="s">
        <v>23</v>
      </c>
      <c r="G1" s="12" t="s">
        <v>1</v>
      </c>
      <c r="H1" s="12" t="s">
        <v>46</v>
      </c>
      <c r="I1" s="12" t="s">
        <v>47</v>
      </c>
      <c r="J1" s="12" t="s">
        <v>53</v>
      </c>
    </row>
    <row r="2" spans="1:10">
      <c r="A2" s="113" t="s">
        <v>74</v>
      </c>
      <c r="B2" s="70" t="str">
        <f>IF(ISBLANK(A2),"",INDEX('Error Log'!$A:$J,MATCH('Scores per segment'!$A2,'Error Log'!$A:$A,0),MATCH('Scores per segment'!B$1,'Error Log'!$A$1:$J$1,0)))</f>
        <v>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v>
      </c>
      <c r="C2" s="70" t="str">
        <f>IF(ISBLANK(A2),"",INDEX('Error Log'!$A:$J,MATCH('Scores per segment'!$A2,'Error Log'!$A:$A,0),MATCH('Scores per segment'!C$1,'Error Log'!$A$1:$J$1,0)))</f>
        <v>corry ' corey ' campbell , 21 , is the ringleader of a gang dubbed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v>
      </c>
      <c r="D2" s="70">
        <f>IF(H2=0,wdct(TRIM(C2)),0)</f>
        <v>70</v>
      </c>
      <c r="E2" s="70">
        <f>COUNTIFS('Error Log'!$A:$A,$A2,'Error Log'!$J:$J,E$1)</f>
        <v>3</v>
      </c>
      <c r="F2" s="70">
        <f>COUNTIFS('Error Log'!$A:$A,$A2,'Error Log'!$J:$J,F$1)</f>
        <v>0</v>
      </c>
      <c r="G2" s="70">
        <f>COUNTIFS('Error Log'!$A:$A,$A2,'Error Log'!$J:$J,G$1)</f>
        <v>0</v>
      </c>
      <c r="H2" s="70">
        <f>COUNTIFS('Error Log'!$A:$A,$A2,'Error Log'!$F:$F,"Source")</f>
        <v>0</v>
      </c>
      <c r="I2" s="70">
        <f>COUNTIFS('Error Log'!$A:$A,$A2,'Error Log'!$F:$F,"Target")</f>
        <v>0</v>
      </c>
      <c r="J2" s="71">
        <f t="shared" ref="J2:J65" si="0">IF(I2=0,IFERROR((((1-((E2*10+F2*5+G2*1)/D2))*100)+100)/2,0),-150)</f>
        <v>78.571428571428569</v>
      </c>
    </row>
    <row r="3" spans="1:10">
      <c r="A3" s="113" t="s">
        <v>80</v>
      </c>
      <c r="B3" s="70" t="str">
        <f>IF(ISBLANK(A3),"",INDEX('Error Log'!$A:$J,MATCH('Scores per segment'!$A3,'Error Log'!$A:$A,0),MATCH('Scores per segment'!B$1,'Error Log'!$A$1:$J$1,0)))</f>
        <v>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v>
      </c>
      <c r="C3" s="70" t="str">
        <f>IF(ISBLANK(A3),"",INDEX('Error Log'!$A:$J,MATCH('Scores per segment'!$A3,'Error Log'!$A:$A,0),MATCH('Scores per segment'!C$1,'Error Log'!$A$1:$J$1,0)))</f>
        <v>jack nicklaus gave the crowd something to cheer with a hole in one on the fourth during the par-3 contest .
nicklaus was playing alongside gary player and ben crenshaw as the first roar of masters week filled the skies in a sunswept georgia .
nicklaus became the youngest person to wear a green jacket in 1963 , and collected his sixth in 1986 .</v>
      </c>
      <c r="D3" s="70">
        <f>IF(H3=0,wdct(TRIM(C3)),0)</f>
        <v>61</v>
      </c>
      <c r="E3" s="70">
        <f>COUNTIFS('Error Log'!$A:$A,$A3,'Error Log'!$J:$J,E$1)</f>
        <v>4</v>
      </c>
      <c r="F3" s="70">
        <f>COUNTIFS('Error Log'!$A:$A,$A3,'Error Log'!$J:$J,F$1)</f>
        <v>0</v>
      </c>
      <c r="G3" s="70">
        <f>COUNTIFS('Error Log'!$A:$A,$A3,'Error Log'!$J:$J,G$1)</f>
        <v>0</v>
      </c>
      <c r="H3" s="70">
        <f>COUNTIFS('Error Log'!$A:$A,$A3,'Error Log'!$F:$F,"Source")</f>
        <v>0</v>
      </c>
      <c r="I3" s="70">
        <f>COUNTIFS('Error Log'!$A:$A,$A3,'Error Log'!$F:$F,"Target")</f>
        <v>0</v>
      </c>
      <c r="J3" s="71">
        <f t="shared" si="0"/>
        <v>67.21311475409837</v>
      </c>
    </row>
    <row r="4" spans="1:10">
      <c r="A4" s="113" t="s">
        <v>88</v>
      </c>
      <c r="B4" s="70" t="str">
        <f>IF(ISBLANK(A4),"",INDEX('Error Log'!$A:$J,MATCH('Scores per segment'!$A4,'Error Log'!$A:$A,0),MATCH('Scores per segment'!B$1,'Error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v>
      </c>
      <c r="C4" s="70" t="str">
        <f>IF(ISBLANK(A4),"",INDEX('Error Log'!$A:$J,MATCH('Scores per segment'!$A4,'Error Log'!$A:$A,0),MATCH('Scores per segment'!C$1,'Error Log'!$A$1:$J$1,0)))</f>
        <v>the judge granted robert bates permission to go to the bahamas for a family vacation .
that decision prompted a response from the family of eric harris , the man bates killed .
bates ' preliminary hearing is scheduled for 10 a.m. july 2 .</v>
      </c>
      <c r="D4" s="70">
        <f>IF(H4=0,wdct(TRIM(C4)),0)</f>
        <v>41</v>
      </c>
      <c r="E4" s="70">
        <f>COUNTIFS('Error Log'!$A:$A,$A4,'Error Log'!$J:$J,E$1)</f>
        <v>1</v>
      </c>
      <c r="F4" s="70">
        <f>COUNTIFS('Error Log'!$A:$A,$A4,'Error Log'!$J:$J,F$1)</f>
        <v>0</v>
      </c>
      <c r="G4" s="70">
        <f>COUNTIFS('Error Log'!$A:$A,$A4,'Error Log'!$J:$J,G$1)</f>
        <v>0</v>
      </c>
      <c r="H4" s="70">
        <f>COUNTIFS('Error Log'!$A:$A,$A4,'Error Log'!$F:$F,"Source")</f>
        <v>0</v>
      </c>
      <c r="I4" s="70">
        <f>COUNTIFS('Error Log'!$A:$A,$A4,'Error Log'!$F:$F,"Target")</f>
        <v>0</v>
      </c>
      <c r="J4" s="71">
        <f t="shared" si="0"/>
        <v>87.804878048780495</v>
      </c>
    </row>
    <row r="5" spans="1:10">
      <c r="A5" s="113" t="s">
        <v>92</v>
      </c>
      <c r="B5" s="70" t="str">
        <f>IF(ISBLANK(A5),"",INDEX('Error Log'!$A:$J,MATCH('Scores per segment'!$A5,'Error Log'!$A:$A,0),MATCH('Scores per segment'!B$1,'Error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v>
      </c>
      <c r="C5" s="70" t="str">
        <f>IF(ISBLANK(A5),"",INDEX('Error Log'!$A:$J,MATCH('Scores per segment'!$A5,'Error Log'!$A:$A,0),MATCH('Scores per segment'!C$1,'Error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curry added nine assists , and thompson scored 26 to help golden state warriors beat portland trail blazers .
curry ( centre ) hit eight three-pointers to eclipse his previous nba best of 272 made in a single season .</v>
      </c>
      <c r="D5" s="70">
        <f>IF(H5=0,wdct(TRIM(C5)),0)</f>
        <v>93</v>
      </c>
      <c r="E5" s="70">
        <f>COUNTIFS('Error Log'!$A:$A,$A5,'Error Log'!$J:$J,E$1)</f>
        <v>1</v>
      </c>
      <c r="F5" s="70">
        <f>COUNTIFS('Error Log'!$A:$A,$A5,'Error Log'!$J:$J,F$1)</f>
        <v>0</v>
      </c>
      <c r="G5" s="70">
        <f>COUNTIFS('Error Log'!$A:$A,$A5,'Error Log'!$J:$J,G$1)</f>
        <v>0</v>
      </c>
      <c r="H5" s="70">
        <f>COUNTIFS('Error Log'!$A:$A,$A5,'Error Log'!$F:$F,"Source")</f>
        <v>0</v>
      </c>
      <c r="I5" s="70">
        <f>COUNTIFS('Error Log'!$A:$A,$A5,'Error Log'!$F:$F,"Target")</f>
        <v>0</v>
      </c>
      <c r="J5" s="71">
        <f t="shared" si="0"/>
        <v>94.623655913978496</v>
      </c>
    </row>
    <row r="6" spans="1:10">
      <c r="A6" s="113" t="s">
        <v>96</v>
      </c>
      <c r="B6" s="70" t="str">
        <f>IF(ISBLANK(A6),"",INDEX('Error Log'!$A:$J,MATCH('Scores per segment'!$A6,'Error Log'!$A:$A,0),MATCH('Scores per segment'!B$1,'Error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v>
      </c>
      <c r="C6" s="70" t="str">
        <f>IF(ISBLANK(A6),"",INDEX('Error Log'!$A:$J,MATCH('Scores per segment'!$A6,'Error Log'!$A:$A,0),MATCH('Scores per segment'!C$1,'Error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mcgregor is challenging jose aldo for his featherweight champion title in las vegas on july 11 .</v>
      </c>
      <c r="D6" s="70">
        <f>IF(H6=0,wdct(TRIM(C6)),0)</f>
        <v>75</v>
      </c>
      <c r="E6" s="70">
        <f>COUNTIFS('Error Log'!$A:$A,$A6,'Error Log'!$J:$J,E$1)</f>
        <v>1</v>
      </c>
      <c r="F6" s="70">
        <f>COUNTIFS('Error Log'!$A:$A,$A6,'Error Log'!$J:$J,F$1)</f>
        <v>1</v>
      </c>
      <c r="G6" s="70">
        <f>COUNTIFS('Error Log'!$A:$A,$A6,'Error Log'!$J:$J,G$1)</f>
        <v>0</v>
      </c>
      <c r="H6" s="70">
        <f>COUNTIFS('Error Log'!$A:$A,$A6,'Error Log'!$F:$F,"Source")</f>
        <v>0</v>
      </c>
      <c r="I6" s="70">
        <f>COUNTIFS('Error Log'!$A:$A,$A6,'Error Log'!$F:$F,"Target")</f>
        <v>0</v>
      </c>
      <c r="J6" s="71">
        <f t="shared" si="0"/>
        <v>90</v>
      </c>
    </row>
    <row r="7" spans="1:10">
      <c r="A7" s="113" t="s">
        <v>100</v>
      </c>
      <c r="B7" s="70" t="str">
        <f>IF(ISBLANK(A7),"",INDEX('Error Log'!$A:$J,MATCH('Scores per segment'!$A7,'Error Log'!$A:$A,0),MATCH('Scores per segment'!B$1,'Error Log'!$A$1:$J$1,0)))</f>
        <v>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v>
      </c>
      <c r="C7" s="70" t="str">
        <f>IF(ISBLANK(A7),"",INDEX('Error Log'!$A:$J,MATCH('Scores per segment'!$A7,'Error Log'!$A:$A,0),MATCH('Scores per segment'!C$1,'Error Log'!$A$1:$J$1,0)))</f>
        <v>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poor first effort , balotelli sends a perfectly-executed free-kick into the top corner .</v>
      </c>
      <c r="D7" s="70">
        <f>IF(H7=0,wdct(TRIM(C7)),0)</f>
        <v>70</v>
      </c>
      <c r="E7" s="70">
        <f>COUNTIFS('Error Log'!$A:$A,$A7,'Error Log'!$J:$J,E$1)</f>
        <v>1</v>
      </c>
      <c r="F7" s="70">
        <f>COUNTIFS('Error Log'!$A:$A,$A7,'Error Log'!$J:$J,F$1)</f>
        <v>1</v>
      </c>
      <c r="G7" s="70">
        <f>COUNTIFS('Error Log'!$A:$A,$A7,'Error Log'!$J:$J,G$1)</f>
        <v>0</v>
      </c>
      <c r="H7" s="70">
        <f>COUNTIFS('Error Log'!$A:$A,$A7,'Error Log'!$F:$F,"Source")</f>
        <v>0</v>
      </c>
      <c r="I7" s="70">
        <f>COUNTIFS('Error Log'!$A:$A,$A7,'Error Log'!$F:$F,"Target")</f>
        <v>0</v>
      </c>
      <c r="J7" s="71">
        <f t="shared" si="0"/>
        <v>89.285714285714278</v>
      </c>
    </row>
    <row r="8" spans="1:10">
      <c r="A8" s="113" t="s">
        <v>104</v>
      </c>
      <c r="B8" s="70" t="str">
        <f>IF(ISBLANK(A8),"",INDEX('Error Log'!$A:$J,MATCH('Scores per segment'!$A8,'Error Log'!$A:$A,0),MATCH('Scores per segment'!B$1,'Error Log'!$A$1:$J$1,0)))</f>
        <v>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v>
      </c>
      <c r="C8" s="70" t="str">
        <f>IF(ISBLANK(A8),"",INDEX('Error Log'!$A:$J,MATCH('Scores per segment'!$A8,'Error Log'!$A:$A,0),MATCH('Scores per segment'!C$1,'Error Log'!$A$1:$J$1,0)))</f>
        <v xml:space="preserve">
julie robert , a cultural studies professor at the university of technology sydney , said it was ' problematic ' that the prime minister , who she believes should be advocating against binge drinking , thought it acceptable to ' showcase his masculinity ' by skolling a beer .
mr abbott came under fire after the incident as anti-drinking campaigners said he was glorifying binge drinking .</v>
      </c>
      <c r="D8" s="70">
        <f>IF(H8=0,wdct(TRIM(C8)),0)</f>
        <v>57</v>
      </c>
      <c r="E8" s="70">
        <f>COUNTIFS('Error Log'!$A:$A,$A8,'Error Log'!$J:$J,E$1)</f>
        <v>3</v>
      </c>
      <c r="F8" s="70">
        <f>COUNTIFS('Error Log'!$A:$A,$A8,'Error Log'!$J:$J,F$1)</f>
        <v>1</v>
      </c>
      <c r="G8" s="70">
        <f>COUNTIFS('Error Log'!$A:$A,$A8,'Error Log'!$J:$J,G$1)</f>
        <v>0</v>
      </c>
      <c r="H8" s="70">
        <f>COUNTIFS('Error Log'!$A:$A,$A8,'Error Log'!$F:$F,"Source")</f>
        <v>0</v>
      </c>
      <c r="I8" s="70">
        <f>COUNTIFS('Error Log'!$A:$A,$A8,'Error Log'!$F:$F,"Target")</f>
        <v>0</v>
      </c>
      <c r="J8" s="71">
        <f t="shared" si="0"/>
        <v>69.298245614035082</v>
      </c>
    </row>
    <row r="9" spans="1:10">
      <c r="A9" s="113" t="s">
        <v>111</v>
      </c>
      <c r="B9" s="70" t="str">
        <f>IF(ISBLANK(A9),"",INDEX('Error Log'!$A:$J,MATCH('Scores per segment'!$A9,'Error Log'!$A:$A,0),MATCH('Scores per segment'!B$1,'Error Log'!$A$1:$J$1,0)))</f>
        <v>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v>
      </c>
      <c r="C9" s="70" t="str">
        <f>IF(ISBLANK(A9),"",INDEX('Error Log'!$A:$J,MATCH('Scores per segment'!$A9,'Error Log'!$A:$A,0),MATCH('Scores per segment'!C$1,'Error Log'!$A$1:$J$1,0)))</f>
        <v>women who carry a mutated version of brca1 or another gene known as brca2 face a life-time risk of breast cancer by more than 60 per cent .
study indicates that following the example of the hollywood star cuts their risk of dying from breast cancer by more than 60 per cent</v>
      </c>
      <c r="D9" s="70">
        <f>IF(H9=0,wdct(TRIM(C9)),0)</f>
        <v>51</v>
      </c>
      <c r="E9" s="70">
        <f>COUNTIFS('Error Log'!$A:$A,$A9,'Error Log'!$J:$J,E$1)</f>
        <v>3</v>
      </c>
      <c r="F9" s="70">
        <f>COUNTIFS('Error Log'!$A:$A,$A9,'Error Log'!$J:$J,F$1)</f>
        <v>0</v>
      </c>
      <c r="G9" s="70">
        <f>COUNTIFS('Error Log'!$A:$A,$A9,'Error Log'!$J:$J,G$1)</f>
        <v>0</v>
      </c>
      <c r="H9" s="70">
        <f>COUNTIFS('Error Log'!$A:$A,$A9,'Error Log'!$F:$F,"Source")</f>
        <v>0</v>
      </c>
      <c r="I9" s="70">
        <f>COUNTIFS('Error Log'!$A:$A,$A9,'Error Log'!$F:$F,"Target")</f>
        <v>0</v>
      </c>
      <c r="J9" s="71">
        <f t="shared" si="0"/>
        <v>70.588235294117652</v>
      </c>
    </row>
    <row r="10" spans="1:10">
      <c r="A10" s="113" t="s">
        <v>118</v>
      </c>
      <c r="B10" s="70" t="str">
        <f>IF(ISBLANK(A10),"",INDEX('Error Log'!$A:$J,MATCH('Scores per segment'!$A10,'Error Log'!$A:$A,0),MATCH('Scores per segment'!B$1,'Error Log'!$A$1:$J$1,0)))</f>
        <v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v>
      </c>
      <c r="C10" s="70" t="str">
        <f>IF(ISBLANK(A10),"",INDEX('Error Log'!$A:$J,MATCH('Scores per segment'!$A10,'Error Log'!$A:$A,0),MATCH('Scores per segment'!C$1,'Error Log'!$A$1:$J$1,0)))</f>
        <v>indiana state department of health officials said on friday .
there are now 120 confirmed hiv cases and 10 preliminary positive cases tied to scott county .
health officials have said they expect the number of cases to rise as more people are tested .</v>
      </c>
      <c r="D10" s="70">
        <f>IF(H10=0,wdct(TRIM(C10)),0)</f>
        <v>42</v>
      </c>
      <c r="E10" s="70">
        <f>COUNTIFS('Error Log'!$A:$A,$A10,'Error Log'!$J:$J,E$1)</f>
        <v>2</v>
      </c>
      <c r="F10" s="70">
        <f>COUNTIFS('Error Log'!$A:$A,$A10,'Error Log'!$J:$J,F$1)</f>
        <v>1</v>
      </c>
      <c r="G10" s="70">
        <f>COUNTIFS('Error Log'!$A:$A,$A10,'Error Log'!$J:$J,G$1)</f>
        <v>0</v>
      </c>
      <c r="H10" s="70">
        <f>COUNTIFS('Error Log'!$A:$A,$A10,'Error Log'!$F:$F,"Source")</f>
        <v>0</v>
      </c>
      <c r="I10" s="70">
        <f>COUNTIFS('Error Log'!$A:$A,$A10,'Error Log'!$F:$F,"Target")</f>
        <v>0</v>
      </c>
      <c r="J10" s="71">
        <f t="shared" si="0"/>
        <v>70.238095238095241</v>
      </c>
    </row>
    <row r="11" spans="1:10">
      <c r="A11" s="113" t="s">
        <v>123</v>
      </c>
      <c r="B11" s="70" t="str">
        <f>IF(ISBLANK(A11),"",INDEX('Error Log'!$A:$J,MATCH('Scores per segment'!$A11,'Error Log'!$A:$A,0),MATCH('Scores per segment'!B$1,'Error Log'!$A$1:$J$1,0)))</f>
        <v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v>
      </c>
      <c r="C11" s="70" t="str">
        <f>IF(ISBLANK(A11),"",INDEX('Error Log'!$A:$J,MATCH('Scores per segment'!$A11,'Error Log'!$A:$A,0),MATCH('Scores per segment'!C$1,'Error Log'!$A$1:$J$1,0)))</f>
        <v xml:space="preserve">
derek lowe , 38 , and tina lowe , 33 , were struck and killed by an amtrak train shortly before 10am on sunday in durham by a train heading north .
authorities say none of the 166 passengers on the train were injured , although a man who fell ill during the delay did receive treatment .
authorities say none of the 166 passengers on the train were injured .</v>
      </c>
      <c r="D11" s="70">
        <f>IF(H11=0,wdct(TRIM(C11)),0)</f>
        <v>63</v>
      </c>
      <c r="E11" s="70">
        <f>COUNTIFS('Error Log'!$A:$A,$A11,'Error Log'!$J:$J,E$1)</f>
        <v>3</v>
      </c>
      <c r="F11" s="70">
        <f>COUNTIFS('Error Log'!$A:$A,$A11,'Error Log'!$J:$J,F$1)</f>
        <v>1</v>
      </c>
      <c r="G11" s="70">
        <f>COUNTIFS('Error Log'!$A:$A,$A11,'Error Log'!$J:$J,G$1)</f>
        <v>0</v>
      </c>
      <c r="H11" s="70">
        <f>COUNTIFS('Error Log'!$A:$A,$A11,'Error Log'!$F:$F,"Source")</f>
        <v>0</v>
      </c>
      <c r="I11" s="70">
        <f>COUNTIFS('Error Log'!$A:$A,$A11,'Error Log'!$F:$F,"Target")</f>
        <v>0</v>
      </c>
      <c r="J11" s="71">
        <f t="shared" si="0"/>
        <v>72.222222222222229</v>
      </c>
    </row>
    <row r="12" spans="1:10">
      <c r="A12" s="113" t="s">
        <v>129</v>
      </c>
      <c r="B12" s="70" t="str">
        <f>IF(ISBLANK(A12),"",INDEX('Error Log'!$A:$J,MATCH('Scores per segment'!$A12,'Error Log'!$A:$A,0),MATCH('Scores per segment'!B$1,'Error Log'!$A$1:$J$1,0)))</f>
        <v>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v>
      </c>
      <c r="C12" s="70" t="str">
        <f>IF(ISBLANK(A12),"",INDEX('Error Log'!$A:$J,MATCH('Scores per segment'!$A12,'Error Log'!$A:$A,0),MATCH('Scores per segment'!C$1,'Error Log'!$A$1:$J$1,0)))</f>
        <v>arsenal fan made his girlfriend sit a test quizzing her about his favourite football club .
she posted snaps of the test to her twitter account , @ saskiaisabxlla , commenting ' boyfriend made me take an @ arsenal exam ! ' with emoticons showing she did n't know whether to laugh or cry .
oh , and ' calculators may be used ' .</v>
      </c>
      <c r="D12" s="70">
        <f>IF(H12=0,wdct(TRIM(C12)),0)</f>
        <v>52</v>
      </c>
      <c r="E12" s="70">
        <f>COUNTIFS('Error Log'!$A:$A,$A12,'Error Log'!$J:$J,E$1)</f>
        <v>2</v>
      </c>
      <c r="F12" s="70">
        <f>COUNTIFS('Error Log'!$A:$A,$A12,'Error Log'!$J:$J,F$1)</f>
        <v>1</v>
      </c>
      <c r="G12" s="70">
        <f>COUNTIFS('Error Log'!$A:$A,$A12,'Error Log'!$J:$J,G$1)</f>
        <v>0</v>
      </c>
      <c r="H12" s="70">
        <f>COUNTIFS('Error Log'!$A:$A,$A12,'Error Log'!$F:$F,"Source")</f>
        <v>0</v>
      </c>
      <c r="I12" s="70">
        <f>COUNTIFS('Error Log'!$A:$A,$A12,'Error Log'!$F:$F,"Target")</f>
        <v>0</v>
      </c>
      <c r="J12" s="71">
        <f t="shared" si="0"/>
        <v>75.961538461538453</v>
      </c>
    </row>
    <row r="13" spans="1:10">
      <c r="A13" s="113" t="s">
        <v>134</v>
      </c>
      <c r="B13" s="70" t="str">
        <f>IF(ISBLANK(A13),"",INDEX('Error Log'!$A:$J,MATCH('Scores per segment'!$A13,'Error Log'!$A:$A,0),MATCH('Scores per segment'!B$1,'Error Log'!$A$1:$J$1,0)))</f>
        <v>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v>
      </c>
      <c r="C13" s="70" t="str">
        <f>IF(ISBLANK(A13),"",INDEX('Error Log'!$A:$J,MATCH('Scores per segment'!$A13,'Error Log'!$A:$A,0),MATCH('Scores per segment'!C$1,'Error Log'!$A$1:$J$1,0)))</f>
        <v>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toro is now technically living in the us illegally after declining health forced him to retire .</v>
      </c>
      <c r="D13" s="70">
        <f>IF(H13=0,wdct(TRIM(C13)),0)</f>
        <v>75</v>
      </c>
      <c r="E13" s="70">
        <f>COUNTIFS('Error Log'!$A:$A,$A13,'Error Log'!$J:$J,E$1)</f>
        <v>5</v>
      </c>
      <c r="F13" s="70">
        <f>COUNTIFS('Error Log'!$A:$A,$A13,'Error Log'!$J:$J,F$1)</f>
        <v>3</v>
      </c>
      <c r="G13" s="70">
        <f>COUNTIFS('Error Log'!$A:$A,$A13,'Error Log'!$J:$J,G$1)</f>
        <v>0</v>
      </c>
      <c r="H13" s="70">
        <f>COUNTIFS('Error Log'!$A:$A,$A13,'Error Log'!$F:$F,"Source")</f>
        <v>0</v>
      </c>
      <c r="I13" s="70">
        <f>COUNTIFS('Error Log'!$A:$A,$A13,'Error Log'!$F:$F,"Target")</f>
        <v>0</v>
      </c>
      <c r="J13" s="71">
        <f t="shared" si="0"/>
        <v>56.666666666666664</v>
      </c>
    </row>
    <row r="14" spans="1:10">
      <c r="A14" s="113" t="s">
        <v>143</v>
      </c>
      <c r="B14" s="70" t="str">
        <f>IF(ISBLANK(A14),"",INDEX('Error Log'!$A:$J,MATCH('Scores per segment'!$A14,'Error Log'!$A:$A,0),MATCH('Scores per segment'!B$1,'Error Log'!$A$1:$J$1,0)))</f>
        <v>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v>
      </c>
      <c r="C14" s="70" t="str">
        <f>IF(ISBLANK(A14),"",INDEX('Error Log'!$A:$J,MATCH('Scores per segment'!$A14,'Error Log'!$A:$A,0),MATCH('Scores per segment'!C$1,'Error Log'!$A$1:$J$1,0)))</f>
        <v xml:space="preserve">
rugby star mils muliaina has been arrested on suspicion of sexual assault .
the former all black mils muliaina was arrested last night after his team was defeated in the quarter finals of the european challenge cup .
he had come off injured during connacht 's defeat at gloucester last night .
he was held in cells overnight before being questioned for more than six hours .</v>
      </c>
      <c r="D14" s="70">
        <f>IF(H14=0,wdct(TRIM(C14)),0)</f>
        <v>63</v>
      </c>
      <c r="E14" s="70">
        <f>COUNTIFS('Error Log'!$A:$A,$A14,'Error Log'!$J:$J,E$1)</f>
        <v>1</v>
      </c>
      <c r="F14" s="70">
        <f>COUNTIFS('Error Log'!$A:$A,$A14,'Error Log'!$J:$J,F$1)</f>
        <v>0</v>
      </c>
      <c r="G14" s="70">
        <f>COUNTIFS('Error Log'!$A:$A,$A14,'Error Log'!$J:$J,G$1)</f>
        <v>0</v>
      </c>
      <c r="H14" s="70">
        <f>COUNTIFS('Error Log'!$A:$A,$A14,'Error Log'!$F:$F,"Source")</f>
        <v>0</v>
      </c>
      <c r="I14" s="70">
        <f>COUNTIFS('Error Log'!$A:$A,$A14,'Error Log'!$F:$F,"Target")</f>
        <v>0</v>
      </c>
      <c r="J14" s="71">
        <f t="shared" si="0"/>
        <v>92.063492063492063</v>
      </c>
    </row>
    <row r="15" spans="1:10">
      <c r="A15" s="113" t="s">
        <v>147</v>
      </c>
      <c r="B15" s="70" t="str">
        <f>IF(ISBLANK(A15),"",INDEX('Error Log'!$A:$J,MATCH('Scores per segment'!$A15,'Error Log'!$A:$A,0),MATCH('Scores per segment'!B$1,'Error Log'!$A$1:$J$1,0)))</f>
        <v>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v>
      </c>
      <c r="C15" s="70" t="str">
        <f>IF(ISBLANK(A15),"",INDEX('Error Log'!$A:$J,MATCH('Scores per segment'!$A15,'Error Log'!$A:$A,0),MATCH('Scores per segment'!C$1,'Error Log'!$A$1:$J$1,0)))</f>
        <v xml:space="preserve">
the internet corporation for assigned names and numbers , or ' icann , ' sent a letter on thursday to the u.s. federal trade commission and canada 's office of consumer affairs .
kevin spacey is reportedly among celebrities paying out to have their name removed from one of the '.sucks ' domains which opened on 30 march .
taylor swift has also had to spend defensively in the past to remove her name from '.porn ' and '.adult ' domains .
it has recommended charging $ 2,499 a year for the privilege .</v>
      </c>
      <c r="D15" s="70">
        <f>IF(H15=0,wdct(TRIM(C15)),0)</f>
        <v>83</v>
      </c>
      <c r="E15" s="70">
        <f>COUNTIFS('Error Log'!$A:$A,$A15,'Error Log'!$J:$J,E$1)</f>
        <v>2</v>
      </c>
      <c r="F15" s="70">
        <f>COUNTIFS('Error Log'!$A:$A,$A15,'Error Log'!$J:$J,F$1)</f>
        <v>2</v>
      </c>
      <c r="G15" s="70">
        <f>COUNTIFS('Error Log'!$A:$A,$A15,'Error Log'!$J:$J,G$1)</f>
        <v>0</v>
      </c>
      <c r="H15" s="70">
        <f>COUNTIFS('Error Log'!$A:$A,$A15,'Error Log'!$F:$F,"Source")</f>
        <v>0</v>
      </c>
      <c r="I15" s="70">
        <f>COUNTIFS('Error Log'!$A:$A,$A15,'Error Log'!$F:$F,"Target")</f>
        <v>0</v>
      </c>
      <c r="J15" s="71">
        <f t="shared" si="0"/>
        <v>81.92771084337349</v>
      </c>
    </row>
    <row r="16" spans="1:10">
      <c r="A16" s="113" t="s">
        <v>152</v>
      </c>
      <c r="B16" s="70" t="str">
        <f>IF(ISBLANK(A16),"",INDEX('Error Log'!$A:$J,MATCH('Scores per segment'!$A16,'Error Log'!$A:$A,0),MATCH('Scores per segment'!B$1,'Error Log'!$A$1:$J$1,0)))</f>
        <v>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v>
      </c>
      <c r="C16" s="70" t="str">
        <f>IF(ISBLANK(A16),"",INDEX('Error Log'!$A:$J,MATCH('Scores per segment'!$A16,'Error Log'!$A:$A,0),MATCH('Scores per segment'!C$1,'Error Log'!$A$1:$J$1,0)))</f>
        <v>teenager set herself on fire after allegedly being raped by five men .
she was allegedly gang-raped on sunday when she went outside her house in kosi kalan , uttar pradesh 's mathura district , to relieve herself .
on tuesday she set herself on fire using kerosene , according to a neighbour .</v>
      </c>
      <c r="D16" s="70">
        <f>IF(H16=0,wdct(TRIM(C16)),0)</f>
        <v>48</v>
      </c>
      <c r="E16" s="70">
        <f>COUNTIFS('Error Log'!$A:$A,$A16,'Error Log'!$J:$J,E$1)</f>
        <v>3</v>
      </c>
      <c r="F16" s="70">
        <f>COUNTIFS('Error Log'!$A:$A,$A16,'Error Log'!$J:$J,F$1)</f>
        <v>0</v>
      </c>
      <c r="G16" s="70">
        <f>COUNTIFS('Error Log'!$A:$A,$A16,'Error Log'!$J:$J,G$1)</f>
        <v>0</v>
      </c>
      <c r="H16" s="70">
        <f>COUNTIFS('Error Log'!$A:$A,$A16,'Error Log'!$F:$F,"Source")</f>
        <v>0</v>
      </c>
      <c r="I16" s="70">
        <f>COUNTIFS('Error Log'!$A:$A,$A16,'Error Log'!$F:$F,"Target")</f>
        <v>0</v>
      </c>
      <c r="J16" s="71">
        <f t="shared" si="0"/>
        <v>68.75</v>
      </c>
    </row>
    <row r="17" spans="1:10">
      <c r="A17" s="113" t="s">
        <v>158</v>
      </c>
      <c r="B17" s="70" t="str">
        <f>IF(ISBLANK(A17),"",INDEX('Error Log'!$A:$J,MATCH('Scores per segment'!$A17,'Error Log'!$A:$A,0),MATCH('Scores per segment'!B$1,'Error Log'!$A$1:$J$1,0)))</f>
        <v>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v>
      </c>
      <c r="C17" s="70" t="str">
        <f>IF(ISBLANK(A17),"",INDEX('Error Log'!$A:$J,MATCH('Scores per segment'!$A17,'Error Log'!$A:$A,0),MATCH('Scores per segment'!C$1,'Error Log'!$A$1:$J$1,0)))</f>
        <v>police exhumed the boy 's body from his grave in norfolk last year .
the baby boy 's body was found wrapped in a blanket inside a sainsbury 's bag floating on a village pond .
the woman , who has not been named , was arrested on suspicion of infanticide but the charge was dropped after she explained how the baby had been stillborn .</v>
      </c>
      <c r="D17" s="70">
        <f>IF(H17=0,wdct(TRIM(C17)),0)</f>
        <v>61</v>
      </c>
      <c r="E17" s="70">
        <f>COUNTIFS('Error Log'!$A:$A,$A17,'Error Log'!$J:$J,E$1)</f>
        <v>1</v>
      </c>
      <c r="F17" s="70">
        <f>COUNTIFS('Error Log'!$A:$A,$A17,'Error Log'!$J:$J,F$1)</f>
        <v>1</v>
      </c>
      <c r="G17" s="70">
        <f>COUNTIFS('Error Log'!$A:$A,$A17,'Error Log'!$J:$J,G$1)</f>
        <v>0</v>
      </c>
      <c r="H17" s="70">
        <f>COUNTIFS('Error Log'!$A:$A,$A17,'Error Log'!$F:$F,"Source")</f>
        <v>0</v>
      </c>
      <c r="I17" s="70">
        <f>COUNTIFS('Error Log'!$A:$A,$A17,'Error Log'!$F:$F,"Target")</f>
        <v>0</v>
      </c>
      <c r="J17" s="71">
        <f t="shared" si="0"/>
        <v>87.704918032786878</v>
      </c>
    </row>
    <row r="18" spans="1:10">
      <c r="A18" s="113" t="s">
        <v>673</v>
      </c>
      <c r="B18" s="70" t="str">
        <f>IF(ISBLANK(A18),"",INDEX('Error Log'!$A:$J,MATCH('Scores per segment'!$A18,'Error Log'!$A:$A,0),MATCH('Scores per segment'!B$1,'Error Log'!$A$1:$J$1,0)))</f>
        <v>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v>
      </c>
      <c r="C18" s="70" t="str">
        <f>IF(ISBLANK(A18),"",INDEX('Error Log'!$A:$J,MATCH('Scores per segment'!$A18,'Error Log'!$A:$A,0),MATCH('Scores per segment'!C$1,'Error Log'!$A$1:$J$1,0)))</f>
        <v>louis van gaal says he has been dreaming of beating rivals city in sunday 's derby at old trafford but will have to do so without robin van persie .
van persie said he was fit to feature in the game against city on sunday after ankle trouble but van gaal has ruled him out .
van gaal said : ' most of the players are fit but being fit for me is different ' .</v>
      </c>
      <c r="D18" s="70">
        <f>IF(H18=0,wdct(TRIM(C18)),0)</f>
        <v>70</v>
      </c>
      <c r="E18" s="70">
        <f>COUNTIFS('Error Log'!$A:$A,$A18,'Error Log'!$J:$J,E$1)</f>
        <v>0</v>
      </c>
      <c r="F18" s="70">
        <f>COUNTIFS('Error Log'!$A:$A,$A18,'Error Log'!$J:$J,F$1)</f>
        <v>1</v>
      </c>
      <c r="G18" s="70">
        <f>COUNTIFS('Error Log'!$A:$A,$A18,'Error Log'!$J:$J,G$1)</f>
        <v>0</v>
      </c>
      <c r="H18" s="70">
        <f>COUNTIFS('Error Log'!$A:$A,$A18,'Error Log'!$F:$F,"Source")</f>
        <v>0</v>
      </c>
      <c r="I18" s="70">
        <f>COUNTIFS('Error Log'!$A:$A,$A18,'Error Log'!$F:$F,"Target")</f>
        <v>0</v>
      </c>
      <c r="J18" s="71">
        <f t="shared" si="0"/>
        <v>96.428571428571431</v>
      </c>
    </row>
    <row r="19" spans="1:10">
      <c r="A19" s="113" t="s">
        <v>163</v>
      </c>
      <c r="B19" s="70" t="str">
        <f>IF(ISBLANK(A19),"",INDEX('Error Log'!$A:$J,MATCH('Scores per segment'!$A19,'Error Log'!$A:$A,0),MATCH('Scores per segment'!B$1,'Error Log'!$A$1:$J$1,0)))</f>
        <v>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v>
      </c>
      <c r="C19" s="70" t="str">
        <f>IF(ISBLANK(A19),"",INDEX('Error Log'!$A:$J,MATCH('Scores per segment'!$A19,'Error Log'!$A:$A,0),MATCH('Scores per segment'!C$1,'Error Log'!$A$1:$J$1,0)))</f>
        <v>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v>
      </c>
      <c r="D19" s="70">
        <f>IF(H19=0,wdct(TRIM(C19)),0)</f>
        <v>91</v>
      </c>
      <c r="E19" s="70">
        <f>COUNTIFS('Error Log'!$A:$A,$A19,'Error Log'!$J:$J,E$1)</f>
        <v>2</v>
      </c>
      <c r="F19" s="70">
        <f>COUNTIFS('Error Log'!$A:$A,$A19,'Error Log'!$J:$J,F$1)</f>
        <v>1</v>
      </c>
      <c r="G19" s="70">
        <f>COUNTIFS('Error Log'!$A:$A,$A19,'Error Log'!$J:$J,G$1)</f>
        <v>0</v>
      </c>
      <c r="H19" s="70">
        <f>COUNTIFS('Error Log'!$A:$A,$A19,'Error Log'!$F:$F,"Source")</f>
        <v>0</v>
      </c>
      <c r="I19" s="70">
        <f>COUNTIFS('Error Log'!$A:$A,$A19,'Error Log'!$F:$F,"Target")</f>
        <v>0</v>
      </c>
      <c r="J19" s="71">
        <f t="shared" si="0"/>
        <v>86.263736263736263</v>
      </c>
    </row>
    <row r="20" spans="1:10">
      <c r="A20" s="113" t="s">
        <v>169</v>
      </c>
      <c r="B20" s="70" t="str">
        <f>IF(ISBLANK(A20),"",INDEX('Error Log'!$A:$J,MATCH('Scores per segment'!$A20,'Error Log'!$A:$A,0),MATCH('Scores per segment'!B$1,'Error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v>
      </c>
      <c r="C20" s="70" t="str">
        <f>IF(ISBLANK(A20),"",INDEX('Error Log'!$A:$J,MATCH('Scores per segment'!$A20,'Error Log'!$A:$A,0),MATCH('Scores per segment'!C$1,'Error Log'!$A$1:$J$1,0)))</f>
        <v>arsenal and liverpool fans left their seats empty at the emirates stadium .
protesters hope the image of empty seats will raise awareness of the struggles fans face to meet the rising costs of following their clubs .
supporters from both clubs say they are ' disgusted ' at the continuing rise of ticket prices .</v>
      </c>
      <c r="D20" s="70">
        <f>IF(H20=0,wdct(TRIM(C20)),0)</f>
        <v>51</v>
      </c>
      <c r="E20" s="70">
        <f>COUNTIFS('Error Log'!$A:$A,$A20,'Error Log'!$J:$J,E$1)</f>
        <v>1</v>
      </c>
      <c r="F20" s="70">
        <f>COUNTIFS('Error Log'!$A:$A,$A20,'Error Log'!$J:$J,F$1)</f>
        <v>0</v>
      </c>
      <c r="G20" s="70">
        <f>COUNTIFS('Error Log'!$A:$A,$A20,'Error Log'!$J:$J,G$1)</f>
        <v>0</v>
      </c>
      <c r="H20" s="70">
        <f>COUNTIFS('Error Log'!$A:$A,$A20,'Error Log'!$F:$F,"Source")</f>
        <v>0</v>
      </c>
      <c r="I20" s="70">
        <f>COUNTIFS('Error Log'!$A:$A,$A20,'Error Log'!$F:$F,"Target")</f>
        <v>0</v>
      </c>
      <c r="J20" s="71">
        <f t="shared" si="0"/>
        <v>90.196078431372541</v>
      </c>
    </row>
    <row r="21" spans="1:10">
      <c r="A21" s="107" t="s">
        <v>678</v>
      </c>
      <c r="B21" s="70" t="str">
        <f>IF(ISBLANK(A21),"",INDEX('Error Log'!$A:$J,MATCH('Scores per segment'!$A21,'Error Log'!$A:$A,0),MATCH('Scores per segment'!B$1,'Error Log'!$A$1:$J$1,0)))</f>
        <v>( cnn ) tornado sirens blared wednesday night in kansas as several storms brought reports of twisters .
spotters reported a tornado about 6 miles northwest of goddard , which is less than 17 miles west of wichita .
that storm moved to the northeast , miss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.nti</v>
      </c>
      <c r="C21" s="70" t="str">
        <f>IF(ISBLANK(A21),"",INDEX('Error Log'!$A:$J,MATCH('Scores per segment'!$A21,'Error Log'!$A:$A,0),MATCH('Scores per segment'!C$1,'Error Log'!$A$1:$J$1,0)))</f>
        <v>spotters reported a tornado about 6 miles northwest of goddard , which is less than 15 miles west of wichita .
storm moved to the northeast , missing the city , but posing potential risks to other communities .</v>
      </c>
      <c r="D21" s="70">
        <f>IF(H21=0,wdct(TRIM(C21)),0)</f>
        <v>34</v>
      </c>
      <c r="E21" s="70">
        <f>COUNTIFS('Error Log'!$A:$A,$A21,'Error Log'!$J:$J,E$1)</f>
        <v>3</v>
      </c>
      <c r="F21" s="70">
        <f>COUNTIFS('Error Log'!$A:$A,$A21,'Error Log'!$J:$J,F$1)</f>
        <v>2</v>
      </c>
      <c r="G21" s="70">
        <f>COUNTIFS('Error Log'!$A:$A,$A21,'Error Log'!$J:$J,G$1)</f>
        <v>0</v>
      </c>
      <c r="H21" s="70">
        <f>COUNTIFS('Error Log'!$A:$A,$A21,'Error Log'!$F:$F,"Source")</f>
        <v>0</v>
      </c>
      <c r="I21" s="70">
        <f>COUNTIFS('Error Log'!$A:$A,$A21,'Error Log'!$F:$F,"Target")</f>
        <v>0</v>
      </c>
      <c r="J21" s="71">
        <f t="shared" si="0"/>
        <v>41.17647058823529</v>
      </c>
    </row>
    <row r="22" spans="1:10">
      <c r="A22" s="107" t="s">
        <v>183</v>
      </c>
      <c r="B22" s="70" t="str">
        <f>IF(ISBLANK(A22),"",INDEX('Error Log'!$A:$J,MATCH('Scores per segment'!$A22,'Error Log'!$A:$A,0),MATCH('Scores per segment'!B$1,'Error Log'!$A$1:$J$1,0)))</f>
        <v>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v>
      </c>
      <c r="C22" s="70" t="str">
        <f>IF(ISBLANK(A22),"",INDEX('Error Log'!$A:$J,MATCH('Scores per segment'!$A22,'Error Log'!$A:$A,0),MATCH('Scores per segment'!C$1,'Error Log'!$A$1:$J$1,0)))</f>
        <v>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v>
      </c>
      <c r="D22" s="70">
        <f>IF(H22=0,wdct(TRIM(C22)),0)</f>
        <v>46</v>
      </c>
      <c r="E22" s="70">
        <f>COUNTIFS('Error Log'!$A:$A,$A22,'Error Log'!$J:$J,E$1)</f>
        <v>3</v>
      </c>
      <c r="F22" s="70">
        <f>COUNTIFS('Error Log'!$A:$A,$A22,'Error Log'!$J:$J,F$1)</f>
        <v>0</v>
      </c>
      <c r="G22" s="70">
        <f>COUNTIFS('Error Log'!$A:$A,$A22,'Error Log'!$J:$J,G$1)</f>
        <v>0</v>
      </c>
      <c r="H22" s="70">
        <f>COUNTIFS('Error Log'!$A:$A,$A22,'Error Log'!$F:$F,"Source")</f>
        <v>0</v>
      </c>
      <c r="I22" s="70">
        <f>COUNTIFS('Error Log'!$A:$A,$A22,'Error Log'!$F:$F,"Target")</f>
        <v>0</v>
      </c>
      <c r="J22" s="71">
        <f t="shared" si="0"/>
        <v>67.391304347826093</v>
      </c>
    </row>
    <row r="23" spans="1:10">
      <c r="A23" s="107" t="s">
        <v>685</v>
      </c>
      <c r="B23" s="70" t="str">
        <f>IF(ISBLANK(A23),"",INDEX('Error Log'!$A:$J,MATCH('Scores per segment'!$A23,'Error Log'!$A:$A,0),MATCH('Scores per segment'!B$1,'Error Log'!$A$1:$J$1,0)))</f>
        <v>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v>
      </c>
      <c r="C23" s="70" t="str">
        <f>IF(ISBLANK(A23),"",INDEX('Error Log'!$A:$J,MATCH('Scores per segment'!$A23,'Error Log'!$A:$A,0),MATCH('Scores per segment'!C$1,'Error Log'!$A$1:$J$1,0)))</f>
        <v>luke rockhold is ready to be the bull to lyoto machida 's matador when the middleweights collide in new jersey on saturday .
the californian is bidding for his fourth consecutive victory since losing to vitor belfort two years ago and has a title shot in his sights .</v>
      </c>
      <c r="D23" s="70">
        <f>IF(H23=0,wdct(TRIM(C23)),0)</f>
        <v>47</v>
      </c>
      <c r="E23" s="70">
        <f>COUNTIFS('Error Log'!$A:$A,$A23,'Error Log'!$J:$J,E$1)</f>
        <v>0</v>
      </c>
      <c r="F23" s="70">
        <f>COUNTIFS('Error Log'!$A:$A,$A23,'Error Log'!$J:$J,F$1)</f>
        <v>0</v>
      </c>
      <c r="G23" s="70">
        <f>COUNTIFS('Error Log'!$A:$A,$A23,'Error Log'!$J:$J,G$1)</f>
        <v>0</v>
      </c>
      <c r="H23" s="70">
        <f>COUNTIFS('Error Log'!$A:$A,$A23,'Error Log'!$F:$F,"Source")</f>
        <v>0</v>
      </c>
      <c r="I23" s="70">
        <f>COUNTIFS('Error Log'!$A:$A,$A23,'Error Log'!$F:$F,"Target")</f>
        <v>0</v>
      </c>
      <c r="J23" s="71">
        <f t="shared" si="0"/>
        <v>100</v>
      </c>
    </row>
    <row r="24" spans="1:10">
      <c r="A24" s="107" t="s">
        <v>189</v>
      </c>
      <c r="B24" s="70" t="str">
        <f>IF(ISBLANK(A24),"",INDEX('Error Log'!$A:$J,MATCH('Scores per segment'!$A24,'Error Log'!$A:$A,0),MATCH('Scores per segment'!B$1,'Error Log'!$A$1:$J$1,0)))</f>
        <v>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v>
      </c>
      <c r="C24" s="70" t="str">
        <f>IF(ISBLANK(A24),"",INDEX('Error Log'!$A:$J,MATCH('Scores per segment'!$A24,'Error Log'!$A:$A,0),MATCH('Scores per segment'!C$1,'Error Log'!$A$1:$J$1,0)))</f>
        <v>chelsea stars aim to fire balls into the boot of a car from close range .
eden hazard and nathan ake paired up to take on loic remy and willian in a head-to-head challenge for the car manufacturers .
the pair were involved in the biggest misfortune of the day on their way to victory .</v>
      </c>
      <c r="D24" s="70">
        <f>IF(H24=0,wdct(TRIM(C24)),0)</f>
        <v>53</v>
      </c>
      <c r="E24" s="70">
        <f>COUNTIFS('Error Log'!$A:$A,$A24,'Error Log'!$J:$J,E$1)</f>
        <v>1</v>
      </c>
      <c r="F24" s="70">
        <f>COUNTIFS('Error Log'!$A:$A,$A24,'Error Log'!$J:$J,F$1)</f>
        <v>2</v>
      </c>
      <c r="G24" s="70">
        <f>COUNTIFS('Error Log'!$A:$A,$A24,'Error Log'!$J:$J,G$1)</f>
        <v>0</v>
      </c>
      <c r="H24" s="70">
        <f>COUNTIFS('Error Log'!$A:$A,$A24,'Error Log'!$F:$F,"Source")</f>
        <v>0</v>
      </c>
      <c r="I24" s="70">
        <f>COUNTIFS('Error Log'!$A:$A,$A24,'Error Log'!$F:$F,"Target")</f>
        <v>0</v>
      </c>
      <c r="J24" s="71">
        <f t="shared" si="0"/>
        <v>81.132075471698116</v>
      </c>
    </row>
    <row r="25" spans="1:10">
      <c r="A25" s="107" t="s">
        <v>690</v>
      </c>
      <c r="B25" s="70" t="str">
        <f>IF(ISBLANK(A25),"",INDEX('Error Log'!$A:$J,MATCH('Scores per segment'!$A25,'Error Log'!$A:$A,0),MATCH('Scores per segment'!B$1,'Error Log'!$A$1:$J$1,0)))</f>
        <v>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v>
      </c>
      <c r="C25" s="70" t="str">
        <f>IF(ISBLANK(A25),"",INDEX('Error Log'!$A:$J,MATCH('Scores per segment'!$A25,'Error Log'!$A:$A,0),MATCH('Scores per segment'!C$1,'Error Log'!$A$1:$J$1,0)))</f>
        <v>shocking footage shows light general aviation aircraft approaching aero acres residential airpark .
despite the fact the aerostar plane travels at speed , its descent towards the landing strip appears normal until the video maker makes a startling observation .
suddenly the pilot re-engages the engines and rather unceremoniously takes off back into the air .</v>
      </c>
      <c r="D25" s="70">
        <f>IF(H25=0,wdct(TRIM(C25)),0)</f>
        <v>52</v>
      </c>
      <c r="E25" s="70">
        <f>COUNTIFS('Error Log'!$A:$A,$A25,'Error Log'!$J:$J,E$1)</f>
        <v>4</v>
      </c>
      <c r="F25" s="70">
        <f>COUNTIFS('Error Log'!$A:$A,$A25,'Error Log'!$J:$J,F$1)</f>
        <v>2</v>
      </c>
      <c r="G25" s="70">
        <f>COUNTIFS('Error Log'!$A:$A,$A25,'Error Log'!$J:$J,G$1)</f>
        <v>0</v>
      </c>
      <c r="H25" s="70">
        <f>COUNTIFS('Error Log'!$A:$A,$A25,'Error Log'!$F:$F,"Source")</f>
        <v>0</v>
      </c>
      <c r="I25" s="70">
        <f>COUNTIFS('Error Log'!$A:$A,$A25,'Error Log'!$F:$F,"Target")</f>
        <v>0</v>
      </c>
      <c r="J25" s="71">
        <f t="shared" si="0"/>
        <v>51.92307692307692</v>
      </c>
    </row>
    <row r="26" spans="1:10">
      <c r="A26" s="107" t="s">
        <v>200</v>
      </c>
      <c r="B26" s="70" t="str">
        <f>IF(ISBLANK(A26),"",INDEX('Error Log'!$A:$J,MATCH('Scores per segment'!$A26,'Error Log'!$A:$A,0),MATCH('Scores per segment'!B$1,'Error Log'!$A$1:$J$1,0)))</f>
        <v>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v>
      </c>
      <c r="C26" s="70" t="str">
        <f>IF(ISBLANK(A26),"",INDEX('Error Log'!$A:$J,MATCH('Scores per segment'!$A26,'Error Log'!$A:$A,0),MATCH('Scores per segment'!C$1,'Error Log'!$A$1:$J$1,0)))</f>
        <v>john timmons , 29 , and amanda murphy , 24 , were killed instantly in the crash on december 7 , 2013 .
prosecutors previously said that robert dellinger , 54 , told investigators he was trying to kill himself in december 2013 when he drove his pickup truck across a median at more than 100mph and plowed into an oncoming suv .
amanda murphy , who was eight months pregnant , and her fiance , 29-year-old jason timmons .</v>
      </c>
      <c r="D26" s="70">
        <f>IF(H26=0,wdct(TRIM(C26)),0)</f>
        <v>67</v>
      </c>
      <c r="E26" s="70">
        <f>COUNTIFS('Error Log'!$A:$A,$A26,'Error Log'!$J:$J,E$1)</f>
        <v>4</v>
      </c>
      <c r="F26" s="70">
        <f>COUNTIFS('Error Log'!$A:$A,$A26,'Error Log'!$J:$J,F$1)</f>
        <v>0</v>
      </c>
      <c r="G26" s="70">
        <f>COUNTIFS('Error Log'!$A:$A,$A26,'Error Log'!$J:$J,G$1)</f>
        <v>0</v>
      </c>
      <c r="H26" s="70">
        <f>COUNTIFS('Error Log'!$A:$A,$A26,'Error Log'!$F:$F,"Source")</f>
        <v>0</v>
      </c>
      <c r="I26" s="70">
        <f>COUNTIFS('Error Log'!$A:$A,$A26,'Error Log'!$F:$F,"Target")</f>
        <v>0</v>
      </c>
      <c r="J26" s="71">
        <f t="shared" si="0"/>
        <v>70.149253731343293</v>
      </c>
    </row>
    <row r="27" spans="1:10">
      <c r="A27" s="107" t="s">
        <v>208</v>
      </c>
      <c r="B27" s="70" t="str">
        <f>IF(ISBLANK(A27),"",INDEX('Error Log'!$A:$J,MATCH('Scores per segment'!$A27,'Error Log'!$A:$A,0),MATCH('Scores per segment'!B$1,'Error Log'!$A$1:$J$1,0)))</f>
        <v>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v>
      </c>
      <c r="C27" s="70" t="str">
        <f>IF(ISBLANK(A27),"",INDEX('Error Log'!$A:$J,MATCH('Scores per segment'!$A27,'Error Log'!$A:$A,0),MATCH('Scores per segment'!C$1,'Error Log'!$A$1:$J$1,0)))</f>
        <v>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 who has two years left on a £220,000-a-week deal , has come in for criticism .</v>
      </c>
      <c r="D27" s="70">
        <f>IF(H27=0,wdct(TRIM(C27)),0)</f>
        <v>66</v>
      </c>
      <c r="E27" s="70">
        <f>COUNTIFS('Error Log'!$A:$A,$A27,'Error Log'!$J:$J,E$1)</f>
        <v>2</v>
      </c>
      <c r="F27" s="70">
        <f>COUNTIFS('Error Log'!$A:$A,$A27,'Error Log'!$J:$J,F$1)</f>
        <v>1</v>
      </c>
      <c r="G27" s="70">
        <f>COUNTIFS('Error Log'!$A:$A,$A27,'Error Log'!$J:$J,G$1)</f>
        <v>0</v>
      </c>
      <c r="H27" s="70">
        <f>COUNTIFS('Error Log'!$A:$A,$A27,'Error Log'!$F:$F,"Source")</f>
        <v>0</v>
      </c>
      <c r="I27" s="70">
        <f>COUNTIFS('Error Log'!$A:$A,$A27,'Error Log'!$F:$F,"Target")</f>
        <v>0</v>
      </c>
      <c r="J27" s="71">
        <f t="shared" si="0"/>
        <v>81.060606060606062</v>
      </c>
    </row>
    <row r="28" spans="1:10">
      <c r="A28" s="107" t="s">
        <v>213</v>
      </c>
      <c r="B28" s="70" t="str">
        <f>IF(ISBLANK(A28),"",INDEX('Error Log'!$A:$J,MATCH('Scores per segment'!$A28,'Error Log'!$A:$A,0),MATCH('Scores per segment'!B$1,'Error Log'!$A$1:$J$1,0)))</f>
        <v>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v>
      </c>
      <c r="C28" s="70" t="str">
        <f>IF(ISBLANK(A28),"",INDEX('Error Log'!$A:$J,MATCH('Scores per segment'!$A28,'Error Log'!$A:$A,0),MATCH('Scores per segment'!C$1,'Error Log'!$A$1:$J$1,0)))</f>
        <v>lacey spears of scottsville , kentucky , appeared emotionless as the verdict was read in the death of her son garnett-paul spears .
the boy 's father , chris hill , was not emotionless however and wrote of his wife 's sentence ; ' please put her in general population ! thats all im asking for ! because she wont make it .
garnett-paul spears ' ( left ) father chris hill lashed at his ex and the boy 's mother on facebook this week expressing his hope that she would die in prison .</v>
      </c>
      <c r="D28" s="70">
        <f>IF(H28=0,wdct(TRIM(C28)),0)</f>
        <v>81</v>
      </c>
      <c r="E28" s="70">
        <f>COUNTIFS('Error Log'!$A:$A,$A28,'Error Log'!$J:$J,E$1)</f>
        <v>2</v>
      </c>
      <c r="F28" s="70">
        <f>COUNTIFS('Error Log'!$A:$A,$A28,'Error Log'!$J:$J,F$1)</f>
        <v>2</v>
      </c>
      <c r="G28" s="70">
        <f>COUNTIFS('Error Log'!$A:$A,$A28,'Error Log'!$J:$J,G$1)</f>
        <v>0</v>
      </c>
      <c r="H28" s="70">
        <f>COUNTIFS('Error Log'!$A:$A,$A28,'Error Log'!$F:$F,"Source")</f>
        <v>0</v>
      </c>
      <c r="I28" s="70">
        <f>COUNTIFS('Error Log'!$A:$A,$A28,'Error Log'!$F:$F,"Target")</f>
        <v>0</v>
      </c>
      <c r="J28" s="71">
        <f t="shared" si="0"/>
        <v>81.481481481481481</v>
      </c>
    </row>
    <row r="29" spans="1:10">
      <c r="A29" s="107" t="s">
        <v>218</v>
      </c>
      <c r="B29" s="70" t="str">
        <f>IF(ISBLANK(A29),"",INDEX('Error Log'!$A:$J,MATCH('Scores per segment'!$A29,'Error Log'!$A:$A,0),MATCH('Scores per segment'!B$1,'Error Log'!$A$1:$J$1,0)))</f>
        <v>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v>
      </c>
      <c r="C29" s="70" t="str">
        <f>IF(ISBLANK(A29),"",INDEX('Error Log'!$A:$J,MATCH('Scores per segment'!$A29,'Error Log'!$A:$A,0),MATCH('Scores per segment'!C$1,'Error Log'!$A$1:$J$1,0)))</f>
        <v>domenico rancadore , who has lived in britain for more than 20 years , was given a seven-year sentence by an italian court in 1999 for being a member of the cosa nostra .
but today it emerged that the 65-year-old 's case expired last october and his european arrest warrant is to be withdrawn .
italian law states that a sentence is extinguished once a period of more than double the time of the penalty has passed .</v>
      </c>
      <c r="D29" s="70">
        <f>IF(H29=0,wdct(TRIM(C29)),0)</f>
        <v>74</v>
      </c>
      <c r="E29" s="70">
        <f>COUNTIFS('Error Log'!$A:$A,$A29,'Error Log'!$J:$J,E$1)</f>
        <v>2</v>
      </c>
      <c r="F29" s="70">
        <f>COUNTIFS('Error Log'!$A:$A,$A29,'Error Log'!$J:$J,F$1)</f>
        <v>1</v>
      </c>
      <c r="G29" s="70">
        <f>COUNTIFS('Error Log'!$A:$A,$A29,'Error Log'!$J:$J,G$1)</f>
        <v>0</v>
      </c>
      <c r="H29" s="70">
        <f>COUNTIFS('Error Log'!$A:$A,$A29,'Error Log'!$F:$F,"Source")</f>
        <v>0</v>
      </c>
      <c r="I29" s="70">
        <f>COUNTIFS('Error Log'!$A:$A,$A29,'Error Log'!$F:$F,"Target")</f>
        <v>0</v>
      </c>
      <c r="J29" s="71">
        <f t="shared" si="0"/>
        <v>83.108108108108098</v>
      </c>
    </row>
    <row r="30" spans="1:10">
      <c r="A30" s="107" t="s">
        <v>223</v>
      </c>
      <c r="B30" s="70" t="str">
        <f>IF(ISBLANK(A30),"",INDEX('Error Log'!$A:$J,MATCH('Scores per segment'!$A30,'Error Log'!$A:$A,0),MATCH('Scores per segment'!B$1,'Error Log'!$A$1:$J$1,0)))</f>
        <v>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v>
      </c>
      <c r="C30" s="70" t="str">
        <f>IF(ISBLANK(A30),"",INDEX('Error Log'!$A:$J,MATCH('Scores per segment'!$A30,'Error Log'!$A:$A,0),MATCH('Scores per segment'!C$1,'Error Log'!$A$1:$J$1,0)))</f>
        <v>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b strain b/phuket .
experts say the modified version of the vaccination is worth waiting for .</v>
      </c>
      <c r="D30" s="70">
        <f>IF(H30=0,wdct(TRIM(C30)),0)</f>
        <v>65</v>
      </c>
      <c r="E30" s="70">
        <f>COUNTIFS('Error Log'!$A:$A,$A30,'Error Log'!$J:$J,E$1)</f>
        <v>1</v>
      </c>
      <c r="F30" s="70">
        <f>COUNTIFS('Error Log'!$A:$A,$A30,'Error Log'!$J:$J,F$1)</f>
        <v>2</v>
      </c>
      <c r="G30" s="70">
        <f>COUNTIFS('Error Log'!$A:$A,$A30,'Error Log'!$J:$J,G$1)</f>
        <v>1</v>
      </c>
      <c r="H30" s="70">
        <f>COUNTIFS('Error Log'!$A:$A,$A30,'Error Log'!$F:$F,"Source")</f>
        <v>0</v>
      </c>
      <c r="I30" s="70">
        <f>COUNTIFS('Error Log'!$A:$A,$A30,'Error Log'!$F:$F,"Target")</f>
        <v>0</v>
      </c>
      <c r="J30" s="71">
        <f t="shared" si="0"/>
        <v>83.84615384615384</v>
      </c>
    </row>
    <row r="31" spans="1:10">
      <c r="A31" s="117" t="s">
        <v>227</v>
      </c>
      <c r="B31" s="70" t="str">
        <f>IF(ISBLANK(A31),"",INDEX('Error Log'!$A:$J,MATCH('Scores per segment'!$A31,'Error Log'!$A:$A,0),MATCH('Scores per segment'!B$1,'Error Log'!$A$1:$J$1,0)))</f>
        <v>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v>
      </c>
      <c r="C31" s="70" t="str">
        <f>IF(ISBLANK(A31),"",INDEX('Error Log'!$A:$J,MATCH('Scores per segment'!$A31,'Error Log'!$A:$A,0),MATCH('Scores per segment'!C$1,'Error Log'!$A$1:$J$1,0)))</f>
        <v>ap mccoy’s mount in the grade one celebration chase at sandown on saturday .
paul nicholls-trained mr mole is bracketed with irish raider special tiara and nicky henderson’s sprinter sacre , who will be ridden by cheltenham gold cup winner nico de boinville in the absence of injured barry geraghty .
mr mole will be mccoy’s last ride in a grade one race .</v>
      </c>
      <c r="D31" s="70">
        <f>IF(H31=0,wdct(TRIM(C31)),0)</f>
        <v>63</v>
      </c>
      <c r="E31" s="70">
        <f>COUNTIFS('Error Log'!$A:$A,$A31,'Error Log'!$J:$J,E$1)</f>
        <v>4</v>
      </c>
      <c r="F31" s="70">
        <f>COUNTIFS('Error Log'!$A:$A,$A31,'Error Log'!$J:$J,F$1)</f>
        <v>2</v>
      </c>
      <c r="G31" s="70">
        <f>COUNTIFS('Error Log'!$A:$A,$A31,'Error Log'!$J:$J,G$1)</f>
        <v>2</v>
      </c>
      <c r="H31" s="70">
        <f>COUNTIFS('Error Log'!$A:$A,$A31,'Error Log'!$F:$F,"Source")</f>
        <v>0</v>
      </c>
      <c r="I31" s="70">
        <f>COUNTIFS('Error Log'!$A:$A,$A31,'Error Log'!$F:$F,"Target")</f>
        <v>0</v>
      </c>
      <c r="J31" s="71">
        <f t="shared" si="0"/>
        <v>58.730158730158735</v>
      </c>
    </row>
    <row r="32" spans="1:10">
      <c r="A32" s="107" t="s">
        <v>704</v>
      </c>
      <c r="B32" s="70" t="str">
        <f>IF(ISBLANK(A32),"",INDEX('Error Log'!$A:$J,MATCH('Scores per segment'!$A32,'Error Log'!$A:$A,0),MATCH('Scores per segment'!B$1,'Error Log'!$A$1:$J$1,0)))</f>
        <v>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v>
      </c>
      <c r="C32" s="70" t="str">
        <f>IF(ISBLANK(A32),"",INDEX('Error Log'!$A:$J,MATCH('Scores per segment'!$A32,'Error Log'!$A:$A,0),MATCH('Scores per segment'!C$1,'Error Log'!$A$1:$J$1,0)))</f>
        <v>illinois gov .bruce rauner has proposed eliminating the state historic preservation agency that manages sites including the tomb .
illinois faces a financial crisis and gov .
bruce rauner participates in ceremonies honoring president abraham lincoln at the lincoln tomb in springfield , illinois .</v>
      </c>
      <c r="D32" s="70">
        <f>IF(H32=0,wdct(TRIM(C32)),0)</f>
        <v>41</v>
      </c>
      <c r="E32" s="70">
        <f>COUNTIFS('Error Log'!$A:$A,$A32,'Error Log'!$J:$J,E$1)</f>
        <v>6</v>
      </c>
      <c r="F32" s="70">
        <f>COUNTIFS('Error Log'!$A:$A,$A32,'Error Log'!$J:$J,F$1)</f>
        <v>2</v>
      </c>
      <c r="G32" s="70">
        <f>COUNTIFS('Error Log'!$A:$A,$A32,'Error Log'!$J:$J,G$1)</f>
        <v>0</v>
      </c>
      <c r="H32" s="70">
        <f>COUNTIFS('Error Log'!$A:$A,$A32,'Error Log'!$F:$F,"Source")</f>
        <v>0</v>
      </c>
      <c r="I32" s="70">
        <f>COUNTIFS('Error Log'!$A:$A,$A32,'Error Log'!$F:$F,"Target")</f>
        <v>0</v>
      </c>
      <c r="J32" s="71">
        <f t="shared" si="0"/>
        <v>14.634146341463413</v>
      </c>
    </row>
    <row r="33" spans="1:10">
      <c r="A33" s="107" t="s">
        <v>707</v>
      </c>
      <c r="B33" s="70" t="str">
        <f>IF(ISBLANK(A33),"",INDEX('Error Log'!$A:$J,MATCH('Scores per segment'!$A33,'Error Log'!$A:$A,0),MATCH('Scores per segment'!B$1,'Error Log'!$A$1:$J$1,0)))</f>
        <v>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v>
      </c>
      <c r="C33" s="70" t="str">
        <f>IF(ISBLANK(A33),"",INDEX('Error Log'!$A:$J,MATCH('Scores per segment'!$A33,'Error Log'!$A:$A,0),MATCH('Scores per segment'!C$1,'Error Log'!$A$1:$J$1,0)))</f>
        <v>virginia trimble ritter 's daughter , marcia , was raped and choked to death by jerome sydney barrett in 1975 .
marcia 's body was found 33 days after she disappeared and ritter 's then-husband advised her against seeing the body and the crime scene photos .
charlie , who died in 1989 , wanted their last memory to be of her running in and out of the house , ' the real marcia .
but ritter told the tennessean , last year it was a decision she now regrets .</v>
      </c>
      <c r="D33" s="70">
        <f>IF(H33=0,wdct(TRIM(C33)),0)</f>
        <v>80</v>
      </c>
      <c r="E33" s="70">
        <f>COUNTIFS('Error Log'!$A:$A,$A33,'Error Log'!$J:$J,E$1)</f>
        <v>3</v>
      </c>
      <c r="F33" s="70">
        <f>COUNTIFS('Error Log'!$A:$A,$A33,'Error Log'!$J:$J,F$1)</f>
        <v>3</v>
      </c>
      <c r="G33" s="70">
        <f>COUNTIFS('Error Log'!$A:$A,$A33,'Error Log'!$J:$J,G$1)</f>
        <v>0</v>
      </c>
      <c r="H33" s="70">
        <f>COUNTIFS('Error Log'!$A:$A,$A33,'Error Log'!$F:$F,"Source")</f>
        <v>0</v>
      </c>
      <c r="I33" s="70">
        <f>COUNTIFS('Error Log'!$A:$A,$A33,'Error Log'!$F:$F,"Target")</f>
        <v>0</v>
      </c>
      <c r="J33" s="71">
        <f t="shared" si="0"/>
        <v>71.875</v>
      </c>
    </row>
    <row r="34" spans="1:10">
      <c r="A34" s="107" t="s">
        <v>250</v>
      </c>
      <c r="B34" s="70" t="str">
        <f>IF(ISBLANK(A34),"",INDEX('Error Log'!$A:$J,MATCH('Scores per segment'!$A34,'Error Log'!$A:$A,0),MATCH('Scores per segment'!B$1,'Error Log'!$A$1:$J$1,0)))</f>
        <v>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v>
      </c>
      <c r="C34" s="70" t="str">
        <f>IF(ISBLANK(A34),"",INDEX('Error Log'!$A:$J,MATCH('Scores per segment'!$A34,'Error Log'!$A:$A,0),MATCH('Scores per segment'!C$1,'Error Log'!$A$1:$J$1,0)))</f>
        <v>jcno jeans , popular at nineties raves , are threatening to make a comeback .
the return of the highly impractical jeans , which featured giant leg openings approaching 50in , has us contemplating the retro fashion nineties and noughties trends that should be left in the past .</v>
      </c>
      <c r="D34" s="70">
        <f>IF(H34=0,wdct(TRIM(C34)),0)</f>
        <v>43</v>
      </c>
      <c r="E34" s="70">
        <f>COUNTIFS('Error Log'!$A:$A,$A34,'Error Log'!$J:$J,E$1)</f>
        <v>1</v>
      </c>
      <c r="F34" s="70">
        <f>COUNTIFS('Error Log'!$A:$A,$A34,'Error Log'!$J:$J,F$1)</f>
        <v>0</v>
      </c>
      <c r="G34" s="70">
        <f>COUNTIFS('Error Log'!$A:$A,$A34,'Error Log'!$J:$J,G$1)</f>
        <v>0</v>
      </c>
      <c r="H34" s="70">
        <f>COUNTIFS('Error Log'!$A:$A,$A34,'Error Log'!$F:$F,"Source")</f>
        <v>0</v>
      </c>
      <c r="I34" s="70">
        <f>COUNTIFS('Error Log'!$A:$A,$A34,'Error Log'!$F:$F,"Target")</f>
        <v>0</v>
      </c>
      <c r="J34" s="71">
        <f t="shared" si="0"/>
        <v>88.372093023255815</v>
      </c>
    </row>
    <row r="35" spans="1:10">
      <c r="A35" s="107" t="s">
        <v>254</v>
      </c>
      <c r="B35" s="70" t="str">
        <f>IF(ISBLANK(A35),"",INDEX('Error Log'!$A:$J,MATCH('Scores per segment'!$A35,'Error Log'!$A:$A,0),MATCH('Scores per segment'!B$1,'Error Log'!$A$1:$J$1,0)))</f>
        <v>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v>
      </c>
      <c r="C35" s="70" t="str">
        <f>IF(ISBLANK(A35),"",INDEX('Error Log'!$A:$J,MATCH('Scores per segment'!$A35,'Error Log'!$A:$A,0),MATCH('Scores per segment'!C$1,'Error Log'!$A$1:$J$1,0)))</f>
        <v>rory mcilroy believes it is ' unthinkable ' that he will not win the masters at some point to complete the career grand slam .
mcilroy is looking to claim his first green jacket and become just the sixth player to win all four major titles after gene sarazen , ben hogan , gary player , jack nicklaus and tiger woods .
mcilroy has just one top-10 finish to his name in six masters appearances .</v>
      </c>
      <c r="D35" s="70">
        <f>IF(H35=0,wdct(TRIM(C35)),0)</f>
        <v>68</v>
      </c>
      <c r="E35" s="70">
        <f>COUNTIFS('Error Log'!$A:$A,$A35,'Error Log'!$J:$J,E$1)</f>
        <v>2</v>
      </c>
      <c r="F35" s="70">
        <f>COUNTIFS('Error Log'!$A:$A,$A35,'Error Log'!$J:$J,F$1)</f>
        <v>1</v>
      </c>
      <c r="G35" s="70">
        <f>COUNTIFS('Error Log'!$A:$A,$A35,'Error Log'!$J:$J,G$1)</f>
        <v>0</v>
      </c>
      <c r="H35" s="70">
        <f>COUNTIFS('Error Log'!$A:$A,$A35,'Error Log'!$F:$F,"Source")</f>
        <v>0</v>
      </c>
      <c r="I35" s="70">
        <f>COUNTIFS('Error Log'!$A:$A,$A35,'Error Log'!$F:$F,"Target")</f>
        <v>0</v>
      </c>
      <c r="J35" s="71">
        <f t="shared" si="0"/>
        <v>81.617647058823536</v>
      </c>
    </row>
    <row r="36" spans="1:10">
      <c r="A36" s="107" t="s">
        <v>260</v>
      </c>
      <c r="B36" s="70" t="str">
        <f>IF(ISBLANK(A36),"",INDEX('Error Log'!$A:$J,MATCH('Scores per segment'!$A36,'Error Log'!$A:$A,0),MATCH('Scores per segment'!B$1,'Error Log'!$A$1:$J$1,0)))</f>
        <v>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v>
      </c>
      <c r="C36" s="70" t="str">
        <f>IF(ISBLANK(A36),"",INDEX('Error Log'!$A:$J,MATCH('Scores per segment'!$A36,'Error Log'!$A:$A,0),MATCH('Scores per segment'!C$1,'Error Log'!$A$1:$J$1,0)))</f>
        <v>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klopp will officially cease to be dortmund manager on june 30 .</v>
      </c>
      <c r="D36" s="70">
        <f>IF(H36=0,wdct(TRIM(C36)),0)</f>
        <v>74</v>
      </c>
      <c r="E36" s="70">
        <f>COUNTIFS('Error Log'!$A:$A,$A36,'Error Log'!$J:$J,E$1)</f>
        <v>3</v>
      </c>
      <c r="F36" s="70">
        <f>COUNTIFS('Error Log'!$A:$A,$A36,'Error Log'!$J:$J,F$1)</f>
        <v>2</v>
      </c>
      <c r="G36" s="70">
        <f>COUNTIFS('Error Log'!$A:$A,$A36,'Error Log'!$J:$J,G$1)</f>
        <v>0</v>
      </c>
      <c r="H36" s="70">
        <f>COUNTIFS('Error Log'!$A:$A,$A36,'Error Log'!$F:$F,"Source")</f>
        <v>0</v>
      </c>
      <c r="I36" s="70">
        <f>COUNTIFS('Error Log'!$A:$A,$A36,'Error Log'!$F:$F,"Target")</f>
        <v>0</v>
      </c>
      <c r="J36" s="71">
        <f t="shared" si="0"/>
        <v>72.972972972972968</v>
      </c>
    </row>
    <row r="37" spans="1:10">
      <c r="A37" s="107" t="s">
        <v>714</v>
      </c>
      <c r="B37" s="70" t="str">
        <f>IF(ISBLANK(A37),"",INDEX('Error Log'!$A:$J,MATCH('Scores per segment'!$A37,'Error Log'!$A:$A,0),MATCH('Scores per segment'!B$1,'Error Log'!$A$1:$J$1,0)))</f>
        <v>(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v>
      </c>
      <c r="C37" s="70" t="str">
        <f>IF(ISBLANK(A37),"",INDEX('Error Log'!$A:$J,MATCH('Scores per segment'!$A37,'Error Log'!$A:$A,0),MATCH('Scores per segment'!C$1,'Error Log'!$A$1:$J$1,0)))</f>
        <v>amanda curtis , ceo of a fashion company , snapped the lucky shot .
families will have to find a new way to cheer up mourners .
they seem to spawn a new trend every other week .</v>
      </c>
      <c r="D37" s="70">
        <f>IF(H37=0,wdct(TRIM(C37)),0)</f>
        <v>33</v>
      </c>
      <c r="E37" s="70">
        <f>COUNTIFS('Error Log'!$A:$A,$A37,'Error Log'!$J:$J,E$1)</f>
        <v>1</v>
      </c>
      <c r="F37" s="70">
        <f>COUNTIFS('Error Log'!$A:$A,$A37,'Error Log'!$J:$J,F$1)</f>
        <v>3</v>
      </c>
      <c r="G37" s="70">
        <f>COUNTIFS('Error Log'!$A:$A,$A37,'Error Log'!$J:$J,G$1)</f>
        <v>0</v>
      </c>
      <c r="H37" s="70">
        <f>COUNTIFS('Error Log'!$A:$A,$A37,'Error Log'!$F:$F,"Source")</f>
        <v>0</v>
      </c>
      <c r="I37" s="70">
        <f>COUNTIFS('Error Log'!$A:$A,$A37,'Error Log'!$F:$F,"Target")</f>
        <v>0</v>
      </c>
      <c r="J37" s="71">
        <f t="shared" si="0"/>
        <v>62.121212121212125</v>
      </c>
    </row>
    <row r="38" spans="1:10">
      <c r="A38" s="107" t="s">
        <v>718</v>
      </c>
      <c r="B38" s="70" t="str">
        <f>IF(ISBLANK(A38),"",INDEX('Error Log'!$A:$J,MATCH('Scores per segment'!$A38,'Error Log'!$A:$A,0),MATCH('Scores per segment'!B$1,'Error Log'!$A$1:$J$1,0)))</f>
        <v>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v>
      </c>
      <c r="C38" s="70" t="str">
        <f>IF(ISBLANK(A38),"",INDEX('Error Log'!$A:$J,MATCH('Scores per segment'!$A38,'Error Log'!$A:$A,0),MATCH('Scores per segment'!C$1,'Error Log'!$A$1:$J$1,0)))</f>
        <v>serena williams strikes a pose next to her cake after recording her 700th career victory .
the day following andy murray’s 500th win another huge cake was wheeled out to mark williams reaching the semi-final with a 7-6 , 1-6 , 6-3 progression over germany’s sabine lisicki .
williams’s hopes of another meeting with sister venus were dashed by her elder sibling’s defeat to carla suarez navarro .</v>
      </c>
      <c r="D38" s="70">
        <f>IF(H38=0,wdct(TRIM(C38)),0)</f>
        <v>67</v>
      </c>
      <c r="E38" s="70">
        <f>COUNTIFS('Error Log'!$A:$A,$A38,'Error Log'!$J:$J,E$1)</f>
        <v>0</v>
      </c>
      <c r="F38" s="70">
        <f>COUNTIFS('Error Log'!$A:$A,$A38,'Error Log'!$J:$J,F$1)</f>
        <v>1</v>
      </c>
      <c r="G38" s="70">
        <f>COUNTIFS('Error Log'!$A:$A,$A38,'Error Log'!$J:$J,G$1)</f>
        <v>0</v>
      </c>
      <c r="H38" s="70">
        <f>COUNTIFS('Error Log'!$A:$A,$A38,'Error Log'!$F:$F,"Source")</f>
        <v>0</v>
      </c>
      <c r="I38" s="70">
        <f>COUNTIFS('Error Log'!$A:$A,$A38,'Error Log'!$F:$F,"Target")</f>
        <v>0</v>
      </c>
      <c r="J38" s="71">
        <f t="shared" si="0"/>
        <v>96.268656716417908</v>
      </c>
    </row>
    <row r="39" spans="1:10">
      <c r="A39" s="107" t="s">
        <v>722</v>
      </c>
      <c r="B39" s="70" t="str">
        <f>IF(ISBLANK(A39),"",INDEX('Error Log'!$A:$J,MATCH('Scores per segment'!$A39,'Error Log'!$A:$A,0),MATCH('Scores per segment'!B$1,'Error Log'!$A$1:$J$1,0)))</f>
        <v>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v>
      </c>
      <c r="C39" s="70" t="str">
        <f>IF(ISBLANK(A39),"",INDEX('Error Log'!$A:$J,MATCH('Scores per segment'!$A39,'Error Log'!$A:$A,0),MATCH('Scores per segment'!C$1,'Error Log'!$A$1:$J$1,0)))</f>
        <v>272 youngsters left disabled by foetal alcohol syndrome were hospitalised in england .
but the actual number affected by their mother ' s drinking could be far greater , experts have warned .
research by the world health organisation suggests that at least one in 100 babies born in the uk could suffer learning , behavioural and physical problems .</v>
      </c>
      <c r="D39" s="70">
        <f>IF(H39=0,wdct(TRIM(C39)),0)</f>
        <v>54</v>
      </c>
      <c r="E39" s="70">
        <f>COUNTIFS('Error Log'!$A:$A,$A39,'Error Log'!$J:$J,E$1)</f>
        <v>0</v>
      </c>
      <c r="F39" s="70">
        <f>COUNTIFS('Error Log'!$A:$A,$A39,'Error Log'!$J:$J,F$1)</f>
        <v>0</v>
      </c>
      <c r="G39" s="70">
        <f>COUNTIFS('Error Log'!$A:$A,$A39,'Error Log'!$J:$J,G$1)</f>
        <v>0</v>
      </c>
      <c r="H39" s="70">
        <f>COUNTIFS('Error Log'!$A:$A,$A39,'Error Log'!$F:$F,"Source")</f>
        <v>0</v>
      </c>
      <c r="I39" s="70">
        <f>COUNTIFS('Error Log'!$A:$A,$A39,'Error Log'!$F:$F,"Target")</f>
        <v>0</v>
      </c>
      <c r="J39" s="71">
        <f t="shared" si="0"/>
        <v>100</v>
      </c>
    </row>
    <row r="40" spans="1:10">
      <c r="A40" s="107" t="s">
        <v>725</v>
      </c>
      <c r="B40" s="70" t="str">
        <f>IF(ISBLANK(A40),"",INDEX('Error Log'!$A:$J,MATCH('Scores per segment'!$A40,'Error Log'!$A:$A,0),MATCH('Scores per segment'!B$1,'Error Log'!$A$1:$J$1,0)))</f>
        <v>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v>
      </c>
      <c r="C40" s="70" t="str">
        <f>IF(ISBLANK(A40),"",INDEX('Error Log'!$A:$J,MATCH('Scores per segment'!$A40,'Error Log'!$A:$A,0),MATCH('Scores per segment'!C$1,'Error Log'!$A$1:$J$1,0)))</f>
        <v>two gunman shot her dead at point-blank range late friday .
she is in a hospital but is expected to be released on time for her daughter 's funeral .
no one has claimed responsibility for her shooting .</v>
      </c>
      <c r="D40" s="70">
        <f>IF(H40=0,wdct(TRIM(C40)),0)</f>
        <v>36</v>
      </c>
      <c r="E40" s="70">
        <f>COUNTIFS('Error Log'!$A:$A,$A40,'Error Log'!$J:$J,E$1)</f>
        <v>3</v>
      </c>
      <c r="F40" s="70">
        <f>COUNTIFS('Error Log'!$A:$A,$A40,'Error Log'!$J:$J,F$1)</f>
        <v>3</v>
      </c>
      <c r="G40" s="70">
        <f>COUNTIFS('Error Log'!$A:$A,$A40,'Error Log'!$J:$J,G$1)</f>
        <v>0</v>
      </c>
      <c r="H40" s="70">
        <f>COUNTIFS('Error Log'!$A:$A,$A40,'Error Log'!$F:$F,"Source")</f>
        <v>0</v>
      </c>
      <c r="I40" s="70">
        <f>COUNTIFS('Error Log'!$A:$A,$A40,'Error Log'!$F:$F,"Target")</f>
        <v>0</v>
      </c>
      <c r="J40" s="71">
        <f t="shared" si="0"/>
        <v>37.5</v>
      </c>
    </row>
    <row r="41" spans="1:10">
      <c r="A41" s="107" t="s">
        <v>729</v>
      </c>
      <c r="B41" s="70" t="str">
        <f>IF(ISBLANK(A41),"",INDEX('Error Log'!$A:$J,MATCH('Scores per segment'!$A41,'Error Log'!$A:$A,0),MATCH('Scores per segment'!B$1,'Error Log'!$A$1:$J$1,0)))</f>
        <v>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v>
      </c>
      <c r="C41" s="70" t="str">
        <f>IF(ISBLANK(A41),"",INDEX('Error Log'!$A:$J,MATCH('Scores per segment'!$A41,'Error Log'!$A:$A,0),MATCH('Scores per segment'!C$1,'Error Log'!$A$1:$J$1,0)))</f>
        <v>ex-juvenile offender shaun andrew mckerry , dubbed boomerang boy or homing pigeon boy in his youth , burst into shildon post office and stores , county durham , at 8pm on march 15 .
masked 31-year-old waved an axe as he demanded cash from terrified assistant andrea brighty , but he did not see owner sab dhillon 's rugby tackle which dropped him to the floor , sending shelves and produce tumbling .
blood can be seen coming from the would-be robber 's nose as mr dhillon gestures to his wife to drop the weapon .</v>
      </c>
      <c r="D41" s="70">
        <f>IF(H41=0,wdct(TRIM(C41)),0)</f>
        <v>87</v>
      </c>
      <c r="E41" s="70">
        <f>COUNTIFS('Error Log'!$A:$A,$A41,'Error Log'!$J:$J,E$1)</f>
        <v>2</v>
      </c>
      <c r="F41" s="70">
        <f>COUNTIFS('Error Log'!$A:$A,$A41,'Error Log'!$J:$J,F$1)</f>
        <v>2</v>
      </c>
      <c r="G41" s="70">
        <f>COUNTIFS('Error Log'!$A:$A,$A41,'Error Log'!$J:$J,G$1)</f>
        <v>0</v>
      </c>
      <c r="H41" s="70">
        <f>COUNTIFS('Error Log'!$A:$A,$A41,'Error Log'!$F:$F,"Source")</f>
        <v>0</v>
      </c>
      <c r="I41" s="70">
        <f>COUNTIFS('Error Log'!$A:$A,$A41,'Error Log'!$F:$F,"Target")</f>
        <v>0</v>
      </c>
      <c r="J41" s="71">
        <f t="shared" si="0"/>
        <v>82.758620689655174</v>
      </c>
    </row>
    <row r="42" spans="1:10">
      <c r="A42" s="107" t="s">
        <v>732</v>
      </c>
      <c r="B42" s="70" t="str">
        <f>IF(ISBLANK(A42),"",INDEX('Error Log'!$A:$J,MATCH('Scores per segment'!$A42,'Error Log'!$A:$A,0),MATCH('Scores per segment'!B$1,'Error Log'!$A$1:$J$1,0)))</f>
        <v>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v>
      </c>
      <c r="C42" s="70" t="str">
        <f>IF(ISBLANK(A42),"",INDEX('Error Log'!$A:$J,MATCH('Scores per segment'!$A42,'Error Log'!$A:$A,0),MATCH('Scores per segment'!C$1,'Error Log'!$A$1:$J$1,0)))</f>
        <v>mangu ram was 14 when he fled to kashmir as a refugee - now an old man , for the past 70 years he has been denied citizenship rights .
it is almost 70 years since he fled the violence that followed the partition of india , and he is still regarded as a second class citizen in indian kashmir .</v>
      </c>
      <c r="D42" s="70">
        <f>IF(H42=0,wdct(TRIM(C42)),0)</f>
        <v>56</v>
      </c>
      <c r="E42" s="70">
        <f>COUNTIFS('Error Log'!$A:$A,$A42,'Error Log'!$J:$J,E$1)</f>
        <v>3</v>
      </c>
      <c r="F42" s="70">
        <f>COUNTIFS('Error Log'!$A:$A,$A42,'Error Log'!$J:$J,F$1)</f>
        <v>2</v>
      </c>
      <c r="G42" s="70">
        <f>COUNTIFS('Error Log'!$A:$A,$A42,'Error Log'!$J:$J,G$1)</f>
        <v>0</v>
      </c>
      <c r="H42" s="70">
        <f>COUNTIFS('Error Log'!$A:$A,$A42,'Error Log'!$F:$F,"Source")</f>
        <v>0</v>
      </c>
      <c r="I42" s="70">
        <f>COUNTIFS('Error Log'!$A:$A,$A42,'Error Log'!$F:$F,"Target")</f>
        <v>0</v>
      </c>
      <c r="J42" s="71">
        <f t="shared" si="0"/>
        <v>64.285714285714278</v>
      </c>
    </row>
    <row r="43" spans="1:10">
      <c r="A43" s="107" t="s">
        <v>287</v>
      </c>
      <c r="B43" s="70" t="str">
        <f>IF(ISBLANK(A43),"",INDEX('Error Log'!$A:$J,MATCH('Scores per segment'!$A43,'Error Log'!$A:$A,0),MATCH('Scores per segment'!B$1,'Error Log'!$A$1:$J$1,0)))</f>
        <v>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v>
      </c>
      <c r="C43" s="70" t="str">
        <f>IF(ISBLANK(A43),"",INDEX('Error Log'!$A:$J,MATCH('Scores per segment'!$A43,'Error Log'!$A:$A,0),MATCH('Scores per segment'!C$1,'Error Log'!$A$1:$J$1,0)))</f>
        <v>joshua finbow , 23 , of gosport , hampshire , charged with gang rape .
two of the accused , simon radford , craig stoner , 24 , and craig stoner , 35 , had been playing for the royal navy ice hockey team in a tournament at the shearwater naval base just east of halifax .
darren smalley , 35 , of gosport , hampshire , arrives at court today .</v>
      </c>
      <c r="D43" s="70">
        <f>IF(H43=0,wdct(TRIM(C43)),0)</f>
        <v>55</v>
      </c>
      <c r="E43" s="70">
        <f>COUNTIFS('Error Log'!$A:$A,$A43,'Error Log'!$J:$J,E$1)</f>
        <v>7</v>
      </c>
      <c r="F43" s="70">
        <f>COUNTIFS('Error Log'!$A:$A,$A43,'Error Log'!$J:$J,F$1)</f>
        <v>2</v>
      </c>
      <c r="G43" s="70">
        <f>COUNTIFS('Error Log'!$A:$A,$A43,'Error Log'!$J:$J,G$1)</f>
        <v>2</v>
      </c>
      <c r="H43" s="70">
        <f>COUNTIFS('Error Log'!$A:$A,$A43,'Error Log'!$F:$F,"Source")</f>
        <v>0</v>
      </c>
      <c r="I43" s="70">
        <f>COUNTIFS('Error Log'!$A:$A,$A43,'Error Log'!$F:$F,"Target")</f>
        <v>0</v>
      </c>
      <c r="J43" s="71">
        <f t="shared" si="0"/>
        <v>25.454545454545453</v>
      </c>
    </row>
    <row r="44" spans="1:10">
      <c r="A44" s="113" t="s">
        <v>296</v>
      </c>
      <c r="B44" s="70" t="str">
        <f>IF(ISBLANK(A44),"",INDEX('Error Log'!$A:$J,MATCH('Scores per segment'!$A44,'Error Log'!$A:$A,0),MATCH('Scores per segment'!B$1,'Error Log'!$A$1:$J$1,0)))</f>
        <v>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v>
      </c>
      <c r="C44" s="70" t="str">
        <f>IF(ISBLANK(A44),"",INDEX('Error Log'!$A:$J,MATCH('Scores per segment'!$A44,'Error Log'!$A:$A,0),MATCH('Scores per segment'!C$1,'Error Log'!$A$1:$J$1,0)))</f>
        <v>fc tokyo forward yoshinori muto has admitted that he is still considering a move to chelsea as he wants to join a club where he will ' play and develop ' .
chelsea have made an offer for muto according to fc tokyo president naoki ogane .
chelsea would look to loan muto to partner club vitesse arnhem next season .</v>
      </c>
      <c r="D44" s="70">
        <f>IF(H44=0,wdct(TRIM(C44)),0)</f>
        <v>56</v>
      </c>
      <c r="E44" s="70">
        <f>COUNTIFS('Error Log'!$A:$A,$A44,'Error Log'!$J:$J,E$1)</f>
        <v>2</v>
      </c>
      <c r="F44" s="70">
        <f>COUNTIFS('Error Log'!$A:$A,$A44,'Error Log'!$J:$J,F$1)</f>
        <v>1</v>
      </c>
      <c r="G44" s="70">
        <f>COUNTIFS('Error Log'!$A:$A,$A44,'Error Log'!$J:$J,G$1)</f>
        <v>0</v>
      </c>
      <c r="H44" s="70">
        <f>COUNTIFS('Error Log'!$A:$A,$A44,'Error Log'!$F:$F,"Source")</f>
        <v>0</v>
      </c>
      <c r="I44" s="70">
        <f>COUNTIFS('Error Log'!$A:$A,$A44,'Error Log'!$F:$F,"Target")</f>
        <v>0</v>
      </c>
      <c r="J44" s="71">
        <f t="shared" si="0"/>
        <v>77.678571428571431</v>
      </c>
    </row>
    <row r="45" spans="1:10">
      <c r="A45" s="113" t="s">
        <v>303</v>
      </c>
      <c r="B45" s="70" t="str">
        <f>IF(ISBLANK(A45),"",INDEX('Error Log'!$A:$J,MATCH('Scores per segment'!$A45,'Error Log'!$A:$A,0),MATCH('Scores per segment'!B$1,'Error Log'!$A$1:$J$1,0)))</f>
        <v>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v>
      </c>
      <c r="C45" s="70" t="str">
        <f>IF(ISBLANK(A45),"",INDEX('Error Log'!$A:$J,MATCH('Scores per segment'!$A45,'Error Log'!$A:$A,0),MATCH('Scores per segment'!C$1,'Error Log'!$A$1:$J$1,0)))</f>
        <v>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v>
      </c>
      <c r="D45" s="70">
        <f>IF(H45=0,wdct(TRIM(C45)),0)</f>
        <v>55</v>
      </c>
      <c r="E45" s="70">
        <f>COUNTIFS('Error Log'!$A:$A,$A45,'Error Log'!$J:$J,E$1)</f>
        <v>2</v>
      </c>
      <c r="F45" s="70">
        <f>COUNTIFS('Error Log'!$A:$A,$A45,'Error Log'!$J:$J,F$1)</f>
        <v>1</v>
      </c>
      <c r="G45" s="70">
        <f>COUNTIFS('Error Log'!$A:$A,$A45,'Error Log'!$J:$J,G$1)</f>
        <v>0</v>
      </c>
      <c r="H45" s="70">
        <f>COUNTIFS('Error Log'!$A:$A,$A45,'Error Log'!$F:$F,"Source")</f>
        <v>0</v>
      </c>
      <c r="I45" s="70">
        <f>COUNTIFS('Error Log'!$A:$A,$A45,'Error Log'!$F:$F,"Target")</f>
        <v>0</v>
      </c>
      <c r="J45" s="71">
        <f t="shared" si="0"/>
        <v>77.272727272727266</v>
      </c>
    </row>
    <row r="46" spans="1:10">
      <c r="A46" s="113" t="s">
        <v>309</v>
      </c>
      <c r="B46" s="70" t="str">
        <f>IF(ISBLANK(A46),"",INDEX('Error Log'!$A:$J,MATCH('Scores per segment'!$A46,'Error Log'!$A:$A,0),MATCH('Scores per segment'!B$1,'Error Log'!$A$1:$J$1,0)))</f>
        <v>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v>
      </c>
      <c r="C46" s="70" t="str">
        <f>IF(ISBLANK(A46),"",INDEX('Error Log'!$A:$J,MATCH('Scores per segment'!$A46,'Error Log'!$A:$A,0),MATCH('Scores per segment'!C$1,'Error Log'!$A$1:$J$1,0)))</f>
        <v>stuart lancaster must be free to pick his best players , no matter where in the world they are playing overseas .
the world cup is simply about the world’s best coming together and ridiculous rules like this demean it .
toulon’s steffon armitage came off the bench against leinster on sunday .</v>
      </c>
      <c r="D46" s="70">
        <f>IF(H46=0,wdct(TRIM(C46)),0)</f>
        <v>51</v>
      </c>
      <c r="E46" s="70">
        <f>COUNTIFS('Error Log'!$A:$A,$A46,'Error Log'!$J:$J,E$1)</f>
        <v>3</v>
      </c>
      <c r="F46" s="70">
        <f>COUNTIFS('Error Log'!$A:$A,$A46,'Error Log'!$J:$J,F$1)</f>
        <v>3</v>
      </c>
      <c r="G46" s="70">
        <f>COUNTIFS('Error Log'!$A:$A,$A46,'Error Log'!$J:$J,G$1)</f>
        <v>0</v>
      </c>
      <c r="H46" s="70">
        <f>COUNTIFS('Error Log'!$A:$A,$A46,'Error Log'!$F:$F,"Source")</f>
        <v>0</v>
      </c>
      <c r="I46" s="70">
        <f>COUNTIFS('Error Log'!$A:$A,$A46,'Error Log'!$F:$F,"Target")</f>
        <v>0</v>
      </c>
      <c r="J46" s="71">
        <f t="shared" si="0"/>
        <v>55.882352941176471</v>
      </c>
    </row>
    <row r="47" spans="1:10">
      <c r="A47" s="118" t="s">
        <v>319</v>
      </c>
      <c r="B47" s="70" t="str">
        <f>IF(ISBLANK(A47),"",INDEX('Error Log'!$A:$J,MATCH('Scores per segment'!$A47,'Error Log'!$A:$A,0),MATCH('Scores per segment'!B$1,'Error Log'!$A$1:$J$1,0)))</f>
        <v>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v>
      </c>
      <c r="C47" s="70" t="str">
        <f>IF(ISBLANK(A47),"",INDEX('Error Log'!$A:$J,MATCH('Scores per segment'!$A47,'Error Log'!$A:$A,0),MATCH('Scores per segment'!C$1,'Error Log'!$A$1:$J$1,0)))</f>
        <v>campaigners against the new protein world ' are you beach body ready ? transport for london ( tfl ) has revealed that the controversial posters around the london underground featuring a bikini-clad model called renee somerfield are being removed .</v>
      </c>
      <c r="D47" s="70">
        <f>IF(H47=0,wdct(TRIM(C47)),0)</f>
        <v>35</v>
      </c>
      <c r="E47" s="70">
        <f>COUNTIFS('Error Log'!$A:$A,$A47,'Error Log'!$J:$J,E$1)</f>
        <v>1</v>
      </c>
      <c r="F47" s="70">
        <f>COUNTIFS('Error Log'!$A:$A,$A47,'Error Log'!$J:$J,F$1)</f>
        <v>0</v>
      </c>
      <c r="G47" s="70">
        <f>COUNTIFS('Error Log'!$A:$A,$A47,'Error Log'!$J:$J,G$1)</f>
        <v>0</v>
      </c>
      <c r="H47" s="70">
        <f>COUNTIFS('Error Log'!$A:$A,$A47,'Error Log'!$F:$F,"Source")</f>
        <v>0</v>
      </c>
      <c r="I47" s="70">
        <f>COUNTIFS('Error Log'!$A:$A,$A47,'Error Log'!$F:$F,"Target")</f>
        <v>0</v>
      </c>
      <c r="J47" s="71">
        <f t="shared" si="0"/>
        <v>85.714285714285722</v>
      </c>
    </row>
    <row r="48" spans="1:10">
      <c r="A48" s="113" t="s">
        <v>323</v>
      </c>
      <c r="B48" s="70" t="str">
        <f>IF(ISBLANK(A48),"",INDEX('Error Log'!$A:$J,MATCH('Scores per segment'!$A48,'Error Log'!$A:$A,0),MATCH('Scores per segment'!B$1,'Error Log'!$A$1:$J$1,0)))</f>
        <v>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v>
      </c>
      <c r="C48" s="70" t="str">
        <f>IF(ISBLANK(A48),"",INDEX('Error Log'!$A:$J,MATCH('Scores per segment'!$A48,'Error Log'!$A:$A,0),MATCH('Scores per segment'!C$1,'Error Log'!$A$1:$J$1,0)))</f>
        <v>developers at open garden have built a small device designed to make these off-the-grid networks stronger .
its firechat app paved the way for chatting to friends without the need for the web or even a mobile signal .
now developers at open garden have built greenstone - a small egg-shaped gadget that acts like a beacon , or a booster .</v>
      </c>
      <c r="D48" s="70">
        <f>IF(H48=0,wdct(TRIM(C48)),0)</f>
        <v>57</v>
      </c>
      <c r="E48" s="70">
        <f>COUNTIFS('Error Log'!$A:$A,$A48,'Error Log'!$J:$J,E$1)</f>
        <v>2</v>
      </c>
      <c r="F48" s="70">
        <f>COUNTIFS('Error Log'!$A:$A,$A48,'Error Log'!$J:$J,F$1)</f>
        <v>0</v>
      </c>
      <c r="G48" s="70">
        <f>COUNTIFS('Error Log'!$A:$A,$A48,'Error Log'!$J:$J,G$1)</f>
        <v>0</v>
      </c>
      <c r="H48" s="70">
        <f>COUNTIFS('Error Log'!$A:$A,$A48,'Error Log'!$F:$F,"Source")</f>
        <v>0</v>
      </c>
      <c r="I48" s="70">
        <f>COUNTIFS('Error Log'!$A:$A,$A48,'Error Log'!$F:$F,"Target")</f>
        <v>0</v>
      </c>
      <c r="J48" s="71">
        <f t="shared" si="0"/>
        <v>82.456140350877192</v>
      </c>
    </row>
    <row r="49" spans="1:10">
      <c r="A49" s="113" t="s">
        <v>328</v>
      </c>
      <c r="B49" s="70" t="str">
        <f>IF(ISBLANK(A49),"",INDEX('Error Log'!$A:$J,MATCH('Scores per segment'!$A49,'Error Log'!$A:$A,0),MATCH('Scores per segment'!B$1,'Error Log'!$A$1:$J$1,0)))</f>
        <v>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v>
      </c>
      <c r="C49" s="70" t="str">
        <f>IF(ISBLANK(A49),"",INDEX('Error Log'!$A:$J,MATCH('Scores per segment'!$A49,'Error Log'!$A:$A,0),MATCH('Scores per segment'!C$1,'Error Log'!$A$1:$J$1,0)))</f>
        <v>prime minister david cameron has written to first great western to request it ' urgently reviews ' plans to increase fares on trains running through his witney constituency .
passengers travelling from charlbury , the oxfordshire station nearest to his constituency home , can currently purchase an off-peak return to london during the evening peak period .</v>
      </c>
      <c r="D49" s="70">
        <f>IF(H49=0,wdct(TRIM(C49)),0)</f>
        <v>51</v>
      </c>
      <c r="E49" s="70">
        <f>COUNTIFS('Error Log'!$A:$A,$A49,'Error Log'!$J:$J,E$1)</f>
        <v>2</v>
      </c>
      <c r="F49" s="70">
        <f>COUNTIFS('Error Log'!$A:$A,$A49,'Error Log'!$J:$J,F$1)</f>
        <v>1</v>
      </c>
      <c r="G49" s="70">
        <f>COUNTIFS('Error Log'!$A:$A,$A49,'Error Log'!$J:$J,G$1)</f>
        <v>0</v>
      </c>
      <c r="H49" s="70">
        <f>COUNTIFS('Error Log'!$A:$A,$A49,'Error Log'!$F:$F,"Source")</f>
        <v>0</v>
      </c>
      <c r="I49" s="70">
        <f>COUNTIFS('Error Log'!$A:$A,$A49,'Error Log'!$F:$F,"Target")</f>
        <v>0</v>
      </c>
      <c r="J49" s="71">
        <f t="shared" si="0"/>
        <v>75.490196078431367</v>
      </c>
    </row>
    <row r="50" spans="1:10">
      <c r="A50" s="118" t="s">
        <v>335</v>
      </c>
      <c r="B50" s="70" t="str">
        <f>IF(ISBLANK(A50),"",INDEX('Error Log'!$A:$J,MATCH('Scores per segment'!$A50,'Error Log'!$A:$A,0),MATCH('Scores per segment'!B$1,'Error Log'!$A$1:$J$1,0)))</f>
        <v>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v>
      </c>
      <c r="C50" s="70" t="str">
        <f>IF(ISBLANK(A50),"",INDEX('Error Log'!$A:$J,MATCH('Scores per segment'!$A50,'Error Log'!$A:$A,0),MATCH('Scores per segment'!C$1,'Error Log'!$A$1:$J$1,0)))</f>
        <v>burlesque performer lillian bustle explained in her ted talk that ' fat ' is just another word - and using it does n't have to be an insult .
she insists that the word does n't have to be used as a synonym for ' ugly ' .</v>
      </c>
      <c r="D50" s="70">
        <f>IF(H50=0,wdct(TRIM(C50)),0)</f>
        <v>41</v>
      </c>
      <c r="E50" s="70">
        <f>COUNTIFS('Error Log'!$A:$A,$A50,'Error Log'!$J:$J,E$1)</f>
        <v>2</v>
      </c>
      <c r="F50" s="70">
        <f>COUNTIFS('Error Log'!$A:$A,$A50,'Error Log'!$J:$J,F$1)</f>
        <v>0</v>
      </c>
      <c r="G50" s="70">
        <f>COUNTIFS('Error Log'!$A:$A,$A50,'Error Log'!$J:$J,G$1)</f>
        <v>0</v>
      </c>
      <c r="H50" s="70">
        <f>COUNTIFS('Error Log'!$A:$A,$A50,'Error Log'!$F:$F,"Source")</f>
        <v>0</v>
      </c>
      <c r="I50" s="70">
        <f>COUNTIFS('Error Log'!$A:$A,$A50,'Error Log'!$F:$F,"Target")</f>
        <v>0</v>
      </c>
      <c r="J50" s="71">
        <f t="shared" si="0"/>
        <v>75.609756097560975</v>
      </c>
    </row>
    <row r="51" spans="1:10">
      <c r="A51" s="113" t="s">
        <v>340</v>
      </c>
      <c r="B51" s="70" t="str">
        <f>IF(ISBLANK(A51),"",INDEX('Error Log'!$A:$J,MATCH('Scores per segment'!$A51,'Error Log'!$A:$A,0),MATCH('Scores per segment'!B$1,'Error Log'!$A$1:$J$1,0)))</f>
        <v>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v>
      </c>
      <c r="C51" s="70" t="str">
        <f>IF(ISBLANK(A51),"",INDEX('Error Log'!$A:$J,MATCH('Scores per segment'!$A51,'Error Log'!$A:$A,0),MATCH('Scores per segment'!C$1,'Error Log'!$A$1:$J$1,0)))</f>
        <v>former soldier john young , 66 , and his new wife elaine , 54 , were sat in the front room of their home in oldham , greater manchester .
when one brick smashed the glass , mr young went and opened his front door to remonstrate with the attackers only to be struck in his left eye by another brick .
he suffered an open wound to his forehead and a serious injury to his left eye .</v>
      </c>
      <c r="D51" s="70">
        <f>IF(H51=0,wdct(TRIM(C51)),0)</f>
        <v>70</v>
      </c>
      <c r="E51" s="70">
        <f>COUNTIFS('Error Log'!$A:$A,$A51,'Error Log'!$J:$J,E$1)</f>
        <v>0</v>
      </c>
      <c r="F51" s="70">
        <f>COUNTIFS('Error Log'!$A:$A,$A51,'Error Log'!$J:$J,F$1)</f>
        <v>0</v>
      </c>
      <c r="G51" s="70">
        <f>COUNTIFS('Error Log'!$A:$A,$A51,'Error Log'!$J:$J,G$1)</f>
        <v>0</v>
      </c>
      <c r="H51" s="70">
        <f>COUNTIFS('Error Log'!$A:$A,$A51,'Error Log'!$F:$F,"Source")</f>
        <v>0</v>
      </c>
      <c r="I51" s="70">
        <f>COUNTIFS('Error Log'!$A:$A,$A51,'Error Log'!$F:$F,"Target")</f>
        <v>0</v>
      </c>
      <c r="J51" s="71">
        <f t="shared" si="0"/>
        <v>100</v>
      </c>
    </row>
    <row r="52" spans="1:10">
      <c r="A52" s="118" t="s">
        <v>343</v>
      </c>
      <c r="B52" s="70" t="str">
        <f>IF(ISBLANK(A52),"",INDEX('Error Log'!$A:$J,MATCH('Scores per segment'!$A52,'Error Log'!$A:$A,0),MATCH('Scores per segment'!B$1,'Error Log'!$A$1:$J$1,0)))</f>
        <v>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v>
      </c>
      <c r="C52" s="70" t="str">
        <f>IF(ISBLANK(A52),"",INDEX('Error Log'!$A:$J,MATCH('Scores per segment'!$A52,'Error Log'!$A:$A,0),MATCH('Scores per segment'!C$1,'Error Log'!$A$1:$J$1,0)))</f>
        <v>theo walcott has been pictured on a different kind of bench with his team-mates as he was pictured for a photoshoot with calum chambers , jack wilshere , mikel arteta , david ospina , david ospina , mathieu flamini and mesut ozil .
walcott and co , along with runway model olga sherer , have posed for an official portrait for paris ' oldest fashion house - lanvin - the club 's official tailor since 2013 .
walcott , who has been named on arsenal 's substitutes ' bench for 17 of their 33 barclays premier league games , came on for the last six minutes .</v>
      </c>
      <c r="D52" s="70">
        <f>IF(H52=0,wdct(TRIM(C52)),0)</f>
        <v>91</v>
      </c>
      <c r="E52" s="70">
        <f>COUNTIFS('Error Log'!$A:$A,$A52,'Error Log'!$J:$J,E$1)</f>
        <v>0</v>
      </c>
      <c r="F52" s="70">
        <f>COUNTIFS('Error Log'!$A:$A,$A52,'Error Log'!$J:$J,F$1)</f>
        <v>1</v>
      </c>
      <c r="G52" s="70">
        <f>COUNTIFS('Error Log'!$A:$A,$A52,'Error Log'!$J:$J,G$1)</f>
        <v>0</v>
      </c>
      <c r="H52" s="70">
        <f>COUNTIFS('Error Log'!$A:$A,$A52,'Error Log'!$F:$F,"Source")</f>
        <v>0</v>
      </c>
      <c r="I52" s="70">
        <f>COUNTIFS('Error Log'!$A:$A,$A52,'Error Log'!$F:$F,"Target")</f>
        <v>0</v>
      </c>
      <c r="J52" s="71">
        <f t="shared" si="0"/>
        <v>97.252747252747241</v>
      </c>
    </row>
    <row r="53" spans="1:10">
      <c r="A53" s="113" t="s">
        <v>347</v>
      </c>
      <c r="B53" s="70" t="str">
        <f>IF(ISBLANK(A53),"",INDEX('Error Log'!$A:$J,MATCH('Scores per segment'!$A53,'Error Log'!$A:$A,0),MATCH('Scores per segment'!B$1,'Error Log'!$A$1:$J$1,0)))</f>
        <v>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v>
      </c>
      <c r="C53" s="70" t="str">
        <f>IF(ISBLANK(A53),"",INDEX('Error Log'!$A:$J,MATCH('Scores per segment'!$A53,'Error Log'!$A:$A,0),MATCH('Scores per segment'!C$1,'Error Log'!$A$1:$J$1,0)))</f>
        <v>tom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he will be available for the start of the season and has now committed himself to the county until the end of the 2016 season .</v>
      </c>
      <c r="D53" s="70">
        <f>IF(H53=0,wdct(TRIM(C53)),0)</f>
        <v>75</v>
      </c>
      <c r="E53" s="70">
        <f>COUNTIFS('Error Log'!$A:$A,$A53,'Error Log'!$J:$J,E$1)</f>
        <v>0</v>
      </c>
      <c r="F53" s="70">
        <f>COUNTIFS('Error Log'!$A:$A,$A53,'Error Log'!$J:$J,F$1)</f>
        <v>0</v>
      </c>
      <c r="G53" s="70">
        <f>COUNTIFS('Error Log'!$A:$A,$A53,'Error Log'!$J:$J,G$1)</f>
        <v>0</v>
      </c>
      <c r="H53" s="70">
        <f>COUNTIFS('Error Log'!$A:$A,$A53,'Error Log'!$F:$F,"Source")</f>
        <v>0</v>
      </c>
      <c r="I53" s="70">
        <f>COUNTIFS('Error Log'!$A:$A,$A53,'Error Log'!$F:$F,"Target")</f>
        <v>0</v>
      </c>
      <c r="J53" s="71">
        <f t="shared" si="0"/>
        <v>100</v>
      </c>
    </row>
    <row r="54" spans="1:10">
      <c r="A54" s="107" t="s">
        <v>350</v>
      </c>
      <c r="B54" s="70" t="str">
        <f>IF(ISBLANK(A54),"",INDEX('Error Log'!$A:$J,MATCH('Scores per segment'!$A54,'Error Log'!$A:$A,0),MATCH('Scores per segment'!B$1,'Error Log'!$A$1:$J$1,0)))</f>
        <v>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v>
      </c>
      <c r="C54" s="70" t="str">
        <f>IF(ISBLANK(A54),"",INDEX('Error Log'!$A:$J,MATCH('Scores per segment'!$A54,'Error Log'!$A:$A,0),MATCH('Scores per segment'!C$1,'Error Log'!$A$1:$J$1,0)))</f>
        <v>legendary make-up effects artist rick baker will be auctioned off at the hilton universal city in los angeles , california , and on propstore.com this may 29 .
the grinch costume from the jim carrey film how the grinch stole christmas is listed at $ 8,000 .</v>
      </c>
      <c r="D54" s="70">
        <f>IF(H54=0,wdct(TRIM(C54)),0)</f>
        <v>43</v>
      </c>
      <c r="E54" s="70">
        <f>COUNTIFS('Error Log'!$A:$A,$A54,'Error Log'!$J:$J,E$1)</f>
        <v>5</v>
      </c>
      <c r="F54" s="70">
        <f>COUNTIFS('Error Log'!$A:$A,$A54,'Error Log'!$J:$J,F$1)</f>
        <v>1</v>
      </c>
      <c r="G54" s="70">
        <f>COUNTIFS('Error Log'!$A:$A,$A54,'Error Log'!$J:$J,G$1)</f>
        <v>0</v>
      </c>
      <c r="H54" s="70">
        <f>COUNTIFS('Error Log'!$A:$A,$A54,'Error Log'!$F:$F,"Source")</f>
        <v>0</v>
      </c>
      <c r="I54" s="70">
        <f>COUNTIFS('Error Log'!$A:$A,$A54,'Error Log'!$F:$F,"Target")</f>
        <v>0</v>
      </c>
      <c r="J54" s="71">
        <f t="shared" si="0"/>
        <v>36.046511627906973</v>
      </c>
    </row>
    <row r="55" spans="1:10">
      <c r="A55" s="107" t="s">
        <v>360</v>
      </c>
      <c r="B55" s="70" t="str">
        <f>IF(ISBLANK(A55),"",INDEX('Error Log'!$A:$J,MATCH('Scores per segment'!$A55,'Error Log'!$A:$A,0),MATCH('Scores per segment'!B$1,'Error Log'!$A$1:$J$1,0)))</f>
        <v>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v>
      </c>
      <c r="C55" s="70" t="str">
        <f>IF(ISBLANK(A55),"",INDEX('Error Log'!$A:$J,MATCH('Scores per segment'!$A55,'Error Log'!$A:$A,0),MATCH('Scores per segment'!C$1,'Error Log'!$A$1:$J$1,0)))</f>
        <v>harley renshaw was diagnosed with cancer in his kidney , neck , lungs and bones .
but his ninja turtle mask helped him feel stronger while he was having radiotherapy .
hospital staff were amazed when the youngster asked if he could decorate the mask that holds him still while having his treatment .</v>
      </c>
      <c r="D55" s="70">
        <f>IF(H55=0,wdct(TRIM(C55)),0)</f>
        <v>49</v>
      </c>
      <c r="E55" s="70">
        <f>COUNTIFS('Error Log'!$A:$A,$A55,'Error Log'!$J:$J,E$1)</f>
        <v>2</v>
      </c>
      <c r="F55" s="70">
        <f>COUNTIFS('Error Log'!$A:$A,$A55,'Error Log'!$J:$J,F$1)</f>
        <v>1</v>
      </c>
      <c r="G55" s="70">
        <f>COUNTIFS('Error Log'!$A:$A,$A55,'Error Log'!$J:$J,G$1)</f>
        <v>0</v>
      </c>
      <c r="H55" s="70">
        <f>COUNTIFS('Error Log'!$A:$A,$A55,'Error Log'!$F:$F,"Source")</f>
        <v>0</v>
      </c>
      <c r="I55" s="70">
        <f>COUNTIFS('Error Log'!$A:$A,$A55,'Error Log'!$F:$F,"Target")</f>
        <v>0</v>
      </c>
      <c r="J55" s="71">
        <f t="shared" si="0"/>
        <v>74.489795918367349</v>
      </c>
    </row>
    <row r="56" spans="1:10">
      <c r="A56" s="107" t="s">
        <v>367</v>
      </c>
      <c r="B56" s="70" t="str">
        <f>IF(ISBLANK(A56),"",INDEX('Error Log'!$A:$J,MATCH('Scores per segment'!$A56,'Error Log'!$A:$A,0),MATCH('Scores per segment'!B$1,'Error Log'!$A$1:$J$1,0)))</f>
        <v>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v>
      </c>
      <c r="C56" s="70" t="str">
        <f>IF(ISBLANK(A56),"",INDEX('Error Log'!$A:$J,MATCH('Scores per segment'!$A56,'Error Log'!$A:$A,0),MATCH('Scores per segment'!C$1,'Error Log'!$A$1:$J$1,0)))</f>
        <v>carwyn scott-howell was skiing with his family when he became separated from his mother and headed into dense woodland where he fell over a 164ft drop .
footprints in the snow eventually led police to his body , investigators revealed .
they also described how the boy’s mother cari , 44 , desperately tried to find her missing son .</v>
      </c>
      <c r="D56" s="70">
        <f>IF(H56=0,wdct(TRIM(C56)),0)</f>
        <v>55</v>
      </c>
      <c r="E56" s="70">
        <f>COUNTIFS('Error Log'!$A:$A,$A56,'Error Log'!$J:$J,E$1)</f>
        <v>2</v>
      </c>
      <c r="F56" s="70">
        <f>COUNTIFS('Error Log'!$A:$A,$A56,'Error Log'!$J:$J,F$1)</f>
        <v>2</v>
      </c>
      <c r="G56" s="70">
        <f>COUNTIFS('Error Log'!$A:$A,$A56,'Error Log'!$J:$J,G$1)</f>
        <v>0</v>
      </c>
      <c r="H56" s="70">
        <f>COUNTIFS('Error Log'!$A:$A,$A56,'Error Log'!$F:$F,"Source")</f>
        <v>0</v>
      </c>
      <c r="I56" s="70">
        <f>COUNTIFS('Error Log'!$A:$A,$A56,'Error Log'!$F:$F,"Target")</f>
        <v>0</v>
      </c>
      <c r="J56" s="71">
        <f t="shared" si="0"/>
        <v>72.727272727272734</v>
      </c>
    </row>
    <row r="57" spans="1:10">
      <c r="A57" s="107" t="s">
        <v>375</v>
      </c>
      <c r="B57" s="70" t="str">
        <f>IF(ISBLANK(A57),"",INDEX('Error Log'!$A:$J,MATCH('Scores per segment'!$A57,'Error Log'!$A:$A,0),MATCH('Scores per segment'!B$1,'Error Log'!$A$1:$J$1,0)))</f>
        <v>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v>
      </c>
      <c r="C57" s="70" t="str">
        <f>IF(ISBLANK(A57),"",INDEX('Error Log'!$A:$J,MATCH('Scores per segment'!$A57,'Error Log'!$A:$A,0),MATCH('Scores per segment'!C$1,'Error Log'!$A$1:$J$1,0)))</f>
        <v>jack grealish must concentrate on his aston villa career .
sherwood is now at the centre of a tug of war between the republic of ireland .
but sherwood wants grealish to focus on continuing to force his way into the villa first team .</v>
      </c>
      <c r="D57" s="70">
        <f>IF(H57=0,wdct(TRIM(C57)),0)</f>
        <v>42</v>
      </c>
      <c r="E57" s="70">
        <f>COUNTIFS('Error Log'!$A:$A,$A57,'Error Log'!$J:$J,E$1)</f>
        <v>2</v>
      </c>
      <c r="F57" s="70">
        <f>COUNTIFS('Error Log'!$A:$A,$A57,'Error Log'!$J:$J,F$1)</f>
        <v>2</v>
      </c>
      <c r="G57" s="70">
        <f>COUNTIFS('Error Log'!$A:$A,$A57,'Error Log'!$J:$J,G$1)</f>
        <v>1</v>
      </c>
      <c r="H57" s="70">
        <f>COUNTIFS('Error Log'!$A:$A,$A57,'Error Log'!$F:$F,"Source")</f>
        <v>0</v>
      </c>
      <c r="I57" s="70">
        <f>COUNTIFS('Error Log'!$A:$A,$A57,'Error Log'!$F:$F,"Target")</f>
        <v>0</v>
      </c>
      <c r="J57" s="71">
        <f t="shared" si="0"/>
        <v>63.095238095238095</v>
      </c>
    </row>
    <row r="58" spans="1:10">
      <c r="A58" s="107" t="s">
        <v>384</v>
      </c>
      <c r="B58" s="70" t="str">
        <f>IF(ISBLANK(A58),"",INDEX('Error Log'!$A:$J,MATCH('Scores per segment'!$A58,'Error Log'!$A:$A,0),MATCH('Scores per segment'!B$1,'Error Log'!$A$1:$J$1,0)))</f>
        <v>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v>
      </c>
      <c r="C58" s="70" t="str">
        <f>IF(ISBLANK(A58),"",INDEX('Error Log'!$A:$J,MATCH('Scores per segment'!$A58,'Error Log'!$A:$A,0),MATCH('Scores per segment'!C$1,'Error Log'!$A$1:$J$1,0)))</f>
        <v>laura scurr , 15 , has spoken out about the pressures on young girls .
she has spoken about pressures put on teenagers to be a ' size zero ' .
laura became so obsessed with having the perfect figure she would hide food down the side of her bed .</v>
      </c>
      <c r="D58" s="70">
        <f>IF(H58=0,wdct(TRIM(C58)),0)</f>
        <v>44</v>
      </c>
      <c r="E58" s="70">
        <f>COUNTIFS('Error Log'!$A:$A,$A58,'Error Log'!$J:$J,E$1)</f>
        <v>4</v>
      </c>
      <c r="F58" s="70">
        <f>COUNTIFS('Error Log'!$A:$A,$A58,'Error Log'!$J:$J,F$1)</f>
        <v>3</v>
      </c>
      <c r="G58" s="70">
        <f>COUNTIFS('Error Log'!$A:$A,$A58,'Error Log'!$J:$J,G$1)</f>
        <v>2</v>
      </c>
      <c r="H58" s="70">
        <f>COUNTIFS('Error Log'!$A:$A,$A58,'Error Log'!$F:$F,"Source")</f>
        <v>0</v>
      </c>
      <c r="I58" s="70">
        <f>COUNTIFS('Error Log'!$A:$A,$A58,'Error Log'!$F:$F,"Target")</f>
        <v>0</v>
      </c>
      <c r="J58" s="71">
        <f t="shared" si="0"/>
        <v>35.227272727272734</v>
      </c>
    </row>
    <row r="59" spans="1:10">
      <c r="A59" s="107" t="s">
        <v>396</v>
      </c>
      <c r="B59" s="70" t="str">
        <f>IF(ISBLANK(A59),"",INDEX('Error Log'!$A:$J,MATCH('Scores per segment'!$A59,'Error Log'!$A:$A,0),MATCH('Scores per segment'!B$1,'Error Log'!$A$1:$J$1,0)))</f>
        <v>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v>
      </c>
      <c r="C59" s="70" t="str">
        <f>IF(ISBLANK(A59),"",INDEX('Error Log'!$A:$J,MATCH('Scores per segment'!$A59,'Error Log'!$A:$A,0),MATCH('Scores per segment'!C$1,'Error Log'!$A$1:$J$1,0)))</f>
        <v>high landings fees give an insight into some of the most unexpectedly popular transport hubs for the rich and famous , from salzburg , in austria , to darwin , in australia .
the trip is a more affordable £8,835 ( $ 13,253 ) from london to cannes and £8,895 ( £13,343 ) from london to nice .</v>
      </c>
      <c r="D59" s="70">
        <f>IF(H59=0,wdct(TRIM(C59)),0)</f>
        <v>47</v>
      </c>
      <c r="E59" s="70">
        <f>COUNTIFS('Error Log'!$A:$A,$A59,'Error Log'!$J:$J,E$1)</f>
        <v>2</v>
      </c>
      <c r="F59" s="70">
        <f>COUNTIFS('Error Log'!$A:$A,$A59,'Error Log'!$J:$J,F$1)</f>
        <v>2</v>
      </c>
      <c r="G59" s="70">
        <f>COUNTIFS('Error Log'!$A:$A,$A59,'Error Log'!$J:$J,G$1)</f>
        <v>0</v>
      </c>
      <c r="H59" s="70">
        <f>COUNTIFS('Error Log'!$A:$A,$A59,'Error Log'!$F:$F,"Source")</f>
        <v>0</v>
      </c>
      <c r="I59" s="70">
        <f>COUNTIFS('Error Log'!$A:$A,$A59,'Error Log'!$F:$F,"Target")</f>
        <v>0</v>
      </c>
      <c r="J59" s="71">
        <f t="shared" si="0"/>
        <v>68.085106382978722</v>
      </c>
    </row>
    <row r="60" spans="1:10">
      <c r="A60" s="107" t="s">
        <v>404</v>
      </c>
      <c r="B60" s="70" t="str">
        <f>IF(ISBLANK(A60),"",INDEX('Error Log'!$A:$J,MATCH('Scores per segment'!$A60,'Error Log'!$A:$A,0),MATCH('Scores per segment'!B$1,'Error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v>
      </c>
      <c r="C60" s="70" t="str">
        <f>IF(ISBLANK(A60),"",INDEX('Error Log'!$A:$J,MATCH('Scores per segment'!$A60,'Error Log'!$A:$A,0),MATCH('Scores per segment'!C$1,'Error Log'!$A$1:$J$1,0)))</f>
        <v>raheem sterling was told in no uncertain terms by liverpool supporters .
the new gingham design , presented to supporters at anfield on friday , is the first offering from us sports brand new balance , who struck a record-breaking £300million four-year kit deal to replace sister company warrior as liverpool 's suppliers .
new balance struck a record-breaking £300million four-year kit deal to replace sister company warrior as liverpool 's suppliers .</v>
      </c>
      <c r="D60" s="70">
        <f>IF(H60=0,wdct(TRIM(C60)),0)</f>
        <v>67</v>
      </c>
      <c r="E60" s="70">
        <f>COUNTIFS('Error Log'!$A:$A,$A60,'Error Log'!$J:$J,E$1)</f>
        <v>4</v>
      </c>
      <c r="F60" s="70">
        <f>COUNTIFS('Error Log'!$A:$A,$A60,'Error Log'!$J:$J,F$1)</f>
        <v>1</v>
      </c>
      <c r="G60" s="70">
        <f>COUNTIFS('Error Log'!$A:$A,$A60,'Error Log'!$J:$J,G$1)</f>
        <v>0</v>
      </c>
      <c r="H60" s="70">
        <f>COUNTIFS('Error Log'!$A:$A,$A60,'Error Log'!$F:$F,"Source")</f>
        <v>0</v>
      </c>
      <c r="I60" s="70">
        <f>COUNTIFS('Error Log'!$A:$A,$A60,'Error Log'!$F:$F,"Target")</f>
        <v>0</v>
      </c>
      <c r="J60" s="71">
        <f t="shared" si="0"/>
        <v>66.417910447761187</v>
      </c>
    </row>
    <row r="61" spans="1:10">
      <c r="A61" s="107" t="s">
        <v>413</v>
      </c>
      <c r="B61" s="70" t="str">
        <f>IF(ISBLANK(A61),"",INDEX('Error Log'!$A:$J,MATCH('Scores per segment'!$A61,'Error Log'!$A:$A,0),MATCH('Scores per segment'!B$1,'Error Log'!$A$1:$J$1,0)))</f>
        <v>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1989 by a points landslide , thereby retaining the world super-middleweight title .
but sugar ray took most pride from the trilogy from forcing duran to say no mas .
he said : ` to me , making roberto duran to quit was better than knocking him out . '</v>
      </c>
      <c r="C61" s="70" t="str">
        <f>IF(ISBLANK(A61),"",INDEX('Error Log'!$A:$J,MATCH('Scores per segment'!$A61,'Error Log'!$A:$A,0),MATCH('Scores per segment'!C$1,'Error Log'!$A$1:$J$1,0)))</f>
        <v>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v>
      </c>
      <c r="D61" s="70">
        <f>IF(H61=0,wdct(TRIM(C61)),0)</f>
        <v>49</v>
      </c>
      <c r="E61" s="70">
        <f>COUNTIFS('Error Log'!$A:$A,$A61,'Error Log'!$J:$J,E$1)</f>
        <v>3</v>
      </c>
      <c r="F61" s="70">
        <f>COUNTIFS('Error Log'!$A:$A,$A61,'Error Log'!$J:$J,F$1)</f>
        <v>1</v>
      </c>
      <c r="G61" s="70">
        <f>COUNTIFS('Error Log'!$A:$A,$A61,'Error Log'!$J:$J,G$1)</f>
        <v>0</v>
      </c>
      <c r="H61" s="70">
        <f>COUNTIFS('Error Log'!$A:$A,$A61,'Error Log'!$F:$F,"Source")</f>
        <v>0</v>
      </c>
      <c r="I61" s="70">
        <f>COUNTIFS('Error Log'!$A:$A,$A61,'Error Log'!$F:$F,"Target")</f>
        <v>0</v>
      </c>
      <c r="J61" s="71">
        <f t="shared" si="0"/>
        <v>64.285714285714278</v>
      </c>
    </row>
    <row r="62" spans="1:10">
      <c r="A62" s="107" t="s">
        <v>421</v>
      </c>
      <c r="B62" s="70" t="str">
        <f>IF(ISBLANK(A62),"",INDEX('Error Log'!$A:$J,MATCH('Scores per segment'!$A62,'Error Log'!$A:$A,0),MATCH('Scores per segment'!B$1,'Error Log'!$A$1:$J$1,0)))</f>
        <v>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v>
      </c>
      <c r="C62" s="70" t="str">
        <f>IF(ISBLANK(A62),"",INDEX('Error Log'!$A:$J,MATCH('Scores per segment'!$A62,'Error Log'!$A:$A,0),MATCH('Scores per segment'!C$1,'Error Log'!$A$1:$J$1,0)))</f>
        <v>university of manchester researchers have revealed an hd dark matter map of mysterious dark matter has been produced .
it is the first in a series of maps of the cosmos that will eventually allow a 3d view of dark matter across one eighth of the night sky .
the map was created using data captured by the dark energy camera , a 570-megapixel imaging device that is the primary instrument for the dark energy survey .</v>
      </c>
      <c r="D62" s="70">
        <f>IF(H62=0,wdct(TRIM(C62)),0)</f>
        <v>73</v>
      </c>
      <c r="E62" s="70">
        <f>COUNTIFS('Error Log'!$A:$A,$A62,'Error Log'!$J:$J,E$1)</f>
        <v>3</v>
      </c>
      <c r="F62" s="70">
        <f>COUNTIFS('Error Log'!$A:$A,$A62,'Error Log'!$J:$J,F$1)</f>
        <v>2</v>
      </c>
      <c r="G62" s="70">
        <f>COUNTIFS('Error Log'!$A:$A,$A62,'Error Log'!$J:$J,G$1)</f>
        <v>0</v>
      </c>
      <c r="H62" s="70">
        <f>COUNTIFS('Error Log'!$A:$A,$A62,'Error Log'!$F:$F,"Source")</f>
        <v>0</v>
      </c>
      <c r="I62" s="70">
        <f>COUNTIFS('Error Log'!$A:$A,$A62,'Error Log'!$F:$F,"Target")</f>
        <v>0</v>
      </c>
      <c r="J62" s="71">
        <f t="shared" si="0"/>
        <v>72.602739726027394</v>
      </c>
    </row>
    <row r="63" spans="1:10">
      <c r="A63" s="107" t="s">
        <v>430</v>
      </c>
      <c r="B63" s="70" t="str">
        <f>IF(ISBLANK(A63),"",INDEX('Error Log'!$A:$J,MATCH('Scores per segment'!$A63,'Error Log'!$A:$A,0),MATCH('Scores per segment'!B$1,'Error Log'!$A$1:$J$1,0)))</f>
        <v>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v>
      </c>
      <c r="C63" s="70" t="str">
        <f>IF(ISBLANK(A63),"",INDEX('Error Log'!$A:$J,MATCH('Scores per segment'!$A63,'Error Log'!$A:$A,0),MATCH('Scores per segment'!C$1,'Error Log'!$A$1:$J$1,0)))</f>
        <v>katie gallegos from clackamas county , oregon , decided to take cooper the dog to a mcdonald 's drive-thru for an ice cream with his pal daisy .
but while the small female pup takes a few ladylike licks , cooper gobbles the rest of the cone up in one bite .</v>
      </c>
      <c r="D63" s="70">
        <f>IF(H63=0,wdct(TRIM(C63)),0)</f>
        <v>47</v>
      </c>
      <c r="E63" s="70">
        <f>COUNTIFS('Error Log'!$A:$A,$A63,'Error Log'!$J:$J,E$1)</f>
        <v>1</v>
      </c>
      <c r="F63" s="70">
        <f>COUNTIFS('Error Log'!$A:$A,$A63,'Error Log'!$J:$J,F$1)</f>
        <v>0</v>
      </c>
      <c r="G63" s="70">
        <f>COUNTIFS('Error Log'!$A:$A,$A63,'Error Log'!$J:$J,G$1)</f>
        <v>0</v>
      </c>
      <c r="H63" s="70">
        <f>COUNTIFS('Error Log'!$A:$A,$A63,'Error Log'!$F:$F,"Source")</f>
        <v>0</v>
      </c>
      <c r="I63" s="70">
        <f>COUNTIFS('Error Log'!$A:$A,$A63,'Error Log'!$F:$F,"Target")</f>
        <v>0</v>
      </c>
      <c r="J63" s="71">
        <f t="shared" si="0"/>
        <v>89.361702127659584</v>
      </c>
    </row>
    <row r="64" spans="1:10">
      <c r="A64" s="113" t="s">
        <v>434</v>
      </c>
      <c r="B64" s="70" t="str">
        <f>IF(ISBLANK(A64),"",INDEX('Error Log'!$A:$J,MATCH('Scores per segment'!$A64,'Error Log'!$A:$A,0),MATCH('Scores per segment'!B$1,'Error Log'!$A$1:$J$1,0)))</f>
        <v>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v>
      </c>
      <c r="C64" s="70" t="str">
        <f>IF(ISBLANK(A64),"",INDEX('Error Log'!$A:$J,MATCH('Scores per segment'!$A64,'Error Log'!$A:$A,0),MATCH('Scores per segment'!C$1,'Error Log'!$A$1:$J$1,0)))</f>
        <v>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chelsea are in early discussions over a possible partnership with belgian club royal mouscron-peruwelz .</v>
      </c>
      <c r="D64" s="70">
        <f>IF(H64=0,wdct(TRIM(C64)),0)</f>
        <v>66</v>
      </c>
      <c r="E64" s="70">
        <f>COUNTIFS('Error Log'!$A:$A,$A64,'Error Log'!$J:$J,E$1)</f>
        <v>2</v>
      </c>
      <c r="F64" s="70">
        <f>COUNTIFS('Error Log'!$A:$A,$A64,'Error Log'!$J:$J,F$1)</f>
        <v>2</v>
      </c>
      <c r="G64" s="70">
        <f>COUNTIFS('Error Log'!$A:$A,$A64,'Error Log'!$J:$J,G$1)</f>
        <v>0</v>
      </c>
      <c r="H64" s="70">
        <f>COUNTIFS('Error Log'!$A:$A,$A64,'Error Log'!$F:$F,"Source")</f>
        <v>0</v>
      </c>
      <c r="I64" s="70">
        <f>COUNTIFS('Error Log'!$A:$A,$A64,'Error Log'!$F:$F,"Target")</f>
        <v>0</v>
      </c>
      <c r="J64" s="71">
        <f t="shared" si="0"/>
        <v>77.272727272727266</v>
      </c>
    </row>
    <row r="65" spans="1:10">
      <c r="A65" s="113" t="s">
        <v>442</v>
      </c>
      <c r="B65" s="70" t="str">
        <f>IF(ISBLANK(A65),"",INDEX('Error Log'!$A:$J,MATCH('Scores per segment'!$A65,'Error Log'!$A:$A,0),MATCH('Scores per segment'!B$1,'Error Log'!$A$1:$J$1,0)))</f>
        <v>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$ 4.6 billion</v>
      </c>
      <c r="C65" s="70" t="str">
        <f>IF(ISBLANK(A65),"",INDEX('Error Log'!$A:$J,MATCH('Scores per segment'!$A65,'Error Log'!$A:$A,0),MATCH('Scores per segment'!C$1,'Error Log'!$A$1:$J$1,0)))</f>
        <v>the global coffeehouse chain said in an update on its site that stores are expected to open for ' business as usual ' saturday .
earlier in the day , a young barrista named jaleel working at a starbucks coffeehouse on 8th street in manhattan told daily mail their system went down at around 7.30pm .</v>
      </c>
      <c r="D65" s="70">
        <f>IF(H65=0,wdct(TRIM(C65)),0)</f>
        <v>51</v>
      </c>
      <c r="E65" s="70">
        <f>COUNTIFS('Error Log'!$A:$A,$A65,'Error Log'!$J:$J,E$1)</f>
        <v>4</v>
      </c>
      <c r="F65" s="70">
        <f>COUNTIFS('Error Log'!$A:$A,$A65,'Error Log'!$J:$J,F$1)</f>
        <v>1</v>
      </c>
      <c r="G65" s="70">
        <f>COUNTIFS('Error Log'!$A:$A,$A65,'Error Log'!$J:$J,G$1)</f>
        <v>0</v>
      </c>
      <c r="H65" s="70">
        <f>COUNTIFS('Error Log'!$A:$A,$A65,'Error Log'!$F:$F,"Source")</f>
        <v>0</v>
      </c>
      <c r="I65" s="70">
        <f>COUNTIFS('Error Log'!$A:$A,$A65,'Error Log'!$F:$F,"Target")</f>
        <v>0</v>
      </c>
      <c r="J65" s="71">
        <f t="shared" si="0"/>
        <v>55.882352941176471</v>
      </c>
    </row>
    <row r="66" spans="1:10">
      <c r="A66" s="113" t="s">
        <v>451</v>
      </c>
      <c r="B66" s="70" t="str">
        <f>IF(ISBLANK(A66),"",INDEX('Error Log'!$A:$J,MATCH('Scores per segment'!$A66,'Error Log'!$A:$A,0),MATCH('Scores per segment'!B$1,'Error Log'!$A$1:$J$1,0)))</f>
        <v>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2009 .
pacquiao is promoted by bob arum 's top rank company .
actor mark wahlberg is a big fan of pacquiao .</v>
      </c>
      <c r="C66" s="70" t="str">
        <f>IF(ISBLANK(A66),"",INDEX('Error Log'!$A:$J,MATCH('Scores per segment'!$A66,'Error Log'!$A:$A,0),MATCH('Scores per segment'!C$1,'Error Log'!$A$1:$J$1,0)))</f>
        <v>floyd mayweather and manny pacquiao are less than two weeks away from playing their part in the richest fight in boxing history .
sportsmail takes a look at the two men 's achievements , in and out of the ring , ahead of their $ 300m mega-fight on may 2 .</v>
      </c>
      <c r="D66" s="70">
        <f>IF(H66=0,wdct(TRIM(C66)),0)</f>
        <v>46</v>
      </c>
      <c r="E66" s="70">
        <f>COUNTIFS('Error Log'!$A:$A,$A66,'Error Log'!$J:$J,E$1)</f>
        <v>1</v>
      </c>
      <c r="F66" s="70">
        <f>COUNTIFS('Error Log'!$A:$A,$A66,'Error Log'!$J:$J,F$1)</f>
        <v>1</v>
      </c>
      <c r="G66" s="70">
        <f>COUNTIFS('Error Log'!$A:$A,$A66,'Error Log'!$J:$J,G$1)</f>
        <v>0</v>
      </c>
      <c r="H66" s="70">
        <f>COUNTIFS('Error Log'!$A:$A,$A66,'Error Log'!$F:$F,"Source")</f>
        <v>0</v>
      </c>
      <c r="I66" s="70">
        <f>COUNTIFS('Error Log'!$A:$A,$A66,'Error Log'!$F:$F,"Target")</f>
        <v>0</v>
      </c>
      <c r="J66" s="71">
        <f t="shared" ref="J66:J129" si="1">IF(I66=0,IFERROR((((1-((E66*10+F66*5+G66*1)/D66))*100)+100)/2,0),-150)</f>
        <v>83.695652173913047</v>
      </c>
    </row>
    <row r="67" spans="1:10">
      <c r="A67" s="113" t="s">
        <v>456</v>
      </c>
      <c r="B67" s="70" t="str">
        <f>IF(ISBLANK(A67),"",INDEX('Error Log'!$A:$J,MATCH('Scores per segment'!$A67,'Error Log'!$A:$A,0),MATCH('Scores per segment'!B$1,'Error Log'!$A$1:$J$1,0)))</f>
        <v>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25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v>
      </c>
      <c r="C67" s="70" t="str">
        <f>IF(ISBLANK(A67),"",INDEX('Error Log'!$A:$J,MATCH('Scores per segment'!$A67,'Error Log'!$A:$A,0),MATCH('Scores per segment'!C$1,'Error Log'!$A$1:$J$1,0)))</f>
        <v>locations in ceredigion , powys and pembrokeshire are being used to radicalise muslims .
those involved in such activities ' take part in seemingly ordinary activities ' in the community but ' have an ulterior motive , detective constable gareth jones said .
dc jones stressed that issues surrounding terrorism were not confined to large cities .</v>
      </c>
      <c r="D67" s="70">
        <f>IF(H67=0,wdct(TRIM(C67)),0)</f>
        <v>49</v>
      </c>
      <c r="E67" s="70">
        <f>COUNTIFS('Error Log'!$A:$A,$A67,'Error Log'!$J:$J,E$1)</f>
        <v>0</v>
      </c>
      <c r="F67" s="70">
        <f>COUNTIFS('Error Log'!$A:$A,$A67,'Error Log'!$J:$J,F$1)</f>
        <v>1</v>
      </c>
      <c r="G67" s="70">
        <f>COUNTIFS('Error Log'!$A:$A,$A67,'Error Log'!$J:$J,G$1)</f>
        <v>0</v>
      </c>
      <c r="H67" s="70">
        <f>COUNTIFS('Error Log'!$A:$A,$A67,'Error Log'!$F:$F,"Source")</f>
        <v>0</v>
      </c>
      <c r="I67" s="70">
        <f>COUNTIFS('Error Log'!$A:$A,$A67,'Error Log'!$F:$F,"Target")</f>
        <v>0</v>
      </c>
      <c r="J67" s="71">
        <f t="shared" si="1"/>
        <v>94.897959183673464</v>
      </c>
    </row>
    <row r="68" spans="1:10">
      <c r="A68" s="113" t="s">
        <v>460</v>
      </c>
      <c r="B68" s="70" t="str">
        <f>IF(ISBLANK(A68),"",INDEX('Error Log'!$A:$J,MATCH('Scores per segment'!$A68,'Error Log'!$A:$A,0),MATCH('Scores per segment'!B$1,'Error Log'!$A$1:$J$1,0)))</f>
        <v>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v>
      </c>
      <c r="C68" s="70" t="str">
        <f>IF(ISBLANK(A68),"",INDEX('Error Log'!$A:$J,MATCH('Scores per segment'!$A68,'Error Log'!$A:$A,0),MATCH('Scores per segment'!C$1,'Error Log'!$A$1:$J$1,0)))</f>
        <v>manchester united have made an official approach for memphis depay .
the red devils have made a move over the holland international .
louis van gaal keen to make him one of his first signings this summer .</v>
      </c>
      <c r="D68" s="70">
        <f>IF(H68=0,wdct(TRIM(C68)),0)</f>
        <v>35</v>
      </c>
      <c r="E68" s="70">
        <f>COUNTIFS('Error Log'!$A:$A,$A68,'Error Log'!$J:$J,E$1)</f>
        <v>3</v>
      </c>
      <c r="F68" s="70">
        <f>COUNTIFS('Error Log'!$A:$A,$A68,'Error Log'!$J:$J,F$1)</f>
        <v>2</v>
      </c>
      <c r="G68" s="70">
        <f>COUNTIFS('Error Log'!$A:$A,$A68,'Error Log'!$J:$J,G$1)</f>
        <v>0</v>
      </c>
      <c r="H68" s="70">
        <f>COUNTIFS('Error Log'!$A:$A,$A68,'Error Log'!$F:$F,"Source")</f>
        <v>0</v>
      </c>
      <c r="I68" s="70">
        <f>COUNTIFS('Error Log'!$A:$A,$A68,'Error Log'!$F:$F,"Target")</f>
        <v>0</v>
      </c>
      <c r="J68" s="71">
        <f t="shared" si="1"/>
        <v>42.857142857142861</v>
      </c>
    </row>
    <row r="69" spans="1:10">
      <c r="A69" s="113" t="s">
        <v>473</v>
      </c>
      <c r="B69" s="70" t="str">
        <f>IF(ISBLANK(A69),"",INDEX('Error Log'!$A:$J,MATCH('Scores per segment'!$A69,'Error Log'!$A:$A,0),MATCH('Scores per segment'!B$1,'Error Log'!$A$1:$J$1,0)))</f>
        <v>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60 vertebrae</v>
      </c>
      <c r="C69" s="70" t="str">
        <f>IF(ISBLANK(A69),"",INDEX('Error Log'!$A:$J,MATCH('Scores per segment'!$A69,'Error Log'!$A:$A,0),MATCH('Scores per segment'!C$1,'Error Log'!$A$1:$J$1,0)))</f>
        <v>the omura 's whale was discovered on a remote exmouth beach in wa .
it is the first sighting of the species in wa and only the second in australia .
environment minister albert jacob said the find was ' highly significant ' for whale scientists because very little was known about the species .</v>
      </c>
      <c r="D69" s="70">
        <f>IF(H69=0,wdct(TRIM(C69)),0)</f>
        <v>50</v>
      </c>
      <c r="E69" s="70">
        <f>COUNTIFS('Error Log'!$A:$A,$A69,'Error Log'!$J:$J,E$1)</f>
        <v>3</v>
      </c>
      <c r="F69" s="70">
        <f>COUNTIFS('Error Log'!$A:$A,$A69,'Error Log'!$J:$J,F$1)</f>
        <v>1</v>
      </c>
      <c r="G69" s="70">
        <f>COUNTIFS('Error Log'!$A:$A,$A69,'Error Log'!$J:$J,G$1)</f>
        <v>0</v>
      </c>
      <c r="H69" s="70">
        <f>COUNTIFS('Error Log'!$A:$A,$A69,'Error Log'!$F:$F,"Source")</f>
        <v>0</v>
      </c>
      <c r="I69" s="70">
        <f>COUNTIFS('Error Log'!$A:$A,$A69,'Error Log'!$F:$F,"Target")</f>
        <v>0</v>
      </c>
      <c r="J69" s="71">
        <f t="shared" si="1"/>
        <v>65</v>
      </c>
    </row>
    <row r="70" spans="1:10">
      <c r="A70" s="113" t="s">
        <v>484</v>
      </c>
      <c r="B70" s="70" t="str">
        <f>IF(ISBLANK(A70),"",INDEX('Error Log'!$A:$J,MATCH('Scores per segment'!$A70,'Error Log'!$A:$A,0),MATCH('Scores per segment'!B$1,'Error Log'!$A$1:$J$1,0)))</f>
        <v>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16 ) : on for abraham and showed explosive pace straight away but was let down by a hurried attempt at a finish which flew over the bar .
isaiah brown holds off a tackle from fikayo tomori , during another impressive display for the young forward</v>
      </c>
      <c r="C70" s="70" t="str">
        <f>IF(ISBLANK(A70),"",INDEX('Error Log'!$A:$J,MATCH('Scores per segment'!$A70,'Error Log'!$A:$A,0),MATCH('Scores per segment'!C$1,'Error Log'!$A$1:$J$1,0)))</f>
        <v>norwegian international has been on the bench for long periods .
tammy abraham smashes chelsea into the lead with a fierce drive into the top corner .
christian haug goes up for the ball under pressure from chelsea forwards during the youth cup final .</v>
      </c>
      <c r="D70" s="70">
        <f>IF(H70=0,wdct(TRIM(C70)),0)</f>
        <v>42</v>
      </c>
      <c r="E70" s="70">
        <f>COUNTIFS('Error Log'!$A:$A,$A70,'Error Log'!$J:$J,E$1)</f>
        <v>3</v>
      </c>
      <c r="F70" s="70">
        <f>COUNTIFS('Error Log'!$A:$A,$A70,'Error Log'!$J:$J,F$1)</f>
        <v>3</v>
      </c>
      <c r="G70" s="70">
        <f>COUNTIFS('Error Log'!$A:$A,$A70,'Error Log'!$J:$J,G$1)</f>
        <v>0</v>
      </c>
      <c r="H70" s="70">
        <f>COUNTIFS('Error Log'!$A:$A,$A70,'Error Log'!$F:$F,"Source")</f>
        <v>0</v>
      </c>
      <c r="I70" s="70">
        <f>COUNTIFS('Error Log'!$A:$A,$A70,'Error Log'!$F:$F,"Target")</f>
        <v>0</v>
      </c>
      <c r="J70" s="71">
        <f t="shared" si="1"/>
        <v>46.428571428571431</v>
      </c>
    </row>
    <row r="71" spans="1:10">
      <c r="A71" s="113" t="s">
        <v>499</v>
      </c>
      <c r="B71" s="70" t="str">
        <f>IF(ISBLANK(A71),"",INDEX('Error Log'!$A:$J,MATCH('Scores per segment'!$A71,'Error Log'!$A:$A,0),MATCH('Scores per segment'!B$1,'Error Log'!$A$1:$J$1,0)))</f>
        <v>(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2001 .
correction : an earlier version of this article incorrectly stated that canadians elected their first female prime minister , kim campbell .</v>
      </c>
      <c r="C71" s="70" t="str">
        <f>IF(ISBLANK(A71),"",INDEX('Error Log'!$A:$J,MATCH('Scores per segment'!$A71,'Error Log'!$A:$A,0),MATCH('Scores per segment'!C$1,'Error Log'!$A$1:$J$1,0)))</f>
        <v>hillary clinton should n't be president because her hormones might make her so irrational she 'll start an unnecessary war .
if rios is concerned about hormones impacting decisions in the oval office , she 'd be better off worrying about the male candidates for president .</v>
      </c>
      <c r="D71" s="70">
        <f>IF(H71=0,wdct(TRIM(C71)),0)</f>
        <v>44</v>
      </c>
      <c r="E71" s="70">
        <f>COUNTIFS('Error Log'!$A:$A,$A71,'Error Log'!$J:$J,E$1)</f>
        <v>3</v>
      </c>
      <c r="F71" s="70">
        <f>COUNTIFS('Error Log'!$A:$A,$A71,'Error Log'!$J:$J,F$1)</f>
        <v>1</v>
      </c>
      <c r="G71" s="70">
        <f>COUNTIFS('Error Log'!$A:$A,$A71,'Error Log'!$J:$J,G$1)</f>
        <v>0</v>
      </c>
      <c r="H71" s="70">
        <f>COUNTIFS('Error Log'!$A:$A,$A71,'Error Log'!$F:$F,"Source")</f>
        <v>0</v>
      </c>
      <c r="I71" s="70">
        <f>COUNTIFS('Error Log'!$A:$A,$A71,'Error Log'!$F:$F,"Target")</f>
        <v>0</v>
      </c>
      <c r="J71" s="71">
        <f t="shared" si="1"/>
        <v>60.227272727272734</v>
      </c>
    </row>
    <row r="72" spans="1:10">
      <c r="A72" s="113" t="s">
        <v>510</v>
      </c>
      <c r="B72" s="70" t="str">
        <f>IF(ISBLANK(A72),"",INDEX('Error Log'!$A:$J,MATCH('Scores per segment'!$A72,'Error Log'!$A:$A,0),MATCH('Scores per segment'!B$1,'Error Log'!$A$1:$J$1,0)))</f>
        <v>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$ 42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v>
      </c>
      <c r="C72" s="70" t="str">
        <f>IF(ISBLANK(A72),"",INDEX('Error Log'!$A:$J,MATCH('Scores per segment'!$A72,'Error Log'!$A:$A,0),MATCH('Scores per segment'!C$1,'Error Log'!$A$1:$J$1,0)))</f>
        <v>marco rubio told face the nation after admitting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v>
      </c>
      <c r="D72" s="70">
        <f>IF(H72=0,wdct(TRIM(C72)),0)</f>
        <v>59</v>
      </c>
      <c r="E72" s="70">
        <f>COUNTIFS('Error Log'!$A:$A,$A72,'Error Log'!$J:$J,E$1)</f>
        <v>2</v>
      </c>
      <c r="F72" s="70">
        <f>COUNTIFS('Error Log'!$A:$A,$A72,'Error Log'!$J:$J,F$1)</f>
        <v>1</v>
      </c>
      <c r="G72" s="70">
        <f>COUNTIFS('Error Log'!$A:$A,$A72,'Error Log'!$J:$J,G$1)</f>
        <v>0</v>
      </c>
      <c r="H72" s="70">
        <f>COUNTIFS('Error Log'!$A:$A,$A72,'Error Log'!$F:$F,"Source")</f>
        <v>0</v>
      </c>
      <c r="I72" s="70">
        <f>COUNTIFS('Error Log'!$A:$A,$A72,'Error Log'!$F:$F,"Target")</f>
        <v>0</v>
      </c>
      <c r="J72" s="71">
        <f t="shared" si="1"/>
        <v>78.813559322033896</v>
      </c>
    </row>
    <row r="73" spans="1:10">
      <c r="A73" s="107" t="s">
        <v>517</v>
      </c>
      <c r="B73" s="70" t="str">
        <f>IF(ISBLANK(A73),"",INDEX('Error Log'!$A:$J,MATCH('Scores per segment'!$A73,'Error Log'!$A:$A,0),MATCH('Scores per segment'!B$1,'Error Log'!$A$1:$J$1,0)))</f>
        <v>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1994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v>
      </c>
      <c r="C73" s="70" t="str">
        <f>IF(ISBLANK(A73),"",INDEX('Error Log'!$A:$J,MATCH('Scores per segment'!$A73,'Error Log'!$A:$A,0),MATCH('Scores per segment'!C$1,'Error Log'!$A$1:$J$1,0)))</f>
        <v>robert hardy is selling off his collection of antiques including a diorama of the battle of agincourt .
the star , known for appearing in all creatures great and playing winston churchill several times , is auctioning off more than 200 items he has collected over his career .
tolkien and is now an expert on the longbow .</v>
      </c>
      <c r="D73" s="70">
        <f>IF(H73=0,wdct(TRIM(C73)),0)</f>
        <v>54</v>
      </c>
      <c r="E73" s="70">
        <f>COUNTIFS('Error Log'!$A:$A,$A73,'Error Log'!$J:$J,E$1)</f>
        <v>2</v>
      </c>
      <c r="F73" s="70">
        <f>COUNTIFS('Error Log'!$A:$A,$A73,'Error Log'!$J:$J,F$1)</f>
        <v>1</v>
      </c>
      <c r="G73" s="70">
        <f>COUNTIFS('Error Log'!$A:$A,$A73,'Error Log'!$J:$J,G$1)</f>
        <v>0</v>
      </c>
      <c r="H73" s="70">
        <f>COUNTIFS('Error Log'!$A:$A,$A73,'Error Log'!$F:$F,"Source")</f>
        <v>0</v>
      </c>
      <c r="I73" s="70">
        <f>COUNTIFS('Error Log'!$A:$A,$A73,'Error Log'!$F:$F,"Target")</f>
        <v>0</v>
      </c>
      <c r="J73" s="71">
        <f t="shared" si="1"/>
        <v>76.851851851851848</v>
      </c>
    </row>
    <row r="74" spans="1:10">
      <c r="A74" s="107" t="s">
        <v>528</v>
      </c>
      <c r="B74" s="70" t="str">
        <f>IF(ISBLANK(A74),"",INDEX('Error Log'!$A:$J,MATCH('Scores per segment'!$A74,'Error Log'!$A:$A,0),MATCH('Scores per segment'!B$1,'Error Log'!$A$1:$J$1,0)))</f>
        <v>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208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v>
      </c>
      <c r="C74" s="70" t="str">
        <f>IF(ISBLANK(A74),"",INDEX('Error Log'!$A:$J,MATCH('Scores per segment'!$A74,'Error Log'!$A:$A,0),MATCH('Scores per segment'!C$1,'Error Log'!$A$1:$J$1,0)))</f>
        <v>pablo , 27 , and latvian ilze , 31 , are off to a flying start .
they approach their first year of their open-ended odyssey on the road .
spanish pablo , 27 , and ilze , 31 , stop for a picture in bosnia .</v>
      </c>
      <c r="D74" s="70">
        <f>IF(H74=0,wdct(TRIM(C74)),0)</f>
        <v>36</v>
      </c>
      <c r="E74" s="70">
        <f>COUNTIFS('Error Log'!$A:$A,$A74,'Error Log'!$J:$J,E$1)</f>
        <v>3</v>
      </c>
      <c r="F74" s="70">
        <f>COUNTIFS('Error Log'!$A:$A,$A74,'Error Log'!$J:$J,F$1)</f>
        <v>3</v>
      </c>
      <c r="G74" s="70">
        <f>COUNTIFS('Error Log'!$A:$A,$A74,'Error Log'!$J:$J,G$1)</f>
        <v>0</v>
      </c>
      <c r="H74" s="70">
        <f>COUNTIFS('Error Log'!$A:$A,$A74,'Error Log'!$F:$F,"Source")</f>
        <v>0</v>
      </c>
      <c r="I74" s="70">
        <f>COUNTIFS('Error Log'!$A:$A,$A74,'Error Log'!$F:$F,"Target")</f>
        <v>0</v>
      </c>
      <c r="J74" s="71">
        <f t="shared" si="1"/>
        <v>37.5</v>
      </c>
    </row>
    <row r="75" spans="1:10">
      <c r="A75" s="107" t="s">
        <v>548</v>
      </c>
      <c r="B75" s="70" t="str">
        <f>IF(ISBLANK(A75),"",INDEX('Error Log'!$A:$J,MATCH('Scores per segment'!$A75,'Error Log'!$A:$A,0),MATCH('Scores per segment'!B$1,'Error Log'!$A$1:$J$1,0)))</f>
        <v>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407-656-3643 .</v>
      </c>
      <c r="C75" s="70" t="str">
        <f>IF(ISBLANK(A75),"",INDEX('Error Log'!$A:$J,MATCH('Scores per segment'!$A75,'Error Log'!$A:$A,0),MATCH('Scores per segment'!C$1,'Error Log'!$A$1:$J$1,0)))</f>
        <v>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v>
      </c>
      <c r="D75" s="70">
        <f>IF(H75=0,wdct(TRIM(C75)),0)</f>
        <v>71</v>
      </c>
      <c r="E75" s="70">
        <f>COUNTIFS('Error Log'!$A:$A,$A75,'Error Log'!$J:$J,E$1)</f>
        <v>1</v>
      </c>
      <c r="F75" s="70">
        <f>COUNTIFS('Error Log'!$A:$A,$A75,'Error Log'!$J:$J,F$1)</f>
        <v>2</v>
      </c>
      <c r="G75" s="70">
        <f>COUNTIFS('Error Log'!$A:$A,$A75,'Error Log'!$J:$J,G$1)</f>
        <v>0</v>
      </c>
      <c r="H75" s="70">
        <f>COUNTIFS('Error Log'!$A:$A,$A75,'Error Log'!$F:$F,"Source")</f>
        <v>0</v>
      </c>
      <c r="I75" s="70">
        <f>COUNTIFS('Error Log'!$A:$A,$A75,'Error Log'!$F:$F,"Target")</f>
        <v>0</v>
      </c>
      <c r="J75" s="71">
        <f t="shared" si="1"/>
        <v>85.915492957746466</v>
      </c>
    </row>
    <row r="76" spans="1:10">
      <c r="A76" s="107" t="s">
        <v>559</v>
      </c>
      <c r="B76" s="70" t="str">
        <f>IF(ISBLANK(A76),"",INDEX('Error Log'!$A:$J,MATCH('Scores per segment'!$A76,'Error Log'!$A:$A,0),MATCH('Scores per segment'!B$1,'Error Log'!$A$1:$J$1,0)))</f>
        <v>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v>
      </c>
      <c r="C76" s="70" t="str">
        <f>IF(ISBLANK(A76),"",INDEX('Error Log'!$A:$J,MATCH('Scores per segment'!$A76,'Error Log'!$A:$A,0),MATCH('Scores per segment'!C$1,'Error Log'!$A$1:$J$1,0)))</f>
        <v>james evans who runs premiere photo allegedly did n't apologize for the racial slur and told the couple to ' sue ' him .
the couple , who does not wish to be identified , hired attorney cathy hale to sue james evans the owner of premiere photos for allegedly providing a photo booth that printed , ' poor n***** party ' on the bottom of the pictures .
hale says that when the husband heard about the photos at the wedding he was horrified and called james evans of premiere photo .</v>
      </c>
      <c r="D76" s="70">
        <f>IF(H76=0,wdct(TRIM(C76)),0)</f>
        <v>83</v>
      </c>
      <c r="E76" s="70">
        <f>COUNTIFS('Error Log'!$A:$A,$A76,'Error Log'!$J:$J,E$1)</f>
        <v>1</v>
      </c>
      <c r="F76" s="70">
        <f>COUNTIFS('Error Log'!$A:$A,$A76,'Error Log'!$J:$J,F$1)</f>
        <v>1</v>
      </c>
      <c r="G76" s="70">
        <f>COUNTIFS('Error Log'!$A:$A,$A76,'Error Log'!$J:$J,G$1)</f>
        <v>0</v>
      </c>
      <c r="H76" s="70">
        <f>COUNTIFS('Error Log'!$A:$A,$A76,'Error Log'!$F:$F,"Source")</f>
        <v>0</v>
      </c>
      <c r="I76" s="70">
        <f>COUNTIFS('Error Log'!$A:$A,$A76,'Error Log'!$F:$F,"Target")</f>
        <v>0</v>
      </c>
      <c r="J76" s="71">
        <f t="shared" si="1"/>
        <v>90.963855421686745</v>
      </c>
    </row>
    <row r="77" spans="1:10">
      <c r="A77" s="107" t="s">
        <v>564</v>
      </c>
      <c r="B77" s="70" t="str">
        <f>IF(ISBLANK(A77),"",INDEX('Error Log'!$A:$J,MATCH('Scores per segment'!$A77,'Error Log'!$A:$A,0),MATCH('Scores per segment'!B$1,'Error Log'!$A$1:$J$1,0)))</f>
        <v>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2016 iaaf world athletics championships in moscow</v>
      </c>
      <c r="C77" s="70" t="str">
        <f>IF(ISBLANK(A77),"",INDEX('Error Log'!$A:$J,MATCH('Scores per segment'!$A77,'Error Log'!$A:$A,0),MATCH('Scores per segment'!C$1,'Error Log'!$A$1:$J$1,0)))</f>
        <v>eugene in the united states has been awarded the rights to host the 2021 iaaf world championships .
the decision was taken by the international association of athletics federations council .
eugene failed last november in its bid to host the 2019 event .</v>
      </c>
      <c r="D77" s="70">
        <f>IF(H77=0,wdct(TRIM(C77)),0)</f>
        <v>41</v>
      </c>
      <c r="E77" s="70">
        <f>COUNTIFS('Error Log'!$A:$A,$A77,'Error Log'!$J:$J,E$1)</f>
        <v>1</v>
      </c>
      <c r="F77" s="70">
        <f>COUNTIFS('Error Log'!$A:$A,$A77,'Error Log'!$J:$J,F$1)</f>
        <v>1</v>
      </c>
      <c r="G77" s="70">
        <f>COUNTIFS('Error Log'!$A:$A,$A77,'Error Log'!$J:$J,G$1)</f>
        <v>0</v>
      </c>
      <c r="H77" s="70">
        <f>COUNTIFS('Error Log'!$A:$A,$A77,'Error Log'!$F:$F,"Source")</f>
        <v>0</v>
      </c>
      <c r="I77" s="70">
        <f>COUNTIFS('Error Log'!$A:$A,$A77,'Error Log'!$F:$F,"Target")</f>
        <v>0</v>
      </c>
      <c r="J77" s="71">
        <f t="shared" si="1"/>
        <v>81.707317073170728</v>
      </c>
    </row>
    <row r="78" spans="1:10">
      <c r="A78" s="107" t="s">
        <v>569</v>
      </c>
      <c r="B78" s="70" t="str">
        <f>IF(ISBLANK(A78),"",INDEX('Error Log'!$A:$J,MATCH('Scores per segment'!$A78,'Error Log'!$A:$A,0),MATCH('Scores per segment'!B$1,'Error Log'!$A$1:$J$1,0)))</f>
        <v>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2022 campaign that champions people at the heart and soul of the game by putting grassroots clubs on the global stage .</v>
      </c>
      <c r="C78" s="70" t="str">
        <f>IF(ISBLANK(A78),"",INDEX('Error Log'!$A:$J,MATCH('Scores per segment'!$A78,'Error Log'!$A:$A,0),MATCH('Scores per segment'!C$1,'Error Log'!$A$1:$J$1,0)))</f>
        <v>mike brown admitted he would adopt a ' cautious ' approach in recovering from his latest concussion setback .
the england full-back remains unsure when he will return after pulling out of harlequins ' aviva premiership clash with saracens last weekend .
northampton wing george north has been advised by leading medics not to play again this season after suffering four quick-fire concussions , while ireland 's johnny sexton was stood down for 12 weeks earlier this term .</v>
      </c>
      <c r="D78" s="70">
        <f>IF(H78=0,wdct(TRIM(C78)),0)</f>
        <v>72</v>
      </c>
      <c r="E78" s="70">
        <f>COUNTIFS('Error Log'!$A:$A,$A78,'Error Log'!$J:$J,E$1)</f>
        <v>0</v>
      </c>
      <c r="F78" s="70">
        <f>COUNTIFS('Error Log'!$A:$A,$A78,'Error Log'!$J:$J,F$1)</f>
        <v>1</v>
      </c>
      <c r="G78" s="70">
        <f>COUNTIFS('Error Log'!$A:$A,$A78,'Error Log'!$J:$J,G$1)</f>
        <v>0</v>
      </c>
      <c r="H78" s="70">
        <f>COUNTIFS('Error Log'!$A:$A,$A78,'Error Log'!$F:$F,"Source")</f>
        <v>0</v>
      </c>
      <c r="I78" s="70">
        <f>COUNTIFS('Error Log'!$A:$A,$A78,'Error Log'!$F:$F,"Target")</f>
        <v>0</v>
      </c>
      <c r="J78" s="71">
        <f t="shared" si="1"/>
        <v>96.527777777777771</v>
      </c>
    </row>
    <row r="79" spans="1:10">
      <c r="A79" s="107" t="s">
        <v>573</v>
      </c>
      <c r="B79" s="70" t="str">
        <f>IF(ISBLANK(A79),"",INDEX('Error Log'!$A:$J,MATCH('Scores per segment'!$A79,'Error Log'!$A:$A,0),MATCH('Scores per segment'!B$1,'Error Log'!$A$1:$J$1,0)))</f>
        <v>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£ 58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v>
      </c>
      <c r="C79" s="70" t="str">
        <f>IF(ISBLANK(A79),"",INDEX('Error Log'!$A:$J,MATCH('Scores per segment'!$A79,'Error Log'!$A:$A,0),MATCH('Scores per segment'!C$1,'Error Log'!$A$1:$J$1,0)))</f>
        <v>leonie granger , 25 , targeted playboy mehmet hassan , 56 , after spotting him flashing a roll of £50 notes at a casino in london 's west end .
the care assistant , from gillingham , kent , used her good looks to befriend the poker player , who showered her with gifts , cash and trips to fancy restaurants .
judge william kennedy today described the attack as ' pitiless and wicked ' .</v>
      </c>
      <c r="D79" s="70">
        <f>IF(H79=0,wdct(TRIM(C79)),0)</f>
        <v>62</v>
      </c>
      <c r="E79" s="70">
        <f>COUNTIFS('Error Log'!$A:$A,$A79,'Error Log'!$J:$J,E$1)</f>
        <v>3</v>
      </c>
      <c r="F79" s="70">
        <f>COUNTIFS('Error Log'!$A:$A,$A79,'Error Log'!$J:$J,F$1)</f>
        <v>3</v>
      </c>
      <c r="G79" s="70">
        <f>COUNTIFS('Error Log'!$A:$A,$A79,'Error Log'!$J:$J,G$1)</f>
        <v>0</v>
      </c>
      <c r="H79" s="70">
        <f>COUNTIFS('Error Log'!$A:$A,$A79,'Error Log'!$F:$F,"Source")</f>
        <v>0</v>
      </c>
      <c r="I79" s="70">
        <f>COUNTIFS('Error Log'!$A:$A,$A79,'Error Log'!$F:$F,"Target")</f>
        <v>0</v>
      </c>
      <c r="J79" s="71">
        <f t="shared" si="1"/>
        <v>63.70967741935484</v>
      </c>
    </row>
    <row r="80" spans="1:10">
      <c r="A80" s="107" t="s">
        <v>583</v>
      </c>
      <c r="B80" s="70" t="str">
        <f>IF(ISBLANK(A80),"",INDEX('Error Log'!$A:$J,MATCH('Scores per segment'!$A80,'Error Log'!$A:$A,0),MATCH('Scores per segment'!B$1,'Error Log'!$A$1:$J$1,0)))</f>
        <v>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9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v>
      </c>
      <c r="C80" s="70" t="str">
        <f>IF(ISBLANK(A80),"",INDEX('Error Log'!$A:$J,MATCH('Scores per segment'!$A80,'Error Log'!$A:$A,0),MATCH('Scores per segment'!C$1,'Error Log'!$A$1:$J$1,0)))</f>
        <v>research has revealed that the frequency with britons are having sex has been in decline since the emergence of the internet .
it comes after professor david spiegelhalter , a statistician at cambridge university , revealed in a new book how a typical heterosexual couple was now having sex three times a month .</v>
      </c>
      <c r="D80" s="70">
        <f>IF(H80=0,wdct(TRIM(C80)),0)</f>
        <v>50</v>
      </c>
      <c r="E80" s="70">
        <f>COUNTIFS('Error Log'!$A:$A,$A80,'Error Log'!$J:$J,E$1)</f>
        <v>1</v>
      </c>
      <c r="F80" s="70">
        <f>COUNTIFS('Error Log'!$A:$A,$A80,'Error Log'!$J:$J,F$1)</f>
        <v>0</v>
      </c>
      <c r="G80" s="70">
        <f>COUNTIFS('Error Log'!$A:$A,$A80,'Error Log'!$J:$J,G$1)</f>
        <v>0</v>
      </c>
      <c r="H80" s="70">
        <f>COUNTIFS('Error Log'!$A:$A,$A80,'Error Log'!$F:$F,"Source")</f>
        <v>0</v>
      </c>
      <c r="I80" s="70">
        <f>COUNTIFS('Error Log'!$A:$A,$A80,'Error Log'!$F:$F,"Target")</f>
        <v>0</v>
      </c>
      <c r="J80" s="71">
        <f t="shared" si="1"/>
        <v>90</v>
      </c>
    </row>
    <row r="81" spans="1:10">
      <c r="A81" s="107" t="s">
        <v>587</v>
      </c>
      <c r="B81" s="70" t="str">
        <f>IF(ISBLANK(A81),"",INDEX('Error Log'!$A:$J,MATCH('Scores per segment'!$A81,'Error Log'!$A:$A,0),MATCH('Scores per segment'!B$1,'Error Log'!$A$1:$J$1,0)))</f>
        <v>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3-13 win over hull city , but that was his first in five games
mourinho is looking to guide his team over the line in the premier league title race , with fabregas a key cog</v>
      </c>
      <c r="C81" s="70" t="str">
        <f>IF(ISBLANK(A81),"",INDEX('Error Log'!$A:$J,MATCH('Scores per segment'!$A81,'Error Log'!$A:$A,0),MATCH('Scores per segment'!C$1,'Error Log'!$A$1:$J$1,0)))</f>
        <v>cesc fabregas captained spain on tuesday but his poor form continued .
the 27-year-old spoke of his happiness in south west london earlier this week .
he was one of the worst players on the pitch again in his country 's 2-0 defeat by holland .</v>
      </c>
      <c r="D81" s="70">
        <f>IF(H81=0,wdct(TRIM(C81)),0)</f>
        <v>43</v>
      </c>
      <c r="E81" s="70">
        <f>COUNTIFS('Error Log'!$A:$A,$A81,'Error Log'!$J:$J,E$1)</f>
        <v>1</v>
      </c>
      <c r="F81" s="70">
        <f>COUNTIFS('Error Log'!$A:$A,$A81,'Error Log'!$J:$J,F$1)</f>
        <v>1</v>
      </c>
      <c r="G81" s="70">
        <f>COUNTIFS('Error Log'!$A:$A,$A81,'Error Log'!$J:$J,G$1)</f>
        <v>0</v>
      </c>
      <c r="H81" s="70">
        <f>COUNTIFS('Error Log'!$A:$A,$A81,'Error Log'!$F:$F,"Source")</f>
        <v>0</v>
      </c>
      <c r="I81" s="70">
        <f>COUNTIFS('Error Log'!$A:$A,$A81,'Error Log'!$F:$F,"Target")</f>
        <v>0</v>
      </c>
      <c r="J81" s="71">
        <f t="shared" si="1"/>
        <v>82.558139534883722</v>
      </c>
    </row>
    <row r="82" spans="1:10">
      <c r="A82" s="107" t="s">
        <v>592</v>
      </c>
      <c r="B82" s="70" t="str">
        <f>IF(ISBLANK(A82),"",INDEX('Error Log'!$A:$J,MATCH('Scores per segment'!$A82,'Error Log'!$A:$A,0),MATCH('Scores per segment'!B$1,'Error Log'!$A$1:$J$1,0)))</f>
        <v>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£ 600,007 .
the dogs are seen with a model</v>
      </c>
      <c r="C82" s="70" t="str">
        <f>IF(ISBLANK(A82),"",INDEX('Error Log'!$A:$J,MATCH('Scores per segment'!$A82,'Error Log'!$A:$A,0),MATCH('Scores per segment'!C$1,'Error Log'!$A$1:$J$1,0)))</f>
        <v>tibetan mastiffs are now so unpopular in china they are being sent to slaughterhouses .
tibetan mastiffs has had a huge impact on the breed 's popularity .
mastiffs are also being stolen from the streets by ruthless gangs .</v>
      </c>
      <c r="D82" s="70">
        <f>IF(H82=0,wdct(TRIM(C82)),0)</f>
        <v>37</v>
      </c>
      <c r="E82" s="70">
        <f>COUNTIFS('Error Log'!$A:$A,$A82,'Error Log'!$J:$J,E$1)</f>
        <v>3</v>
      </c>
      <c r="F82" s="70">
        <f>COUNTIFS('Error Log'!$A:$A,$A82,'Error Log'!$J:$J,F$1)</f>
        <v>2</v>
      </c>
      <c r="G82" s="70">
        <f>COUNTIFS('Error Log'!$A:$A,$A82,'Error Log'!$J:$J,G$1)</f>
        <v>0</v>
      </c>
      <c r="H82" s="70">
        <f>COUNTIFS('Error Log'!$A:$A,$A82,'Error Log'!$F:$F,"Source")</f>
        <v>0</v>
      </c>
      <c r="I82" s="70">
        <f>COUNTIFS('Error Log'!$A:$A,$A82,'Error Log'!$F:$F,"Target")</f>
        <v>0</v>
      </c>
      <c r="J82" s="71">
        <f t="shared" si="1"/>
        <v>45.945945945945944</v>
      </c>
    </row>
    <row r="83" spans="1:10">
      <c r="A83" s="107" t="s">
        <v>605</v>
      </c>
      <c r="B83" s="70" t="str">
        <f>IF(ISBLANK(A83),"",INDEX('Error Log'!$A:$J,MATCH('Scores per segment'!$A83,'Error Log'!$A:$A,0),MATCH('Scores per segment'!B$1,'Error Log'!$A$1:$J$1,0)))</f>
        <v>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2016-20 season .</v>
      </c>
      <c r="C83" s="70" t="str">
        <f>IF(ISBLANK(A83),"",INDEX('Error Log'!$A:$J,MATCH('Scores per segment'!$A83,'Error Log'!$A:$A,0),MATCH('Scores per segment'!C$1,'Error Log'!$A$1:$J$1,0)))</f>
        <v>west ham are discussing a deal for jamaican starlet deshane beckford .
the 17-year-old forward was invited to train with west ham 's academy earlier this month .
beckford has been linked with a host of european clubs .</v>
      </c>
      <c r="D83" s="70">
        <f>IF(H83=0,wdct(TRIM(C83)),0)</f>
        <v>36</v>
      </c>
      <c r="E83" s="70">
        <f>COUNTIFS('Error Log'!$A:$A,$A83,'Error Log'!$J:$J,E$1)</f>
        <v>1</v>
      </c>
      <c r="F83" s="70">
        <f>COUNTIFS('Error Log'!$A:$A,$A83,'Error Log'!$J:$J,F$1)</f>
        <v>1</v>
      </c>
      <c r="G83" s="70">
        <f>COUNTIFS('Error Log'!$A:$A,$A83,'Error Log'!$J:$J,G$1)</f>
        <v>0</v>
      </c>
      <c r="H83" s="70">
        <f>COUNTIFS('Error Log'!$A:$A,$A83,'Error Log'!$F:$F,"Source")</f>
        <v>0</v>
      </c>
      <c r="I83" s="70">
        <f>COUNTIFS('Error Log'!$A:$A,$A83,'Error Log'!$F:$F,"Target")</f>
        <v>0</v>
      </c>
      <c r="J83" s="71">
        <f t="shared" si="1"/>
        <v>79.166666666666657</v>
      </c>
    </row>
    <row r="84" spans="1:10">
      <c r="A84" s="107" t="s">
        <v>610</v>
      </c>
      <c r="B84" s="70" t="str">
        <f>IF(ISBLANK(A84),"",INDEX('Error Log'!$A:$J,MATCH('Scores per segment'!$A84,'Error Log'!$A:$A,0),MATCH('Scores per segment'!B$1,'Error Log'!$A$1:$J$1,0)))</f>
        <v>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v>
      </c>
      <c r="C84" s="70" t="str">
        <f>IF(ISBLANK(A84),"",INDEX('Error Log'!$A:$J,MATCH('Scores per segment'!$A84,'Error Log'!$A:$A,0),MATCH('Scores per segment'!C$1,'Error Log'!$A$1:$J$1,0)))</f>
        <v>survey led to calls for a campaign to stem sexist or threatening behaviour on buses and trains .
every woman surveyed in paris claimed to have been a victim of some kind of sexual harassment on the city’s public transport .</v>
      </c>
      <c r="D84" s="70">
        <f>IF(H84=0,wdct(TRIM(C84)),0)</f>
        <v>40</v>
      </c>
      <c r="E84" s="70">
        <f>COUNTIFS('Error Log'!$A:$A,$A84,'Error Log'!$J:$J,E$1)</f>
        <v>1</v>
      </c>
      <c r="F84" s="70">
        <f>COUNTIFS('Error Log'!$A:$A,$A84,'Error Log'!$J:$J,F$1)</f>
        <v>0</v>
      </c>
      <c r="G84" s="70">
        <f>COUNTIFS('Error Log'!$A:$A,$A84,'Error Log'!$J:$J,G$1)</f>
        <v>0</v>
      </c>
      <c r="H84" s="70">
        <f>COUNTIFS('Error Log'!$A:$A,$A84,'Error Log'!$F:$F,"Source")</f>
        <v>0</v>
      </c>
      <c r="I84" s="70">
        <f>COUNTIFS('Error Log'!$A:$A,$A84,'Error Log'!$F:$F,"Target")</f>
        <v>0</v>
      </c>
      <c r="J84" s="71">
        <f t="shared" si="1"/>
        <v>87.5</v>
      </c>
    </row>
    <row r="85" spans="1:10">
      <c r="A85" s="107" t="s">
        <v>614</v>
      </c>
      <c r="B85" s="70" t="str">
        <f>IF(ISBLANK(A85),"",INDEX('Error Log'!$A:$J,MATCH('Scores per segment'!$A85,'Error Log'!$A:$A,0),MATCH('Scores per segment'!B$1,'Error Log'!$A$1:$J$1,0)))</f>
        <v>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58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v>
      </c>
      <c r="C85" s="70" t="str">
        <f>IF(ISBLANK(A85),"",INDEX('Error Log'!$A:$J,MATCH('Scores per segment'!$A85,'Error Log'!$A:$A,0),MATCH('Scores per segment'!C$1,'Error Log'!$A$1:$J$1,0)))</f>
        <v>mike lane , 40 , was beaten by balaclava-clad protesters armed with iron bars on ropes .
he was admitted to hospital with concussion and broken teeth and his face was swollen .
wiltshire police confirmed they had stopped the investigation pending further information .</v>
      </c>
      <c r="D85" s="70">
        <f>IF(H85=0,wdct(TRIM(C85)),0)</f>
        <v>40</v>
      </c>
      <c r="E85" s="70">
        <f>COUNTIFS('Error Log'!$A:$A,$A85,'Error Log'!$J:$J,E$1)</f>
        <v>2</v>
      </c>
      <c r="F85" s="70">
        <f>COUNTIFS('Error Log'!$A:$A,$A85,'Error Log'!$J:$J,F$1)</f>
        <v>1</v>
      </c>
      <c r="G85" s="70">
        <f>COUNTIFS('Error Log'!$A:$A,$A85,'Error Log'!$J:$J,G$1)</f>
        <v>0</v>
      </c>
      <c r="H85" s="70">
        <f>COUNTIFS('Error Log'!$A:$A,$A85,'Error Log'!$F:$F,"Source")</f>
        <v>0</v>
      </c>
      <c r="I85" s="70">
        <f>COUNTIFS('Error Log'!$A:$A,$A85,'Error Log'!$F:$F,"Target")</f>
        <v>0</v>
      </c>
      <c r="J85" s="71">
        <f t="shared" si="1"/>
        <v>68.75</v>
      </c>
    </row>
    <row r="86" spans="1:10">
      <c r="A86" s="107" t="s">
        <v>621</v>
      </c>
      <c r="B86" s="70" t="str">
        <f>IF(ISBLANK(A86),"",INDEX('Error Log'!$A:$J,MATCH('Scores per segment'!$A86,'Error Log'!$A:$A,0),MATCH('Scores per segment'!B$1,'Error Log'!$A$1:$J$1,0)))</f>
        <v>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32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v>
      </c>
      <c r="C86" s="70" t="str">
        <f>IF(ISBLANK(A86),"",INDEX('Error Log'!$A:$J,MATCH('Scores per segment'!$A86,'Error Log'!$A:$A,0),MATCH('Scores per segment'!C$1,'Error Log'!$A$1:$J$1,0)))</f>
        <v>leeds-based direct line is running a competition called # everydayfix .
they asked groups to design products to deal with common problems .
the products were designed as part of the direct line everyday fix design makeathon .</v>
      </c>
      <c r="D86" s="70">
        <f>IF(H86=0,wdct(TRIM(C86)),0)</f>
        <v>34</v>
      </c>
      <c r="E86" s="70">
        <f>COUNTIFS('Error Log'!$A:$A,$A86,'Error Log'!$J:$J,E$1)</f>
        <v>2</v>
      </c>
      <c r="F86" s="70">
        <f>COUNTIFS('Error Log'!$A:$A,$A86,'Error Log'!$J:$J,F$1)</f>
        <v>1</v>
      </c>
      <c r="G86" s="70">
        <f>COUNTIFS('Error Log'!$A:$A,$A86,'Error Log'!$J:$J,G$1)</f>
        <v>0</v>
      </c>
      <c r="H86" s="70">
        <f>COUNTIFS('Error Log'!$A:$A,$A86,'Error Log'!$F:$F,"Source")</f>
        <v>0</v>
      </c>
      <c r="I86" s="70">
        <f>COUNTIFS('Error Log'!$A:$A,$A86,'Error Log'!$F:$F,"Target")</f>
        <v>0</v>
      </c>
      <c r="J86" s="71">
        <f t="shared" si="1"/>
        <v>63.235294117647058</v>
      </c>
    </row>
    <row r="87" spans="1:10">
      <c r="A87" s="107" t="s">
        <v>628</v>
      </c>
      <c r="B87" s="70" t="str">
        <f>IF(ISBLANK(A87),"",INDEX('Error Log'!$A:$J,MATCH('Scores per segment'!$A87,'Error Log'!$A:$A,0),MATCH('Scores per segment'!B$1,'Error Log'!$A$1:$J$1,0)))</f>
        <v>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v>
      </c>
      <c r="C87" s="70" t="str">
        <f>IF(ISBLANK(A87),"",INDEX('Error Log'!$A:$J,MATCH('Scores per segment'!$A87,'Error Log'!$A:$A,0),MATCH('Scores per segment'!C$1,'Error Log'!$A$1:$J$1,0)))</f>
        <v>gary locke has been given the role on a permanent basis after signing a three-year deal .
the former hearts boss joined the club as assistant boss to allan johnston .
gary locke has been given the job at kilmarnock on a permanent basis .</v>
      </c>
      <c r="D87" s="70">
        <f>IF(H87=0,wdct(TRIM(C87)),0)</f>
        <v>42</v>
      </c>
      <c r="E87" s="70">
        <f>COUNTIFS('Error Log'!$A:$A,$A87,'Error Log'!$J:$J,E$1)</f>
        <v>1</v>
      </c>
      <c r="F87" s="70">
        <f>COUNTIFS('Error Log'!$A:$A,$A87,'Error Log'!$J:$J,F$1)</f>
        <v>1</v>
      </c>
      <c r="G87" s="70">
        <f>COUNTIFS('Error Log'!$A:$A,$A87,'Error Log'!$J:$J,G$1)</f>
        <v>0</v>
      </c>
      <c r="H87" s="70">
        <f>COUNTIFS('Error Log'!$A:$A,$A87,'Error Log'!$F:$F,"Source")</f>
        <v>0</v>
      </c>
      <c r="I87" s="70">
        <f>COUNTIFS('Error Log'!$A:$A,$A87,'Error Log'!$F:$F,"Target")</f>
        <v>0</v>
      </c>
      <c r="J87" s="71">
        <f t="shared" si="1"/>
        <v>82.142857142857139</v>
      </c>
    </row>
    <row r="88" spans="1:10">
      <c r="A88" s="107" t="s">
        <v>633</v>
      </c>
      <c r="B88" s="70" t="str">
        <f>IF(ISBLANK(A88),"",INDEX('Error Log'!$A:$J,MATCH('Scores per segment'!$A88,'Error Log'!$A:$A,0),MATCH('Scores per segment'!B$1,'Error Log'!$A$1:$J$1,0)))</f>
        <v>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v>
      </c>
      <c r="C88" s="70" t="str">
        <f>IF(ISBLANK(A88),"",INDEX('Error Log'!$A:$J,MATCH('Scores per segment'!$A88,'Error Log'!$A:$A,0),MATCH('Scores per segment'!C$1,'Error Log'!$A$1:$J$1,0)))</f>
        <v>vera baird donated £500,000 to victims first northumbria , a charity which supports crime victims in her area .
the pair now face a ministry of justice probe as critics accuse them of concocting ' a soap opera ' within the force .
critics have described her selection of charity as ' inappropriate ' and a conflict of interest .</v>
      </c>
      <c r="D88" s="70">
        <f>IF(H88=0,wdct(TRIM(C88)),0)</f>
        <v>52</v>
      </c>
      <c r="E88" s="70">
        <f>COUNTIFS('Error Log'!$A:$A,$A88,'Error Log'!$J:$J,E$1)</f>
        <v>2</v>
      </c>
      <c r="F88" s="70">
        <f>COUNTIFS('Error Log'!$A:$A,$A88,'Error Log'!$J:$J,F$1)</f>
        <v>1</v>
      </c>
      <c r="G88" s="70">
        <f>COUNTIFS('Error Log'!$A:$A,$A88,'Error Log'!$J:$J,G$1)</f>
        <v>0</v>
      </c>
      <c r="H88" s="70">
        <f>COUNTIFS('Error Log'!$A:$A,$A88,'Error Log'!$F:$F,"Source")</f>
        <v>0</v>
      </c>
      <c r="I88" s="70">
        <f>COUNTIFS('Error Log'!$A:$A,$A88,'Error Log'!$F:$F,"Target")</f>
        <v>0</v>
      </c>
      <c r="J88" s="71">
        <f t="shared" si="1"/>
        <v>75.961538461538453</v>
      </c>
    </row>
    <row r="89" spans="1:10">
      <c r="A89" s="107" t="s">
        <v>639</v>
      </c>
      <c r="B89" s="70" t="str">
        <f>IF(ISBLANK(A89),"",INDEX('Error Log'!$A:$J,MATCH('Scores per segment'!$A89,'Error Log'!$A:$A,0),MATCH('Scores per segment'!B$1,'Error Log'!$A$1:$J$1,0)))</f>
        <v>(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2021 letter from gadahn making recommendations for al qaeda 's media strategy .
gadahn was married to a muslim woman from afghanistan and reportedly had at least one child .
cnn 's steve almasy contributed to this report .</v>
      </c>
      <c r="C89" s="70" t="str">
        <f>IF(ISBLANK(A89),"",INDEX('Error Log'!$A:$J,MATCH('Scores per segment'!$A89,'Error Log'!$A:$A,0),MATCH('Scores per segment'!C$1,'Error Log'!$A$1:$J$1,0)))</f>
        <v>adam gadahn , 36 , was killed in january in a u.s. government counterterrorism operation .
neither he nor ahmed farouq -- another u.s. citizen and al qaeda operative who died in 1978 .
gadahn was one of its most prominent members .</v>
      </c>
      <c r="D89" s="70">
        <f>IF(H89=0,wdct(TRIM(C89)),0)</f>
        <v>39</v>
      </c>
      <c r="E89" s="70">
        <f>COUNTIFS('Error Log'!$A:$A,$A89,'Error Log'!$J:$J,E$1)</f>
        <v>4</v>
      </c>
      <c r="F89" s="70">
        <f>COUNTIFS('Error Log'!$A:$A,$A89,'Error Log'!$J:$J,F$1)</f>
        <v>3</v>
      </c>
      <c r="G89" s="70">
        <f>COUNTIFS('Error Log'!$A:$A,$A89,'Error Log'!$J:$J,G$1)</f>
        <v>0</v>
      </c>
      <c r="H89" s="70">
        <f>COUNTIFS('Error Log'!$A:$A,$A89,'Error Log'!$F:$F,"Source")</f>
        <v>0</v>
      </c>
      <c r="I89" s="70">
        <f>COUNTIFS('Error Log'!$A:$A,$A89,'Error Log'!$F:$F,"Target")</f>
        <v>0</v>
      </c>
      <c r="J89" s="71">
        <f t="shared" si="1"/>
        <v>29.487179487179482</v>
      </c>
    </row>
    <row r="90" spans="1:10">
      <c r="A90" s="119" t="s">
        <v>960</v>
      </c>
      <c r="B90" s="70" t="str">
        <f>IF(ISBLANK(A90),"",INDEX('Error Log'!$A:$J,MATCH('Scores per segment'!$A90,'Error Log'!$A:$A,0),MATCH('Scores per segment'!B$1,'Error Log'!$A$1:$J$1,0)))</f>
        <v>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v>
      </c>
      <c r="C90" s="70" t="str">
        <f>IF(ISBLANK(A90),"",INDEX('Error Log'!$A:$J,MATCH('Scores per segment'!$A90,'Error Log'!$A:$A,0),MATCH('Scores per segment'!C$1,'Error Log'!$A$1:$J$1,0)))</f>
        <v>martin skrtel has praised the impact and example gerrard has set during his time at liverpool .
reds captain gerrard is aiming to end his liverpool career by making the fa cup final and beating arsenal .
skrtel was signed by rafael benitez from zenit st petersburg seven years ago .</v>
      </c>
      <c r="D90" s="70">
        <f>IF(H90=0,wdct(TRIM(C90)),0)</f>
        <v>48</v>
      </c>
      <c r="E90" s="70">
        <f>COUNTIFS('Error Log'!$A:$A,$A90,'Error Log'!$J:$J,E$1)</f>
        <v>1</v>
      </c>
      <c r="F90" s="70">
        <f>COUNTIFS('Error Log'!$A:$A,$A90,'Error Log'!$J:$J,F$1)</f>
        <v>1</v>
      </c>
      <c r="G90" s="70">
        <f>COUNTIFS('Error Log'!$A:$A,$A90,'Error Log'!$J:$J,G$1)</f>
        <v>0</v>
      </c>
      <c r="H90" s="70">
        <f>COUNTIFS('Error Log'!$A:$A,$A90,'Error Log'!$F:$F,"Source")</f>
        <v>0</v>
      </c>
      <c r="I90" s="70">
        <f>COUNTIFS('Error Log'!$A:$A,$A90,'Error Log'!$F:$F,"Target")</f>
        <v>0</v>
      </c>
      <c r="J90" s="71">
        <f t="shared" si="1"/>
        <v>84.375</v>
      </c>
    </row>
    <row r="91" spans="1:10">
      <c r="A91" s="119" t="s">
        <v>961</v>
      </c>
      <c r="B91" s="70" t="str">
        <f>IF(ISBLANK(A91),"",INDEX('Error Log'!$A:$J,MATCH('Scores per segment'!$A91,'Error Log'!$A:$A,0),MATCH('Scores per segment'!B$1,'Error Log'!$A$1:$J$1,0)))</f>
        <v>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v>
      </c>
      <c r="C91" s="70" t="str">
        <f>IF(ISBLANK(A91),"",INDEX('Error Log'!$A:$J,MATCH('Scores per segment'!$A91,'Error Log'!$A:$A,0),MATCH('Scores per segment'!C$1,'Error Log'!$A$1:$J$1,0)))</f>
        <v>jessica kemp from eustis says teachers at seminole county elementary warned they would remove kindergartner logan from class because the oils smelled and were a distraction to youngsters around him .
the 32-year-old says she applies the liquid to his head and neck as it helps him keep calm and focused .</v>
      </c>
      <c r="D91" s="70">
        <f>IF(H91=0,wdct(TRIM(C91)),0)</f>
        <v>50</v>
      </c>
      <c r="E91" s="70">
        <f>COUNTIFS('Error Log'!$A:$A,$A91,'Error Log'!$J:$J,E$1)</f>
        <v>2</v>
      </c>
      <c r="F91" s="70">
        <f>COUNTIFS('Error Log'!$A:$A,$A91,'Error Log'!$J:$J,F$1)</f>
        <v>0</v>
      </c>
      <c r="G91" s="70">
        <f>COUNTIFS('Error Log'!$A:$A,$A91,'Error Log'!$J:$J,G$1)</f>
        <v>0</v>
      </c>
      <c r="H91" s="70">
        <f>COUNTIFS('Error Log'!$A:$A,$A91,'Error Log'!$F:$F,"Source")</f>
        <v>0</v>
      </c>
      <c r="I91" s="70">
        <f>COUNTIFS('Error Log'!$A:$A,$A91,'Error Log'!$F:$F,"Target")</f>
        <v>0</v>
      </c>
      <c r="J91" s="71">
        <f t="shared" si="1"/>
        <v>80</v>
      </c>
    </row>
    <row r="92" spans="1:10">
      <c r="A92" s="119" t="s">
        <v>962</v>
      </c>
      <c r="B92" s="70" t="str">
        <f>IF(ISBLANK(A92),"",INDEX('Error Log'!$A:$J,MATCH('Scores per segment'!$A92,'Error Log'!$A:$A,0),MATCH('Scores per segment'!B$1,'Error Log'!$A$1:$J$1,0)))</f>
        <v>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v>
      </c>
      <c r="C92" s="70" t="str">
        <f>IF(ISBLANK(A92),"",INDEX('Error Log'!$A:$J,MATCH('Scores per segment'!$A92,'Error Log'!$A:$A,0),MATCH('Scores per segment'!C$1,'Error Log'!$A$1:$J$1,0)))</f>
        <v>new figures show that the art of washing your own car appears to be dying out in britain with a thrid of men admitting they have never picked up a bucket or chamois leather to clean their own motor .</v>
      </c>
      <c r="D92" s="70">
        <f>IF(H92=0,wdct(TRIM(C92)),0)</f>
        <v>39</v>
      </c>
      <c r="E92" s="70">
        <f>COUNTIFS('Error Log'!$A:$A,$A92,'Error Log'!$J:$J,E$1)</f>
        <v>1</v>
      </c>
      <c r="F92" s="70">
        <f>COUNTIFS('Error Log'!$A:$A,$A92,'Error Log'!$J:$J,F$1)</f>
        <v>0</v>
      </c>
      <c r="G92" s="70">
        <f>COUNTIFS('Error Log'!$A:$A,$A92,'Error Log'!$J:$J,G$1)</f>
        <v>0</v>
      </c>
      <c r="H92" s="70">
        <f>COUNTIFS('Error Log'!$A:$A,$A92,'Error Log'!$F:$F,"Source")</f>
        <v>0</v>
      </c>
      <c r="I92" s="70">
        <f>COUNTIFS('Error Log'!$A:$A,$A92,'Error Log'!$F:$F,"Target")</f>
        <v>0</v>
      </c>
      <c r="J92" s="71">
        <f t="shared" si="1"/>
        <v>87.179487179487182</v>
      </c>
    </row>
    <row r="93" spans="1:10">
      <c r="A93" s="119" t="s">
        <v>963</v>
      </c>
      <c r="B93" s="70" t="str">
        <f>IF(ISBLANK(A93),"",INDEX('Error Log'!$A:$J,MATCH('Scores per segment'!$A93,'Error Log'!$A:$A,0),MATCH('Scores per segment'!B$1,'Error Log'!$A$1:$J$1,0)))</f>
        <v>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v>
      </c>
      <c r="C93" s="70" t="str">
        <f>IF(ISBLANK(A93),"",INDEX('Error Log'!$A:$J,MATCH('Scores per segment'!$A93,'Error Log'!$A:$A,0),MATCH('Scores per segment'!C$1,'Error Log'!$A$1:$J$1,0)))</f>
        <v>ninety condos on the beach in westhampton were obliterated by flames on wednesday afternoon .
it is not known what started the blaze , which was so intense it melted the paint off nearby buildings .
it is used as a holiday home by residents between may and november .</v>
      </c>
      <c r="D93" s="70">
        <f>IF(H93=0,wdct(TRIM(C93)),0)</f>
        <v>46</v>
      </c>
      <c r="E93" s="70">
        <f>COUNTIFS('Error Log'!$A:$A,$A93,'Error Log'!$J:$J,E$1)</f>
        <v>1</v>
      </c>
      <c r="F93" s="70">
        <f>COUNTIFS('Error Log'!$A:$A,$A93,'Error Log'!$J:$J,F$1)</f>
        <v>1</v>
      </c>
      <c r="G93" s="70">
        <f>COUNTIFS('Error Log'!$A:$A,$A93,'Error Log'!$J:$J,G$1)</f>
        <v>0</v>
      </c>
      <c r="H93" s="70">
        <f>COUNTIFS('Error Log'!$A:$A,$A93,'Error Log'!$F:$F,"Source")</f>
        <v>0</v>
      </c>
      <c r="I93" s="70">
        <f>COUNTIFS('Error Log'!$A:$A,$A93,'Error Log'!$F:$F,"Target")</f>
        <v>0</v>
      </c>
      <c r="J93" s="71">
        <f t="shared" si="1"/>
        <v>83.695652173913047</v>
      </c>
    </row>
    <row r="94" spans="1:10">
      <c r="A94" s="119" t="s">
        <v>964</v>
      </c>
      <c r="B94" s="70" t="str">
        <f>IF(ISBLANK(A94),"",INDEX('Error Log'!$A:$J,MATCH('Scores per segment'!$A94,'Error Log'!$A:$A,0),MATCH('Scores per segment'!B$1,'Error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v>
      </c>
      <c r="C94" s="70" t="str">
        <f>IF(ISBLANK(A94),"",INDEX('Error Log'!$A:$J,MATCH('Scores per segment'!$A94,'Error Log'!$A:$A,0),MATCH('Scores per segment'!C$1,'Error Log'!$A$1:$J$1,0)))</f>
        <v>barker was a dancer in such new york nightspots as the cotton club and the cafe zanzibar in the 1930s and 1940s .
she had never seen herself dancing -- until now .
mark cantor of jazz-on-film.com and some volunteers put together a video of `` soundies '' .</v>
      </c>
      <c r="D94" s="70">
        <f>IF(H94=0,wdct(TRIM(C94)),0)</f>
        <v>44</v>
      </c>
      <c r="E94" s="70">
        <f>COUNTIFS('Error Log'!$A:$A,$A94,'Error Log'!$J:$J,E$1)</f>
        <v>1</v>
      </c>
      <c r="F94" s="70">
        <f>COUNTIFS('Error Log'!$A:$A,$A94,'Error Log'!$J:$J,F$1)</f>
        <v>1</v>
      </c>
      <c r="G94" s="70">
        <f>COUNTIFS('Error Log'!$A:$A,$A94,'Error Log'!$J:$J,G$1)</f>
        <v>0</v>
      </c>
      <c r="H94" s="70">
        <f>COUNTIFS('Error Log'!$A:$A,$A94,'Error Log'!$F:$F,"Source")</f>
        <v>0</v>
      </c>
      <c r="I94" s="70">
        <f>COUNTIFS('Error Log'!$A:$A,$A94,'Error Log'!$F:$F,"Target")</f>
        <v>0</v>
      </c>
      <c r="J94" s="71">
        <f t="shared" si="1"/>
        <v>82.954545454545467</v>
      </c>
    </row>
    <row r="95" spans="1:10">
      <c r="A95" s="119" t="s">
        <v>965</v>
      </c>
      <c r="B95" s="70" t="str">
        <f>IF(ISBLANK(A95),"",INDEX('Error Log'!$A:$J,MATCH('Scores per segment'!$A95,'Error Log'!$A:$A,0),MATCH('Scores per segment'!B$1,'Error Log'!$A$1:$J$1,0)))</f>
        <v>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v>
      </c>
      <c r="C95" s="70" t="str">
        <f>IF(ISBLANK(A95),"",INDEX('Error Log'!$A:$J,MATCH('Scores per segment'!$A95,'Error Log'!$A:$A,0),MATCH('Scores per segment'!C$1,'Error Log'!$A$1:$J$1,0)))</f>
        <v>the monarch , 88 , was spotted trotting through windsor great park aboard her faithful black fell pony , carltonlima emma .
the queen , who has never worn riding helmets , has been encouraged to wear one because of her hair .</v>
      </c>
      <c r="D95" s="70">
        <f>IF(H95=0,wdct(TRIM(C95)),0)</f>
        <v>36</v>
      </c>
      <c r="E95" s="70">
        <f>COUNTIFS('Error Log'!$A:$A,$A95,'Error Log'!$J:$J,E$1)</f>
        <v>1</v>
      </c>
      <c r="F95" s="70">
        <f>COUNTIFS('Error Log'!$A:$A,$A95,'Error Log'!$J:$J,F$1)</f>
        <v>1</v>
      </c>
      <c r="G95" s="70">
        <f>COUNTIFS('Error Log'!$A:$A,$A95,'Error Log'!$J:$J,G$1)</f>
        <v>0</v>
      </c>
      <c r="H95" s="70">
        <f>COUNTIFS('Error Log'!$A:$A,$A95,'Error Log'!$F:$F,"Source")</f>
        <v>0</v>
      </c>
      <c r="I95" s="70">
        <f>COUNTIFS('Error Log'!$A:$A,$A95,'Error Log'!$F:$F,"Target")</f>
        <v>0</v>
      </c>
      <c r="J95" s="71">
        <f t="shared" si="1"/>
        <v>79.166666666666657</v>
      </c>
    </row>
    <row r="96" spans="1:10">
      <c r="A96" s="119" t="s">
        <v>966</v>
      </c>
      <c r="B96" s="70" t="str">
        <f>IF(ISBLANK(A96),"",INDEX('Error Log'!$A:$J,MATCH('Scores per segment'!$A96,'Error Log'!$A:$A,0),MATCH('Scores per segment'!B$1,'Error Log'!$A$1:$J$1,0)))</f>
        <v>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v>
      </c>
      <c r="C96" s="70" t="str">
        <f>IF(ISBLANK(A96),"",INDEX('Error Log'!$A:$J,MATCH('Scores per segment'!$A96,'Error Log'!$A:$A,0),MATCH('Scores per segment'!C$1,'Error Log'!$A$1:$J$1,0)))</f>
        <v>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v>
      </c>
      <c r="D96" s="70">
        <f>IF(H96=0,wdct(TRIM(C96)),0)</f>
        <v>78</v>
      </c>
      <c r="E96" s="70">
        <f>COUNTIFS('Error Log'!$A:$A,$A96,'Error Log'!$J:$J,E$1)</f>
        <v>1</v>
      </c>
      <c r="F96" s="70">
        <f>COUNTIFS('Error Log'!$A:$A,$A96,'Error Log'!$J:$J,F$1)</f>
        <v>1</v>
      </c>
      <c r="G96" s="70">
        <f>COUNTIFS('Error Log'!$A:$A,$A96,'Error Log'!$J:$J,G$1)</f>
        <v>0</v>
      </c>
      <c r="H96" s="70">
        <f>COUNTIFS('Error Log'!$A:$A,$A96,'Error Log'!$F:$F,"Source")</f>
        <v>0</v>
      </c>
      <c r="I96" s="70">
        <f>COUNTIFS('Error Log'!$A:$A,$A96,'Error Log'!$F:$F,"Target")</f>
        <v>0</v>
      </c>
      <c r="J96" s="71">
        <f t="shared" si="1"/>
        <v>90.384615384615387</v>
      </c>
    </row>
    <row r="97" spans="1:10">
      <c r="A97" s="119" t="s">
        <v>967</v>
      </c>
      <c r="B97" s="70" t="str">
        <f>IF(ISBLANK(A97),"",INDEX('Error Log'!$A:$J,MATCH('Scores per segment'!$A97,'Error Log'!$A:$A,0),MATCH('Scores per segment'!B$1,'Error Log'!$A$1:$J$1,0)))</f>
        <v>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v>
      </c>
      <c r="C97" s="70" t="str">
        <f>IF(ISBLANK(A97),"",INDEX('Error Log'!$A:$J,MATCH('Scores per segment'!$A97,'Error Log'!$A:$A,0),MATCH('Scores per segment'!C$1,'Error Log'!$A$1:$J$1,0)))</f>
        <v>leon yeaman , 55 , was allegedly killed by a single punch in the head from shift worker phillip pama , 28 , during a row in front of their north brisbane homes .
mr yeaman was reportedly in his yard on muller road making a lot of noise at around 9pm thursday night .
pama , a married father of three , works a 3 am shift at a nearby warehouse and was sleeping at the time he was making a commotion .</v>
      </c>
      <c r="D97" s="70">
        <f>IF(H97=0,wdct(TRIM(C97)),0)</f>
        <v>75</v>
      </c>
      <c r="E97" s="70">
        <f>COUNTIFS('Error Log'!$A:$A,$A97,'Error Log'!$J:$J,E$1)</f>
        <v>1</v>
      </c>
      <c r="F97" s="70">
        <f>COUNTIFS('Error Log'!$A:$A,$A97,'Error Log'!$J:$J,F$1)</f>
        <v>1</v>
      </c>
      <c r="G97" s="70">
        <f>COUNTIFS('Error Log'!$A:$A,$A97,'Error Log'!$J:$J,G$1)</f>
        <v>0</v>
      </c>
      <c r="H97" s="70">
        <f>COUNTIFS('Error Log'!$A:$A,$A97,'Error Log'!$F:$F,"Source")</f>
        <v>0</v>
      </c>
      <c r="I97" s="70">
        <f>COUNTIFS('Error Log'!$A:$A,$A97,'Error Log'!$F:$F,"Target")</f>
        <v>0</v>
      </c>
      <c r="J97" s="71">
        <f t="shared" si="1"/>
        <v>90</v>
      </c>
    </row>
    <row r="98" spans="1:10">
      <c r="A98" s="119" t="s">
        <v>968</v>
      </c>
      <c r="B98" s="70" t="str">
        <f>IF(ISBLANK(A98),"",INDEX('Error Log'!$A:$J,MATCH('Scores per segment'!$A98,'Error Log'!$A:$A,0),MATCH('Scores per segment'!B$1,'Error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v>
      </c>
      <c r="C98" s="70" t="str">
        <f>IF(ISBLANK(A98),"",INDEX('Error Log'!$A:$J,MATCH('Scores per segment'!$A98,'Error Log'!$A:$A,0),MATCH('Scores per segment'!C$1,'Error Log'!$A$1:$J$1,0)))</f>
        <v>bradley cooper was nominated for his portrayal of chris kyle , a navy seal and the most lethal sniper in u.s. military history .
kyle was fatally shot at a texas shooting range in 2013 .</v>
      </c>
      <c r="D98" s="70">
        <f>IF(H98=0,wdct(TRIM(C98)),0)</f>
        <v>34</v>
      </c>
      <c r="E98" s="70">
        <f>COUNTIFS('Error Log'!$A:$A,$A98,'Error Log'!$J:$J,E$1)</f>
        <v>3</v>
      </c>
      <c r="F98" s="70">
        <f>COUNTIFS('Error Log'!$A:$A,$A98,'Error Log'!$J:$J,F$1)</f>
        <v>2</v>
      </c>
      <c r="G98" s="70">
        <f>COUNTIFS('Error Log'!$A:$A,$A98,'Error Log'!$J:$J,G$1)</f>
        <v>0</v>
      </c>
      <c r="H98" s="70">
        <f>COUNTIFS('Error Log'!$A:$A,$A98,'Error Log'!$F:$F,"Source")</f>
        <v>0</v>
      </c>
      <c r="I98" s="70">
        <f>COUNTIFS('Error Log'!$A:$A,$A98,'Error Log'!$F:$F,"Target")</f>
        <v>0</v>
      </c>
      <c r="J98" s="71">
        <f t="shared" si="1"/>
        <v>41.17647058823529</v>
      </c>
    </row>
    <row r="99" spans="1:10">
      <c r="A99" s="119" t="s">
        <v>969</v>
      </c>
      <c r="B99" s="70" t="str">
        <f>IF(ISBLANK(A99),"",INDEX('Error Log'!$A:$J,MATCH('Scores per segment'!$A99,'Error Log'!$A:$A,0),MATCH('Scores per segment'!B$1,'Error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v>
      </c>
      <c r="C99" s="70" t="str">
        <f>IF(ISBLANK(A99),"",INDEX('Error Log'!$A:$J,MATCH('Scores per segment'!$A99,'Error Log'!$A:$A,0),MATCH('Scores per segment'!C$1,'Error Log'!$A$1:$J$1,0)))</f>
        <v>yulia simonova , 52 , wanted to hire a hitman to torture and kill damian vanya in exchange for 100,000 rubles ( £1,400 ) .
but police set up a sting operation , sending one of their undercover officers to pose as a hitman during a meeting with simonova in the russian city of moscow .
part of £1,400 offered for a ' hit ' , police arrested the 52-year-old in her car .</v>
      </c>
      <c r="D99" s="70">
        <f>IF(H99=0,wdct(TRIM(C99)),0)</f>
        <v>63</v>
      </c>
      <c r="E99" s="70">
        <f>COUNTIFS('Error Log'!$A:$A,$A99,'Error Log'!$J:$J,E$1)</f>
        <v>1</v>
      </c>
      <c r="F99" s="70">
        <f>COUNTIFS('Error Log'!$A:$A,$A99,'Error Log'!$J:$J,F$1)</f>
        <v>2</v>
      </c>
      <c r="G99" s="70">
        <f>COUNTIFS('Error Log'!$A:$A,$A99,'Error Log'!$J:$J,G$1)</f>
        <v>0</v>
      </c>
      <c r="H99" s="70">
        <f>COUNTIFS('Error Log'!$A:$A,$A99,'Error Log'!$F:$F,"Source")</f>
        <v>0</v>
      </c>
      <c r="I99" s="70">
        <f>COUNTIFS('Error Log'!$A:$A,$A99,'Error Log'!$F:$F,"Target")</f>
        <v>0</v>
      </c>
      <c r="J99" s="71">
        <f t="shared" si="1"/>
        <v>84.126984126984127</v>
      </c>
    </row>
    <row r="100" spans="1:10">
      <c r="A100" s="119" t="s">
        <v>970</v>
      </c>
      <c r="B100" s="70" t="str">
        <f>IF(ISBLANK(A100),"",INDEX('Error Log'!$A:$J,MATCH('Scores per segment'!$A100,'Error Log'!$A:$A,0),MATCH('Scores per segment'!B$1,'Error Log'!$A$1:$J$1,0)))</f>
        <v>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v>
      </c>
      <c r="C100" s="70" t="str">
        <f>IF(ISBLANK(A100),"",INDEX('Error Log'!$A:$J,MATCH('Scores per segment'!$A100,'Error Log'!$A:$A,0),MATCH('Scores per segment'!C$1,'Error Log'!$A$1:$J$1,0)))</f>
        <v>louise redknapp says that a wide-leg trouser can come as a welcome relief from the skinny jean .
it 's not the first time this look has made a comeback since the seventies .
lou tried the out the trend seven years ago with a stella mccartney flared jean .</v>
      </c>
      <c r="D100" s="70">
        <f>IF(H100=0,wdct(TRIM(C100)),0)</f>
        <v>47</v>
      </c>
      <c r="E100" s="70">
        <f>COUNTIFS('Error Log'!$A:$A,$A100,'Error Log'!$J:$J,E$1)</f>
        <v>1</v>
      </c>
      <c r="F100" s="70">
        <f>COUNTIFS('Error Log'!$A:$A,$A100,'Error Log'!$J:$J,F$1)</f>
        <v>2</v>
      </c>
      <c r="G100" s="70">
        <f>COUNTIFS('Error Log'!$A:$A,$A100,'Error Log'!$J:$J,G$1)</f>
        <v>0</v>
      </c>
      <c r="H100" s="70">
        <f>COUNTIFS('Error Log'!$A:$A,$A100,'Error Log'!$F:$F,"Source")</f>
        <v>0</v>
      </c>
      <c r="I100" s="70">
        <f>COUNTIFS('Error Log'!$A:$A,$A100,'Error Log'!$F:$F,"Target")</f>
        <v>0</v>
      </c>
      <c r="J100" s="71">
        <f t="shared" si="1"/>
        <v>78.723404255319153</v>
      </c>
    </row>
    <row r="101" spans="1:10">
      <c r="A101" s="119" t="s">
        <v>971</v>
      </c>
      <c r="B101" s="70" t="str">
        <f>IF(ISBLANK(A101),"",INDEX('Error Log'!$A:$J,MATCH('Scores per segment'!$A101,'Error Log'!$A:$A,0),MATCH('Scores per segment'!B$1,'Error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C101" s="70" t="str">
        <f>IF(ISBLANK(A101),"",INDEX('Error Log'!$A:$J,MATCH('Scores per segment'!$A101,'Error Log'!$A:$A,0),MATCH('Scores per segment'!C$1,'Error Log'!$A$1:$J$1,0)))</f>
        <v>jose mourinho has revealed that he has a strong faith in god .
he said that he and his family ' know about poverty ' and have been privileged to have worked with the word food programme as an ambassador against hunger .</v>
      </c>
      <c r="D101" s="70">
        <f>IF(H101=0,wdct(TRIM(C101)),0)</f>
        <v>39</v>
      </c>
      <c r="E101" s="70">
        <f>COUNTIFS('Error Log'!$A:$A,$A101,'Error Log'!$J:$J,E$1)</f>
        <v>2</v>
      </c>
      <c r="F101" s="70">
        <f>COUNTIFS('Error Log'!$A:$A,$A101,'Error Log'!$J:$J,F$1)</f>
        <v>0</v>
      </c>
      <c r="G101" s="70">
        <f>COUNTIFS('Error Log'!$A:$A,$A101,'Error Log'!$J:$J,G$1)</f>
        <v>0</v>
      </c>
      <c r="H101" s="70">
        <f>COUNTIFS('Error Log'!$A:$A,$A101,'Error Log'!$F:$F,"Source")</f>
        <v>0</v>
      </c>
      <c r="I101" s="70">
        <f>COUNTIFS('Error Log'!$A:$A,$A101,'Error Log'!$F:$F,"Target")</f>
        <v>0</v>
      </c>
      <c r="J101" s="71">
        <f t="shared" si="1"/>
        <v>74.358974358974365</v>
      </c>
    </row>
    <row r="102" spans="1:10">
      <c r="A102" s="119" t="s">
        <v>972</v>
      </c>
      <c r="B102" s="70" t="str">
        <f>IF(ISBLANK(A102),"",INDEX('Error Log'!$A:$J,MATCH('Scores per segment'!$A102,'Error Log'!$A:$A,0),MATCH('Scores per segment'!B$1,'Error Log'!$A$1:$J$1,0)))</f>
        <v>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v>
      </c>
      <c r="C102" s="70" t="str">
        <f>IF(ISBLANK(A102),"",INDEX('Error Log'!$A:$J,MATCH('Scores per segment'!$A102,'Error Log'!$A:$A,0),MATCH('Scores per segment'!C$1,'Error Log'!$A$1:$J$1,0)))</f>
        <v>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haskell posted the image dressed as downey jr. 's character iron man .</v>
      </c>
      <c r="D102" s="70">
        <f>IF(H102=0,wdct(TRIM(C102)),0)</f>
        <v>56</v>
      </c>
      <c r="E102" s="70">
        <f>COUNTIFS('Error Log'!$A:$A,$A102,'Error Log'!$J:$J,E$1)</f>
        <v>1</v>
      </c>
      <c r="F102" s="70">
        <f>COUNTIFS('Error Log'!$A:$A,$A102,'Error Log'!$J:$J,F$1)</f>
        <v>2</v>
      </c>
      <c r="G102" s="70">
        <f>COUNTIFS('Error Log'!$A:$A,$A102,'Error Log'!$J:$J,G$1)</f>
        <v>0</v>
      </c>
      <c r="H102" s="70">
        <f>COUNTIFS('Error Log'!$A:$A,$A102,'Error Log'!$F:$F,"Source")</f>
        <v>0</v>
      </c>
      <c r="I102" s="70">
        <f>COUNTIFS('Error Log'!$A:$A,$A102,'Error Log'!$F:$F,"Target")</f>
        <v>0</v>
      </c>
      <c r="J102" s="71">
        <f t="shared" si="1"/>
        <v>82.142857142857139</v>
      </c>
    </row>
    <row r="103" spans="1:10">
      <c r="A103" s="119" t="s">
        <v>973</v>
      </c>
      <c r="B103" s="70" t="str">
        <f>IF(ISBLANK(A103),"",INDEX('Error Log'!$A:$J,MATCH('Scores per segment'!$A103,'Error Log'!$A:$A,0),MATCH('Scores per segment'!B$1,'Error Log'!$A$1:$J$1,0)))</f>
        <v>(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v>
      </c>
      <c r="C103" s="70" t="str">
        <f>IF(ISBLANK(A103),"",INDEX('Error Log'!$A:$J,MATCH('Scores per segment'!$A103,'Error Log'!$A:$A,0),MATCH('Scores per segment'!C$1,'Error Log'!$A$1:$J$1,0)))</f>
        <v>a tv legend returned to doing what he does best .
contestants told to `` come on down ! '' on the april 1 edition of `` the price is right '' encountered not host drew carey .</v>
      </c>
      <c r="D103" s="70">
        <f>IF(H103=0,wdct(TRIM(C103)),0)</f>
        <v>31</v>
      </c>
      <c r="E103" s="70">
        <f>COUNTIFS('Error Log'!$A:$A,$A103,'Error Log'!$J:$J,E$1)</f>
        <v>1</v>
      </c>
      <c r="F103" s="70">
        <f>COUNTIFS('Error Log'!$A:$A,$A103,'Error Log'!$J:$J,F$1)</f>
        <v>2</v>
      </c>
      <c r="G103" s="70">
        <f>COUNTIFS('Error Log'!$A:$A,$A103,'Error Log'!$J:$J,G$1)</f>
        <v>0</v>
      </c>
      <c r="H103" s="70">
        <f>COUNTIFS('Error Log'!$A:$A,$A103,'Error Log'!$F:$F,"Source")</f>
        <v>0</v>
      </c>
      <c r="I103" s="70">
        <f>COUNTIFS('Error Log'!$A:$A,$A103,'Error Log'!$F:$F,"Target")</f>
        <v>0</v>
      </c>
      <c r="J103" s="71">
        <f t="shared" si="1"/>
        <v>67.741935483870975</v>
      </c>
    </row>
    <row r="104" spans="1:10">
      <c r="A104" s="119" t="s">
        <v>974</v>
      </c>
      <c r="B104" s="70" t="str">
        <f>IF(ISBLANK(A104),"",INDEX('Error Log'!$A:$J,MATCH('Scores per segment'!$A104,'Error Log'!$A:$A,0),MATCH('Scores per segment'!B$1,'Error Log'!$A$1:$J$1,0)))</f>
        <v>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v>
      </c>
      <c r="C104" s="70" t="str">
        <f>IF(ISBLANK(A104),"",INDEX('Error Log'!$A:$J,MATCH('Scores per segment'!$A104,'Error Log'!$A:$A,0),MATCH('Scores per segment'!C$1,'Error Log'!$A$1:$J$1,0)))</f>
        <v>lewis ferguson has just a cut on his nose to show for his ordeal .
the 18-year-old was mucking out as usual , just a cut on the nose to show for the fall which has made him an internet sensation .</v>
      </c>
      <c r="D104" s="70">
        <f>IF(H104=0,wdct(TRIM(C104)),0)</f>
        <v>39</v>
      </c>
      <c r="E104" s="70">
        <f>COUNTIFS('Error Log'!$A:$A,$A104,'Error Log'!$J:$J,E$1)</f>
        <v>0</v>
      </c>
      <c r="F104" s="70">
        <f>COUNTIFS('Error Log'!$A:$A,$A104,'Error Log'!$J:$J,F$1)</f>
        <v>1</v>
      </c>
      <c r="G104" s="70">
        <f>COUNTIFS('Error Log'!$A:$A,$A104,'Error Log'!$J:$J,G$1)</f>
        <v>0</v>
      </c>
      <c r="H104" s="70">
        <f>COUNTIFS('Error Log'!$A:$A,$A104,'Error Log'!$F:$F,"Source")</f>
        <v>0</v>
      </c>
      <c r="I104" s="70">
        <f>COUNTIFS('Error Log'!$A:$A,$A104,'Error Log'!$F:$F,"Target")</f>
        <v>0</v>
      </c>
      <c r="J104" s="71">
        <f t="shared" si="1"/>
        <v>93.589743589743591</v>
      </c>
    </row>
    <row r="105" spans="1:10">
      <c r="A105" s="119" t="s">
        <v>975</v>
      </c>
      <c r="B105" s="70" t="str">
        <f>IF(ISBLANK(A105),"",INDEX('Error Log'!$A:$J,MATCH('Scores per segment'!$A105,'Error Log'!$A:$A,0),MATCH('Scores per segment'!B$1,'Error Log'!$A$1:$J$1,0)))</f>
        <v>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v>
      </c>
      <c r="C105" s="70" t="str">
        <f>IF(ISBLANK(A105),"",INDEX('Error Log'!$A:$J,MATCH('Scores per segment'!$A105,'Error Log'!$A:$A,0),MATCH('Scores per segment'!C$1,'Error Log'!$A$1:$J$1,0)))</f>
        <v>agent arthur baldwin was taken into custody at 12:30am on friday .
he has been hit with a felony charge of attempted burglary and another of destruction of property .
agent baldwin is posted to the foreign missions branch , which is attached to the state department and deals with the united states ' diplomatic activities .</v>
      </c>
      <c r="D105" s="70">
        <f>IF(H105=0,wdct(TRIM(C105)),0)</f>
        <v>53</v>
      </c>
      <c r="E105" s="70">
        <f>COUNTIFS('Error Log'!$A:$A,$A105,'Error Log'!$J:$J,E$1)</f>
        <v>1</v>
      </c>
      <c r="F105" s="70">
        <f>COUNTIFS('Error Log'!$A:$A,$A105,'Error Log'!$J:$J,F$1)</f>
        <v>0</v>
      </c>
      <c r="G105" s="70">
        <f>COUNTIFS('Error Log'!$A:$A,$A105,'Error Log'!$J:$J,G$1)</f>
        <v>0</v>
      </c>
      <c r="H105" s="70">
        <f>COUNTIFS('Error Log'!$A:$A,$A105,'Error Log'!$F:$F,"Source")</f>
        <v>0</v>
      </c>
      <c r="I105" s="70">
        <f>COUNTIFS('Error Log'!$A:$A,$A105,'Error Log'!$F:$F,"Target")</f>
        <v>0</v>
      </c>
      <c r="J105" s="71">
        <f t="shared" si="1"/>
        <v>90.566037735849051</v>
      </c>
    </row>
    <row r="106" spans="1:10">
      <c r="A106" s="119" t="s">
        <v>976</v>
      </c>
      <c r="B106" s="70" t="str">
        <f>IF(ISBLANK(A106),"",INDEX('Error Log'!$A:$J,MATCH('Scores per segment'!$A106,'Error Log'!$A:$A,0),MATCH('Scores per segment'!B$1,'Error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v>
      </c>
      <c r="C106" s="70" t="str">
        <f>IF(ISBLANK(A106),"",INDEX('Error Log'!$A:$J,MATCH('Scores per segment'!$A106,'Error Log'!$A:$A,0),MATCH('Scores per segment'!C$1,'Error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love to have them line up on the la bombonera pitch .</v>
      </c>
      <c r="D106" s="70">
        <f>IF(H106=0,wdct(TRIM(C106)),0)</f>
        <v>64</v>
      </c>
      <c r="E106" s="70">
        <f>COUNTIFS('Error Log'!$A:$A,$A106,'Error Log'!$J:$J,E$1)</f>
        <v>1</v>
      </c>
      <c r="F106" s="70">
        <f>COUNTIFS('Error Log'!$A:$A,$A106,'Error Log'!$J:$J,F$1)</f>
        <v>0</v>
      </c>
      <c r="G106" s="70">
        <f>COUNTIFS('Error Log'!$A:$A,$A106,'Error Log'!$J:$J,G$1)</f>
        <v>0</v>
      </c>
      <c r="H106" s="70">
        <f>COUNTIFS('Error Log'!$A:$A,$A106,'Error Log'!$F:$F,"Source")</f>
        <v>0</v>
      </c>
      <c r="I106" s="70">
        <f>COUNTIFS('Error Log'!$A:$A,$A106,'Error Log'!$F:$F,"Target")</f>
        <v>0</v>
      </c>
      <c r="J106" s="71">
        <f t="shared" si="1"/>
        <v>92.1875</v>
      </c>
    </row>
    <row r="107" spans="1:10">
      <c r="A107" s="119" t="s">
        <v>977</v>
      </c>
      <c r="B107" s="70" t="str">
        <f>IF(ISBLANK(A107),"",INDEX('Error Log'!$A:$J,MATCH('Scores per segment'!$A107,'Error Log'!$A:$A,0),MATCH('Scores per segment'!B$1,'Error Log'!$A$1:$J$1,0)))</f>
        <v>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v>
      </c>
      <c r="C107" s="70" t="str">
        <f>IF(ISBLANK(A107),"",INDEX('Error Log'!$A:$J,MATCH('Scores per segment'!$A107,'Error Log'!$A:$A,0),MATCH('Scores per segment'!C$1,'Error Log'!$A$1:$J$1,0)))</f>
        <v>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v>
      </c>
      <c r="D107" s="70">
        <f>IF(H107=0,wdct(TRIM(C107)),0)</f>
        <v>70</v>
      </c>
      <c r="E107" s="70">
        <f>COUNTIFS('Error Log'!$A:$A,$A107,'Error Log'!$J:$J,E$1)</f>
        <v>2</v>
      </c>
      <c r="F107" s="70">
        <f>COUNTIFS('Error Log'!$A:$A,$A107,'Error Log'!$J:$J,F$1)</f>
        <v>0</v>
      </c>
      <c r="G107" s="70">
        <f>COUNTIFS('Error Log'!$A:$A,$A107,'Error Log'!$J:$J,G$1)</f>
        <v>0</v>
      </c>
      <c r="H107" s="70">
        <f>COUNTIFS('Error Log'!$A:$A,$A107,'Error Log'!$F:$F,"Source")</f>
        <v>0</v>
      </c>
      <c r="I107" s="70">
        <f>COUNTIFS('Error Log'!$A:$A,$A107,'Error Log'!$F:$F,"Target")</f>
        <v>0</v>
      </c>
      <c r="J107" s="71">
        <f t="shared" si="1"/>
        <v>85.714285714285722</v>
      </c>
    </row>
    <row r="108" spans="1:10">
      <c r="A108" s="119" t="s">
        <v>978</v>
      </c>
      <c r="B108" s="70" t="str">
        <f>IF(ISBLANK(A108),"",INDEX('Error Log'!$A:$J,MATCH('Scores per segment'!$A108,'Error Log'!$A:$A,0),MATCH('Scores per segment'!B$1,'Error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v>
      </c>
      <c r="C108" s="70" t="str">
        <f>IF(ISBLANK(A108),"",INDEX('Error Log'!$A:$J,MATCH('Scores per segment'!$A108,'Error Log'!$A:$A,0),MATCH('Scores per segment'!C$1,'Error Log'!$A$1:$J$1,0)))</f>
        <v>dani alves keeps a close eye on almeria midfielder edgar mendez during barca 's game on wednesday .
alves has been unable to agree a new deal with the catalan club and will leave the nou camp this summer .
alves has been linked with manchester united and manchester city .</v>
      </c>
      <c r="D108" s="70">
        <f>IF(H108=0,wdct(TRIM(C108)),0)</f>
        <v>48</v>
      </c>
      <c r="E108" s="70">
        <f>COUNTIFS('Error Log'!$A:$A,$A108,'Error Log'!$J:$J,E$1)</f>
        <v>2</v>
      </c>
      <c r="F108" s="70">
        <f>COUNTIFS('Error Log'!$A:$A,$A108,'Error Log'!$J:$J,F$1)</f>
        <v>2</v>
      </c>
      <c r="G108" s="70">
        <f>COUNTIFS('Error Log'!$A:$A,$A108,'Error Log'!$J:$J,G$1)</f>
        <v>0</v>
      </c>
      <c r="H108" s="70">
        <f>COUNTIFS('Error Log'!$A:$A,$A108,'Error Log'!$F:$F,"Source")</f>
        <v>0</v>
      </c>
      <c r="I108" s="70">
        <f>COUNTIFS('Error Log'!$A:$A,$A108,'Error Log'!$F:$F,"Target")</f>
        <v>0</v>
      </c>
      <c r="J108" s="71">
        <f t="shared" si="1"/>
        <v>68.75</v>
      </c>
    </row>
    <row r="109" spans="1:10">
      <c r="A109" s="119" t="s">
        <v>979</v>
      </c>
      <c r="B109" s="70" t="str">
        <f>IF(ISBLANK(A109),"",INDEX('Error Log'!$A:$J,MATCH('Scores per segment'!$A109,'Error Log'!$A:$A,0),MATCH('Scores per segment'!B$1,'Error Log'!$A$1:$J$1,0)))</f>
        <v>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v>
      </c>
      <c r="C109" s="70" t="str">
        <f>IF(ISBLANK(A109),"",INDEX('Error Log'!$A:$J,MATCH('Scores per segment'!$A109,'Error Log'!$A:$A,0),MATCH('Scores per segment'!C$1,'Error Log'!$A$1:$J$1,0)))</f>
        <v>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v>
      </c>
      <c r="D109" s="70">
        <f>IF(H109=0,wdct(TRIM(C109)),0)</f>
        <v>51</v>
      </c>
      <c r="E109" s="70">
        <f>COUNTIFS('Error Log'!$A:$A,$A109,'Error Log'!$J:$J,E$1)</f>
        <v>1</v>
      </c>
      <c r="F109" s="70">
        <f>COUNTIFS('Error Log'!$A:$A,$A109,'Error Log'!$J:$J,F$1)</f>
        <v>1</v>
      </c>
      <c r="G109" s="70">
        <f>COUNTIFS('Error Log'!$A:$A,$A109,'Error Log'!$J:$J,G$1)</f>
        <v>0</v>
      </c>
      <c r="H109" s="70">
        <f>COUNTIFS('Error Log'!$A:$A,$A109,'Error Log'!$F:$F,"Source")</f>
        <v>0</v>
      </c>
      <c r="I109" s="70">
        <f>COUNTIFS('Error Log'!$A:$A,$A109,'Error Log'!$F:$F,"Target")</f>
        <v>0</v>
      </c>
      <c r="J109" s="71">
        <f t="shared" si="1"/>
        <v>85.294117647058812</v>
      </c>
    </row>
    <row r="110" spans="1:10">
      <c r="A110" s="119" t="s">
        <v>980</v>
      </c>
      <c r="B110" s="70" t="str">
        <f>IF(ISBLANK(A110),"",INDEX('Error Log'!$A:$J,MATCH('Scores per segment'!$A110,'Error Log'!$A:$A,0),MATCH('Scores per segment'!B$1,'Error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v>
      </c>
      <c r="C110" s="70" t="str">
        <f>IF(ISBLANK(A110),"",INDEX('Error Log'!$A:$J,MATCH('Scores per segment'!$A110,'Error Log'!$A:$A,0),MATCH('Scores per segment'!C$1,'Error Log'!$A$1:$J$1,0)))</f>
        <v>suicide attack hit group around 10 a.m. local time , police say .
suicide attack kills 17 people and wounding dozens more , police say .
no other organization has so far claimed responsibility .</v>
      </c>
      <c r="D110" s="70">
        <f>IF(H110=0,wdct(TRIM(C110)),0)</f>
        <v>31</v>
      </c>
      <c r="E110" s="70">
        <f>COUNTIFS('Error Log'!$A:$A,$A110,'Error Log'!$J:$J,E$1)</f>
        <v>2</v>
      </c>
      <c r="F110" s="70">
        <f>COUNTIFS('Error Log'!$A:$A,$A110,'Error Log'!$J:$J,F$1)</f>
        <v>2</v>
      </c>
      <c r="G110" s="70">
        <f>COUNTIFS('Error Log'!$A:$A,$A110,'Error Log'!$J:$J,G$1)</f>
        <v>0</v>
      </c>
      <c r="H110" s="70">
        <f>COUNTIFS('Error Log'!$A:$A,$A110,'Error Log'!$F:$F,"Source")</f>
        <v>0</v>
      </c>
      <c r="I110" s="70">
        <f>COUNTIFS('Error Log'!$A:$A,$A110,'Error Log'!$F:$F,"Target")</f>
        <v>0</v>
      </c>
      <c r="J110" s="71">
        <f t="shared" si="1"/>
        <v>51.612903225806448</v>
      </c>
    </row>
    <row r="111" spans="1:10">
      <c r="A111" s="119" t="s">
        <v>981</v>
      </c>
      <c r="B111" s="70" t="str">
        <f>IF(ISBLANK(A111),"",INDEX('Error Log'!$A:$J,MATCH('Scores per segment'!$A111,'Error Log'!$A:$A,0),MATCH('Scores per segment'!B$1,'Error Log'!$A$1:$J$1,0)))</f>
        <v>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v>
      </c>
      <c r="C111" s="70" t="str">
        <f>IF(ISBLANK(A111),"",INDEX('Error Log'!$A:$J,MATCH('Scores per segment'!$A111,'Error Log'!$A:$A,0),MATCH('Scores per segment'!C$1,'Error Log'!$A$1:$J$1,0)))</f>
        <v>hannah and alex purchased a 1986 hino flatbed and undertook their year and a half labor of love .
the result was a solar-powered two-bedroom , wood and steel home that now allows them to live almost self-sufficiently in nelson , new zealand .</v>
      </c>
      <c r="D111" s="70">
        <f>IF(H111=0,wdct(TRIM(C111)),0)</f>
        <v>40</v>
      </c>
      <c r="E111" s="70">
        <f>COUNTIFS('Error Log'!$A:$A,$A111,'Error Log'!$J:$J,E$1)</f>
        <v>1</v>
      </c>
      <c r="F111" s="70">
        <f>COUNTIFS('Error Log'!$A:$A,$A111,'Error Log'!$J:$J,F$1)</f>
        <v>0</v>
      </c>
      <c r="G111" s="70">
        <f>COUNTIFS('Error Log'!$A:$A,$A111,'Error Log'!$J:$J,G$1)</f>
        <v>0</v>
      </c>
      <c r="H111" s="70">
        <f>COUNTIFS('Error Log'!$A:$A,$A111,'Error Log'!$F:$F,"Source")</f>
        <v>0</v>
      </c>
      <c r="I111" s="70">
        <f>COUNTIFS('Error Log'!$A:$A,$A111,'Error Log'!$F:$F,"Target")</f>
        <v>0</v>
      </c>
      <c r="J111" s="71">
        <f t="shared" si="1"/>
        <v>87.5</v>
      </c>
    </row>
    <row r="112" spans="1:10">
      <c r="A112" s="119" t="s">
        <v>982</v>
      </c>
      <c r="B112" s="70" t="str">
        <f>IF(ISBLANK(A112),"",INDEX('Error Log'!$A:$J,MATCH('Scores per segment'!$A112,'Error Log'!$A:$A,0),MATCH('Scores per segment'!B$1,'Error Log'!$A$1:$J$1,0)))</f>
        <v>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v>
      </c>
      <c r="C112" s="70" t="str">
        <f>IF(ISBLANK(A112),"",INDEX('Error Log'!$A:$J,MATCH('Scores per segment'!$A112,'Error Log'!$A:$A,0),MATCH('Scores per segment'!C$1,'Error Log'!$A$1:$J$1,0)))</f>
        <v>12 per cent of people questioned thought that the child should be named after william 's mother - diana the princess of wales .
alice is the name of the queen 's aunt , who passed away in 2004 aged 102 , while charlotte is favoured as a nod to william 's father charles .</v>
      </c>
      <c r="D112" s="70">
        <f>IF(H112=0,wdct(TRIM(C112)),0)</f>
        <v>50</v>
      </c>
      <c r="E112" s="70">
        <f>COUNTIFS('Error Log'!$A:$A,$A112,'Error Log'!$J:$J,E$1)</f>
        <v>2</v>
      </c>
      <c r="F112" s="70">
        <f>COUNTIFS('Error Log'!$A:$A,$A112,'Error Log'!$J:$J,F$1)</f>
        <v>1</v>
      </c>
      <c r="G112" s="70">
        <f>COUNTIFS('Error Log'!$A:$A,$A112,'Error Log'!$J:$J,G$1)</f>
        <v>0</v>
      </c>
      <c r="H112" s="70">
        <f>COUNTIFS('Error Log'!$A:$A,$A112,'Error Log'!$F:$F,"Source")</f>
        <v>0</v>
      </c>
      <c r="I112" s="70">
        <f>COUNTIFS('Error Log'!$A:$A,$A112,'Error Log'!$F:$F,"Target")</f>
        <v>0</v>
      </c>
      <c r="J112" s="71">
        <f t="shared" si="1"/>
        <v>75</v>
      </c>
    </row>
    <row r="113" spans="1:10">
      <c r="A113" s="119" t="s">
        <v>983</v>
      </c>
      <c r="B113" s="70" t="str">
        <f>IF(ISBLANK(A113),"",INDEX('Error Log'!$A:$J,MATCH('Scores per segment'!$A113,'Error Log'!$A:$A,0),MATCH('Scores per segment'!B$1,'Error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v>
      </c>
      <c r="C113" s="70" t="str">
        <f>IF(ISBLANK(A113),"",INDEX('Error Log'!$A:$J,MATCH('Scores per segment'!$A113,'Error Log'!$A:$A,0),MATCH('Scores per segment'!C$1,'Error Log'!$A$1:$J$1,0)))</f>
        <v>the findings come after the general secretary of the national association of head teachers said he was dubious about using technology as a teaching aid in non-it classes .
research into the effects of the devices on literacy levels suggests the best outcome comes from youngsters sharing devices .
shared ipad students scored around 30 points higher than students who used the device on their own and non-ipad users .</v>
      </c>
      <c r="D113" s="70">
        <f>IF(H113=0,wdct(TRIM(C113)),0)</f>
        <v>67</v>
      </c>
      <c r="E113" s="70">
        <f>COUNTIFS('Error Log'!$A:$A,$A113,'Error Log'!$J:$J,E$1)</f>
        <v>0</v>
      </c>
      <c r="F113" s="70">
        <f>COUNTIFS('Error Log'!$A:$A,$A113,'Error Log'!$J:$J,F$1)</f>
        <v>2</v>
      </c>
      <c r="G113" s="70">
        <f>COUNTIFS('Error Log'!$A:$A,$A113,'Error Log'!$J:$J,G$1)</f>
        <v>0</v>
      </c>
      <c r="H113" s="70">
        <f>COUNTIFS('Error Log'!$A:$A,$A113,'Error Log'!$F:$F,"Source")</f>
        <v>0</v>
      </c>
      <c r="I113" s="70">
        <f>COUNTIFS('Error Log'!$A:$A,$A113,'Error Log'!$F:$F,"Target")</f>
        <v>0</v>
      </c>
      <c r="J113" s="71">
        <f t="shared" si="1"/>
        <v>92.537313432835816</v>
      </c>
    </row>
    <row r="114" spans="1:10">
      <c r="A114" s="119" t="s">
        <v>984</v>
      </c>
      <c r="B114" s="70" t="str">
        <f>IF(ISBLANK(A114),"",INDEX('Error Log'!$A:$J,MATCH('Scores per segment'!$A114,'Error Log'!$A:$A,0),MATCH('Scores per segment'!B$1,'Error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v>
      </c>
      <c r="C114" s="70" t="str">
        <f>IF(ISBLANK(A114),"",INDEX('Error Log'!$A:$J,MATCH('Scores per segment'!$A114,'Error Log'!$A:$A,0),MATCH('Scores per segment'!C$1,'Error Log'!$A$1:$J$1,0)))</f>
        <v>nina moric , 38 , posted photographs on her instagram account which has more than 40,000 users .
italian media reported that ms moric tried to take her own life and was found by her mother in the luxury apartment she shares with her boyfriend in milan .
ms moric told her fans she was well and had no intention to end her own life .</v>
      </c>
      <c r="D114" s="70">
        <f>IF(H114=0,wdct(TRIM(C114)),0)</f>
        <v>61</v>
      </c>
      <c r="E114" s="70">
        <f>COUNTIFS('Error Log'!$A:$A,$A114,'Error Log'!$J:$J,E$1)</f>
        <v>1</v>
      </c>
      <c r="F114" s="70">
        <f>COUNTIFS('Error Log'!$A:$A,$A114,'Error Log'!$J:$J,F$1)</f>
        <v>1</v>
      </c>
      <c r="G114" s="70">
        <f>COUNTIFS('Error Log'!$A:$A,$A114,'Error Log'!$J:$J,G$1)</f>
        <v>0</v>
      </c>
      <c r="H114" s="70">
        <f>COUNTIFS('Error Log'!$A:$A,$A114,'Error Log'!$F:$F,"Source")</f>
        <v>0</v>
      </c>
      <c r="I114" s="70">
        <f>COUNTIFS('Error Log'!$A:$A,$A114,'Error Log'!$F:$F,"Target")</f>
        <v>0</v>
      </c>
      <c r="J114" s="71">
        <f t="shared" si="1"/>
        <v>87.704918032786878</v>
      </c>
    </row>
    <row r="115" spans="1:10">
      <c r="A115" s="119" t="s">
        <v>985</v>
      </c>
      <c r="B115" s="70" t="str">
        <f>IF(ISBLANK(A115),"",INDEX('Error Log'!$A:$J,MATCH('Scores per segment'!$A115,'Error Log'!$A:$A,0),MATCH('Scores per segment'!B$1,'Error Log'!$A$1:$J$1,0)))</f>
        <v>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v>
      </c>
      <c r="C115" s="70" t="str">
        <f>IF(ISBLANK(A115),"",INDEX('Error Log'!$A:$J,MATCH('Scores per segment'!$A115,'Error Log'!$A:$A,0),MATCH('Scores per segment'!C$1,'Error Log'!$A$1:$J$1,0)))</f>
        <v>the piglet was born with its back legs missing and has mastered the art of balancing on its front trotters .
the clip featured on the people 's daily online shows the young animal taking unsteady steps , wobbling about with its snout to the ground , foraging for food .
it is not the first animal with two legs instead of four to win plaudits in china .</v>
      </c>
      <c r="D115" s="70">
        <f>IF(H115=0,wdct(TRIM(C115)),0)</f>
        <v>64</v>
      </c>
      <c r="E115" s="70">
        <f>COUNTIFS('Error Log'!$A:$A,$A115,'Error Log'!$J:$J,E$1)</f>
        <v>2</v>
      </c>
      <c r="F115" s="70">
        <f>COUNTIFS('Error Log'!$A:$A,$A115,'Error Log'!$J:$J,F$1)</f>
        <v>2</v>
      </c>
      <c r="G115" s="70">
        <f>COUNTIFS('Error Log'!$A:$A,$A115,'Error Log'!$J:$J,G$1)</f>
        <v>0</v>
      </c>
      <c r="H115" s="70">
        <f>COUNTIFS('Error Log'!$A:$A,$A115,'Error Log'!$F:$F,"Source")</f>
        <v>0</v>
      </c>
      <c r="I115" s="70">
        <f>COUNTIFS('Error Log'!$A:$A,$A115,'Error Log'!$F:$F,"Target")</f>
        <v>0</v>
      </c>
      <c r="J115" s="71">
        <f t="shared" si="1"/>
        <v>76.5625</v>
      </c>
    </row>
    <row r="116" spans="1:10">
      <c r="A116" s="119" t="s">
        <v>986</v>
      </c>
      <c r="B116" s="70" t="str">
        <f>IF(ISBLANK(A116),"",INDEX('Error Log'!$A:$J,MATCH('Scores per segment'!$A116,'Error Log'!$A:$A,0),MATCH('Scores per segment'!B$1,'Error Log'!$A$1:$J$1,0)))</f>
        <v>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v>
      </c>
      <c r="C116" s="70" t="str">
        <f>IF(ISBLANK(A116),"",INDEX('Error Log'!$A:$J,MATCH('Scores per segment'!$A116,'Error Log'!$A:$A,0),MATCH('Scores per segment'!C$1,'Error Log'!$A$1:$J$1,0)))</f>
        <v>meteorologists say early indicators show that an east coast low – the same weather system that lashed the state 's east coast for three days last week could hit the region , with heavy rain possible from thursday .
state emergency service was deluged with calls for assistance last week and has more than 4,000 jobs from the 24,196 requests still to be completed .
locals survey the damage and destruction caused by flooding in dungog in the nsw hunter region .</v>
      </c>
      <c r="D116" s="70">
        <f>IF(H116=0,wdct(TRIM(C116)),0)</f>
        <v>77</v>
      </c>
      <c r="E116" s="70">
        <f>COUNTIFS('Error Log'!$A:$A,$A116,'Error Log'!$J:$J,E$1)</f>
        <v>2</v>
      </c>
      <c r="F116" s="70">
        <f>COUNTIFS('Error Log'!$A:$A,$A116,'Error Log'!$J:$J,F$1)</f>
        <v>2</v>
      </c>
      <c r="G116" s="70">
        <f>COUNTIFS('Error Log'!$A:$A,$A116,'Error Log'!$J:$J,G$1)</f>
        <v>0</v>
      </c>
      <c r="H116" s="70">
        <f>COUNTIFS('Error Log'!$A:$A,$A116,'Error Log'!$F:$F,"Source")</f>
        <v>0</v>
      </c>
      <c r="I116" s="70">
        <f>COUNTIFS('Error Log'!$A:$A,$A116,'Error Log'!$F:$F,"Target")</f>
        <v>0</v>
      </c>
      <c r="J116" s="71">
        <f t="shared" si="1"/>
        <v>80.51948051948051</v>
      </c>
    </row>
    <row r="117" spans="1:10">
      <c r="A117" s="119" t="s">
        <v>987</v>
      </c>
      <c r="B117" s="70" t="str">
        <f>IF(ISBLANK(A117),"",INDEX('Error Log'!$A:$J,MATCH('Scores per segment'!$A117,'Error Log'!$A:$A,0),MATCH('Scores per segment'!B$1,'Error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v>
      </c>
      <c r="C117" s="70" t="str">
        <f>IF(ISBLANK(A117),"",INDEX('Error Log'!$A:$J,MATCH('Scores per segment'!$A117,'Error Log'!$A:$A,0),MATCH('Scores per segment'!C$1,'Error Log'!$A$1:$J$1,0)))</f>
        <v>todd phillips , a front-outside tire changer for dayle coyne racing , was injuried when he was struck by the car of francesco dracone , who had come in on lap 25 for tires and fuel .
phillips , a front-outside tire changer for dayle coyne racing , was injuried when he was struck by the car of francesco dracone , who had come in on lap 25 for tires and fuel .</v>
      </c>
      <c r="D117" s="70">
        <f>IF(H117=0,wdct(TRIM(C117)),0)</f>
        <v>65</v>
      </c>
      <c r="E117" s="70">
        <f>COUNTIFS('Error Log'!$A:$A,$A117,'Error Log'!$J:$J,E$1)</f>
        <v>2</v>
      </c>
      <c r="F117" s="70">
        <f>COUNTIFS('Error Log'!$A:$A,$A117,'Error Log'!$J:$J,F$1)</f>
        <v>1</v>
      </c>
      <c r="G117" s="70">
        <f>COUNTIFS('Error Log'!$A:$A,$A117,'Error Log'!$J:$J,G$1)</f>
        <v>0</v>
      </c>
      <c r="H117" s="70">
        <f>COUNTIFS('Error Log'!$A:$A,$A117,'Error Log'!$F:$F,"Source")</f>
        <v>0</v>
      </c>
      <c r="I117" s="70">
        <f>COUNTIFS('Error Log'!$A:$A,$A117,'Error Log'!$F:$F,"Target")</f>
        <v>0</v>
      </c>
      <c r="J117" s="71">
        <f t="shared" si="1"/>
        <v>80.769230769230774</v>
      </c>
    </row>
    <row r="118" spans="1:10">
      <c r="A118" s="119" t="s">
        <v>988</v>
      </c>
      <c r="B118" s="70" t="str">
        <f>IF(ISBLANK(A118),"",INDEX('Error Log'!$A:$J,MATCH('Scores per segment'!$A118,'Error Log'!$A:$A,0),MATCH('Scores per segment'!B$1,'Error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v>
      </c>
      <c r="C118" s="70" t="str">
        <f>IF(ISBLANK(A118),"",INDEX('Error Log'!$A:$J,MATCH('Scores per segment'!$A118,'Error Log'!$A:$A,0),MATCH('Scores per segment'!C$1,'Error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7-6 , after svetlana kuznetsova beat julia goerges in straight sets .
anastasia pavlyuchenkova of russia beat germany 's sabine lisicki for a 2-0 lead in their fed cup tie .</v>
      </c>
      <c r="D118" s="70">
        <f>IF(H118=0,wdct(TRIM(C118)),0)</f>
        <v>76</v>
      </c>
      <c r="E118" s="70">
        <f>COUNTIFS('Error Log'!$A:$A,$A118,'Error Log'!$J:$J,E$1)</f>
        <v>0</v>
      </c>
      <c r="F118" s="70">
        <f>COUNTIFS('Error Log'!$A:$A,$A118,'Error Log'!$J:$J,F$1)</f>
        <v>0</v>
      </c>
      <c r="G118" s="70">
        <f>COUNTIFS('Error Log'!$A:$A,$A118,'Error Log'!$J:$J,G$1)</f>
        <v>0</v>
      </c>
      <c r="H118" s="70">
        <f>COUNTIFS('Error Log'!$A:$A,$A118,'Error Log'!$F:$F,"Source")</f>
        <v>0</v>
      </c>
      <c r="I118" s="70">
        <f>COUNTIFS('Error Log'!$A:$A,$A118,'Error Log'!$F:$F,"Target")</f>
        <v>0</v>
      </c>
      <c r="J118" s="71">
        <f t="shared" si="1"/>
        <v>100</v>
      </c>
    </row>
    <row r="119" spans="1:10">
      <c r="A119" s="119" t="s">
        <v>989</v>
      </c>
      <c r="B119" s="70" t="str">
        <f>IF(ISBLANK(A119),"",INDEX('Error Log'!$A:$J,MATCH('Scores per segment'!$A119,'Error Log'!$A:$A,0),MATCH('Scores per segment'!B$1,'Error Log'!$A$1:$J$1,0)))</f>
        <v>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v>
      </c>
      <c r="C119" s="70" t="str">
        <f>IF(ISBLANK(A119),"",INDEX('Error Log'!$A:$J,MATCH('Scores per segment'!$A119,'Error Log'!$A:$A,0),MATCH('Scores per segment'!C$1,'Error Log'!$A$1:$J$1,0)))</f>
        <v>milton vieira severiano , 32 , dragging the limp body of dancer cicera alves de sena , 29 , into the garden of their apartment in eastern brazil .
horrific cctv footage has emerged of a husband smashing his dancer wife 's head into concrete paving 11 times then shooting her in the face five times .
cicera alves de sena belonged to a dance group called jaula das gostozuedas which i have been to see and am a big fan of .</v>
      </c>
      <c r="D119" s="70">
        <f>IF(H119=0,wdct(TRIM(C119)),0)</f>
        <v>76</v>
      </c>
      <c r="E119" s="70">
        <f>COUNTIFS('Error Log'!$A:$A,$A119,'Error Log'!$J:$J,E$1)</f>
        <v>1</v>
      </c>
      <c r="F119" s="70">
        <f>COUNTIFS('Error Log'!$A:$A,$A119,'Error Log'!$J:$J,F$1)</f>
        <v>2</v>
      </c>
      <c r="G119" s="70">
        <f>COUNTIFS('Error Log'!$A:$A,$A119,'Error Log'!$J:$J,G$1)</f>
        <v>0</v>
      </c>
      <c r="H119" s="70">
        <f>COUNTIFS('Error Log'!$A:$A,$A119,'Error Log'!$F:$F,"Source")</f>
        <v>0</v>
      </c>
      <c r="I119" s="70">
        <f>COUNTIFS('Error Log'!$A:$A,$A119,'Error Log'!$F:$F,"Target")</f>
        <v>0</v>
      </c>
      <c r="J119" s="71">
        <f t="shared" si="1"/>
        <v>86.84210526315789</v>
      </c>
    </row>
    <row r="120" spans="1:10">
      <c r="A120" s="119" t="s">
        <v>990</v>
      </c>
      <c r="B120" s="70" t="str">
        <f>IF(ISBLANK(A120),"",INDEX('Error Log'!$A:$J,MATCH('Scores per segment'!$A120,'Error Log'!$A:$A,0),MATCH('Scores per segment'!B$1,'Error Log'!$A$1:$J$1,0)))</f>
        <v>(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v>
      </c>
      <c r="C120" s="70" t="str">
        <f>IF(ISBLANK(A120),"",INDEX('Error Log'!$A:$J,MATCH('Scores per segment'!$A120,'Error Log'!$A:$A,0),MATCH('Scores per segment'!C$1,'Error Log'!$A$1:$J$1,0)))</f>
        <v>bobbi kristina brown , the daughter of bobby brown and whitney houston , has `` global and irreversible brain damage , '' her grandmother says .
she told cnn on monday that she remained in the same neurological state she has been in for nearly three months .</v>
      </c>
      <c r="D120" s="70">
        <f>IF(H120=0,wdct(TRIM(C120)),0)</f>
        <v>41</v>
      </c>
      <c r="E120" s="70">
        <f>COUNTIFS('Error Log'!$A:$A,$A120,'Error Log'!$J:$J,E$1)</f>
        <v>1</v>
      </c>
      <c r="F120" s="70">
        <f>COUNTIFS('Error Log'!$A:$A,$A120,'Error Log'!$J:$J,F$1)</f>
        <v>1</v>
      </c>
      <c r="G120" s="70">
        <f>COUNTIFS('Error Log'!$A:$A,$A120,'Error Log'!$J:$J,G$1)</f>
        <v>0</v>
      </c>
      <c r="H120" s="70">
        <f>COUNTIFS('Error Log'!$A:$A,$A120,'Error Log'!$F:$F,"Source")</f>
        <v>0</v>
      </c>
      <c r="I120" s="70">
        <f>COUNTIFS('Error Log'!$A:$A,$A120,'Error Log'!$F:$F,"Target")</f>
        <v>0</v>
      </c>
      <c r="J120" s="71">
        <f t="shared" si="1"/>
        <v>81.707317073170728</v>
      </c>
    </row>
    <row r="121" spans="1:10">
      <c r="A121" s="119" t="s">
        <v>991</v>
      </c>
      <c r="B121" s="70" t="str">
        <f>IF(ISBLANK(A121),"",INDEX('Error Log'!$A:$J,MATCH('Scores per segment'!$A121,'Error Log'!$A:$A,0),MATCH('Scores per segment'!B$1,'Error Log'!$A$1:$J$1,0)))</f>
        <v>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v>
      </c>
      <c r="C121" s="70" t="str">
        <f>IF(ISBLANK(A121),"",INDEX('Error Log'!$A:$J,MATCH('Scores per segment'!$A121,'Error Log'!$A:$A,0),MATCH('Scores per segment'!C$1,'Error Log'!$A$1:$J$1,0)))</f>
        <v>sarah wilson opened up in a candid interview about how her battle with mental illness drove her to believe her life was n't worth living .
she said ' people get on with their lives ' and while she had n't found a husband , nor had children , she felt increasingly isolated .
she thinks we need to acknowledge this link to tackle the increasing rate of australian women who are being negatively affected by stress and anxiety .</v>
      </c>
      <c r="D121" s="70">
        <f>IF(H121=0,wdct(TRIM(C121)),0)</f>
        <v>73</v>
      </c>
      <c r="E121" s="70">
        <f>COUNTIFS('Error Log'!$A:$A,$A121,'Error Log'!$J:$J,E$1)</f>
        <v>2</v>
      </c>
      <c r="F121" s="70">
        <f>COUNTIFS('Error Log'!$A:$A,$A121,'Error Log'!$J:$J,F$1)</f>
        <v>2</v>
      </c>
      <c r="G121" s="70">
        <f>COUNTIFS('Error Log'!$A:$A,$A121,'Error Log'!$J:$J,G$1)</f>
        <v>0</v>
      </c>
      <c r="H121" s="70">
        <f>COUNTIFS('Error Log'!$A:$A,$A121,'Error Log'!$F:$F,"Source")</f>
        <v>0</v>
      </c>
      <c r="I121" s="70">
        <f>COUNTIFS('Error Log'!$A:$A,$A121,'Error Log'!$F:$F,"Target")</f>
        <v>0</v>
      </c>
      <c r="J121" s="71">
        <f t="shared" si="1"/>
        <v>79.452054794520549</v>
      </c>
    </row>
    <row r="122" spans="1:10">
      <c r="A122" s="119" t="s">
        <v>992</v>
      </c>
      <c r="B122" s="70" t="str">
        <f>IF(ISBLANK(A122),"",INDEX('Error Log'!$A:$J,MATCH('Scores per segment'!$A122,'Error Log'!$A:$A,0),MATCH('Scores per segment'!B$1,'Error Log'!$A$1:$J$1,0)))</f>
        <v>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v>
      </c>
      <c r="C122" s="70" t="str">
        <f>IF(ISBLANK(A122),"",INDEX('Error Log'!$A:$J,MATCH('Scores per segment'!$A122,'Error Log'!$A:$A,0),MATCH('Scores per segment'!C$1,'Error Log'!$A$1:$J$1,0)))</f>
        <v>jack grealish is renowned for keeping his stockings just above the roll of his shinpads .
grealish says he 'll carry on that way after making his first premier league start on tuesday night .
grealish was pleased to have finally made his first premier league start for villa .</v>
      </c>
      <c r="D122" s="70">
        <f>IF(H122=0,wdct(TRIM(C122)),0)</f>
        <v>47</v>
      </c>
      <c r="E122" s="70">
        <f>COUNTIFS('Error Log'!$A:$A,$A122,'Error Log'!$J:$J,E$1)</f>
        <v>1</v>
      </c>
      <c r="F122" s="70">
        <f>COUNTIFS('Error Log'!$A:$A,$A122,'Error Log'!$J:$J,F$1)</f>
        <v>1</v>
      </c>
      <c r="G122" s="70">
        <f>COUNTIFS('Error Log'!$A:$A,$A122,'Error Log'!$J:$J,G$1)</f>
        <v>0</v>
      </c>
      <c r="H122" s="70">
        <f>COUNTIFS('Error Log'!$A:$A,$A122,'Error Log'!$F:$F,"Source")</f>
        <v>0</v>
      </c>
      <c r="I122" s="70">
        <f>COUNTIFS('Error Log'!$A:$A,$A122,'Error Log'!$F:$F,"Target")</f>
        <v>0</v>
      </c>
      <c r="J122" s="71">
        <f t="shared" si="1"/>
        <v>84.042553191489361</v>
      </c>
    </row>
    <row r="123" spans="1:10">
      <c r="A123" s="119" t="s">
        <v>993</v>
      </c>
      <c r="B123" s="70" t="str">
        <f>IF(ISBLANK(A123),"",INDEX('Error Log'!$A:$J,MATCH('Scores per segment'!$A123,'Error Log'!$A:$A,0),MATCH('Scores per segment'!B$1,'Error Log'!$A$1:$J$1,0)))</f>
        <v>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v>
      </c>
      <c r="C123" s="70" t="str">
        <f>IF(ISBLANK(A123),"",INDEX('Error Log'!$A:$J,MATCH('Scores per segment'!$A123,'Error Log'!$A:$A,0),MATCH('Scores per segment'!C$1,'Error Log'!$A$1:$J$1,0)))</f>
        <v>elena curtin of portland was seven-months pregnant when she was charged with second-degree assault after she struck her boyfriend 's ex in the head and arm with a crowbar in november 2014 .
elena curtin of portland , oregon , was seven-months pregnant when she was charged with second-degree assault after she struck her boyfriend 's ex in the head and arm with a crowbar in november 2014
curtin was charged after coming home and finding her boyfriend 's ex-girlfriend shooting heroin in her bathroom</v>
      </c>
      <c r="D123" s="70">
        <f>IF(H123=0,wdct(TRIM(C123)),0)</f>
        <v>82</v>
      </c>
      <c r="E123" s="70">
        <f>COUNTIFS('Error Log'!$A:$A,$A123,'Error Log'!$J:$J,E$1)</f>
        <v>1</v>
      </c>
      <c r="F123" s="70">
        <f>COUNTIFS('Error Log'!$A:$A,$A123,'Error Log'!$J:$J,F$1)</f>
        <v>1</v>
      </c>
      <c r="G123" s="70">
        <f>COUNTIFS('Error Log'!$A:$A,$A123,'Error Log'!$J:$J,G$1)</f>
        <v>0</v>
      </c>
      <c r="H123" s="70">
        <f>COUNTIFS('Error Log'!$A:$A,$A123,'Error Log'!$F:$F,"Source")</f>
        <v>0</v>
      </c>
      <c r="I123" s="70">
        <f>COUNTIFS('Error Log'!$A:$A,$A123,'Error Log'!$F:$F,"Target")</f>
        <v>0</v>
      </c>
      <c r="J123" s="71">
        <f t="shared" si="1"/>
        <v>90.853658536585371</v>
      </c>
    </row>
    <row r="124" spans="1:10">
      <c r="A124" s="111" t="s">
        <v>994</v>
      </c>
      <c r="B124" s="70" t="str">
        <f>IF(ISBLANK(A124),"",INDEX('Error Log'!$A:$J,MATCH('Scores per segment'!$A124,'Error Log'!$A:$A,0),MATCH('Scores per segment'!B$1,'Error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v>
      </c>
      <c r="C124" s="70" t="str">
        <f>IF(ISBLANK(A124),"",INDEX('Error Log'!$A:$J,MATCH('Scores per segment'!$A124,'Error Log'!$A:$A,0),MATCH('Scores per segment'!C$1,'Error Log'!$A$1:$J$1,0)))</f>
        <v>the blast occurred at an oil storage facility monday night after an oil leak .
the plant , located in zhangzhou city , produces paraxylene ( px ) .
local media has not reported any toxic chemical spill .</v>
      </c>
      <c r="D124" s="70">
        <f>IF(H124=0,wdct(TRIM(C124)),0)</f>
        <v>32</v>
      </c>
      <c r="E124" s="70">
        <f>COUNTIFS('Error Log'!$A:$A,$A124,'Error Log'!$J:$J,E$1)</f>
        <v>2</v>
      </c>
      <c r="F124" s="70">
        <f>COUNTIFS('Error Log'!$A:$A,$A124,'Error Log'!$J:$J,F$1)</f>
        <v>2</v>
      </c>
      <c r="G124" s="70">
        <f>COUNTIFS('Error Log'!$A:$A,$A124,'Error Log'!$J:$J,G$1)</f>
        <v>0</v>
      </c>
      <c r="H124" s="70">
        <f>COUNTIFS('Error Log'!$A:$A,$A124,'Error Log'!$F:$F,"Source")</f>
        <v>0</v>
      </c>
      <c r="I124" s="70">
        <f>COUNTIFS('Error Log'!$A:$A,$A124,'Error Log'!$F:$F,"Target")</f>
        <v>0</v>
      </c>
      <c r="J124" s="71">
        <f t="shared" si="1"/>
        <v>53.125</v>
      </c>
    </row>
    <row r="125" spans="1:10">
      <c r="A125" s="111" t="s">
        <v>995</v>
      </c>
      <c r="B125" s="70" t="str">
        <f>IF(ISBLANK(A125),"",INDEX('Error Log'!$A:$J,MATCH('Scores per segment'!$A125,'Error Log'!$A:$A,0),MATCH('Scores per segment'!B$1,'Error Log'!$A$1:$J$1,0)))</f>
        <v>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v>
      </c>
      <c r="C125" s="70" t="str">
        <f>IF(ISBLANK(A125),"",INDEX('Error Log'!$A:$J,MATCH('Scores per segment'!$A125,'Error Log'!$A:$A,0),MATCH('Scores per segment'!C$1,'Error Log'!$A$1:$J$1,0)))</f>
        <v>gemma the pit bull was filmed at home in california being fed some treats .
but in a bid to trick her , her owner throws a broccoli spear into the mix .
she then proceeds to spit it out on the floor .</v>
      </c>
      <c r="D125" s="70">
        <f>IF(H125=0,wdct(TRIM(C125)),0)</f>
        <v>40</v>
      </c>
      <c r="E125" s="70">
        <f>COUNTIFS('Error Log'!$A:$A,$A125,'Error Log'!$J:$J,E$1)</f>
        <v>0</v>
      </c>
      <c r="F125" s="70">
        <f>COUNTIFS('Error Log'!$A:$A,$A125,'Error Log'!$J:$J,F$1)</f>
        <v>0</v>
      </c>
      <c r="G125" s="70">
        <f>COUNTIFS('Error Log'!$A:$A,$A125,'Error Log'!$J:$J,G$1)</f>
        <v>0</v>
      </c>
      <c r="H125" s="70">
        <f>COUNTIFS('Error Log'!$A:$A,$A125,'Error Log'!$F:$F,"Source")</f>
        <v>0</v>
      </c>
      <c r="I125" s="70">
        <f>COUNTIFS('Error Log'!$A:$A,$A125,'Error Log'!$F:$F,"Target")</f>
        <v>0</v>
      </c>
      <c r="J125" s="71">
        <f t="shared" si="1"/>
        <v>100</v>
      </c>
    </row>
    <row r="126" spans="1:10">
      <c r="A126" s="111" t="s">
        <v>996</v>
      </c>
      <c r="B126" s="70" t="str">
        <f>IF(ISBLANK(A126),"",INDEX('Error Log'!$A:$J,MATCH('Scores per segment'!$A126,'Error Log'!$A:$A,0),MATCH('Scores per segment'!B$1,'Error Log'!$A$1:$J$1,0)))</f>
        <v>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v>
      </c>
      <c r="C126" s="70" t="str">
        <f>IF(ISBLANK(A126),"",INDEX('Error Log'!$A:$J,MATCH('Scores per segment'!$A126,'Error Log'!$A:$A,0),MATCH('Scores per segment'!C$1,'Error Log'!$A$1:$J$1,0)))</f>
        <v>witness robert kushner lost his varsity coaching job at a private academy .
he told jurors tuesday that some of the undercover officers on trial had stolen $ 81,000 in cash and 7 pounds of marijuana from him during a 2007 arrest .
kushner had passed a background check when he was arrested again in 2011 and sentenced to four years of probation .</v>
      </c>
      <c r="D126" s="70">
        <f>IF(H126=0,wdct(TRIM(C126)),0)</f>
        <v>60</v>
      </c>
      <c r="E126" s="70">
        <f>COUNTIFS('Error Log'!$A:$A,$A126,'Error Log'!$J:$J,E$1)</f>
        <v>2</v>
      </c>
      <c r="F126" s="70">
        <f>COUNTIFS('Error Log'!$A:$A,$A126,'Error Log'!$J:$J,F$1)</f>
        <v>2</v>
      </c>
      <c r="G126" s="70">
        <f>COUNTIFS('Error Log'!$A:$A,$A126,'Error Log'!$J:$J,G$1)</f>
        <v>0</v>
      </c>
      <c r="H126" s="70">
        <f>COUNTIFS('Error Log'!$A:$A,$A126,'Error Log'!$F:$F,"Source")</f>
        <v>0</v>
      </c>
      <c r="I126" s="70">
        <f>COUNTIFS('Error Log'!$A:$A,$A126,'Error Log'!$F:$F,"Target")</f>
        <v>0</v>
      </c>
      <c r="J126" s="71">
        <f t="shared" si="1"/>
        <v>75</v>
      </c>
    </row>
    <row r="127" spans="1:10">
      <c r="A127" s="111" t="s">
        <v>997</v>
      </c>
      <c r="B127" s="70" t="str">
        <f>IF(ISBLANK(A127),"",INDEX('Error Log'!$A:$J,MATCH('Scores per segment'!$A127,'Error Log'!$A:$A,0),MATCH('Scores per segment'!B$1,'Error Log'!$A$1:$J$1,0)))</f>
        <v>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v>
      </c>
      <c r="C127" s="70" t="str">
        <f>IF(ISBLANK(A127),"",INDEX('Error Log'!$A:$J,MATCH('Scores per segment'!$A127,'Error Log'!$A:$A,0),MATCH('Scores per segment'!C$1,'Error Log'!$A$1:$J$1,0)))</f>
        <v>hsbc has apologised after a link on its official website .
the porn site took over the address after the awards were scrapped in 2011 and the organisers allowed its registration on hsbc.com.hk to retire .
hsbc yesterday removed the hyperlink from its main website after realising its embarrassing mistake .</v>
      </c>
      <c r="D127" s="70">
        <f>IF(H127=0,wdct(TRIM(C127)),0)</f>
        <v>50</v>
      </c>
      <c r="E127" s="70">
        <f>COUNTIFS('Error Log'!$A:$A,$A127,'Error Log'!$J:$J,E$1)</f>
        <v>3</v>
      </c>
      <c r="F127" s="70">
        <f>COUNTIFS('Error Log'!$A:$A,$A127,'Error Log'!$J:$J,F$1)</f>
        <v>1</v>
      </c>
      <c r="G127" s="70">
        <f>COUNTIFS('Error Log'!$A:$A,$A127,'Error Log'!$J:$J,G$1)</f>
        <v>0</v>
      </c>
      <c r="H127" s="70">
        <f>COUNTIFS('Error Log'!$A:$A,$A127,'Error Log'!$F:$F,"Source")</f>
        <v>0</v>
      </c>
      <c r="I127" s="70">
        <f>COUNTIFS('Error Log'!$A:$A,$A127,'Error Log'!$F:$F,"Target")</f>
        <v>0</v>
      </c>
      <c r="J127" s="71">
        <f t="shared" si="1"/>
        <v>65</v>
      </c>
    </row>
    <row r="128" spans="1:10">
      <c r="A128" s="111" t="s">
        <v>998</v>
      </c>
      <c r="B128" s="70" t="str">
        <f>IF(ISBLANK(A128),"",INDEX('Error Log'!$A:$J,MATCH('Scores per segment'!$A128,'Error Log'!$A:$A,0),MATCH('Scores per segment'!B$1,'Error Log'!$A$1:$J$1,0)))</f>
        <v>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v>
      </c>
      <c r="C128" s="70" t="str">
        <f>IF(ISBLANK(A128),"",INDEX('Error Log'!$A:$J,MATCH('Scores per segment'!$A128,'Error Log'!$A:$A,0),MATCH('Scores per segment'!C$1,'Error Log'!$A$1:$J$1,0)))</f>
        <v>california-based youtube user lionel hutz filmed his young son chasing the family feline around the garden in a bid to get some rest .
footage shows the cat licking his fur before his human friend comes along and plonks himself on top .</v>
      </c>
      <c r="D128" s="70">
        <f>IF(H128=0,wdct(TRIM(C128)),0)</f>
        <v>41</v>
      </c>
      <c r="E128" s="70">
        <f>COUNTIFS('Error Log'!$A:$A,$A128,'Error Log'!$J:$J,E$1)</f>
        <v>0</v>
      </c>
      <c r="F128" s="70">
        <f>COUNTIFS('Error Log'!$A:$A,$A128,'Error Log'!$J:$J,F$1)</f>
        <v>0</v>
      </c>
      <c r="G128" s="70">
        <f>COUNTIFS('Error Log'!$A:$A,$A128,'Error Log'!$J:$J,G$1)</f>
        <v>0</v>
      </c>
      <c r="H128" s="70">
        <f>COUNTIFS('Error Log'!$A:$A,$A128,'Error Log'!$F:$F,"Source")</f>
        <v>0</v>
      </c>
      <c r="I128" s="70">
        <f>COUNTIFS('Error Log'!$A:$A,$A128,'Error Log'!$F:$F,"Target")</f>
        <v>0</v>
      </c>
      <c r="J128" s="71">
        <f t="shared" si="1"/>
        <v>100</v>
      </c>
    </row>
    <row r="129" spans="1:10">
      <c r="A129" s="111" t="s">
        <v>999</v>
      </c>
      <c r="B129" s="70" t="str">
        <f>IF(ISBLANK(A129),"",INDEX('Error Log'!$A:$J,MATCH('Scores per segment'!$A129,'Error Log'!$A:$A,0),MATCH('Scores per segment'!B$1,'Error Log'!$A$1:$J$1,0)))</f>
        <v>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v>
      </c>
      <c r="C129" s="70" t="str">
        <f>IF(ISBLANK(A129),"",INDEX('Error Log'!$A:$J,MATCH('Scores per segment'!$A129,'Error Log'!$A:$A,0),MATCH('Scores per segment'!C$1,'Error Log'!$A$1:$J$1,0)))</f>
        <v>a 13-year-old maryland boy called 911 after a fire broke out on the first floor of his home in clinton .
the boy called 911 before 7am after he smelled smoke and told the dispatcher the siblings were trapped in the room because it was too hot to get out through the hallway .
prince george’s county firefighters were able to enter the room by going through the home and breaking a window , according to the washington post .</v>
      </c>
      <c r="D129" s="70">
        <f>IF(H129=0,wdct(TRIM(C129)),0)</f>
        <v>77</v>
      </c>
      <c r="E129" s="70">
        <f>COUNTIFS('Error Log'!$A:$A,$A129,'Error Log'!$J:$J,E$1)</f>
        <v>1</v>
      </c>
      <c r="F129" s="70">
        <f>COUNTIFS('Error Log'!$A:$A,$A129,'Error Log'!$J:$J,F$1)</f>
        <v>2</v>
      </c>
      <c r="G129" s="70">
        <f>COUNTIFS('Error Log'!$A:$A,$A129,'Error Log'!$J:$J,G$1)</f>
        <v>0</v>
      </c>
      <c r="H129" s="70">
        <f>COUNTIFS('Error Log'!$A:$A,$A129,'Error Log'!$F:$F,"Source")</f>
        <v>0</v>
      </c>
      <c r="I129" s="70">
        <f>COUNTIFS('Error Log'!$A:$A,$A129,'Error Log'!$F:$F,"Target")</f>
        <v>0</v>
      </c>
      <c r="J129" s="71">
        <f t="shared" si="1"/>
        <v>87.012987012987011</v>
      </c>
    </row>
    <row r="130" spans="1:10">
      <c r="A130" s="111" t="s">
        <v>1000</v>
      </c>
      <c r="B130" s="70" t="str">
        <f>IF(ISBLANK(A130),"",INDEX('Error Log'!$A:$J,MATCH('Scores per segment'!$A130,'Error Log'!$A:$A,0),MATCH('Scores per segment'!B$1,'Error Log'!$A$1:$J$1,0)))</f>
        <v>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v>
      </c>
      <c r="C130" s="70" t="str">
        <f>IF(ISBLANK(A130),"",INDEX('Error Log'!$A:$J,MATCH('Scores per segment'!$A130,'Error Log'!$A:$A,0),MATCH('Scores per segment'!C$1,'Error Log'!$A$1:$J$1,0)))</f>
        <v>mohammed abu khdeir 's name appeared this week on the wall at jerusalem 's mount herzl .
abu khdeir , 16 , was beaten and burned alive by three israelis in july .
almagor 's organization wrote a letter to the national insurance institute of israel .</v>
      </c>
      <c r="D130" s="70">
        <f>IF(H130=0,wdct(TRIM(C130)),0)</f>
        <v>42</v>
      </c>
      <c r="E130" s="70">
        <f>COUNTIFS('Error Log'!$A:$A,$A130,'Error Log'!$J:$J,E$1)</f>
        <v>1</v>
      </c>
      <c r="F130" s="70">
        <f>COUNTIFS('Error Log'!$A:$A,$A130,'Error Log'!$J:$J,F$1)</f>
        <v>1</v>
      </c>
      <c r="G130" s="70">
        <f>COUNTIFS('Error Log'!$A:$A,$A130,'Error Log'!$J:$J,G$1)</f>
        <v>0</v>
      </c>
      <c r="H130" s="70">
        <f>COUNTIFS('Error Log'!$A:$A,$A130,'Error Log'!$F:$F,"Source")</f>
        <v>0</v>
      </c>
      <c r="I130" s="70">
        <f>COUNTIFS('Error Log'!$A:$A,$A130,'Error Log'!$F:$F,"Target")</f>
        <v>0</v>
      </c>
      <c r="J130" s="71">
        <f t="shared" ref="J130:J193" si="2">IF(I130=0,IFERROR((((1-((E130*10+F130*5+G130*1)/D130))*100)+100)/2,0),-150)</f>
        <v>82.142857142857139</v>
      </c>
    </row>
    <row r="131" spans="1:10">
      <c r="A131" s="111" t="s">
        <v>1001</v>
      </c>
      <c r="B131" s="70" t="str">
        <f>IF(ISBLANK(A131),"",INDEX('Error Log'!$A:$J,MATCH('Scores per segment'!$A131,'Error Log'!$A:$A,0),MATCH('Scores per segment'!B$1,'Error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v>
      </c>
      <c r="C131" s="70" t="str">
        <f>IF(ISBLANK(A131),"",INDEX('Error Log'!$A:$J,MATCH('Scores per segment'!$A131,'Error Log'!$A:$A,0),MATCH('Scores per segment'!C$1,'Error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caused by millions of plankton omitting light .</v>
      </c>
      <c r="D131" s="70">
        <f>IF(H131=0,wdct(TRIM(C131)),0)</f>
        <v>55</v>
      </c>
      <c r="E131" s="70">
        <f>COUNTIFS('Error Log'!$A:$A,$A131,'Error Log'!$J:$J,E$1)</f>
        <v>2</v>
      </c>
      <c r="F131" s="70">
        <f>COUNTIFS('Error Log'!$A:$A,$A131,'Error Log'!$J:$J,F$1)</f>
        <v>1</v>
      </c>
      <c r="G131" s="70">
        <f>COUNTIFS('Error Log'!$A:$A,$A131,'Error Log'!$J:$J,G$1)</f>
        <v>0</v>
      </c>
      <c r="H131" s="70">
        <f>COUNTIFS('Error Log'!$A:$A,$A131,'Error Log'!$F:$F,"Source")</f>
        <v>0</v>
      </c>
      <c r="I131" s="70">
        <f>COUNTIFS('Error Log'!$A:$A,$A131,'Error Log'!$F:$F,"Target")</f>
        <v>0</v>
      </c>
      <c r="J131" s="71">
        <f t="shared" si="2"/>
        <v>77.272727272727266</v>
      </c>
    </row>
    <row r="132" spans="1:10">
      <c r="A132" s="111" t="s">
        <v>1002</v>
      </c>
      <c r="B132" s="70" t="str">
        <f>IF(ISBLANK(A132),"",INDEX('Error Log'!$A:$J,MATCH('Scores per segment'!$A132,'Error Log'!$A:$A,0),MATCH('Scores per segment'!B$1,'Error Log'!$A$1:$J$1,0)))</f>
        <v>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v>
      </c>
      <c r="C132" s="70" t="str">
        <f>IF(ISBLANK(A132),"",INDEX('Error Log'!$A:$J,MATCH('Scores per segment'!$A132,'Error Log'!$A:$A,0),MATCH('Scores per segment'!C$1,'Error Log'!$A$1:$J$1,0)))</f>
        <v>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khan had come under increasing pressure to take on british rival and ibf welterweight champion chris algieri on may 30 .</v>
      </c>
      <c r="D132" s="70">
        <f>IF(H132=0,wdct(TRIM(C132)),0)</f>
        <v>70</v>
      </c>
      <c r="E132" s="70">
        <f>COUNTIFS('Error Log'!$A:$A,$A132,'Error Log'!$J:$J,E$1)</f>
        <v>1</v>
      </c>
      <c r="F132" s="70">
        <f>COUNTIFS('Error Log'!$A:$A,$A132,'Error Log'!$J:$J,F$1)</f>
        <v>0</v>
      </c>
      <c r="G132" s="70">
        <f>COUNTIFS('Error Log'!$A:$A,$A132,'Error Log'!$J:$J,G$1)</f>
        <v>0</v>
      </c>
      <c r="H132" s="70">
        <f>COUNTIFS('Error Log'!$A:$A,$A132,'Error Log'!$F:$F,"Source")</f>
        <v>0</v>
      </c>
      <c r="I132" s="70">
        <f>COUNTIFS('Error Log'!$A:$A,$A132,'Error Log'!$F:$F,"Target")</f>
        <v>0</v>
      </c>
      <c r="J132" s="71">
        <f t="shared" si="2"/>
        <v>92.857142857142861</v>
      </c>
    </row>
    <row r="133" spans="1:10">
      <c r="A133" s="111" t="s">
        <v>1003</v>
      </c>
      <c r="B133" s="70" t="str">
        <f>IF(ISBLANK(A133),"",INDEX('Error Log'!$A:$J,MATCH('Scores per segment'!$A133,'Error Log'!$A:$A,0),MATCH('Scores per segment'!B$1,'Error Log'!$A$1:$J$1,0)))</f>
        <v>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v>
      </c>
      <c r="C133" s="70" t="str">
        <f>IF(ISBLANK(A133),"",INDEX('Error Log'!$A:$J,MATCH('Scores per segment'!$A133,'Error Log'!$A:$A,0),MATCH('Scores per segment'!C$1,'Error Log'!$A$1:$J$1,0)))</f>
        <v>breast cancer patients may be spared chemotherapy thanks to new tests that pinpoint genetic ' markers ' .
after surgery , the cancer cells are sent to a lab where they are screened .
women can be told within days whether they have a high or low risk of the disease returning .</v>
      </c>
      <c r="D133" s="70">
        <f>IF(H133=0,wdct(TRIM(C133)),0)</f>
        <v>47</v>
      </c>
      <c r="E133" s="70">
        <f>COUNTIFS('Error Log'!$A:$A,$A133,'Error Log'!$J:$J,E$1)</f>
        <v>1</v>
      </c>
      <c r="F133" s="70">
        <f>COUNTIFS('Error Log'!$A:$A,$A133,'Error Log'!$J:$J,F$1)</f>
        <v>1</v>
      </c>
      <c r="G133" s="70">
        <f>COUNTIFS('Error Log'!$A:$A,$A133,'Error Log'!$J:$J,G$1)</f>
        <v>0</v>
      </c>
      <c r="H133" s="70">
        <f>COUNTIFS('Error Log'!$A:$A,$A133,'Error Log'!$F:$F,"Source")</f>
        <v>0</v>
      </c>
      <c r="I133" s="70">
        <f>COUNTIFS('Error Log'!$A:$A,$A133,'Error Log'!$F:$F,"Target")</f>
        <v>0</v>
      </c>
      <c r="J133" s="71">
        <f t="shared" si="2"/>
        <v>84.042553191489361</v>
      </c>
    </row>
    <row r="134" spans="1:10">
      <c r="A134" s="111" t="s">
        <v>1004</v>
      </c>
      <c r="B134" s="70" t="str">
        <f>IF(ISBLANK(A134),"",INDEX('Error Log'!$A:$J,MATCH('Scores per segment'!$A134,'Error Log'!$A:$A,0),MATCH('Scores per segment'!B$1,'Error Log'!$A$1:$J$1,0)))</f>
        <v>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v>
      </c>
      <c r="C134" s="70" t="str">
        <f>IF(ISBLANK(A134),"",INDEX('Error Log'!$A:$J,MATCH('Scores per segment'!$A134,'Error Log'!$A:$A,0),MATCH('Scores per segment'!C$1,'Error Log'!$A$1:$J$1,0)))</f>
        <v>bondi 's icebergs club pool was drained on thursday to create a unique catwalk for mercedes-benz fashion week australia .
the label had no trouble securing the show-stopping location .
ten pieces is headed up by icebergs restaurateur maurice terzini and his partner lucy hinckfuss .</v>
      </c>
      <c r="D134" s="70">
        <f>IF(H134=0,wdct(TRIM(C134)),0)</f>
        <v>43</v>
      </c>
      <c r="E134" s="70">
        <f>COUNTIFS('Error Log'!$A:$A,$A134,'Error Log'!$J:$J,E$1)</f>
        <v>1</v>
      </c>
      <c r="F134" s="70">
        <f>COUNTIFS('Error Log'!$A:$A,$A134,'Error Log'!$J:$J,F$1)</f>
        <v>0</v>
      </c>
      <c r="G134" s="70">
        <f>COUNTIFS('Error Log'!$A:$A,$A134,'Error Log'!$J:$J,G$1)</f>
        <v>0</v>
      </c>
      <c r="H134" s="70">
        <f>COUNTIFS('Error Log'!$A:$A,$A134,'Error Log'!$F:$F,"Source")</f>
        <v>0</v>
      </c>
      <c r="I134" s="70">
        <f>COUNTIFS('Error Log'!$A:$A,$A134,'Error Log'!$F:$F,"Target")</f>
        <v>0</v>
      </c>
      <c r="J134" s="71">
        <f t="shared" si="2"/>
        <v>88.372093023255815</v>
      </c>
    </row>
    <row r="135" spans="1:10">
      <c r="A135" s="111" t="s">
        <v>1005</v>
      </c>
      <c r="B135" s="70" t="str">
        <f>IF(ISBLANK(A135),"",INDEX('Error Log'!$A:$J,MATCH('Scores per segment'!$A135,'Error Log'!$A:$A,0),MATCH('Scores per segment'!B$1,'Error Log'!$A$1:$J$1,0)))</f>
        <v>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v>
      </c>
      <c r="C135" s="70" t="str">
        <f>IF(ISBLANK(A135),"",INDEX('Error Log'!$A:$J,MATCH('Scores per segment'!$A135,'Error Log'!$A:$A,0),MATCH('Scores per segment'!C$1,'Error Log'!$A$1:$J$1,0)))</f>
        <v>more than 25 women have been airlifted from royal navy ships because of pregnancy .
at least one woman was airlifted from hms illustrious , which was nicknamed ' hms lusty ' by the crew before it was decommissioned last year .
eighteen other ships - including hms enterprise and hms richmond - had emergency evacuations .</v>
      </c>
      <c r="D135" s="70">
        <f>IF(H135=0,wdct(TRIM(C135)),0)</f>
        <v>49</v>
      </c>
      <c r="E135" s="70">
        <f>COUNTIFS('Error Log'!$A:$A,$A135,'Error Log'!$J:$J,E$1)</f>
        <v>2</v>
      </c>
      <c r="F135" s="70">
        <f>COUNTIFS('Error Log'!$A:$A,$A135,'Error Log'!$J:$J,F$1)</f>
        <v>2</v>
      </c>
      <c r="G135" s="70">
        <f>COUNTIFS('Error Log'!$A:$A,$A135,'Error Log'!$J:$J,G$1)</f>
        <v>0</v>
      </c>
      <c r="H135" s="70">
        <f>COUNTIFS('Error Log'!$A:$A,$A135,'Error Log'!$F:$F,"Source")</f>
        <v>0</v>
      </c>
      <c r="I135" s="70">
        <f>COUNTIFS('Error Log'!$A:$A,$A135,'Error Log'!$F:$F,"Target")</f>
        <v>0</v>
      </c>
      <c r="J135" s="71">
        <f t="shared" si="2"/>
        <v>69.387755102040813</v>
      </c>
    </row>
    <row r="136" spans="1:10">
      <c r="A136" s="111" t="s">
        <v>1006</v>
      </c>
      <c r="B136" s="70" t="str">
        <f>IF(ISBLANK(A136),"",INDEX('Error Log'!$A:$J,MATCH('Scores per segment'!$A136,'Error Log'!$A:$A,0),MATCH('Scores per segment'!B$1,'Error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v>
      </c>
      <c r="C136" s="70" t="str">
        <f>IF(ISBLANK(A136),"",INDEX('Error Log'!$A:$J,MATCH('Scores per segment'!$A136,'Error Log'!$A:$A,0),MATCH('Scores per segment'!C$1,'Error Log'!$A$1:$J$1,0)))</f>
        <v>tom o’carroll , a leading member of the notorious paedophile information exchange , has joined the supporters of the media pressure group hacked off .
the organisation , set up in the wake of the phone-hacking scandal , is campaigning against what it sees as the ‘ biased and unfair’ independent press standards organisation .
it wants mps to set up a statutory body to regulate the press , as recommended by the leveson inquiry .</v>
      </c>
      <c r="D136" s="70">
        <f>IF(H136=0,wdct(TRIM(C136)),0)</f>
        <v>68</v>
      </c>
      <c r="E136" s="70">
        <f>COUNTIFS('Error Log'!$A:$A,$A136,'Error Log'!$J:$J,E$1)</f>
        <v>3</v>
      </c>
      <c r="F136" s="70">
        <f>COUNTIFS('Error Log'!$A:$A,$A136,'Error Log'!$J:$J,F$1)</f>
        <v>2</v>
      </c>
      <c r="G136" s="70">
        <f>COUNTIFS('Error Log'!$A:$A,$A136,'Error Log'!$J:$J,G$1)</f>
        <v>0</v>
      </c>
      <c r="H136" s="70">
        <f>COUNTIFS('Error Log'!$A:$A,$A136,'Error Log'!$F:$F,"Source")</f>
        <v>0</v>
      </c>
      <c r="I136" s="70">
        <f>COUNTIFS('Error Log'!$A:$A,$A136,'Error Log'!$F:$F,"Target")</f>
        <v>0</v>
      </c>
      <c r="J136" s="71">
        <f t="shared" si="2"/>
        <v>70.588235294117652</v>
      </c>
    </row>
    <row r="137" spans="1:10">
      <c r="A137" s="111" t="s">
        <v>1007</v>
      </c>
      <c r="B137" s="70" t="str">
        <f>IF(ISBLANK(A137),"",INDEX('Error Log'!$A:$J,MATCH('Scores per segment'!$A137,'Error Log'!$A:$A,0),MATCH('Scores per segment'!B$1,'Error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v>
      </c>
      <c r="C137" s="70" t="str">
        <f>IF(ISBLANK(A137),"",INDEX('Error Log'!$A:$J,MATCH('Scores per segment'!$A137,'Error Log'!$A:$A,0),MATCH('Scores per segment'!C$1,'Error Log'!$A$1:$J$1,0)))</f>
        <v>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plant in kagoshima prefecture .</v>
      </c>
      <c r="D137" s="70">
        <f>IF(H137=0,wdct(TRIM(C137)),0)</f>
        <v>54</v>
      </c>
      <c r="E137" s="70">
        <f>COUNTIFS('Error Log'!$A:$A,$A137,'Error Log'!$J:$J,E$1)</f>
        <v>1</v>
      </c>
      <c r="F137" s="70">
        <f>COUNTIFS('Error Log'!$A:$A,$A137,'Error Log'!$J:$J,F$1)</f>
        <v>0</v>
      </c>
      <c r="G137" s="70">
        <f>COUNTIFS('Error Log'!$A:$A,$A137,'Error Log'!$J:$J,G$1)</f>
        <v>0</v>
      </c>
      <c r="H137" s="70">
        <f>COUNTIFS('Error Log'!$A:$A,$A137,'Error Log'!$F:$F,"Source")</f>
        <v>0</v>
      </c>
      <c r="I137" s="70">
        <f>COUNTIFS('Error Log'!$A:$A,$A137,'Error Log'!$F:$F,"Target")</f>
        <v>0</v>
      </c>
      <c r="J137" s="71">
        <f t="shared" si="2"/>
        <v>90.740740740740748</v>
      </c>
    </row>
    <row r="138" spans="1:10">
      <c r="A138" s="111" t="s">
        <v>1008</v>
      </c>
      <c r="B138" s="70" t="str">
        <f>IF(ISBLANK(A138),"",INDEX('Error Log'!$A:$J,MATCH('Scores per segment'!$A138,'Error Log'!$A:$A,0),MATCH('Scores per segment'!B$1,'Error Log'!$A$1:$J$1,0)))</f>
        <v>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v>
      </c>
      <c r="C138" s="70" t="str">
        <f>IF(ISBLANK(A138),"",INDEX('Error Log'!$A:$J,MATCH('Scores per segment'!$A138,'Error Log'!$A:$A,0),MATCH('Scores per segment'!C$1,'Error Log'!$A$1:$J$1,0)))</f>
        <v>five-year-old mai zizhuo has been shooting hoops since he was two and a half years old , reported the people 's daily online .
the five-year-old child is called mai zizhuo and he has been shanghai-born yao ming , who played for nba 's houston rockets from 2002 to 2011 .</v>
      </c>
      <c r="D138" s="70">
        <f>IF(H138=0,wdct(TRIM(C138)),0)</f>
        <v>47</v>
      </c>
      <c r="E138" s="70">
        <f>COUNTIFS('Error Log'!$A:$A,$A138,'Error Log'!$J:$J,E$1)</f>
        <v>3</v>
      </c>
      <c r="F138" s="70">
        <f>COUNTIFS('Error Log'!$A:$A,$A138,'Error Log'!$J:$J,F$1)</f>
        <v>2</v>
      </c>
      <c r="G138" s="70">
        <f>COUNTIFS('Error Log'!$A:$A,$A138,'Error Log'!$J:$J,G$1)</f>
        <v>0</v>
      </c>
      <c r="H138" s="70">
        <f>COUNTIFS('Error Log'!$A:$A,$A138,'Error Log'!$F:$F,"Source")</f>
        <v>0</v>
      </c>
      <c r="I138" s="70">
        <f>COUNTIFS('Error Log'!$A:$A,$A138,'Error Log'!$F:$F,"Target")</f>
        <v>0</v>
      </c>
      <c r="J138" s="71">
        <f t="shared" si="2"/>
        <v>57.446808510638299</v>
      </c>
    </row>
    <row r="139" spans="1:10">
      <c r="A139" s="111" t="s">
        <v>1009</v>
      </c>
      <c r="B139" s="70" t="str">
        <f>IF(ISBLANK(A139),"",INDEX('Error Log'!$A:$J,MATCH('Scores per segment'!$A139,'Error Log'!$A:$A,0),MATCH('Scores per segment'!B$1,'Error Log'!$A$1:$J$1,0)))</f>
        <v>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v>
      </c>
      <c r="C139" s="70" t="str">
        <f>IF(ISBLANK(A139),"",INDEX('Error Log'!$A:$J,MATCH('Scores per segment'!$A139,'Error Log'!$A:$A,0),MATCH('Scores per segment'!C$1,'Error Log'!$A$1:$J$1,0)))</f>
        <v>lu xincai , who lives in zhejiang province in eastern china , says he is scared his mother will get lost if he leaves her at home by herself because she suffers from the degenerative disease .
he ties a sash around both of their waists to make sure she does n't fall off .</v>
      </c>
      <c r="D139" s="70">
        <f>IF(H139=0,wdct(TRIM(C139)),0)</f>
        <v>51</v>
      </c>
      <c r="E139" s="70">
        <f>COUNTIFS('Error Log'!$A:$A,$A139,'Error Log'!$J:$J,E$1)</f>
        <v>3</v>
      </c>
      <c r="F139" s="70">
        <f>COUNTIFS('Error Log'!$A:$A,$A139,'Error Log'!$J:$J,F$1)</f>
        <v>0</v>
      </c>
      <c r="G139" s="70">
        <f>COUNTIFS('Error Log'!$A:$A,$A139,'Error Log'!$J:$J,G$1)</f>
        <v>0</v>
      </c>
      <c r="H139" s="70">
        <f>COUNTIFS('Error Log'!$A:$A,$A139,'Error Log'!$F:$F,"Source")</f>
        <v>0</v>
      </c>
      <c r="I139" s="70">
        <f>COUNTIFS('Error Log'!$A:$A,$A139,'Error Log'!$F:$F,"Target")</f>
        <v>0</v>
      </c>
      <c r="J139" s="71">
        <f t="shared" si="2"/>
        <v>70.588235294117652</v>
      </c>
    </row>
    <row r="140" spans="1:10">
      <c r="A140" s="107" t="s">
        <v>1010</v>
      </c>
      <c r="B140" s="70" t="str">
        <f>IF(ISBLANK(A140),"",INDEX('Error Log'!$A:$J,MATCH('Scores per segment'!$A140,'Error Log'!$A:$A,0),MATCH('Scores per segment'!B$1,'Error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v>
      </c>
      <c r="C140" s="70" t="str">
        <f>IF(ISBLANK(A140),"",INDEX('Error Log'!$A:$J,MATCH('Scores per segment'!$A140,'Error Log'!$A:$A,0),MATCH('Scores per segment'!C$1,'Error Log'!$A$1:$J$1,0)))</f>
        <v>jamar nicholson and his friends were hanging out in an alleyway in south l.a. before school on february 10 when two police officers working for the lapd 's criminal gang-homicide unit approached the boys with their guns drawn .
nicholson was shot in the back by officer miguel gutierrez and is in pain but he says he and his friends feel lucky to be alive .
nicholson was standing next to the unidentified teenager who was holding the replica of the gun .</v>
      </c>
      <c r="D140" s="70">
        <f>IF(H140=0,wdct(TRIM(C140)),0)</f>
        <v>81</v>
      </c>
      <c r="E140" s="70">
        <f>COUNTIFS('Error Log'!$A:$A,$A140,'Error Log'!$J:$J,E$1)</f>
        <v>2</v>
      </c>
      <c r="F140" s="70">
        <f>COUNTIFS('Error Log'!$A:$A,$A140,'Error Log'!$J:$J,F$1)</f>
        <v>3</v>
      </c>
      <c r="G140" s="70">
        <f>COUNTIFS('Error Log'!$A:$A,$A140,'Error Log'!$J:$J,G$1)</f>
        <v>0</v>
      </c>
      <c r="H140" s="70">
        <f>COUNTIFS('Error Log'!$A:$A,$A140,'Error Log'!$F:$F,"Source")</f>
        <v>0</v>
      </c>
      <c r="I140" s="70">
        <f>COUNTIFS('Error Log'!$A:$A,$A140,'Error Log'!$F:$F,"Target")</f>
        <v>0</v>
      </c>
      <c r="J140" s="71">
        <f t="shared" si="2"/>
        <v>78.395061728395063</v>
      </c>
    </row>
    <row r="141" spans="1:10" ht="15.6">
      <c r="A141" s="120" t="s">
        <v>1018</v>
      </c>
      <c r="B141" s="70" t="str">
        <f>IF(ISBLANK(A141),"",INDEX('Error Log'!$A:$J,MATCH('Scores per segment'!$A141,'Error Log'!$A:$A,0),MATCH('Scores per segment'!B$1,'Error Log'!$A$1:$J$1,0)))</f>
        <v>(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v>
      </c>
      <c r="C141" s="70" t="str">
        <f>IF(ISBLANK(A141),"",INDEX('Error Log'!$A:$J,MATCH('Scores per segment'!$A141,'Error Log'!$A:$A,0),MATCH('Scores per segment'!C$1,'Error Log'!$A$1:$J$1,0)))</f>
        <v>heavy drinking among americans rose 17.2 percent between 2005 and 2012 .
the centers for disease control and prevention defines heavy drinking as exceeding an average of one drink per day during the past month for women and two drinks .</v>
      </c>
      <c r="D141" s="70">
        <f>IF(H141=0,wdct(TRIM(C141)),0)</f>
        <v>39</v>
      </c>
      <c r="E141" s="70">
        <f>COUNTIFS('Error Log'!$A:$A,$A141,'Error Log'!$J:$J,E$1)</f>
        <v>2</v>
      </c>
      <c r="F141" s="70">
        <f>COUNTIFS('Error Log'!$A:$A,$A141,'Error Log'!$J:$J,F$1)</f>
        <v>1</v>
      </c>
      <c r="G141" s="70">
        <f>COUNTIFS('Error Log'!$A:$A,$A141,'Error Log'!$J:$J,G$1)</f>
        <v>0</v>
      </c>
      <c r="H141" s="70">
        <f>COUNTIFS('Error Log'!$A:$A,$A141,'Error Log'!$F:$F,"Source")</f>
        <v>0</v>
      </c>
      <c r="I141" s="70">
        <f>COUNTIFS('Error Log'!$A:$A,$A141,'Error Log'!$F:$F,"Target")</f>
        <v>0</v>
      </c>
      <c r="J141" s="71">
        <f t="shared" si="2"/>
        <v>67.948717948717942</v>
      </c>
    </row>
    <row r="142" spans="1:10">
      <c r="A142" s="111" t="s">
        <v>1024</v>
      </c>
      <c r="B142" s="70" t="str">
        <f>IF(ISBLANK(A142),"",INDEX('Error Log'!$A:$J,MATCH('Scores per segment'!$A142,'Error Log'!$A:$A,0),MATCH('Scores per segment'!B$1,'Error Log'!$A$1:$J$1,0)))</f>
        <v>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v>
      </c>
      <c r="C142" s="70" t="str">
        <f>IF(ISBLANK(A142),"",INDEX('Error Log'!$A:$J,MATCH('Scores per segment'!$A142,'Error Log'!$A:$A,0),MATCH('Scores per segment'!C$1,'Error Log'!$A$1:$J$1,0)))</f>
        <v>passenger filmed the driver on a bus in auckland , new zealand .
in the footage the driver can be seen flicking through pages of the newspaper while the bus is in motion .
ritchies boss andrew ritchie said he was embarrassed by the ' idiot ' driver 's actions .</v>
      </c>
      <c r="D142" s="70">
        <f>IF(H142=0,wdct(TRIM(C142)),0)</f>
        <v>45</v>
      </c>
      <c r="E142" s="70">
        <f>COUNTIFS('Error Log'!$A:$A,$A142,'Error Log'!$J:$J,E$1)</f>
        <v>0</v>
      </c>
      <c r="F142" s="70">
        <f>COUNTIFS('Error Log'!$A:$A,$A142,'Error Log'!$J:$J,F$1)</f>
        <v>0</v>
      </c>
      <c r="G142" s="70">
        <f>COUNTIFS('Error Log'!$A:$A,$A142,'Error Log'!$J:$J,G$1)</f>
        <v>0</v>
      </c>
      <c r="H142" s="70">
        <f>COUNTIFS('Error Log'!$A:$A,$A142,'Error Log'!$F:$F,"Source")</f>
        <v>0</v>
      </c>
      <c r="I142" s="70">
        <f>COUNTIFS('Error Log'!$A:$A,$A142,'Error Log'!$F:$F,"Target")</f>
        <v>0</v>
      </c>
      <c r="J142" s="71">
        <f t="shared" si="2"/>
        <v>100</v>
      </c>
    </row>
    <row r="143" spans="1:10">
      <c r="A143" s="121" t="s">
        <v>1027</v>
      </c>
      <c r="B143" s="70" t="str">
        <f>IF(ISBLANK(A143),"",INDEX('Error Log'!$A:$J,MATCH('Scores per segment'!$A143,'Error Log'!$A:$A,0),MATCH('Scores per segment'!B$1,'Error Log'!$A$1:$J$1,0)))</f>
        <v>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v>
      </c>
      <c r="C143" s="70" t="str">
        <f>IF(ISBLANK(A143),"",INDEX('Error Log'!$A:$J,MATCH('Scores per segment'!$A143,'Error Log'!$A:$A,0),MATCH('Scores per segment'!C$1,'Error Log'!$A$1:$J$1,0)))</f>
        <v>doctors are putting the health of women and their babies at risk by performing caesarean sections too readily .
un officials warn the procedure should only be carried out when ‘ medically necessary’ because it can lead to infections and even death .</v>
      </c>
      <c r="D143" s="70">
        <f>IF(H143=0,wdct(TRIM(C143)),0)</f>
        <v>40</v>
      </c>
      <c r="E143" s="70">
        <f>COUNTIFS('Error Log'!$A:$A,$A143,'Error Log'!$J:$J,E$1)</f>
        <v>1</v>
      </c>
      <c r="F143" s="70">
        <f>COUNTIFS('Error Log'!$A:$A,$A143,'Error Log'!$J:$J,F$1)</f>
        <v>0</v>
      </c>
      <c r="G143" s="70">
        <f>COUNTIFS('Error Log'!$A:$A,$A143,'Error Log'!$J:$J,G$1)</f>
        <v>0</v>
      </c>
      <c r="H143" s="70">
        <f>COUNTIFS('Error Log'!$A:$A,$A143,'Error Log'!$F:$F,"Source")</f>
        <v>0</v>
      </c>
      <c r="I143" s="70">
        <f>COUNTIFS('Error Log'!$A:$A,$A143,'Error Log'!$F:$F,"Target")</f>
        <v>0</v>
      </c>
      <c r="J143" s="71">
        <f t="shared" si="2"/>
        <v>87.5</v>
      </c>
    </row>
    <row r="144" spans="1:10">
      <c r="A144" s="121" t="s">
        <v>1031</v>
      </c>
      <c r="B144" s="70" t="str">
        <f>IF(ISBLANK(A144),"",INDEX('Error Log'!$A:$J,MATCH('Scores per segment'!$A144,'Error Log'!$A:$A,0),MATCH('Scores per segment'!B$1,'Error Log'!$A$1:$J$1,0)))</f>
        <v>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v>
      </c>
      <c r="C144" s="70" t="str">
        <f>IF(ISBLANK(A144),"",INDEX('Error Log'!$A:$J,MATCH('Scores per segment'!$A144,'Error Log'!$A:$A,0),MATCH('Scores per segment'!C$1,'Error Log'!$A$1:$J$1,0)))</f>
        <v>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couple 's daughter , ciera robarge , in court last month ) said her mom did not deserve this .</v>
      </c>
      <c r="D144" s="70">
        <f>IF(H144=0,wdct(TRIM(C144)),0)</f>
        <v>70</v>
      </c>
      <c r="E144" s="70">
        <f>COUNTIFS('Error Log'!$A:$A,$A144,'Error Log'!$J:$J,E$1)</f>
        <v>1</v>
      </c>
      <c r="F144" s="70">
        <f>COUNTIFS('Error Log'!$A:$A,$A144,'Error Log'!$J:$J,F$1)</f>
        <v>2</v>
      </c>
      <c r="G144" s="70">
        <f>COUNTIFS('Error Log'!$A:$A,$A144,'Error Log'!$J:$J,G$1)</f>
        <v>0</v>
      </c>
      <c r="H144" s="70">
        <f>COUNTIFS('Error Log'!$A:$A,$A144,'Error Log'!$F:$F,"Source")</f>
        <v>0</v>
      </c>
      <c r="I144" s="70">
        <f>COUNTIFS('Error Log'!$A:$A,$A144,'Error Log'!$F:$F,"Target")</f>
        <v>0</v>
      </c>
      <c r="J144" s="71">
        <f t="shared" si="2"/>
        <v>85.714285714285722</v>
      </c>
    </row>
    <row r="145" spans="1:10">
      <c r="A145" s="122" t="s">
        <v>1037</v>
      </c>
      <c r="B145" s="70" t="str">
        <f>IF(ISBLANK(A145),"",INDEX('Error Log'!$A:$J,MATCH('Scores per segment'!$A145,'Error Log'!$A:$A,0),MATCH('Scores per segment'!B$1,'Error Log'!$A$1:$J$1,0)))</f>
        <v>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v>
      </c>
      <c r="C145" s="70" t="str">
        <f>IF(ISBLANK(A145),"",INDEX('Error Log'!$A:$J,MATCH('Scores per segment'!$A145,'Error Log'!$A:$A,0),MATCH('Scores per segment'!C$1,'Error Log'!$A$1:$J$1,0)))</f>
        <v>michelle filkins , 44 , of west wareham has been charged with breaking and entering , larceny over $ 250 , and malicious destruction of property .
she was discovered at the court street property in edgartown by owner mark conklin on april 17 .
filkins was arrested on april 17 after owner mark conklin found her sitting in his summer home .</v>
      </c>
      <c r="D145" s="70">
        <f>IF(H145=0,wdct(TRIM(C145)),0)</f>
        <v>55</v>
      </c>
      <c r="E145" s="70">
        <f>COUNTIFS('Error Log'!$A:$A,$A145,'Error Log'!$J:$J,E$1)</f>
        <v>1</v>
      </c>
      <c r="F145" s="70">
        <f>COUNTIFS('Error Log'!$A:$A,$A145,'Error Log'!$J:$J,F$1)</f>
        <v>1</v>
      </c>
      <c r="G145" s="70">
        <f>COUNTIFS('Error Log'!$A:$A,$A145,'Error Log'!$J:$J,G$1)</f>
        <v>0</v>
      </c>
      <c r="H145" s="70">
        <f>COUNTIFS('Error Log'!$A:$A,$A145,'Error Log'!$F:$F,"Source")</f>
        <v>0</v>
      </c>
      <c r="I145" s="70">
        <f>COUNTIFS('Error Log'!$A:$A,$A145,'Error Log'!$F:$F,"Target")</f>
        <v>0</v>
      </c>
      <c r="J145" s="71">
        <f t="shared" si="2"/>
        <v>86.363636363636374</v>
      </c>
    </row>
    <row r="146" spans="1:10">
      <c r="A146" s="122" t="s">
        <v>1042</v>
      </c>
      <c r="B146" s="70" t="str">
        <f>IF(ISBLANK(A146),"",INDEX('Error Log'!$A:$J,MATCH('Scores per segment'!$A146,'Error Log'!$A:$A,0),MATCH('Scores per segment'!B$1,'Error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v>
      </c>
      <c r="C146" s="70" t="str">
        <f>IF(ISBLANK(A146),"",INDEX('Error Log'!$A:$J,MATCH('Scores per segment'!$A146,'Error Log'!$A:$A,0),MATCH('Scores per segment'!C$1,'Error Log'!$A$1:$J$1,0)))</f>
        <v>the drugs , whose value is estimated at more than $ 105 million , are the biggest cocaine seizure ever carried out by french authorities .
officers arrested one venezuelan and two spanish citizens who were on board the vessel .</v>
      </c>
      <c r="D146" s="70">
        <f>IF(H146=0,wdct(TRIM(C146)),0)</f>
        <v>36</v>
      </c>
      <c r="E146" s="70">
        <f>COUNTIFS('Error Log'!$A:$A,$A146,'Error Log'!$J:$J,E$1)</f>
        <v>1</v>
      </c>
      <c r="F146" s="70">
        <f>COUNTIFS('Error Log'!$A:$A,$A146,'Error Log'!$J:$J,F$1)</f>
        <v>0</v>
      </c>
      <c r="G146" s="70">
        <f>COUNTIFS('Error Log'!$A:$A,$A146,'Error Log'!$J:$J,G$1)</f>
        <v>0</v>
      </c>
      <c r="H146" s="70">
        <f>COUNTIFS('Error Log'!$A:$A,$A146,'Error Log'!$F:$F,"Source")</f>
        <v>0</v>
      </c>
      <c r="I146" s="70">
        <f>COUNTIFS('Error Log'!$A:$A,$A146,'Error Log'!$F:$F,"Target")</f>
        <v>0</v>
      </c>
      <c r="J146" s="71">
        <f t="shared" si="2"/>
        <v>86.111111111111114</v>
      </c>
    </row>
    <row r="147" spans="1:10">
      <c r="A147" s="122" t="s">
        <v>1046</v>
      </c>
      <c r="B147" s="70" t="str">
        <f>IF(ISBLANK(A147),"",INDEX('Error Log'!$A:$J,MATCH('Scores per segment'!$A147,'Error Log'!$A:$A,0),MATCH('Scores per segment'!B$1,'Error Log'!$A$1:$J$1,0)))</f>
        <v>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v>
      </c>
      <c r="C147" s="70" t="str">
        <f>IF(ISBLANK(A147),"",INDEX('Error Log'!$A:$J,MATCH('Scores per segment'!$A147,'Error Log'!$A:$A,0),MATCH('Scores per segment'!C$1,'Error Log'!$A$1:$J$1,0)))</f>
        <v>the phone , which belonged to bella crooke from melbourne , was handed in to albury police station on sunday morning .
police officers on duty realised the phone was unlocked and used it to post selfies and photos of the phone in various locations around the police station .
officers from albury police station on the nsw-victoria border posted selfies on a woman 's facebook page saying she could come and collect her phone after it was handed in on sunday morning .</v>
      </c>
      <c r="D147" s="70">
        <f>IF(H147=0,wdct(TRIM(C147)),0)</f>
        <v>79</v>
      </c>
      <c r="E147" s="70">
        <f>COUNTIFS('Error Log'!$A:$A,$A147,'Error Log'!$J:$J,E$1)</f>
        <v>1</v>
      </c>
      <c r="F147" s="70">
        <f>COUNTIFS('Error Log'!$A:$A,$A147,'Error Log'!$J:$J,F$1)</f>
        <v>1</v>
      </c>
      <c r="G147" s="70">
        <f>COUNTIFS('Error Log'!$A:$A,$A147,'Error Log'!$J:$J,G$1)</f>
        <v>0</v>
      </c>
      <c r="H147" s="70">
        <f>COUNTIFS('Error Log'!$A:$A,$A147,'Error Log'!$F:$F,"Source")</f>
        <v>0</v>
      </c>
      <c r="I147" s="70">
        <f>COUNTIFS('Error Log'!$A:$A,$A147,'Error Log'!$F:$F,"Target")</f>
        <v>0</v>
      </c>
      <c r="J147" s="71">
        <f t="shared" si="2"/>
        <v>90.506329113924053</v>
      </c>
    </row>
    <row r="148" spans="1:10">
      <c r="A148" s="122" t="s">
        <v>1051</v>
      </c>
      <c r="B148" s="70" t="str">
        <f>IF(ISBLANK(A148),"",INDEX('Error Log'!$A:$J,MATCH('Scores per segment'!$A148,'Error Log'!$A:$A,0),MATCH('Scores per segment'!B$1,'Error Log'!$A$1:$J$1,0)))</f>
        <v>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v>
      </c>
      <c r="C148" s="70" t="str">
        <f>IF(ISBLANK(A148),"",INDEX('Error Log'!$A:$J,MATCH('Scores per segment'!$A148,'Error Log'!$A:$A,0),MATCH('Scores per segment'!C$1,'Error Log'!$A$1:$J$1,0)))</f>
        <v>staff heard the baby crying in the ladies ' toilet at a chinese burger bar .
workers who found the baby , who was wrapped in a shirt , was still attached to the umbilical cord and placenta .
she was arrested after receiving medical attention and faces charges of neglect .</v>
      </c>
      <c r="D148" s="70">
        <f>IF(H148=0,wdct(TRIM(C148)),0)</f>
        <v>46</v>
      </c>
      <c r="E148" s="70">
        <f>COUNTIFS('Error Log'!$A:$A,$A148,'Error Log'!$J:$J,E$1)</f>
        <v>1</v>
      </c>
      <c r="F148" s="70">
        <f>COUNTIFS('Error Log'!$A:$A,$A148,'Error Log'!$J:$J,F$1)</f>
        <v>0</v>
      </c>
      <c r="G148" s="70">
        <f>COUNTIFS('Error Log'!$A:$A,$A148,'Error Log'!$J:$J,G$1)</f>
        <v>0</v>
      </c>
      <c r="H148" s="70">
        <f>COUNTIFS('Error Log'!$A:$A,$A148,'Error Log'!$F:$F,"Source")</f>
        <v>0</v>
      </c>
      <c r="I148" s="70">
        <f>COUNTIFS('Error Log'!$A:$A,$A148,'Error Log'!$F:$F,"Target")</f>
        <v>0</v>
      </c>
      <c r="J148" s="71">
        <f t="shared" si="2"/>
        <v>89.130434782608688</v>
      </c>
    </row>
    <row r="149" spans="1:10">
      <c r="A149" s="121" t="s">
        <v>1055</v>
      </c>
      <c r="B149" s="70" t="str">
        <f>IF(ISBLANK(A149),"",INDEX('Error Log'!$A:$J,MATCH('Scores per segment'!$A149,'Error Log'!$A:$A,0),MATCH('Scores per segment'!B$1,'Error Log'!$A$1:$J$1,0)))</f>
        <v>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v>
      </c>
      <c r="C149" s="70" t="str">
        <f>IF(ISBLANK(A149),"",INDEX('Error Log'!$A:$J,MATCH('Scores per segment'!$A149,'Error Log'!$A:$A,0),MATCH('Scores per segment'!C$1,'Error Log'!$A$1:$J$1,0)))</f>
        <v>a five-day old baby hippopotamus is lifted up into the air as it gets caught up in a deadly fight between two adults .
the calf 's mother watched in horror as the hippo was flung into the air before being dragged along the surface of the water in the isimangaliso wetland park , in eastern south africa .
her decision proved fatal for the baby when one of the brawling adults grabbed the calf between its jaws .</v>
      </c>
      <c r="D149" s="70">
        <f>IF(H149=0,wdct(TRIM(C149)),0)</f>
        <v>75</v>
      </c>
      <c r="E149" s="70">
        <f>COUNTIFS('Error Log'!$A:$A,$A149,'Error Log'!$J:$J,E$1)</f>
        <v>1</v>
      </c>
      <c r="F149" s="70">
        <f>COUNTIFS('Error Log'!$A:$A,$A149,'Error Log'!$J:$J,F$1)</f>
        <v>1</v>
      </c>
      <c r="G149" s="70">
        <f>COUNTIFS('Error Log'!$A:$A,$A149,'Error Log'!$J:$J,G$1)</f>
        <v>0</v>
      </c>
      <c r="H149" s="70">
        <f>COUNTIFS('Error Log'!$A:$A,$A149,'Error Log'!$F:$F,"Source")</f>
        <v>0</v>
      </c>
      <c r="I149" s="70">
        <f>COUNTIFS('Error Log'!$A:$A,$A149,'Error Log'!$F:$F,"Target")</f>
        <v>0</v>
      </c>
      <c r="J149" s="71">
        <f t="shared" si="2"/>
        <v>90</v>
      </c>
    </row>
    <row r="150" spans="1:10">
      <c r="A150" s="121" t="s">
        <v>1060</v>
      </c>
      <c r="B150" s="70" t="str">
        <f>IF(ISBLANK(A150),"",INDEX('Error Log'!$A:$J,MATCH('Scores per segment'!$A150,'Error Log'!$A:$A,0),MATCH('Scores per segment'!B$1,'Error Log'!$A$1:$J$1,0)))</f>
        <v>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v>
      </c>
      <c r="C150" s="70" t="str">
        <f>IF(ISBLANK(A150),"",INDEX('Error Log'!$A:$J,MATCH('Scores per segment'!$A150,'Error Log'!$A:$A,0),MATCH('Scores per segment'!C$1,'Error Log'!$A$1:$J$1,0)))</f>
        <v>ian rogers , 36 , became hooked on all things paranormal as a child and took part in his first ghost hunt in the year 2000 .
since then he has spent hundreds of pounds on the creepy collection ... and he 's on the hunt for more to add .
ian , who is single , became interested in the supernatural as a child and now is hooked on haunted dolls .</v>
      </c>
      <c r="D150" s="70">
        <f>IF(H150=0,wdct(TRIM(C150)),0)</f>
        <v>65</v>
      </c>
      <c r="E150" s="70">
        <f>COUNTIFS('Error Log'!$A:$A,$A150,'Error Log'!$J:$J,E$1)</f>
        <v>1</v>
      </c>
      <c r="F150" s="70">
        <f>COUNTIFS('Error Log'!$A:$A,$A150,'Error Log'!$J:$J,F$1)</f>
        <v>2</v>
      </c>
      <c r="G150" s="70">
        <f>COUNTIFS('Error Log'!$A:$A,$A150,'Error Log'!$J:$J,G$1)</f>
        <v>0</v>
      </c>
      <c r="H150" s="70">
        <f>COUNTIFS('Error Log'!$A:$A,$A150,'Error Log'!$F:$F,"Source")</f>
        <v>0</v>
      </c>
      <c r="I150" s="70">
        <f>COUNTIFS('Error Log'!$A:$A,$A150,'Error Log'!$F:$F,"Target")</f>
        <v>0</v>
      </c>
      <c r="J150" s="71">
        <f t="shared" si="2"/>
        <v>84.615384615384613</v>
      </c>
    </row>
    <row r="151" spans="1:10">
      <c r="A151" s="121" t="s">
        <v>1066</v>
      </c>
      <c r="B151" s="70" t="str">
        <f>IF(ISBLANK(A151),"",INDEX('Error Log'!$A:$J,MATCH('Scores per segment'!$A151,'Error Log'!$A:$A,0),MATCH('Scores per segment'!B$1,'Error Log'!$A$1:$J$1,0)))</f>
        <v>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v>
      </c>
      <c r="C151" s="70" t="str">
        <f>IF(ISBLANK(A151),"",INDEX('Error Log'!$A:$J,MATCH('Scores per segment'!$A151,'Error Log'!$A:$A,0),MATCH('Scores per segment'!C$1,'Error Log'!$A$1:$J$1,0)))</f>
        <v>the knightsbridge flat , london , is on sale for a fraction of the price of neighbouring homes .
the cost would work out at £191,000 per year , or £15,000 per month - which is around the going rate for renting a three-bedroom flat in the area .
the property is being sold by russell simpson for £575,000 - the same price as a three-bedroom house in stanmore , middlesex .</v>
      </c>
      <c r="D151" s="70">
        <f>IF(H151=0,wdct(TRIM(C151)),0)</f>
        <v>63</v>
      </c>
      <c r="E151" s="70">
        <f>COUNTIFS('Error Log'!$A:$A,$A151,'Error Log'!$J:$J,E$1)</f>
        <v>2</v>
      </c>
      <c r="F151" s="70">
        <f>COUNTIFS('Error Log'!$A:$A,$A151,'Error Log'!$J:$J,F$1)</f>
        <v>0</v>
      </c>
      <c r="G151" s="70">
        <f>COUNTIFS('Error Log'!$A:$A,$A151,'Error Log'!$J:$J,G$1)</f>
        <v>0</v>
      </c>
      <c r="H151" s="70">
        <f>COUNTIFS('Error Log'!$A:$A,$A151,'Error Log'!$F:$F,"Source")</f>
        <v>0</v>
      </c>
      <c r="I151" s="70">
        <f>COUNTIFS('Error Log'!$A:$A,$A151,'Error Log'!$F:$F,"Target")</f>
        <v>0</v>
      </c>
      <c r="J151" s="71">
        <f t="shared" si="2"/>
        <v>84.126984126984127</v>
      </c>
    </row>
    <row r="152" spans="1:10">
      <c r="A152" s="123"/>
      <c r="B152" s="70" t="str">
        <f>IF(ISBLANK(A152),"",INDEX('Error Log'!$A:$J,MATCH('Scores per segment'!$A152,'Error Log'!$A:$A,0),MATCH('Scores per segment'!B$1,'Error Log'!$A$1:$J$1,0)))</f>
        <v/>
      </c>
      <c r="C152" s="70" t="str">
        <f>IF(ISBLANK(A152),"",INDEX('Error Log'!$A:$J,MATCH('Scores per segment'!$A152,'Error Log'!$A:$A,0),MATCH('Scores per segment'!C$1,'Error Log'!$A$1:$J$1,0)))</f>
        <v/>
      </c>
      <c r="D152" s="70">
        <f>IF(H152=0,wdct(TRIM(C152)),0)</f>
        <v>0</v>
      </c>
      <c r="E152" s="70">
        <f>COUNTIFS('Error Log'!$A:$A,$A152,'Error Log'!$J:$J,E$1)</f>
        <v>0</v>
      </c>
      <c r="F152" s="70">
        <f>COUNTIFS('Error Log'!$A:$A,$A152,'Error Log'!$J:$J,F$1)</f>
        <v>0</v>
      </c>
      <c r="G152" s="70">
        <f>COUNTIFS('Error Log'!$A:$A,$A152,'Error Log'!$J:$J,G$1)</f>
        <v>0</v>
      </c>
      <c r="H152" s="70">
        <f>COUNTIFS('Error Log'!$A:$A,$A152,'Error Log'!$F:$F,"Source")</f>
        <v>0</v>
      </c>
      <c r="I152" s="70">
        <f>COUNTIFS('Error Log'!$A:$A,$A152,'Error Log'!$F:$F,"Target")</f>
        <v>0</v>
      </c>
      <c r="J152" s="71">
        <f t="shared" si="2"/>
        <v>0</v>
      </c>
    </row>
    <row r="153" spans="1:10">
      <c r="A153" s="123"/>
      <c r="B153" s="70" t="str">
        <f>IF(ISBLANK(A153),"",INDEX('Error Log'!$A:$J,MATCH('Scores per segment'!$A153,'Error Log'!$A:$A,0),MATCH('Scores per segment'!B$1,'Error Log'!$A$1:$J$1,0)))</f>
        <v/>
      </c>
      <c r="C153" s="70" t="str">
        <f>IF(ISBLANK(A153),"",INDEX('Error Log'!$A:$J,MATCH('Scores per segment'!$A153,'Error Log'!$A:$A,0),MATCH('Scores per segment'!C$1,'Error Log'!$A$1:$J$1,0)))</f>
        <v/>
      </c>
      <c r="D153" s="70">
        <f>IF(H153=0,wdct(TRIM(C153)),0)</f>
        <v>0</v>
      </c>
      <c r="E153" s="70">
        <f>COUNTIFS('Error Log'!$A:$A,$A153,'Error Log'!$J:$J,E$1)</f>
        <v>0</v>
      </c>
      <c r="F153" s="70">
        <f>COUNTIFS('Error Log'!$A:$A,$A153,'Error Log'!$J:$J,F$1)</f>
        <v>0</v>
      </c>
      <c r="G153" s="70">
        <f>COUNTIFS('Error Log'!$A:$A,$A153,'Error Log'!$J:$J,G$1)</f>
        <v>0</v>
      </c>
      <c r="H153" s="70">
        <f>COUNTIFS('Error Log'!$A:$A,$A153,'Error Log'!$F:$F,"Source")</f>
        <v>0</v>
      </c>
      <c r="I153" s="70">
        <f>COUNTIFS('Error Log'!$A:$A,$A153,'Error Log'!$F:$F,"Target")</f>
        <v>0</v>
      </c>
      <c r="J153" s="71">
        <f t="shared" si="2"/>
        <v>0</v>
      </c>
    </row>
    <row r="154" spans="1:10">
      <c r="A154" s="123"/>
      <c r="B154" s="70" t="str">
        <f>IF(ISBLANK(A154),"",INDEX('Error Log'!$A:$J,MATCH('Scores per segment'!$A154,'Error Log'!$A:$A,0),MATCH('Scores per segment'!B$1,'Error Log'!$A$1:$J$1,0)))</f>
        <v/>
      </c>
      <c r="C154" s="70" t="str">
        <f>IF(ISBLANK(A154),"",INDEX('Error Log'!$A:$J,MATCH('Scores per segment'!$A154,'Error Log'!$A:$A,0),MATCH('Scores per segment'!C$1,'Error Log'!$A$1:$J$1,0)))</f>
        <v/>
      </c>
      <c r="D154" s="70">
        <f>IF(H154=0,wdct(TRIM(C154)),0)</f>
        <v>0</v>
      </c>
      <c r="E154" s="70">
        <f>COUNTIFS('Error Log'!$A:$A,$A154,'Error Log'!$J:$J,E$1)</f>
        <v>0</v>
      </c>
      <c r="F154" s="70">
        <f>COUNTIFS('Error Log'!$A:$A,$A154,'Error Log'!$J:$J,F$1)</f>
        <v>0</v>
      </c>
      <c r="G154" s="70">
        <f>COUNTIFS('Error Log'!$A:$A,$A154,'Error Log'!$J:$J,G$1)</f>
        <v>0</v>
      </c>
      <c r="H154" s="70">
        <f>COUNTIFS('Error Log'!$A:$A,$A154,'Error Log'!$F:$F,"Source")</f>
        <v>0</v>
      </c>
      <c r="I154" s="70">
        <f>COUNTIFS('Error Log'!$A:$A,$A154,'Error Log'!$F:$F,"Target")</f>
        <v>0</v>
      </c>
      <c r="J154" s="71">
        <f t="shared" si="2"/>
        <v>0</v>
      </c>
    </row>
    <row r="155" spans="1:10">
      <c r="A155" s="123"/>
      <c r="B155" s="70" t="str">
        <f>IF(ISBLANK(A155),"",INDEX('Error Log'!$A:$J,MATCH('Scores per segment'!$A155,'Error Log'!$A:$A,0),MATCH('Scores per segment'!B$1,'Error Log'!$A$1:$J$1,0)))</f>
        <v/>
      </c>
      <c r="C155" s="70" t="str">
        <f>IF(ISBLANK(A155),"",INDEX('Error Log'!$A:$J,MATCH('Scores per segment'!$A155,'Error Log'!$A:$A,0),MATCH('Scores per segment'!C$1,'Error Log'!$A$1:$J$1,0)))</f>
        <v/>
      </c>
      <c r="D155" s="70">
        <f>IF(H155=0,wdct(TRIM(C155)),0)</f>
        <v>0</v>
      </c>
      <c r="E155" s="70">
        <f>COUNTIFS('Error Log'!$A:$A,$A155,'Error Log'!$J:$J,E$1)</f>
        <v>0</v>
      </c>
      <c r="F155" s="70">
        <f>COUNTIFS('Error Log'!$A:$A,$A155,'Error Log'!$J:$J,F$1)</f>
        <v>0</v>
      </c>
      <c r="G155" s="70">
        <f>COUNTIFS('Error Log'!$A:$A,$A155,'Error Log'!$J:$J,G$1)</f>
        <v>0</v>
      </c>
      <c r="H155" s="70">
        <f>COUNTIFS('Error Log'!$A:$A,$A155,'Error Log'!$F:$F,"Source")</f>
        <v>0</v>
      </c>
      <c r="I155" s="70">
        <f>COUNTIFS('Error Log'!$A:$A,$A155,'Error Log'!$F:$F,"Target")</f>
        <v>0</v>
      </c>
      <c r="J155" s="71">
        <f t="shared" si="2"/>
        <v>0</v>
      </c>
    </row>
    <row r="156" spans="1:10">
      <c r="A156" s="123"/>
      <c r="B156" s="70" t="str">
        <f>IF(ISBLANK(A156),"",INDEX('Error Log'!$A:$J,MATCH('Scores per segment'!$A156,'Error Log'!$A:$A,0),MATCH('Scores per segment'!B$1,'Error Log'!$A$1:$J$1,0)))</f>
        <v/>
      </c>
      <c r="C156" s="70" t="str">
        <f>IF(ISBLANK(A156),"",INDEX('Error Log'!$A:$J,MATCH('Scores per segment'!$A156,'Error Log'!$A:$A,0),MATCH('Scores per segment'!C$1,'Error Log'!$A$1:$J$1,0)))</f>
        <v/>
      </c>
      <c r="D156" s="70">
        <f>IF(H156=0,wdct(TRIM(C156)),0)</f>
        <v>0</v>
      </c>
      <c r="E156" s="70">
        <f>COUNTIFS('Error Log'!$A:$A,$A156,'Error Log'!$J:$J,E$1)</f>
        <v>0</v>
      </c>
      <c r="F156" s="70">
        <f>COUNTIFS('Error Log'!$A:$A,$A156,'Error Log'!$J:$J,F$1)</f>
        <v>0</v>
      </c>
      <c r="G156" s="70">
        <f>COUNTIFS('Error Log'!$A:$A,$A156,'Error Log'!$J:$J,G$1)</f>
        <v>0</v>
      </c>
      <c r="H156" s="70">
        <f>COUNTIFS('Error Log'!$A:$A,$A156,'Error Log'!$F:$F,"Source")</f>
        <v>0</v>
      </c>
      <c r="I156" s="70">
        <f>COUNTIFS('Error Log'!$A:$A,$A156,'Error Log'!$F:$F,"Target")</f>
        <v>0</v>
      </c>
      <c r="J156" s="71">
        <f t="shared" si="2"/>
        <v>0</v>
      </c>
    </row>
    <row r="157" spans="1:10">
      <c r="A157" s="123"/>
      <c r="B157" s="70" t="str">
        <f>IF(ISBLANK(A157),"",INDEX('Error Log'!$A:$J,MATCH('Scores per segment'!$A157,'Error Log'!$A:$A,0),MATCH('Scores per segment'!B$1,'Error Log'!$A$1:$J$1,0)))</f>
        <v/>
      </c>
      <c r="C157" s="70" t="str">
        <f>IF(ISBLANK(A157),"",INDEX('Error Log'!$A:$J,MATCH('Scores per segment'!$A157,'Error Log'!$A:$A,0),MATCH('Scores per segment'!C$1,'Error Log'!$A$1:$J$1,0)))</f>
        <v/>
      </c>
      <c r="D157" s="70">
        <f>IF(H157=0,wdct(TRIM(C157)),0)</f>
        <v>0</v>
      </c>
      <c r="E157" s="70">
        <f>COUNTIFS('Error Log'!$A:$A,$A157,'Error Log'!$J:$J,E$1)</f>
        <v>0</v>
      </c>
      <c r="F157" s="70">
        <f>COUNTIFS('Error Log'!$A:$A,$A157,'Error Log'!$J:$J,F$1)</f>
        <v>0</v>
      </c>
      <c r="G157" s="70">
        <f>COUNTIFS('Error Log'!$A:$A,$A157,'Error Log'!$J:$J,G$1)</f>
        <v>0</v>
      </c>
      <c r="H157" s="70">
        <f>COUNTIFS('Error Log'!$A:$A,$A157,'Error Log'!$F:$F,"Source")</f>
        <v>0</v>
      </c>
      <c r="I157" s="70">
        <f>COUNTIFS('Error Log'!$A:$A,$A157,'Error Log'!$F:$F,"Target")</f>
        <v>0</v>
      </c>
      <c r="J157" s="71">
        <f t="shared" si="2"/>
        <v>0</v>
      </c>
    </row>
    <row r="158" spans="1:10">
      <c r="A158" s="123"/>
      <c r="B158" s="70" t="str">
        <f>IF(ISBLANK(A158),"",INDEX('Error Log'!$A:$J,MATCH('Scores per segment'!$A158,'Error Log'!$A:$A,0),MATCH('Scores per segment'!B$1,'Error Log'!$A$1:$J$1,0)))</f>
        <v/>
      </c>
      <c r="C158" s="70" t="str">
        <f>IF(ISBLANK(A158),"",INDEX('Error Log'!$A:$J,MATCH('Scores per segment'!$A158,'Error Log'!$A:$A,0),MATCH('Scores per segment'!C$1,'Error Log'!$A$1:$J$1,0)))</f>
        <v/>
      </c>
      <c r="D158" s="70">
        <f>IF(H158=0,wdct(TRIM(C158)),0)</f>
        <v>0</v>
      </c>
      <c r="E158" s="70">
        <f>COUNTIFS('Error Log'!$A:$A,$A158,'Error Log'!$J:$J,E$1)</f>
        <v>0</v>
      </c>
      <c r="F158" s="70">
        <f>COUNTIFS('Error Log'!$A:$A,$A158,'Error Log'!$J:$J,F$1)</f>
        <v>0</v>
      </c>
      <c r="G158" s="70">
        <f>COUNTIFS('Error Log'!$A:$A,$A158,'Error Log'!$J:$J,G$1)</f>
        <v>0</v>
      </c>
      <c r="H158" s="70">
        <f>COUNTIFS('Error Log'!$A:$A,$A158,'Error Log'!$F:$F,"Source")</f>
        <v>0</v>
      </c>
      <c r="I158" s="70">
        <f>COUNTIFS('Error Log'!$A:$A,$A158,'Error Log'!$F:$F,"Target")</f>
        <v>0</v>
      </c>
      <c r="J158" s="71">
        <f t="shared" si="2"/>
        <v>0</v>
      </c>
    </row>
    <row r="159" spans="1:10">
      <c r="A159" s="123"/>
      <c r="B159" s="70" t="str">
        <f>IF(ISBLANK(A159),"",INDEX('Error Log'!$A:$J,MATCH('Scores per segment'!$A159,'Error Log'!$A:$A,0),MATCH('Scores per segment'!B$1,'Error Log'!$A$1:$J$1,0)))</f>
        <v/>
      </c>
      <c r="C159" s="70" t="str">
        <f>IF(ISBLANK(A159),"",INDEX('Error Log'!$A:$J,MATCH('Scores per segment'!$A159,'Error Log'!$A:$A,0),MATCH('Scores per segment'!C$1,'Error Log'!$A$1:$J$1,0)))</f>
        <v/>
      </c>
      <c r="D159" s="70">
        <f>IF(H159=0,wdct(TRIM(C159)),0)</f>
        <v>0</v>
      </c>
      <c r="E159" s="70">
        <f>COUNTIFS('Error Log'!$A:$A,$A159,'Error Log'!$J:$J,E$1)</f>
        <v>0</v>
      </c>
      <c r="F159" s="70">
        <f>COUNTIFS('Error Log'!$A:$A,$A159,'Error Log'!$J:$J,F$1)</f>
        <v>0</v>
      </c>
      <c r="G159" s="70">
        <f>COUNTIFS('Error Log'!$A:$A,$A159,'Error Log'!$J:$J,G$1)</f>
        <v>0</v>
      </c>
      <c r="H159" s="70">
        <f>COUNTIFS('Error Log'!$A:$A,$A159,'Error Log'!$F:$F,"Source")</f>
        <v>0</v>
      </c>
      <c r="I159" s="70">
        <f>COUNTIFS('Error Log'!$A:$A,$A159,'Error Log'!$F:$F,"Target")</f>
        <v>0</v>
      </c>
      <c r="J159" s="71">
        <f t="shared" si="2"/>
        <v>0</v>
      </c>
    </row>
    <row r="160" spans="1:10">
      <c r="A160" s="123"/>
      <c r="B160" s="70" t="str">
        <f>IF(ISBLANK(A160),"",INDEX('Error Log'!$A:$J,MATCH('Scores per segment'!$A160,'Error Log'!$A:$A,0),MATCH('Scores per segment'!B$1,'Error Log'!$A$1:$J$1,0)))</f>
        <v/>
      </c>
      <c r="C160" s="70" t="str">
        <f>IF(ISBLANK(A160),"",INDEX('Error Log'!$A:$J,MATCH('Scores per segment'!$A160,'Error Log'!$A:$A,0),MATCH('Scores per segment'!C$1,'Error Log'!$A$1:$J$1,0)))</f>
        <v/>
      </c>
      <c r="D160" s="70">
        <f>IF(H160=0,wdct(TRIM(C160)),0)</f>
        <v>0</v>
      </c>
      <c r="E160" s="70">
        <f>COUNTIFS('Error Log'!$A:$A,$A160,'Error Log'!$J:$J,E$1)</f>
        <v>0</v>
      </c>
      <c r="F160" s="70">
        <f>COUNTIFS('Error Log'!$A:$A,$A160,'Error Log'!$J:$J,F$1)</f>
        <v>0</v>
      </c>
      <c r="G160" s="70">
        <f>COUNTIFS('Error Log'!$A:$A,$A160,'Error Log'!$J:$J,G$1)</f>
        <v>0</v>
      </c>
      <c r="H160" s="70">
        <f>COUNTIFS('Error Log'!$A:$A,$A160,'Error Log'!$F:$F,"Source")</f>
        <v>0</v>
      </c>
      <c r="I160" s="70">
        <f>COUNTIFS('Error Log'!$A:$A,$A160,'Error Log'!$F:$F,"Target")</f>
        <v>0</v>
      </c>
      <c r="J160" s="71">
        <f t="shared" si="2"/>
        <v>0</v>
      </c>
    </row>
    <row r="161" spans="1:10">
      <c r="A161" s="123"/>
      <c r="B161" s="70" t="str">
        <f>IF(ISBLANK(A161),"",INDEX('Error Log'!$A:$J,MATCH('Scores per segment'!$A161,'Error Log'!$A:$A,0),MATCH('Scores per segment'!B$1,'Error Log'!$A$1:$J$1,0)))</f>
        <v/>
      </c>
      <c r="C161" s="70" t="str">
        <f>IF(ISBLANK(A161),"",INDEX('Error Log'!$A:$J,MATCH('Scores per segment'!$A161,'Error Log'!$A:$A,0),MATCH('Scores per segment'!C$1,'Error Log'!$A$1:$J$1,0)))</f>
        <v/>
      </c>
      <c r="D161" s="70">
        <f>IF(H161=0,wdct(TRIM(C161)),0)</f>
        <v>0</v>
      </c>
      <c r="E161" s="70">
        <f>COUNTIFS('Error Log'!$A:$A,$A161,'Error Log'!$J:$J,E$1)</f>
        <v>0</v>
      </c>
      <c r="F161" s="70">
        <f>COUNTIFS('Error Log'!$A:$A,$A161,'Error Log'!$J:$J,F$1)</f>
        <v>0</v>
      </c>
      <c r="G161" s="70">
        <f>COUNTIFS('Error Log'!$A:$A,$A161,'Error Log'!$J:$J,G$1)</f>
        <v>0</v>
      </c>
      <c r="H161" s="70">
        <f>COUNTIFS('Error Log'!$A:$A,$A161,'Error Log'!$F:$F,"Source")</f>
        <v>0</v>
      </c>
      <c r="I161" s="70">
        <f>COUNTIFS('Error Log'!$A:$A,$A161,'Error Log'!$F:$F,"Target")</f>
        <v>0</v>
      </c>
      <c r="J161" s="71">
        <f t="shared" si="2"/>
        <v>0</v>
      </c>
    </row>
    <row r="162" spans="1:10">
      <c r="A162" s="123"/>
      <c r="B162" s="70" t="str">
        <f>IF(ISBLANK(A162),"",INDEX('Error Log'!$A:$J,MATCH('Scores per segment'!$A162,'Error Log'!$A:$A,0),MATCH('Scores per segment'!B$1,'Error Log'!$A$1:$J$1,0)))</f>
        <v/>
      </c>
      <c r="C162" s="70" t="str">
        <f>IF(ISBLANK(A162),"",INDEX('Error Log'!$A:$J,MATCH('Scores per segment'!$A162,'Error Log'!$A:$A,0),MATCH('Scores per segment'!C$1,'Error Log'!$A$1:$J$1,0)))</f>
        <v/>
      </c>
      <c r="D162" s="70">
        <f>IF(H162=0,wdct(TRIM(C162)),0)</f>
        <v>0</v>
      </c>
      <c r="E162" s="70">
        <f>COUNTIFS('Error Log'!$A:$A,$A162,'Error Log'!$J:$J,E$1)</f>
        <v>0</v>
      </c>
      <c r="F162" s="70">
        <f>COUNTIFS('Error Log'!$A:$A,$A162,'Error Log'!$J:$J,F$1)</f>
        <v>0</v>
      </c>
      <c r="G162" s="70">
        <f>COUNTIFS('Error Log'!$A:$A,$A162,'Error Log'!$J:$J,G$1)</f>
        <v>0</v>
      </c>
      <c r="H162" s="70">
        <f>COUNTIFS('Error Log'!$A:$A,$A162,'Error Log'!$F:$F,"Source")</f>
        <v>0</v>
      </c>
      <c r="I162" s="70">
        <f>COUNTIFS('Error Log'!$A:$A,$A162,'Error Log'!$F:$F,"Target")</f>
        <v>0</v>
      </c>
      <c r="J162" s="71">
        <f t="shared" si="2"/>
        <v>0</v>
      </c>
    </row>
    <row r="163" spans="1:10">
      <c r="A163" s="123"/>
      <c r="B163" s="70" t="str">
        <f>IF(ISBLANK(A163),"",INDEX('Error Log'!$A:$J,MATCH('Scores per segment'!$A163,'Error Log'!$A:$A,0),MATCH('Scores per segment'!B$1,'Error Log'!$A$1:$J$1,0)))</f>
        <v/>
      </c>
      <c r="C163" s="70" t="str">
        <f>IF(ISBLANK(A163),"",INDEX('Error Log'!$A:$J,MATCH('Scores per segment'!$A163,'Error Log'!$A:$A,0),MATCH('Scores per segment'!C$1,'Error Log'!$A$1:$J$1,0)))</f>
        <v/>
      </c>
      <c r="D163" s="70">
        <f>IF(H163=0,wdct(TRIM(C163)),0)</f>
        <v>0</v>
      </c>
      <c r="E163" s="70">
        <f>COUNTIFS('Error Log'!$A:$A,$A163,'Error Log'!$J:$J,E$1)</f>
        <v>0</v>
      </c>
      <c r="F163" s="70">
        <f>COUNTIFS('Error Log'!$A:$A,$A163,'Error Log'!$J:$J,F$1)</f>
        <v>0</v>
      </c>
      <c r="G163" s="70">
        <f>COUNTIFS('Error Log'!$A:$A,$A163,'Error Log'!$J:$J,G$1)</f>
        <v>0</v>
      </c>
      <c r="H163" s="70">
        <f>COUNTIFS('Error Log'!$A:$A,$A163,'Error Log'!$F:$F,"Source")</f>
        <v>0</v>
      </c>
      <c r="I163" s="70">
        <f>COUNTIFS('Error Log'!$A:$A,$A163,'Error Log'!$F:$F,"Target")</f>
        <v>0</v>
      </c>
      <c r="J163" s="71">
        <f t="shared" si="2"/>
        <v>0</v>
      </c>
    </row>
    <row r="164" spans="1:10">
      <c r="A164" s="123"/>
      <c r="B164" s="70" t="str">
        <f>IF(ISBLANK(A164),"",INDEX('Error Log'!$A:$J,MATCH('Scores per segment'!$A164,'Error Log'!$A:$A,0),MATCH('Scores per segment'!B$1,'Error Log'!$A$1:$J$1,0)))</f>
        <v/>
      </c>
      <c r="C164" s="70" t="str">
        <f>IF(ISBLANK(A164),"",INDEX('Error Log'!$A:$J,MATCH('Scores per segment'!$A164,'Error Log'!$A:$A,0),MATCH('Scores per segment'!C$1,'Error Log'!$A$1:$J$1,0)))</f>
        <v/>
      </c>
      <c r="D164" s="70">
        <f>IF(H164=0,wdct(TRIM(C164)),0)</f>
        <v>0</v>
      </c>
      <c r="E164" s="70">
        <f>COUNTIFS('Error Log'!$A:$A,$A164,'Error Log'!$J:$J,E$1)</f>
        <v>0</v>
      </c>
      <c r="F164" s="70">
        <f>COUNTIFS('Error Log'!$A:$A,$A164,'Error Log'!$J:$J,F$1)</f>
        <v>0</v>
      </c>
      <c r="G164" s="70">
        <f>COUNTIFS('Error Log'!$A:$A,$A164,'Error Log'!$J:$J,G$1)</f>
        <v>0</v>
      </c>
      <c r="H164" s="70">
        <f>COUNTIFS('Error Log'!$A:$A,$A164,'Error Log'!$F:$F,"Source")</f>
        <v>0</v>
      </c>
      <c r="I164" s="70">
        <f>COUNTIFS('Error Log'!$A:$A,$A164,'Error Log'!$F:$F,"Target")</f>
        <v>0</v>
      </c>
      <c r="J164" s="71">
        <f t="shared" si="2"/>
        <v>0</v>
      </c>
    </row>
    <row r="165" spans="1:10">
      <c r="A165" s="123"/>
      <c r="B165" s="70" t="str">
        <f>IF(ISBLANK(A165),"",INDEX('Error Log'!$A:$J,MATCH('Scores per segment'!$A165,'Error Log'!$A:$A,0),MATCH('Scores per segment'!B$1,'Error Log'!$A$1:$J$1,0)))</f>
        <v/>
      </c>
      <c r="C165" s="70" t="str">
        <f>IF(ISBLANK(A165),"",INDEX('Error Log'!$A:$J,MATCH('Scores per segment'!$A165,'Error Log'!$A:$A,0),MATCH('Scores per segment'!C$1,'Error Log'!$A$1:$J$1,0)))</f>
        <v/>
      </c>
      <c r="D165" s="70">
        <f>IF(H165=0,wdct(TRIM(C165)),0)</f>
        <v>0</v>
      </c>
      <c r="E165" s="70">
        <f>COUNTIFS('Error Log'!$A:$A,$A165,'Error Log'!$J:$J,E$1)</f>
        <v>0</v>
      </c>
      <c r="F165" s="70">
        <f>COUNTIFS('Error Log'!$A:$A,$A165,'Error Log'!$J:$J,F$1)</f>
        <v>0</v>
      </c>
      <c r="G165" s="70">
        <f>COUNTIFS('Error Log'!$A:$A,$A165,'Error Log'!$J:$J,G$1)</f>
        <v>0</v>
      </c>
      <c r="H165" s="70">
        <f>COUNTIFS('Error Log'!$A:$A,$A165,'Error Log'!$F:$F,"Source")</f>
        <v>0</v>
      </c>
      <c r="I165" s="70">
        <f>COUNTIFS('Error Log'!$A:$A,$A165,'Error Log'!$F:$F,"Target")</f>
        <v>0</v>
      </c>
      <c r="J165" s="71">
        <f t="shared" si="2"/>
        <v>0</v>
      </c>
    </row>
    <row r="166" spans="1:10">
      <c r="A166" s="123"/>
      <c r="B166" s="70" t="str">
        <f>IF(ISBLANK(A166),"",INDEX('Error Log'!$A:$J,MATCH('Scores per segment'!$A166,'Error Log'!$A:$A,0),MATCH('Scores per segment'!B$1,'Error Log'!$A$1:$J$1,0)))</f>
        <v/>
      </c>
      <c r="C166" s="70" t="str">
        <f>IF(ISBLANK(A166),"",INDEX('Error Log'!$A:$J,MATCH('Scores per segment'!$A166,'Error Log'!$A:$A,0),MATCH('Scores per segment'!C$1,'Error Log'!$A$1:$J$1,0)))</f>
        <v/>
      </c>
      <c r="D166" s="70">
        <f>IF(H166=0,wdct(TRIM(C166)),0)</f>
        <v>0</v>
      </c>
      <c r="E166" s="70">
        <f>COUNTIFS('Error Log'!$A:$A,$A166,'Error Log'!$J:$J,E$1)</f>
        <v>0</v>
      </c>
      <c r="F166" s="70">
        <f>COUNTIFS('Error Log'!$A:$A,$A166,'Error Log'!$J:$J,F$1)</f>
        <v>0</v>
      </c>
      <c r="G166" s="70">
        <f>COUNTIFS('Error Log'!$A:$A,$A166,'Error Log'!$J:$J,G$1)</f>
        <v>0</v>
      </c>
      <c r="H166" s="70">
        <f>COUNTIFS('Error Log'!$A:$A,$A166,'Error Log'!$F:$F,"Source")</f>
        <v>0</v>
      </c>
      <c r="I166" s="70">
        <f>COUNTIFS('Error Log'!$A:$A,$A166,'Error Log'!$F:$F,"Target")</f>
        <v>0</v>
      </c>
      <c r="J166" s="71">
        <f t="shared" si="2"/>
        <v>0</v>
      </c>
    </row>
    <row r="167" spans="1:10">
      <c r="A167" s="123"/>
      <c r="B167" s="70" t="str">
        <f>IF(ISBLANK(A167),"",INDEX('Error Log'!$A:$J,MATCH('Scores per segment'!$A167,'Error Log'!$A:$A,0),MATCH('Scores per segment'!B$1,'Error Log'!$A$1:$J$1,0)))</f>
        <v/>
      </c>
      <c r="C167" s="70" t="str">
        <f>IF(ISBLANK(A167),"",INDEX('Error Log'!$A:$J,MATCH('Scores per segment'!$A167,'Error Log'!$A:$A,0),MATCH('Scores per segment'!C$1,'Error Log'!$A$1:$J$1,0)))</f>
        <v/>
      </c>
      <c r="D167" s="70">
        <f>IF(H167=0,wdct(TRIM(C167)),0)</f>
        <v>0</v>
      </c>
      <c r="E167" s="70">
        <f>COUNTIFS('Error Log'!$A:$A,$A167,'Error Log'!$J:$J,E$1)</f>
        <v>0</v>
      </c>
      <c r="F167" s="70">
        <f>COUNTIFS('Error Log'!$A:$A,$A167,'Error Log'!$J:$J,F$1)</f>
        <v>0</v>
      </c>
      <c r="G167" s="70">
        <f>COUNTIFS('Error Log'!$A:$A,$A167,'Error Log'!$J:$J,G$1)</f>
        <v>0</v>
      </c>
      <c r="H167" s="70">
        <f>COUNTIFS('Error Log'!$A:$A,$A167,'Error Log'!$F:$F,"Source")</f>
        <v>0</v>
      </c>
      <c r="I167" s="70">
        <f>COUNTIFS('Error Log'!$A:$A,$A167,'Error Log'!$F:$F,"Target")</f>
        <v>0</v>
      </c>
      <c r="J167" s="71">
        <f t="shared" si="2"/>
        <v>0</v>
      </c>
    </row>
    <row r="168" spans="1:10">
      <c r="A168" s="123"/>
      <c r="B168" s="70" t="str">
        <f>IF(ISBLANK(A168),"",INDEX('Error Log'!$A:$J,MATCH('Scores per segment'!$A168,'Error Log'!$A:$A,0),MATCH('Scores per segment'!B$1,'Error Log'!$A$1:$J$1,0)))</f>
        <v/>
      </c>
      <c r="C168" s="70" t="str">
        <f>IF(ISBLANK(A168),"",INDEX('Error Log'!$A:$J,MATCH('Scores per segment'!$A168,'Error Log'!$A:$A,0),MATCH('Scores per segment'!C$1,'Error Log'!$A$1:$J$1,0)))</f>
        <v/>
      </c>
      <c r="D168" s="70">
        <f>IF(H168=0,wdct(TRIM(C168)),0)</f>
        <v>0</v>
      </c>
      <c r="E168" s="70">
        <f>COUNTIFS('Error Log'!$A:$A,$A168,'Error Log'!$J:$J,E$1)</f>
        <v>0</v>
      </c>
      <c r="F168" s="70">
        <f>COUNTIFS('Error Log'!$A:$A,$A168,'Error Log'!$J:$J,F$1)</f>
        <v>0</v>
      </c>
      <c r="G168" s="70">
        <f>COUNTIFS('Error Log'!$A:$A,$A168,'Error Log'!$J:$J,G$1)</f>
        <v>0</v>
      </c>
      <c r="H168" s="70">
        <f>COUNTIFS('Error Log'!$A:$A,$A168,'Error Log'!$F:$F,"Source")</f>
        <v>0</v>
      </c>
      <c r="I168" s="70">
        <f>COUNTIFS('Error Log'!$A:$A,$A168,'Error Log'!$F:$F,"Target")</f>
        <v>0</v>
      </c>
      <c r="J168" s="71">
        <f t="shared" si="2"/>
        <v>0</v>
      </c>
    </row>
    <row r="169" spans="1:10">
      <c r="A169" s="123"/>
      <c r="B169" s="70" t="str">
        <f>IF(ISBLANK(A169),"",INDEX('Error Log'!$A:$J,MATCH('Scores per segment'!$A169,'Error Log'!$A:$A,0),MATCH('Scores per segment'!B$1,'Error Log'!$A$1:$J$1,0)))</f>
        <v/>
      </c>
      <c r="C169" s="70" t="str">
        <f>IF(ISBLANK(A169),"",INDEX('Error Log'!$A:$J,MATCH('Scores per segment'!$A169,'Error Log'!$A:$A,0),MATCH('Scores per segment'!C$1,'Error Log'!$A$1:$J$1,0)))</f>
        <v/>
      </c>
      <c r="D169" s="70">
        <f>IF(H169=0,wdct(TRIM(C169)),0)</f>
        <v>0</v>
      </c>
      <c r="E169" s="70">
        <f>COUNTIFS('Error Log'!$A:$A,$A169,'Error Log'!$J:$J,E$1)</f>
        <v>0</v>
      </c>
      <c r="F169" s="70">
        <f>COUNTIFS('Error Log'!$A:$A,$A169,'Error Log'!$J:$J,F$1)</f>
        <v>0</v>
      </c>
      <c r="G169" s="70">
        <f>COUNTIFS('Error Log'!$A:$A,$A169,'Error Log'!$J:$J,G$1)</f>
        <v>0</v>
      </c>
      <c r="H169" s="70">
        <f>COUNTIFS('Error Log'!$A:$A,$A169,'Error Log'!$F:$F,"Source")</f>
        <v>0</v>
      </c>
      <c r="I169" s="70">
        <f>COUNTIFS('Error Log'!$A:$A,$A169,'Error Log'!$F:$F,"Target")</f>
        <v>0</v>
      </c>
      <c r="J169" s="71">
        <f t="shared" si="2"/>
        <v>0</v>
      </c>
    </row>
    <row r="170" spans="1:10">
      <c r="A170" s="123"/>
      <c r="B170" s="70" t="str">
        <f>IF(ISBLANK(A170),"",INDEX('Error Log'!$A:$J,MATCH('Scores per segment'!$A170,'Error Log'!$A:$A,0),MATCH('Scores per segment'!B$1,'Error Log'!$A$1:$J$1,0)))</f>
        <v/>
      </c>
      <c r="C170" s="70" t="str">
        <f>IF(ISBLANK(A170),"",INDEX('Error Log'!$A:$J,MATCH('Scores per segment'!$A170,'Error Log'!$A:$A,0),MATCH('Scores per segment'!C$1,'Error Log'!$A$1:$J$1,0)))</f>
        <v/>
      </c>
      <c r="D170" s="70">
        <f>IF(H170=0,wdct(TRIM(C170)),0)</f>
        <v>0</v>
      </c>
      <c r="E170" s="70">
        <f>COUNTIFS('Error Log'!$A:$A,$A170,'Error Log'!$J:$J,E$1)</f>
        <v>0</v>
      </c>
      <c r="F170" s="70">
        <f>COUNTIFS('Error Log'!$A:$A,$A170,'Error Log'!$J:$J,F$1)</f>
        <v>0</v>
      </c>
      <c r="G170" s="70">
        <f>COUNTIFS('Error Log'!$A:$A,$A170,'Error Log'!$J:$J,G$1)</f>
        <v>0</v>
      </c>
      <c r="H170" s="70">
        <f>COUNTIFS('Error Log'!$A:$A,$A170,'Error Log'!$F:$F,"Source")</f>
        <v>0</v>
      </c>
      <c r="I170" s="70">
        <f>COUNTIFS('Error Log'!$A:$A,$A170,'Error Log'!$F:$F,"Target")</f>
        <v>0</v>
      </c>
      <c r="J170" s="71">
        <f t="shared" si="2"/>
        <v>0</v>
      </c>
    </row>
    <row r="171" spans="1:10">
      <c r="A171" s="123"/>
      <c r="B171" s="70" t="str">
        <f>IF(ISBLANK(A171),"",INDEX('Error Log'!$A:$J,MATCH('Scores per segment'!$A171,'Error Log'!$A:$A,0),MATCH('Scores per segment'!B$1,'Error Log'!$A$1:$J$1,0)))</f>
        <v/>
      </c>
      <c r="C171" s="70" t="str">
        <f>IF(ISBLANK(A171),"",INDEX('Error Log'!$A:$J,MATCH('Scores per segment'!$A171,'Error Log'!$A:$A,0),MATCH('Scores per segment'!C$1,'Error Log'!$A$1:$J$1,0)))</f>
        <v/>
      </c>
      <c r="D171" s="70">
        <f>IF(H171=0,wdct(TRIM(C171)),0)</f>
        <v>0</v>
      </c>
      <c r="E171" s="70">
        <f>COUNTIFS('Error Log'!$A:$A,$A171,'Error Log'!$J:$J,E$1)</f>
        <v>0</v>
      </c>
      <c r="F171" s="70">
        <f>COUNTIFS('Error Log'!$A:$A,$A171,'Error Log'!$J:$J,F$1)</f>
        <v>0</v>
      </c>
      <c r="G171" s="70">
        <f>COUNTIFS('Error Log'!$A:$A,$A171,'Error Log'!$J:$J,G$1)</f>
        <v>0</v>
      </c>
      <c r="H171" s="70">
        <f>COUNTIFS('Error Log'!$A:$A,$A171,'Error Log'!$F:$F,"Source")</f>
        <v>0</v>
      </c>
      <c r="I171" s="70">
        <f>COUNTIFS('Error Log'!$A:$A,$A171,'Error Log'!$F:$F,"Target")</f>
        <v>0</v>
      </c>
      <c r="J171" s="71">
        <f t="shared" si="2"/>
        <v>0</v>
      </c>
    </row>
    <row r="172" spans="1:10">
      <c r="A172" s="123"/>
      <c r="B172" s="70" t="str">
        <f>IF(ISBLANK(A172),"",INDEX('Error Log'!$A:$J,MATCH('Scores per segment'!$A172,'Error Log'!$A:$A,0),MATCH('Scores per segment'!B$1,'Error Log'!$A$1:$J$1,0)))</f>
        <v/>
      </c>
      <c r="C172" s="70" t="str">
        <f>IF(ISBLANK(A172),"",INDEX('Error Log'!$A:$J,MATCH('Scores per segment'!$A172,'Error Log'!$A:$A,0),MATCH('Scores per segment'!C$1,'Error Log'!$A$1:$J$1,0)))</f>
        <v/>
      </c>
      <c r="D172" s="70">
        <f>IF(H172=0,wdct(TRIM(C172)),0)</f>
        <v>0</v>
      </c>
      <c r="E172" s="70">
        <f>COUNTIFS('Error Log'!$A:$A,$A172,'Error Log'!$J:$J,E$1)</f>
        <v>0</v>
      </c>
      <c r="F172" s="70">
        <f>COUNTIFS('Error Log'!$A:$A,$A172,'Error Log'!$J:$J,F$1)</f>
        <v>0</v>
      </c>
      <c r="G172" s="70">
        <f>COUNTIFS('Error Log'!$A:$A,$A172,'Error Log'!$J:$J,G$1)</f>
        <v>0</v>
      </c>
      <c r="H172" s="70">
        <f>COUNTIFS('Error Log'!$A:$A,$A172,'Error Log'!$F:$F,"Source")</f>
        <v>0</v>
      </c>
      <c r="I172" s="70">
        <f>COUNTIFS('Error Log'!$A:$A,$A172,'Error Log'!$F:$F,"Target")</f>
        <v>0</v>
      </c>
      <c r="J172" s="71">
        <f t="shared" si="2"/>
        <v>0</v>
      </c>
    </row>
    <row r="173" spans="1:10">
      <c r="A173" s="123"/>
      <c r="B173" s="70" t="str">
        <f>IF(ISBLANK(A173),"",INDEX('Error Log'!$A:$J,MATCH('Scores per segment'!$A173,'Error Log'!$A:$A,0),MATCH('Scores per segment'!B$1,'Error Log'!$A$1:$J$1,0)))</f>
        <v/>
      </c>
      <c r="C173" s="70" t="str">
        <f>IF(ISBLANK(A173),"",INDEX('Error Log'!$A:$J,MATCH('Scores per segment'!$A173,'Error Log'!$A:$A,0),MATCH('Scores per segment'!C$1,'Error Log'!$A$1:$J$1,0)))</f>
        <v/>
      </c>
      <c r="D173" s="70">
        <f>IF(H173=0,wdct(TRIM(C173)),0)</f>
        <v>0</v>
      </c>
      <c r="E173" s="70">
        <f>COUNTIFS('Error Log'!$A:$A,$A173,'Error Log'!$J:$J,E$1)</f>
        <v>0</v>
      </c>
      <c r="F173" s="70">
        <f>COUNTIFS('Error Log'!$A:$A,$A173,'Error Log'!$J:$J,F$1)</f>
        <v>0</v>
      </c>
      <c r="G173" s="70">
        <f>COUNTIFS('Error Log'!$A:$A,$A173,'Error Log'!$J:$J,G$1)</f>
        <v>0</v>
      </c>
      <c r="H173" s="70">
        <f>COUNTIFS('Error Log'!$A:$A,$A173,'Error Log'!$F:$F,"Source")</f>
        <v>0</v>
      </c>
      <c r="I173" s="70">
        <f>COUNTIFS('Error Log'!$A:$A,$A173,'Error Log'!$F:$F,"Target")</f>
        <v>0</v>
      </c>
      <c r="J173" s="71">
        <f t="shared" si="2"/>
        <v>0</v>
      </c>
    </row>
    <row r="174" spans="1:10">
      <c r="A174" s="123"/>
      <c r="B174" s="70" t="str">
        <f>IF(ISBLANK(A174),"",INDEX('Error Log'!$A:$J,MATCH('Scores per segment'!$A174,'Error Log'!$A:$A,0),MATCH('Scores per segment'!B$1,'Error Log'!$A$1:$J$1,0)))</f>
        <v/>
      </c>
      <c r="C174" s="70" t="str">
        <f>IF(ISBLANK(A174),"",INDEX('Error Log'!$A:$J,MATCH('Scores per segment'!$A174,'Error Log'!$A:$A,0),MATCH('Scores per segment'!C$1,'Error Log'!$A$1:$J$1,0)))</f>
        <v/>
      </c>
      <c r="D174" s="70">
        <f>IF(H174=0,wdct(TRIM(C174)),0)</f>
        <v>0</v>
      </c>
      <c r="E174" s="70">
        <f>COUNTIFS('Error Log'!$A:$A,$A174,'Error Log'!$J:$J,E$1)</f>
        <v>0</v>
      </c>
      <c r="F174" s="70">
        <f>COUNTIFS('Error Log'!$A:$A,$A174,'Error Log'!$J:$J,F$1)</f>
        <v>0</v>
      </c>
      <c r="G174" s="70">
        <f>COUNTIFS('Error Log'!$A:$A,$A174,'Error Log'!$J:$J,G$1)</f>
        <v>0</v>
      </c>
      <c r="H174" s="70">
        <f>COUNTIFS('Error Log'!$A:$A,$A174,'Error Log'!$F:$F,"Source")</f>
        <v>0</v>
      </c>
      <c r="I174" s="70">
        <f>COUNTIFS('Error Log'!$A:$A,$A174,'Error Log'!$F:$F,"Target")</f>
        <v>0</v>
      </c>
      <c r="J174" s="71">
        <f t="shared" si="2"/>
        <v>0</v>
      </c>
    </row>
    <row r="175" spans="1:10">
      <c r="A175" s="123"/>
      <c r="B175" s="70" t="str">
        <f>IF(ISBLANK(A175),"",INDEX('Error Log'!$A:$J,MATCH('Scores per segment'!$A175,'Error Log'!$A:$A,0),MATCH('Scores per segment'!B$1,'Error Log'!$A$1:$J$1,0)))</f>
        <v/>
      </c>
      <c r="C175" s="70" t="str">
        <f>IF(ISBLANK(A175),"",INDEX('Error Log'!$A:$J,MATCH('Scores per segment'!$A175,'Error Log'!$A:$A,0),MATCH('Scores per segment'!C$1,'Error Log'!$A$1:$J$1,0)))</f>
        <v/>
      </c>
      <c r="D175" s="70">
        <f>IF(H175=0,wdct(TRIM(C175)),0)</f>
        <v>0</v>
      </c>
      <c r="E175" s="70">
        <f>COUNTIFS('Error Log'!$A:$A,$A175,'Error Log'!$J:$J,E$1)</f>
        <v>0</v>
      </c>
      <c r="F175" s="70">
        <f>COUNTIFS('Error Log'!$A:$A,$A175,'Error Log'!$J:$J,F$1)</f>
        <v>0</v>
      </c>
      <c r="G175" s="70">
        <f>COUNTIFS('Error Log'!$A:$A,$A175,'Error Log'!$J:$J,G$1)</f>
        <v>0</v>
      </c>
      <c r="H175" s="70">
        <f>COUNTIFS('Error Log'!$A:$A,$A175,'Error Log'!$F:$F,"Source")</f>
        <v>0</v>
      </c>
      <c r="I175" s="70">
        <f>COUNTIFS('Error Log'!$A:$A,$A175,'Error Log'!$F:$F,"Target")</f>
        <v>0</v>
      </c>
      <c r="J175" s="71">
        <f t="shared" si="2"/>
        <v>0</v>
      </c>
    </row>
    <row r="176" spans="1:10">
      <c r="A176" s="123"/>
      <c r="B176" s="70" t="str">
        <f>IF(ISBLANK(A176),"",INDEX('Error Log'!$A:$J,MATCH('Scores per segment'!$A176,'Error Log'!$A:$A,0),MATCH('Scores per segment'!B$1,'Error Log'!$A$1:$J$1,0)))</f>
        <v/>
      </c>
      <c r="C176" s="70" t="str">
        <f>IF(ISBLANK(A176),"",INDEX('Error Log'!$A:$J,MATCH('Scores per segment'!$A176,'Error Log'!$A:$A,0),MATCH('Scores per segment'!C$1,'Error Log'!$A$1:$J$1,0)))</f>
        <v/>
      </c>
      <c r="D176" s="70">
        <f>IF(H176=0,wdct(TRIM(C176)),0)</f>
        <v>0</v>
      </c>
      <c r="E176" s="70">
        <f>COUNTIFS('Error Log'!$A:$A,$A176,'Error Log'!$J:$J,E$1)</f>
        <v>0</v>
      </c>
      <c r="F176" s="70">
        <f>COUNTIFS('Error Log'!$A:$A,$A176,'Error Log'!$J:$J,F$1)</f>
        <v>0</v>
      </c>
      <c r="G176" s="70">
        <f>COUNTIFS('Error Log'!$A:$A,$A176,'Error Log'!$J:$J,G$1)</f>
        <v>0</v>
      </c>
      <c r="H176" s="70">
        <f>COUNTIFS('Error Log'!$A:$A,$A176,'Error Log'!$F:$F,"Source")</f>
        <v>0</v>
      </c>
      <c r="I176" s="70">
        <f>COUNTIFS('Error Log'!$A:$A,$A176,'Error Log'!$F:$F,"Target")</f>
        <v>0</v>
      </c>
      <c r="J176" s="71">
        <f t="shared" si="2"/>
        <v>0</v>
      </c>
    </row>
    <row r="177" spans="1:10">
      <c r="A177" s="123"/>
      <c r="B177" s="70" t="str">
        <f>IF(ISBLANK(A177),"",INDEX('Error Log'!$A:$J,MATCH('Scores per segment'!$A177,'Error Log'!$A:$A,0),MATCH('Scores per segment'!B$1,'Error Log'!$A$1:$J$1,0)))</f>
        <v/>
      </c>
      <c r="C177" s="70" t="str">
        <f>IF(ISBLANK(A177),"",INDEX('Error Log'!$A:$J,MATCH('Scores per segment'!$A177,'Error Log'!$A:$A,0),MATCH('Scores per segment'!C$1,'Error Log'!$A$1:$J$1,0)))</f>
        <v/>
      </c>
      <c r="D177" s="70">
        <f>IF(H177=0,wdct(TRIM(C177)),0)</f>
        <v>0</v>
      </c>
      <c r="E177" s="70">
        <f>COUNTIFS('Error Log'!$A:$A,$A177,'Error Log'!$J:$J,E$1)</f>
        <v>0</v>
      </c>
      <c r="F177" s="70">
        <f>COUNTIFS('Error Log'!$A:$A,$A177,'Error Log'!$J:$J,F$1)</f>
        <v>0</v>
      </c>
      <c r="G177" s="70">
        <f>COUNTIFS('Error Log'!$A:$A,$A177,'Error Log'!$J:$J,G$1)</f>
        <v>0</v>
      </c>
      <c r="H177" s="70">
        <f>COUNTIFS('Error Log'!$A:$A,$A177,'Error Log'!$F:$F,"Source")</f>
        <v>0</v>
      </c>
      <c r="I177" s="70">
        <f>COUNTIFS('Error Log'!$A:$A,$A177,'Error Log'!$F:$F,"Target")</f>
        <v>0</v>
      </c>
      <c r="J177" s="71">
        <f t="shared" si="2"/>
        <v>0</v>
      </c>
    </row>
    <row r="178" spans="1:10">
      <c r="A178" s="123"/>
      <c r="B178" s="70" t="str">
        <f>IF(ISBLANK(A178),"",INDEX('Error Log'!$A:$J,MATCH('Scores per segment'!$A178,'Error Log'!$A:$A,0),MATCH('Scores per segment'!B$1,'Error Log'!$A$1:$J$1,0)))</f>
        <v/>
      </c>
      <c r="C178" s="70" t="str">
        <f>IF(ISBLANK(A178),"",INDEX('Error Log'!$A:$J,MATCH('Scores per segment'!$A178,'Error Log'!$A:$A,0),MATCH('Scores per segment'!C$1,'Error Log'!$A$1:$J$1,0)))</f>
        <v/>
      </c>
      <c r="D178" s="70">
        <f>IF(H178=0,wdct(TRIM(C178)),0)</f>
        <v>0</v>
      </c>
      <c r="E178" s="70">
        <f>COUNTIFS('Error Log'!$A:$A,$A178,'Error Log'!$J:$J,E$1)</f>
        <v>0</v>
      </c>
      <c r="F178" s="70">
        <f>COUNTIFS('Error Log'!$A:$A,$A178,'Error Log'!$J:$J,F$1)</f>
        <v>0</v>
      </c>
      <c r="G178" s="70">
        <f>COUNTIFS('Error Log'!$A:$A,$A178,'Error Log'!$J:$J,G$1)</f>
        <v>0</v>
      </c>
      <c r="H178" s="70">
        <f>COUNTIFS('Error Log'!$A:$A,$A178,'Error Log'!$F:$F,"Source")</f>
        <v>0</v>
      </c>
      <c r="I178" s="70">
        <f>COUNTIFS('Error Log'!$A:$A,$A178,'Error Log'!$F:$F,"Target")</f>
        <v>0</v>
      </c>
      <c r="J178" s="71">
        <f t="shared" si="2"/>
        <v>0</v>
      </c>
    </row>
    <row r="179" spans="1:10">
      <c r="A179" s="123"/>
      <c r="B179" s="70" t="str">
        <f>IF(ISBLANK(A179),"",INDEX('Error Log'!$A:$J,MATCH('Scores per segment'!$A179,'Error Log'!$A:$A,0),MATCH('Scores per segment'!B$1,'Error Log'!$A$1:$J$1,0)))</f>
        <v/>
      </c>
      <c r="C179" s="70" t="str">
        <f>IF(ISBLANK(A179),"",INDEX('Error Log'!$A:$J,MATCH('Scores per segment'!$A179,'Error Log'!$A:$A,0),MATCH('Scores per segment'!C$1,'Error Log'!$A$1:$J$1,0)))</f>
        <v/>
      </c>
      <c r="D179" s="70">
        <f>IF(H179=0,wdct(TRIM(C179)),0)</f>
        <v>0</v>
      </c>
      <c r="E179" s="70">
        <f>COUNTIFS('Error Log'!$A:$A,$A179,'Error Log'!$J:$J,E$1)</f>
        <v>0</v>
      </c>
      <c r="F179" s="70">
        <f>COUNTIFS('Error Log'!$A:$A,$A179,'Error Log'!$J:$J,F$1)</f>
        <v>0</v>
      </c>
      <c r="G179" s="70">
        <f>COUNTIFS('Error Log'!$A:$A,$A179,'Error Log'!$J:$J,G$1)</f>
        <v>0</v>
      </c>
      <c r="H179" s="70">
        <f>COUNTIFS('Error Log'!$A:$A,$A179,'Error Log'!$F:$F,"Source")</f>
        <v>0</v>
      </c>
      <c r="I179" s="70">
        <f>COUNTIFS('Error Log'!$A:$A,$A179,'Error Log'!$F:$F,"Target")</f>
        <v>0</v>
      </c>
      <c r="J179" s="71">
        <f t="shared" si="2"/>
        <v>0</v>
      </c>
    </row>
    <row r="180" spans="1:10">
      <c r="A180" s="123"/>
      <c r="B180" s="70" t="str">
        <f>IF(ISBLANK(A180),"",INDEX('Error Log'!$A:$J,MATCH('Scores per segment'!$A180,'Error Log'!$A:$A,0),MATCH('Scores per segment'!B$1,'Error Log'!$A$1:$J$1,0)))</f>
        <v/>
      </c>
      <c r="C180" s="70" t="str">
        <f>IF(ISBLANK(A180),"",INDEX('Error Log'!$A:$J,MATCH('Scores per segment'!$A180,'Error Log'!$A:$A,0),MATCH('Scores per segment'!C$1,'Error Log'!$A$1:$J$1,0)))</f>
        <v/>
      </c>
      <c r="D180" s="70">
        <f>IF(H180=0,wdct(TRIM(C180)),0)</f>
        <v>0</v>
      </c>
      <c r="E180" s="70">
        <f>COUNTIFS('Error Log'!$A:$A,$A180,'Error Log'!$J:$J,E$1)</f>
        <v>0</v>
      </c>
      <c r="F180" s="70">
        <f>COUNTIFS('Error Log'!$A:$A,$A180,'Error Log'!$J:$J,F$1)</f>
        <v>0</v>
      </c>
      <c r="G180" s="70">
        <f>COUNTIFS('Error Log'!$A:$A,$A180,'Error Log'!$J:$J,G$1)</f>
        <v>0</v>
      </c>
      <c r="H180" s="70">
        <f>COUNTIFS('Error Log'!$A:$A,$A180,'Error Log'!$F:$F,"Source")</f>
        <v>0</v>
      </c>
      <c r="I180" s="70">
        <f>COUNTIFS('Error Log'!$A:$A,$A180,'Error Log'!$F:$F,"Target")</f>
        <v>0</v>
      </c>
      <c r="J180" s="71">
        <f t="shared" si="2"/>
        <v>0</v>
      </c>
    </row>
    <row r="181" spans="1:10">
      <c r="A181" s="123"/>
      <c r="B181" s="70" t="str">
        <f>IF(ISBLANK(A181),"",INDEX('Error Log'!$A:$J,MATCH('Scores per segment'!$A181,'Error Log'!$A:$A,0),MATCH('Scores per segment'!B$1,'Error Log'!$A$1:$J$1,0)))</f>
        <v/>
      </c>
      <c r="C181" s="70" t="str">
        <f>IF(ISBLANK(A181),"",INDEX('Error Log'!$A:$J,MATCH('Scores per segment'!$A181,'Error Log'!$A:$A,0),MATCH('Scores per segment'!C$1,'Error Log'!$A$1:$J$1,0)))</f>
        <v/>
      </c>
      <c r="D181" s="70">
        <f>IF(H181=0,wdct(TRIM(C181)),0)</f>
        <v>0</v>
      </c>
      <c r="E181" s="70">
        <f>COUNTIFS('Error Log'!$A:$A,$A181,'Error Log'!$J:$J,E$1)</f>
        <v>0</v>
      </c>
      <c r="F181" s="70">
        <f>COUNTIFS('Error Log'!$A:$A,$A181,'Error Log'!$J:$J,F$1)</f>
        <v>0</v>
      </c>
      <c r="G181" s="70">
        <f>COUNTIFS('Error Log'!$A:$A,$A181,'Error Log'!$J:$J,G$1)</f>
        <v>0</v>
      </c>
      <c r="H181" s="70">
        <f>COUNTIFS('Error Log'!$A:$A,$A181,'Error Log'!$F:$F,"Source")</f>
        <v>0</v>
      </c>
      <c r="I181" s="70">
        <f>COUNTIFS('Error Log'!$A:$A,$A181,'Error Log'!$F:$F,"Target")</f>
        <v>0</v>
      </c>
      <c r="J181" s="71">
        <f t="shared" si="2"/>
        <v>0</v>
      </c>
    </row>
    <row r="182" spans="1:10">
      <c r="A182" s="123"/>
      <c r="B182" s="70" t="str">
        <f>IF(ISBLANK(A182),"",INDEX('Error Log'!$A:$J,MATCH('Scores per segment'!$A182,'Error Log'!$A:$A,0),MATCH('Scores per segment'!B$1,'Error Log'!$A$1:$J$1,0)))</f>
        <v/>
      </c>
      <c r="C182" s="70" t="str">
        <f>IF(ISBLANK(A182),"",INDEX('Error Log'!$A:$J,MATCH('Scores per segment'!$A182,'Error Log'!$A:$A,0),MATCH('Scores per segment'!C$1,'Error Log'!$A$1:$J$1,0)))</f>
        <v/>
      </c>
      <c r="D182" s="70">
        <f>IF(H182=0,wdct(TRIM(C182)),0)</f>
        <v>0</v>
      </c>
      <c r="E182" s="70">
        <f>COUNTIFS('Error Log'!$A:$A,$A182,'Error Log'!$J:$J,E$1)</f>
        <v>0</v>
      </c>
      <c r="F182" s="70">
        <f>COUNTIFS('Error Log'!$A:$A,$A182,'Error Log'!$J:$J,F$1)</f>
        <v>0</v>
      </c>
      <c r="G182" s="70">
        <f>COUNTIFS('Error Log'!$A:$A,$A182,'Error Log'!$J:$J,G$1)</f>
        <v>0</v>
      </c>
      <c r="H182" s="70">
        <f>COUNTIFS('Error Log'!$A:$A,$A182,'Error Log'!$F:$F,"Source")</f>
        <v>0</v>
      </c>
      <c r="I182" s="70">
        <f>COUNTIFS('Error Log'!$A:$A,$A182,'Error Log'!$F:$F,"Target")</f>
        <v>0</v>
      </c>
      <c r="J182" s="71">
        <f t="shared" si="2"/>
        <v>0</v>
      </c>
    </row>
    <row r="183" spans="1:10">
      <c r="A183" s="123"/>
      <c r="B183" s="70" t="str">
        <f>IF(ISBLANK(A183),"",INDEX('Error Log'!$A:$J,MATCH('Scores per segment'!$A183,'Error Log'!$A:$A,0),MATCH('Scores per segment'!B$1,'Error Log'!$A$1:$J$1,0)))</f>
        <v/>
      </c>
      <c r="C183" s="70" t="str">
        <f>IF(ISBLANK(A183),"",INDEX('Error Log'!$A:$J,MATCH('Scores per segment'!$A183,'Error Log'!$A:$A,0),MATCH('Scores per segment'!C$1,'Error Log'!$A$1:$J$1,0)))</f>
        <v/>
      </c>
      <c r="D183" s="70">
        <f>IF(H183=0,wdct(TRIM(C183)),0)</f>
        <v>0</v>
      </c>
      <c r="E183" s="70">
        <f>COUNTIFS('Error Log'!$A:$A,$A183,'Error Log'!$J:$J,E$1)</f>
        <v>0</v>
      </c>
      <c r="F183" s="70">
        <f>COUNTIFS('Error Log'!$A:$A,$A183,'Error Log'!$J:$J,F$1)</f>
        <v>0</v>
      </c>
      <c r="G183" s="70">
        <f>COUNTIFS('Error Log'!$A:$A,$A183,'Error Log'!$J:$J,G$1)</f>
        <v>0</v>
      </c>
      <c r="H183" s="70">
        <f>COUNTIFS('Error Log'!$A:$A,$A183,'Error Log'!$F:$F,"Source")</f>
        <v>0</v>
      </c>
      <c r="I183" s="70">
        <f>COUNTIFS('Error Log'!$A:$A,$A183,'Error Log'!$F:$F,"Target")</f>
        <v>0</v>
      </c>
      <c r="J183" s="71">
        <f t="shared" si="2"/>
        <v>0</v>
      </c>
    </row>
    <row r="184" spans="1:10">
      <c r="A184" s="123"/>
      <c r="B184" s="70" t="str">
        <f>IF(ISBLANK(A184),"",INDEX('Error Log'!$A:$J,MATCH('Scores per segment'!$A184,'Error Log'!$A:$A,0),MATCH('Scores per segment'!B$1,'Error Log'!$A$1:$J$1,0)))</f>
        <v/>
      </c>
      <c r="C184" s="70" t="str">
        <f>IF(ISBLANK(A184),"",INDEX('Error Log'!$A:$J,MATCH('Scores per segment'!$A184,'Error Log'!$A:$A,0),MATCH('Scores per segment'!C$1,'Error Log'!$A$1:$J$1,0)))</f>
        <v/>
      </c>
      <c r="D184" s="70">
        <f>IF(H184=0,wdct(TRIM(C184)),0)</f>
        <v>0</v>
      </c>
      <c r="E184" s="70">
        <f>COUNTIFS('Error Log'!$A:$A,$A184,'Error Log'!$J:$J,E$1)</f>
        <v>0</v>
      </c>
      <c r="F184" s="70">
        <f>COUNTIFS('Error Log'!$A:$A,$A184,'Error Log'!$J:$J,F$1)</f>
        <v>0</v>
      </c>
      <c r="G184" s="70">
        <f>COUNTIFS('Error Log'!$A:$A,$A184,'Error Log'!$J:$J,G$1)</f>
        <v>0</v>
      </c>
      <c r="H184" s="70">
        <f>COUNTIFS('Error Log'!$A:$A,$A184,'Error Log'!$F:$F,"Source")</f>
        <v>0</v>
      </c>
      <c r="I184" s="70">
        <f>COUNTIFS('Error Log'!$A:$A,$A184,'Error Log'!$F:$F,"Target")</f>
        <v>0</v>
      </c>
      <c r="J184" s="71">
        <f t="shared" si="2"/>
        <v>0</v>
      </c>
    </row>
    <row r="185" spans="1:10">
      <c r="A185" s="123"/>
      <c r="B185" s="70" t="str">
        <f>IF(ISBLANK(A185),"",INDEX('Error Log'!$A:$J,MATCH('Scores per segment'!$A185,'Error Log'!$A:$A,0),MATCH('Scores per segment'!B$1,'Error Log'!$A$1:$J$1,0)))</f>
        <v/>
      </c>
      <c r="C185" s="70" t="str">
        <f>IF(ISBLANK(A185),"",INDEX('Error Log'!$A:$J,MATCH('Scores per segment'!$A185,'Error Log'!$A:$A,0),MATCH('Scores per segment'!C$1,'Error Log'!$A$1:$J$1,0)))</f>
        <v/>
      </c>
      <c r="D185" s="70">
        <f>IF(H185=0,wdct(TRIM(C185)),0)</f>
        <v>0</v>
      </c>
      <c r="E185" s="70">
        <f>COUNTIFS('Error Log'!$A:$A,$A185,'Error Log'!$J:$J,E$1)</f>
        <v>0</v>
      </c>
      <c r="F185" s="70">
        <f>COUNTIFS('Error Log'!$A:$A,$A185,'Error Log'!$J:$J,F$1)</f>
        <v>0</v>
      </c>
      <c r="G185" s="70">
        <f>COUNTIFS('Error Log'!$A:$A,$A185,'Error Log'!$J:$J,G$1)</f>
        <v>0</v>
      </c>
      <c r="H185" s="70">
        <f>COUNTIFS('Error Log'!$A:$A,$A185,'Error Log'!$F:$F,"Source")</f>
        <v>0</v>
      </c>
      <c r="I185" s="70">
        <f>COUNTIFS('Error Log'!$A:$A,$A185,'Error Log'!$F:$F,"Target")</f>
        <v>0</v>
      </c>
      <c r="J185" s="71">
        <f t="shared" si="2"/>
        <v>0</v>
      </c>
    </row>
    <row r="186" spans="1:10">
      <c r="A186" s="123"/>
      <c r="B186" s="70" t="str">
        <f>IF(ISBLANK(A186),"",INDEX('Error Log'!$A:$J,MATCH('Scores per segment'!$A186,'Error Log'!$A:$A,0),MATCH('Scores per segment'!B$1,'Error Log'!$A$1:$J$1,0)))</f>
        <v/>
      </c>
      <c r="C186" s="70" t="str">
        <f>IF(ISBLANK(A186),"",INDEX('Error Log'!$A:$J,MATCH('Scores per segment'!$A186,'Error Log'!$A:$A,0),MATCH('Scores per segment'!C$1,'Error Log'!$A$1:$J$1,0)))</f>
        <v/>
      </c>
      <c r="D186" s="70">
        <f>IF(H186=0,wdct(TRIM(C186)),0)</f>
        <v>0</v>
      </c>
      <c r="E186" s="70">
        <f>COUNTIFS('Error Log'!$A:$A,$A186,'Error Log'!$J:$J,E$1)</f>
        <v>0</v>
      </c>
      <c r="F186" s="70">
        <f>COUNTIFS('Error Log'!$A:$A,$A186,'Error Log'!$J:$J,F$1)</f>
        <v>0</v>
      </c>
      <c r="G186" s="70">
        <f>COUNTIFS('Error Log'!$A:$A,$A186,'Error Log'!$J:$J,G$1)</f>
        <v>0</v>
      </c>
      <c r="H186" s="70">
        <f>COUNTIFS('Error Log'!$A:$A,$A186,'Error Log'!$F:$F,"Source")</f>
        <v>0</v>
      </c>
      <c r="I186" s="70">
        <f>COUNTIFS('Error Log'!$A:$A,$A186,'Error Log'!$F:$F,"Target")</f>
        <v>0</v>
      </c>
      <c r="J186" s="71">
        <f t="shared" si="2"/>
        <v>0</v>
      </c>
    </row>
    <row r="187" spans="1:10">
      <c r="A187" s="123"/>
      <c r="B187" s="70" t="str">
        <f>IF(ISBLANK(A187),"",INDEX('Error Log'!$A:$J,MATCH('Scores per segment'!$A187,'Error Log'!$A:$A,0),MATCH('Scores per segment'!B$1,'Error Log'!$A$1:$J$1,0)))</f>
        <v/>
      </c>
      <c r="C187" s="70" t="str">
        <f>IF(ISBLANK(A187),"",INDEX('Error Log'!$A:$J,MATCH('Scores per segment'!$A187,'Error Log'!$A:$A,0),MATCH('Scores per segment'!C$1,'Error Log'!$A$1:$J$1,0)))</f>
        <v/>
      </c>
      <c r="D187" s="70">
        <f>IF(H187=0,wdct(TRIM(C187)),0)</f>
        <v>0</v>
      </c>
      <c r="E187" s="70">
        <f>COUNTIFS('Error Log'!$A:$A,$A187,'Error Log'!$J:$J,E$1)</f>
        <v>0</v>
      </c>
      <c r="F187" s="70">
        <f>COUNTIFS('Error Log'!$A:$A,$A187,'Error Log'!$J:$J,F$1)</f>
        <v>0</v>
      </c>
      <c r="G187" s="70">
        <f>COUNTIFS('Error Log'!$A:$A,$A187,'Error Log'!$J:$J,G$1)</f>
        <v>0</v>
      </c>
      <c r="H187" s="70">
        <f>COUNTIFS('Error Log'!$A:$A,$A187,'Error Log'!$F:$F,"Source")</f>
        <v>0</v>
      </c>
      <c r="I187" s="70">
        <f>COUNTIFS('Error Log'!$A:$A,$A187,'Error Log'!$F:$F,"Target")</f>
        <v>0</v>
      </c>
      <c r="J187" s="71">
        <f t="shared" si="2"/>
        <v>0</v>
      </c>
    </row>
    <row r="188" spans="1:10">
      <c r="A188" s="123"/>
      <c r="B188" s="70" t="str">
        <f>IF(ISBLANK(A188),"",INDEX('Error Log'!$A:$J,MATCH('Scores per segment'!$A188,'Error Log'!$A:$A,0),MATCH('Scores per segment'!B$1,'Error Log'!$A$1:$J$1,0)))</f>
        <v/>
      </c>
      <c r="C188" s="70" t="str">
        <f>IF(ISBLANK(A188),"",INDEX('Error Log'!$A:$J,MATCH('Scores per segment'!$A188,'Error Log'!$A:$A,0),MATCH('Scores per segment'!C$1,'Error Log'!$A$1:$J$1,0)))</f>
        <v/>
      </c>
      <c r="D188" s="70">
        <f>IF(H188=0,wdct(TRIM(C188)),0)</f>
        <v>0</v>
      </c>
      <c r="E188" s="70">
        <f>COUNTIFS('Error Log'!$A:$A,$A188,'Error Log'!$J:$J,E$1)</f>
        <v>0</v>
      </c>
      <c r="F188" s="70">
        <f>COUNTIFS('Error Log'!$A:$A,$A188,'Error Log'!$J:$J,F$1)</f>
        <v>0</v>
      </c>
      <c r="G188" s="70">
        <f>COUNTIFS('Error Log'!$A:$A,$A188,'Error Log'!$J:$J,G$1)</f>
        <v>0</v>
      </c>
      <c r="H188" s="70">
        <f>COUNTIFS('Error Log'!$A:$A,$A188,'Error Log'!$F:$F,"Source")</f>
        <v>0</v>
      </c>
      <c r="I188" s="70">
        <f>COUNTIFS('Error Log'!$A:$A,$A188,'Error Log'!$F:$F,"Target")</f>
        <v>0</v>
      </c>
      <c r="J188" s="71">
        <f t="shared" si="2"/>
        <v>0</v>
      </c>
    </row>
    <row r="189" spans="1:10">
      <c r="A189" s="123"/>
      <c r="B189" s="70" t="str">
        <f>IF(ISBLANK(A189),"",INDEX('Error Log'!$A:$J,MATCH('Scores per segment'!$A189,'Error Log'!$A:$A,0),MATCH('Scores per segment'!B$1,'Error Log'!$A$1:$J$1,0)))</f>
        <v/>
      </c>
      <c r="C189" s="70" t="str">
        <f>IF(ISBLANK(A189),"",INDEX('Error Log'!$A:$J,MATCH('Scores per segment'!$A189,'Error Log'!$A:$A,0),MATCH('Scores per segment'!C$1,'Error Log'!$A$1:$J$1,0)))</f>
        <v/>
      </c>
      <c r="D189" s="70">
        <f>IF(H189=0,wdct(TRIM(C189)),0)</f>
        <v>0</v>
      </c>
      <c r="E189" s="70">
        <f>COUNTIFS('Error Log'!$A:$A,$A189,'Error Log'!$J:$J,E$1)</f>
        <v>0</v>
      </c>
      <c r="F189" s="70">
        <f>COUNTIFS('Error Log'!$A:$A,$A189,'Error Log'!$J:$J,F$1)</f>
        <v>0</v>
      </c>
      <c r="G189" s="70">
        <f>COUNTIFS('Error Log'!$A:$A,$A189,'Error Log'!$J:$J,G$1)</f>
        <v>0</v>
      </c>
      <c r="H189" s="70">
        <f>COUNTIFS('Error Log'!$A:$A,$A189,'Error Log'!$F:$F,"Source")</f>
        <v>0</v>
      </c>
      <c r="I189" s="70">
        <f>COUNTIFS('Error Log'!$A:$A,$A189,'Error Log'!$F:$F,"Target")</f>
        <v>0</v>
      </c>
      <c r="J189" s="71">
        <f t="shared" si="2"/>
        <v>0</v>
      </c>
    </row>
    <row r="190" spans="1:10">
      <c r="A190" s="123"/>
      <c r="B190" s="70" t="str">
        <f>IF(ISBLANK(A190),"",INDEX('Error Log'!$A:$J,MATCH('Scores per segment'!$A190,'Error Log'!$A:$A,0),MATCH('Scores per segment'!B$1,'Error Log'!$A$1:$J$1,0)))</f>
        <v/>
      </c>
      <c r="C190" s="70" t="str">
        <f>IF(ISBLANK(A190),"",INDEX('Error Log'!$A:$J,MATCH('Scores per segment'!$A190,'Error Log'!$A:$A,0),MATCH('Scores per segment'!C$1,'Error Log'!$A$1:$J$1,0)))</f>
        <v/>
      </c>
      <c r="D190" s="70">
        <f>IF(H190=0,wdct(TRIM(C190)),0)</f>
        <v>0</v>
      </c>
      <c r="E190" s="70">
        <f>COUNTIFS('Error Log'!$A:$A,$A190,'Error Log'!$J:$J,E$1)</f>
        <v>0</v>
      </c>
      <c r="F190" s="70">
        <f>COUNTIFS('Error Log'!$A:$A,$A190,'Error Log'!$J:$J,F$1)</f>
        <v>0</v>
      </c>
      <c r="G190" s="70">
        <f>COUNTIFS('Error Log'!$A:$A,$A190,'Error Log'!$J:$J,G$1)</f>
        <v>0</v>
      </c>
      <c r="H190" s="70">
        <f>COUNTIFS('Error Log'!$A:$A,$A190,'Error Log'!$F:$F,"Source")</f>
        <v>0</v>
      </c>
      <c r="I190" s="70">
        <f>COUNTIFS('Error Log'!$A:$A,$A190,'Error Log'!$F:$F,"Target")</f>
        <v>0</v>
      </c>
      <c r="J190" s="71">
        <f t="shared" si="2"/>
        <v>0</v>
      </c>
    </row>
    <row r="191" spans="1:10">
      <c r="A191" s="123"/>
      <c r="B191" s="70" t="str">
        <f>IF(ISBLANK(A191),"",INDEX('Error Log'!$A:$J,MATCH('Scores per segment'!$A191,'Error Log'!$A:$A,0),MATCH('Scores per segment'!B$1,'Error Log'!$A$1:$J$1,0)))</f>
        <v/>
      </c>
      <c r="C191" s="70" t="str">
        <f>IF(ISBLANK(A191),"",INDEX('Error Log'!$A:$J,MATCH('Scores per segment'!$A191,'Error Log'!$A:$A,0),MATCH('Scores per segment'!C$1,'Error Log'!$A$1:$J$1,0)))</f>
        <v/>
      </c>
      <c r="D191" s="70">
        <f>IF(H191=0,wdct(TRIM(C191)),0)</f>
        <v>0</v>
      </c>
      <c r="E191" s="70">
        <f>COUNTIFS('Error Log'!$A:$A,$A191,'Error Log'!$J:$J,E$1)</f>
        <v>0</v>
      </c>
      <c r="F191" s="70">
        <f>COUNTIFS('Error Log'!$A:$A,$A191,'Error Log'!$J:$J,F$1)</f>
        <v>0</v>
      </c>
      <c r="G191" s="70">
        <f>COUNTIFS('Error Log'!$A:$A,$A191,'Error Log'!$J:$J,G$1)</f>
        <v>0</v>
      </c>
      <c r="H191" s="70">
        <f>COUNTIFS('Error Log'!$A:$A,$A191,'Error Log'!$F:$F,"Source")</f>
        <v>0</v>
      </c>
      <c r="I191" s="70">
        <f>COUNTIFS('Error Log'!$A:$A,$A191,'Error Log'!$F:$F,"Target")</f>
        <v>0</v>
      </c>
      <c r="J191" s="71">
        <f t="shared" si="2"/>
        <v>0</v>
      </c>
    </row>
    <row r="192" spans="1:10">
      <c r="A192" s="123"/>
      <c r="B192" s="70" t="str">
        <f>IF(ISBLANK(A192),"",INDEX('Error Log'!$A:$J,MATCH('Scores per segment'!$A192,'Error Log'!$A:$A,0),MATCH('Scores per segment'!B$1,'Error Log'!$A$1:$J$1,0)))</f>
        <v/>
      </c>
      <c r="C192" s="70" t="str">
        <f>IF(ISBLANK(A192),"",INDEX('Error Log'!$A:$J,MATCH('Scores per segment'!$A192,'Error Log'!$A:$A,0),MATCH('Scores per segment'!C$1,'Error Log'!$A$1:$J$1,0)))</f>
        <v/>
      </c>
      <c r="D192" s="70">
        <f>IF(H192=0,wdct(TRIM(C192)),0)</f>
        <v>0</v>
      </c>
      <c r="E192" s="70">
        <f>COUNTIFS('Error Log'!$A:$A,$A192,'Error Log'!$J:$J,E$1)</f>
        <v>0</v>
      </c>
      <c r="F192" s="70">
        <f>COUNTIFS('Error Log'!$A:$A,$A192,'Error Log'!$J:$J,F$1)</f>
        <v>0</v>
      </c>
      <c r="G192" s="70">
        <f>COUNTIFS('Error Log'!$A:$A,$A192,'Error Log'!$J:$J,G$1)</f>
        <v>0</v>
      </c>
      <c r="H192" s="70">
        <f>COUNTIFS('Error Log'!$A:$A,$A192,'Error Log'!$F:$F,"Source")</f>
        <v>0</v>
      </c>
      <c r="I192" s="70">
        <f>COUNTIFS('Error Log'!$A:$A,$A192,'Error Log'!$F:$F,"Target")</f>
        <v>0</v>
      </c>
      <c r="J192" s="71">
        <f t="shared" si="2"/>
        <v>0</v>
      </c>
    </row>
    <row r="193" spans="1:10">
      <c r="A193" s="123"/>
      <c r="B193" s="70" t="str">
        <f>IF(ISBLANK(A193),"",INDEX('Error Log'!$A:$J,MATCH('Scores per segment'!$A193,'Error Log'!$A:$A,0),MATCH('Scores per segment'!B$1,'Error Log'!$A$1:$J$1,0)))</f>
        <v/>
      </c>
      <c r="C193" s="70" t="str">
        <f>IF(ISBLANK(A193),"",INDEX('Error Log'!$A:$J,MATCH('Scores per segment'!$A193,'Error Log'!$A:$A,0),MATCH('Scores per segment'!C$1,'Error Log'!$A$1:$J$1,0)))</f>
        <v/>
      </c>
      <c r="D193" s="70">
        <f>IF(H193=0,wdct(TRIM(C193)),0)</f>
        <v>0</v>
      </c>
      <c r="E193" s="70">
        <f>COUNTIFS('Error Log'!$A:$A,$A193,'Error Log'!$J:$J,E$1)</f>
        <v>0</v>
      </c>
      <c r="F193" s="70">
        <f>COUNTIFS('Error Log'!$A:$A,$A193,'Error Log'!$J:$J,F$1)</f>
        <v>0</v>
      </c>
      <c r="G193" s="70">
        <f>COUNTIFS('Error Log'!$A:$A,$A193,'Error Log'!$J:$J,G$1)</f>
        <v>0</v>
      </c>
      <c r="H193" s="70">
        <f>COUNTIFS('Error Log'!$A:$A,$A193,'Error Log'!$F:$F,"Source")</f>
        <v>0</v>
      </c>
      <c r="I193" s="70">
        <f>COUNTIFS('Error Log'!$A:$A,$A193,'Error Log'!$F:$F,"Target")</f>
        <v>0</v>
      </c>
      <c r="J193" s="71">
        <f t="shared" si="2"/>
        <v>0</v>
      </c>
    </row>
    <row r="194" spans="1:10">
      <c r="A194" s="123"/>
      <c r="B194" s="70" t="str">
        <f>IF(ISBLANK(A194),"",INDEX('Error Log'!$A:$J,MATCH('Scores per segment'!$A194,'Error Log'!$A:$A,0),MATCH('Scores per segment'!B$1,'Error Log'!$A$1:$J$1,0)))</f>
        <v/>
      </c>
      <c r="C194" s="70" t="str">
        <f>IF(ISBLANK(A194),"",INDEX('Error Log'!$A:$J,MATCH('Scores per segment'!$A194,'Error Log'!$A:$A,0),MATCH('Scores per segment'!C$1,'Error Log'!$A$1:$J$1,0)))</f>
        <v/>
      </c>
      <c r="D194" s="70">
        <f>IF(H194=0,wdct(TRIM(C194)),0)</f>
        <v>0</v>
      </c>
      <c r="E194" s="70">
        <f>COUNTIFS('Error Log'!$A:$A,$A194,'Error Log'!$J:$J,E$1)</f>
        <v>0</v>
      </c>
      <c r="F194" s="70">
        <f>COUNTIFS('Error Log'!$A:$A,$A194,'Error Log'!$J:$J,F$1)</f>
        <v>0</v>
      </c>
      <c r="G194" s="70">
        <f>COUNTIFS('Error Log'!$A:$A,$A194,'Error Log'!$J:$J,G$1)</f>
        <v>0</v>
      </c>
      <c r="H194" s="70">
        <f>COUNTIFS('Error Log'!$A:$A,$A194,'Error Log'!$F:$F,"Source")</f>
        <v>0</v>
      </c>
      <c r="I194" s="70">
        <f>COUNTIFS('Error Log'!$A:$A,$A194,'Error Log'!$F:$F,"Target")</f>
        <v>0</v>
      </c>
      <c r="J194" s="71">
        <f t="shared" ref="J194:J257" si="3">IF(I194=0,IFERROR((((1-((E194*10+F194*5+G194*1)/D194))*100)+100)/2,0),-150)</f>
        <v>0</v>
      </c>
    </row>
    <row r="195" spans="1:10">
      <c r="A195" s="123"/>
      <c r="B195" s="70" t="str">
        <f>IF(ISBLANK(A195),"",INDEX('Error Log'!$A:$J,MATCH('Scores per segment'!$A195,'Error Log'!$A:$A,0),MATCH('Scores per segment'!B$1,'Error Log'!$A$1:$J$1,0)))</f>
        <v/>
      </c>
      <c r="C195" s="70" t="str">
        <f>IF(ISBLANK(A195),"",INDEX('Error Log'!$A:$J,MATCH('Scores per segment'!$A195,'Error Log'!$A:$A,0),MATCH('Scores per segment'!C$1,'Error Log'!$A$1:$J$1,0)))</f>
        <v/>
      </c>
      <c r="D195" s="70">
        <f>IF(H195=0,wdct(TRIM(C195)),0)</f>
        <v>0</v>
      </c>
      <c r="E195" s="70">
        <f>COUNTIFS('Error Log'!$A:$A,$A195,'Error Log'!$J:$J,E$1)</f>
        <v>0</v>
      </c>
      <c r="F195" s="70">
        <f>COUNTIFS('Error Log'!$A:$A,$A195,'Error Log'!$J:$J,F$1)</f>
        <v>0</v>
      </c>
      <c r="G195" s="70">
        <f>COUNTIFS('Error Log'!$A:$A,$A195,'Error Log'!$J:$J,G$1)</f>
        <v>0</v>
      </c>
      <c r="H195" s="70">
        <f>COUNTIFS('Error Log'!$A:$A,$A195,'Error Log'!$F:$F,"Source")</f>
        <v>0</v>
      </c>
      <c r="I195" s="70">
        <f>COUNTIFS('Error Log'!$A:$A,$A195,'Error Log'!$F:$F,"Target")</f>
        <v>0</v>
      </c>
      <c r="J195" s="71">
        <f t="shared" si="3"/>
        <v>0</v>
      </c>
    </row>
    <row r="196" spans="1:10">
      <c r="A196" s="123"/>
      <c r="B196" s="70" t="str">
        <f>IF(ISBLANK(A196),"",INDEX('Error Log'!$A:$J,MATCH('Scores per segment'!$A196,'Error Log'!$A:$A,0),MATCH('Scores per segment'!B$1,'Error Log'!$A$1:$J$1,0)))</f>
        <v/>
      </c>
      <c r="C196" s="70" t="str">
        <f>IF(ISBLANK(A196),"",INDEX('Error Log'!$A:$J,MATCH('Scores per segment'!$A196,'Error Log'!$A:$A,0),MATCH('Scores per segment'!C$1,'Error Log'!$A$1:$J$1,0)))</f>
        <v/>
      </c>
      <c r="D196" s="70">
        <f>IF(H196=0,wdct(TRIM(C196)),0)</f>
        <v>0</v>
      </c>
      <c r="E196" s="70">
        <f>COUNTIFS('Error Log'!$A:$A,$A196,'Error Log'!$J:$J,E$1)</f>
        <v>0</v>
      </c>
      <c r="F196" s="70">
        <f>COUNTIFS('Error Log'!$A:$A,$A196,'Error Log'!$J:$J,F$1)</f>
        <v>0</v>
      </c>
      <c r="G196" s="70">
        <f>COUNTIFS('Error Log'!$A:$A,$A196,'Error Log'!$J:$J,G$1)</f>
        <v>0</v>
      </c>
      <c r="H196" s="70">
        <f>COUNTIFS('Error Log'!$A:$A,$A196,'Error Log'!$F:$F,"Source")</f>
        <v>0</v>
      </c>
      <c r="I196" s="70">
        <f>COUNTIFS('Error Log'!$A:$A,$A196,'Error Log'!$F:$F,"Target")</f>
        <v>0</v>
      </c>
      <c r="J196" s="71">
        <f t="shared" si="3"/>
        <v>0</v>
      </c>
    </row>
    <row r="197" spans="1:10">
      <c r="A197" s="123"/>
      <c r="B197" s="70" t="str">
        <f>IF(ISBLANK(A197),"",INDEX('Error Log'!$A:$J,MATCH('Scores per segment'!$A197,'Error Log'!$A:$A,0),MATCH('Scores per segment'!B$1,'Error Log'!$A$1:$J$1,0)))</f>
        <v/>
      </c>
      <c r="C197" s="70" t="str">
        <f>IF(ISBLANK(A197),"",INDEX('Error Log'!$A:$J,MATCH('Scores per segment'!$A197,'Error Log'!$A:$A,0),MATCH('Scores per segment'!C$1,'Error Log'!$A$1:$J$1,0)))</f>
        <v/>
      </c>
      <c r="D197" s="70">
        <f>IF(H197=0,wdct(TRIM(C197)),0)</f>
        <v>0</v>
      </c>
      <c r="E197" s="70">
        <f>COUNTIFS('Error Log'!$A:$A,$A197,'Error Log'!$J:$J,E$1)</f>
        <v>0</v>
      </c>
      <c r="F197" s="70">
        <f>COUNTIFS('Error Log'!$A:$A,$A197,'Error Log'!$J:$J,F$1)</f>
        <v>0</v>
      </c>
      <c r="G197" s="70">
        <f>COUNTIFS('Error Log'!$A:$A,$A197,'Error Log'!$J:$J,G$1)</f>
        <v>0</v>
      </c>
      <c r="H197" s="70">
        <f>COUNTIFS('Error Log'!$A:$A,$A197,'Error Log'!$F:$F,"Source")</f>
        <v>0</v>
      </c>
      <c r="I197" s="70">
        <f>COUNTIFS('Error Log'!$A:$A,$A197,'Error Log'!$F:$F,"Target")</f>
        <v>0</v>
      </c>
      <c r="J197" s="71">
        <f t="shared" si="3"/>
        <v>0</v>
      </c>
    </row>
    <row r="198" spans="1:10">
      <c r="A198" s="123"/>
      <c r="B198" s="70" t="str">
        <f>IF(ISBLANK(A198),"",INDEX('Error Log'!$A:$J,MATCH('Scores per segment'!$A198,'Error Log'!$A:$A,0),MATCH('Scores per segment'!B$1,'Error Log'!$A$1:$J$1,0)))</f>
        <v/>
      </c>
      <c r="C198" s="70" t="str">
        <f>IF(ISBLANK(A198),"",INDEX('Error Log'!$A:$J,MATCH('Scores per segment'!$A198,'Error Log'!$A:$A,0),MATCH('Scores per segment'!C$1,'Error Log'!$A$1:$J$1,0)))</f>
        <v/>
      </c>
      <c r="D198" s="70">
        <f>IF(H198=0,wdct(TRIM(C198)),0)</f>
        <v>0</v>
      </c>
      <c r="E198" s="70">
        <f>COUNTIFS('Error Log'!$A:$A,$A198,'Error Log'!$J:$J,E$1)</f>
        <v>0</v>
      </c>
      <c r="F198" s="70">
        <f>COUNTIFS('Error Log'!$A:$A,$A198,'Error Log'!$J:$J,F$1)</f>
        <v>0</v>
      </c>
      <c r="G198" s="70">
        <f>COUNTIFS('Error Log'!$A:$A,$A198,'Error Log'!$J:$J,G$1)</f>
        <v>0</v>
      </c>
      <c r="H198" s="70">
        <f>COUNTIFS('Error Log'!$A:$A,$A198,'Error Log'!$F:$F,"Source")</f>
        <v>0</v>
      </c>
      <c r="I198" s="70">
        <f>COUNTIFS('Error Log'!$A:$A,$A198,'Error Log'!$F:$F,"Target")</f>
        <v>0</v>
      </c>
      <c r="J198" s="71">
        <f t="shared" si="3"/>
        <v>0</v>
      </c>
    </row>
    <row r="199" spans="1:10">
      <c r="A199" s="123"/>
      <c r="B199" s="70" t="str">
        <f>IF(ISBLANK(A199),"",INDEX('Error Log'!$A:$J,MATCH('Scores per segment'!$A199,'Error Log'!$A:$A,0),MATCH('Scores per segment'!B$1,'Error Log'!$A$1:$J$1,0)))</f>
        <v/>
      </c>
      <c r="C199" s="70" t="str">
        <f>IF(ISBLANK(A199),"",INDEX('Error Log'!$A:$J,MATCH('Scores per segment'!$A199,'Error Log'!$A:$A,0),MATCH('Scores per segment'!C$1,'Error Log'!$A$1:$J$1,0)))</f>
        <v/>
      </c>
      <c r="D199" s="70">
        <f>IF(H199=0,wdct(TRIM(C199)),0)</f>
        <v>0</v>
      </c>
      <c r="E199" s="70">
        <f>COUNTIFS('Error Log'!$A:$A,$A199,'Error Log'!$J:$J,E$1)</f>
        <v>0</v>
      </c>
      <c r="F199" s="70">
        <f>COUNTIFS('Error Log'!$A:$A,$A199,'Error Log'!$J:$J,F$1)</f>
        <v>0</v>
      </c>
      <c r="G199" s="70">
        <f>COUNTIFS('Error Log'!$A:$A,$A199,'Error Log'!$J:$J,G$1)</f>
        <v>0</v>
      </c>
      <c r="H199" s="70">
        <f>COUNTIFS('Error Log'!$A:$A,$A199,'Error Log'!$F:$F,"Source")</f>
        <v>0</v>
      </c>
      <c r="I199" s="70">
        <f>COUNTIFS('Error Log'!$A:$A,$A199,'Error Log'!$F:$F,"Target")</f>
        <v>0</v>
      </c>
      <c r="J199" s="71">
        <f t="shared" si="3"/>
        <v>0</v>
      </c>
    </row>
    <row r="200" spans="1:10">
      <c r="A200" s="123"/>
      <c r="B200" s="70" t="str">
        <f>IF(ISBLANK(A200),"",INDEX('Error Log'!$A:$J,MATCH('Scores per segment'!$A200,'Error Log'!$A:$A,0),MATCH('Scores per segment'!B$1,'Error Log'!$A$1:$J$1,0)))</f>
        <v/>
      </c>
      <c r="C200" s="70" t="str">
        <f>IF(ISBLANK(A200),"",INDEX('Error Log'!$A:$J,MATCH('Scores per segment'!$A200,'Error Log'!$A:$A,0),MATCH('Scores per segment'!C$1,'Error Log'!$A$1:$J$1,0)))</f>
        <v/>
      </c>
      <c r="D200" s="70">
        <f>IF(H200=0,wdct(TRIM(C200)),0)</f>
        <v>0</v>
      </c>
      <c r="E200" s="70">
        <f>COUNTIFS('Error Log'!$A:$A,$A200,'Error Log'!$J:$J,E$1)</f>
        <v>0</v>
      </c>
      <c r="F200" s="70">
        <f>COUNTIFS('Error Log'!$A:$A,$A200,'Error Log'!$J:$J,F$1)</f>
        <v>0</v>
      </c>
      <c r="G200" s="70">
        <f>COUNTIFS('Error Log'!$A:$A,$A200,'Error Log'!$J:$J,G$1)</f>
        <v>0</v>
      </c>
      <c r="H200" s="70">
        <f>COUNTIFS('Error Log'!$A:$A,$A200,'Error Log'!$F:$F,"Source")</f>
        <v>0</v>
      </c>
      <c r="I200" s="70">
        <f>COUNTIFS('Error Log'!$A:$A,$A200,'Error Log'!$F:$F,"Target")</f>
        <v>0</v>
      </c>
      <c r="J200" s="71">
        <f t="shared" si="3"/>
        <v>0</v>
      </c>
    </row>
    <row r="201" spans="1:10">
      <c r="A201" s="123"/>
      <c r="B201" s="70" t="str">
        <f>IF(ISBLANK(A201),"",INDEX('Error Log'!$A:$J,MATCH('Scores per segment'!$A201,'Error Log'!$A:$A,0),MATCH('Scores per segment'!B$1,'Error Log'!$A$1:$J$1,0)))</f>
        <v/>
      </c>
      <c r="C201" s="70" t="str">
        <f>IF(ISBLANK(A201),"",INDEX('Error Log'!$A:$J,MATCH('Scores per segment'!$A201,'Error Log'!$A:$A,0),MATCH('Scores per segment'!C$1,'Error Log'!$A$1:$J$1,0)))</f>
        <v/>
      </c>
      <c r="D201" s="70">
        <f>IF(H201=0,wdct(TRIM(C201)),0)</f>
        <v>0</v>
      </c>
      <c r="E201" s="70">
        <f>COUNTIFS('Error Log'!$A:$A,$A201,'Error Log'!$J:$J,E$1)</f>
        <v>0</v>
      </c>
      <c r="F201" s="70">
        <f>COUNTIFS('Error Log'!$A:$A,$A201,'Error Log'!$J:$J,F$1)</f>
        <v>0</v>
      </c>
      <c r="G201" s="70">
        <f>COUNTIFS('Error Log'!$A:$A,$A201,'Error Log'!$J:$J,G$1)</f>
        <v>0</v>
      </c>
      <c r="H201" s="70">
        <f>COUNTIFS('Error Log'!$A:$A,$A201,'Error Log'!$F:$F,"Source")</f>
        <v>0</v>
      </c>
      <c r="I201" s="70">
        <f>COUNTIFS('Error Log'!$A:$A,$A201,'Error Log'!$F:$F,"Target")</f>
        <v>0</v>
      </c>
      <c r="J201" s="71">
        <f t="shared" si="3"/>
        <v>0</v>
      </c>
    </row>
    <row r="202" spans="1:10">
      <c r="A202" s="123"/>
      <c r="B202" s="70" t="str">
        <f>IF(ISBLANK(A202),"",INDEX('Error Log'!$A:$J,MATCH('Scores per segment'!$A202,'Error Log'!$A:$A,0),MATCH('Scores per segment'!B$1,'Error Log'!$A$1:$J$1,0)))</f>
        <v/>
      </c>
      <c r="C202" s="70" t="str">
        <f>IF(ISBLANK(A202),"",INDEX('Error Log'!$A:$J,MATCH('Scores per segment'!$A202,'Error Log'!$A:$A,0),MATCH('Scores per segment'!C$1,'Error Log'!$A$1:$J$1,0)))</f>
        <v/>
      </c>
      <c r="D202" s="70">
        <f>IF(H202=0,wdct(TRIM(C202)),0)</f>
        <v>0</v>
      </c>
      <c r="E202" s="70">
        <f>COUNTIFS('Error Log'!$A:$A,$A202,'Error Log'!$J:$J,E$1)</f>
        <v>0</v>
      </c>
      <c r="F202" s="70">
        <f>COUNTIFS('Error Log'!$A:$A,$A202,'Error Log'!$J:$J,F$1)</f>
        <v>0</v>
      </c>
      <c r="G202" s="70">
        <f>COUNTIFS('Error Log'!$A:$A,$A202,'Error Log'!$J:$J,G$1)</f>
        <v>0</v>
      </c>
      <c r="H202" s="70">
        <f>COUNTIFS('Error Log'!$A:$A,$A202,'Error Log'!$F:$F,"Source")</f>
        <v>0</v>
      </c>
      <c r="I202" s="70">
        <f>COUNTIFS('Error Log'!$A:$A,$A202,'Error Log'!$F:$F,"Target")</f>
        <v>0</v>
      </c>
      <c r="J202" s="71">
        <f t="shared" si="3"/>
        <v>0</v>
      </c>
    </row>
    <row r="203" spans="1:10">
      <c r="A203" s="123"/>
      <c r="B203" s="70" t="str">
        <f>IF(ISBLANK(A203),"",INDEX('Error Log'!$A:$J,MATCH('Scores per segment'!$A203,'Error Log'!$A:$A,0),MATCH('Scores per segment'!B$1,'Error Log'!$A$1:$J$1,0)))</f>
        <v/>
      </c>
      <c r="C203" s="70" t="str">
        <f>IF(ISBLANK(A203),"",INDEX('Error Log'!$A:$J,MATCH('Scores per segment'!$A203,'Error Log'!$A:$A,0),MATCH('Scores per segment'!C$1,'Error Log'!$A$1:$J$1,0)))</f>
        <v/>
      </c>
      <c r="D203" s="70">
        <f>IF(H203=0,wdct(TRIM(C203)),0)</f>
        <v>0</v>
      </c>
      <c r="E203" s="70">
        <f>COUNTIFS('Error Log'!$A:$A,$A203,'Error Log'!$J:$J,E$1)</f>
        <v>0</v>
      </c>
      <c r="F203" s="70">
        <f>COUNTIFS('Error Log'!$A:$A,$A203,'Error Log'!$J:$J,F$1)</f>
        <v>0</v>
      </c>
      <c r="G203" s="70">
        <f>COUNTIFS('Error Log'!$A:$A,$A203,'Error Log'!$J:$J,G$1)</f>
        <v>0</v>
      </c>
      <c r="H203" s="70">
        <f>COUNTIFS('Error Log'!$A:$A,$A203,'Error Log'!$F:$F,"Source")</f>
        <v>0</v>
      </c>
      <c r="I203" s="70">
        <f>COUNTIFS('Error Log'!$A:$A,$A203,'Error Log'!$F:$F,"Target")</f>
        <v>0</v>
      </c>
      <c r="J203" s="71">
        <f t="shared" si="3"/>
        <v>0</v>
      </c>
    </row>
    <row r="204" spans="1:10">
      <c r="A204" s="123"/>
      <c r="B204" s="70" t="str">
        <f>IF(ISBLANK(A204),"",INDEX('Error Log'!$A:$J,MATCH('Scores per segment'!$A204,'Error Log'!$A:$A,0),MATCH('Scores per segment'!B$1,'Error Log'!$A$1:$J$1,0)))</f>
        <v/>
      </c>
      <c r="C204" s="70" t="str">
        <f>IF(ISBLANK(A204),"",INDEX('Error Log'!$A:$J,MATCH('Scores per segment'!$A204,'Error Log'!$A:$A,0),MATCH('Scores per segment'!C$1,'Error Log'!$A$1:$J$1,0)))</f>
        <v/>
      </c>
      <c r="D204" s="70">
        <f>IF(H204=0,wdct(TRIM(C204)),0)</f>
        <v>0</v>
      </c>
      <c r="E204" s="70">
        <f>COUNTIFS('Error Log'!$A:$A,$A204,'Error Log'!$J:$J,E$1)</f>
        <v>0</v>
      </c>
      <c r="F204" s="70">
        <f>COUNTIFS('Error Log'!$A:$A,$A204,'Error Log'!$J:$J,F$1)</f>
        <v>0</v>
      </c>
      <c r="G204" s="70">
        <f>COUNTIFS('Error Log'!$A:$A,$A204,'Error Log'!$J:$J,G$1)</f>
        <v>0</v>
      </c>
      <c r="H204" s="70">
        <f>COUNTIFS('Error Log'!$A:$A,$A204,'Error Log'!$F:$F,"Source")</f>
        <v>0</v>
      </c>
      <c r="I204" s="70">
        <f>COUNTIFS('Error Log'!$A:$A,$A204,'Error Log'!$F:$F,"Target")</f>
        <v>0</v>
      </c>
      <c r="J204" s="71">
        <f t="shared" si="3"/>
        <v>0</v>
      </c>
    </row>
    <row r="205" spans="1:10">
      <c r="A205" s="123"/>
      <c r="B205" s="70" t="str">
        <f>IF(ISBLANK(A205),"",INDEX('Error Log'!$A:$J,MATCH('Scores per segment'!$A205,'Error Log'!$A:$A,0),MATCH('Scores per segment'!B$1,'Error Log'!$A$1:$J$1,0)))</f>
        <v/>
      </c>
      <c r="C205" s="70" t="str">
        <f>IF(ISBLANK(A205),"",INDEX('Error Log'!$A:$J,MATCH('Scores per segment'!$A205,'Error Log'!$A:$A,0),MATCH('Scores per segment'!C$1,'Error Log'!$A$1:$J$1,0)))</f>
        <v/>
      </c>
      <c r="D205" s="70">
        <f>IF(H205=0,wdct(TRIM(C205)),0)</f>
        <v>0</v>
      </c>
      <c r="E205" s="70">
        <f>COUNTIFS('Error Log'!$A:$A,$A205,'Error Log'!$J:$J,E$1)</f>
        <v>0</v>
      </c>
      <c r="F205" s="70">
        <f>COUNTIFS('Error Log'!$A:$A,$A205,'Error Log'!$J:$J,F$1)</f>
        <v>0</v>
      </c>
      <c r="G205" s="70">
        <f>COUNTIFS('Error Log'!$A:$A,$A205,'Error Log'!$J:$J,G$1)</f>
        <v>0</v>
      </c>
      <c r="H205" s="70">
        <f>COUNTIFS('Error Log'!$A:$A,$A205,'Error Log'!$F:$F,"Source")</f>
        <v>0</v>
      </c>
      <c r="I205" s="70">
        <f>COUNTIFS('Error Log'!$A:$A,$A205,'Error Log'!$F:$F,"Target")</f>
        <v>0</v>
      </c>
      <c r="J205" s="71">
        <f t="shared" si="3"/>
        <v>0</v>
      </c>
    </row>
    <row r="206" spans="1:10">
      <c r="A206" s="123"/>
      <c r="B206" s="70" t="str">
        <f>IF(ISBLANK(A206),"",INDEX('Error Log'!$A:$J,MATCH('Scores per segment'!$A206,'Error Log'!$A:$A,0),MATCH('Scores per segment'!B$1,'Error Log'!$A$1:$J$1,0)))</f>
        <v/>
      </c>
      <c r="C206" s="70" t="str">
        <f>IF(ISBLANK(A206),"",INDEX('Error Log'!$A:$J,MATCH('Scores per segment'!$A206,'Error Log'!$A:$A,0),MATCH('Scores per segment'!C$1,'Error Log'!$A$1:$J$1,0)))</f>
        <v/>
      </c>
      <c r="D206" s="70">
        <f>IF(H206=0,wdct(TRIM(C206)),0)</f>
        <v>0</v>
      </c>
      <c r="E206" s="70">
        <f>COUNTIFS('Error Log'!$A:$A,$A206,'Error Log'!$J:$J,E$1)</f>
        <v>0</v>
      </c>
      <c r="F206" s="70">
        <f>COUNTIFS('Error Log'!$A:$A,$A206,'Error Log'!$J:$J,F$1)</f>
        <v>0</v>
      </c>
      <c r="G206" s="70">
        <f>COUNTIFS('Error Log'!$A:$A,$A206,'Error Log'!$J:$J,G$1)</f>
        <v>0</v>
      </c>
      <c r="H206" s="70">
        <f>COUNTIFS('Error Log'!$A:$A,$A206,'Error Log'!$F:$F,"Source")</f>
        <v>0</v>
      </c>
      <c r="I206" s="70">
        <f>COUNTIFS('Error Log'!$A:$A,$A206,'Error Log'!$F:$F,"Target")</f>
        <v>0</v>
      </c>
      <c r="J206" s="71">
        <f t="shared" si="3"/>
        <v>0</v>
      </c>
    </row>
    <row r="207" spans="1:10">
      <c r="A207" s="123"/>
      <c r="B207" s="70" t="str">
        <f>IF(ISBLANK(A207),"",INDEX('Error Log'!$A:$J,MATCH('Scores per segment'!$A207,'Error Log'!$A:$A,0),MATCH('Scores per segment'!B$1,'Error Log'!$A$1:$J$1,0)))</f>
        <v/>
      </c>
      <c r="C207" s="70" t="str">
        <f>IF(ISBLANK(A207),"",INDEX('Error Log'!$A:$J,MATCH('Scores per segment'!$A207,'Error Log'!$A:$A,0),MATCH('Scores per segment'!C$1,'Error Log'!$A$1:$J$1,0)))</f>
        <v/>
      </c>
      <c r="D207" s="70">
        <f>IF(H207=0,wdct(TRIM(C207)),0)</f>
        <v>0</v>
      </c>
      <c r="E207" s="70">
        <f>COUNTIFS('Error Log'!$A:$A,$A207,'Error Log'!$J:$J,E$1)</f>
        <v>0</v>
      </c>
      <c r="F207" s="70">
        <f>COUNTIFS('Error Log'!$A:$A,$A207,'Error Log'!$J:$J,F$1)</f>
        <v>0</v>
      </c>
      <c r="G207" s="70">
        <f>COUNTIFS('Error Log'!$A:$A,$A207,'Error Log'!$J:$J,G$1)</f>
        <v>0</v>
      </c>
      <c r="H207" s="70">
        <f>COUNTIFS('Error Log'!$A:$A,$A207,'Error Log'!$F:$F,"Source")</f>
        <v>0</v>
      </c>
      <c r="I207" s="70">
        <f>COUNTIFS('Error Log'!$A:$A,$A207,'Error Log'!$F:$F,"Target")</f>
        <v>0</v>
      </c>
      <c r="J207" s="71">
        <f t="shared" si="3"/>
        <v>0</v>
      </c>
    </row>
    <row r="208" spans="1:10">
      <c r="A208" s="123"/>
      <c r="B208" s="70" t="str">
        <f>IF(ISBLANK(A208),"",INDEX('Error Log'!$A:$J,MATCH('Scores per segment'!$A208,'Error Log'!$A:$A,0),MATCH('Scores per segment'!B$1,'Error Log'!$A$1:$J$1,0)))</f>
        <v/>
      </c>
      <c r="C208" s="70" t="str">
        <f>IF(ISBLANK(A208),"",INDEX('Error Log'!$A:$J,MATCH('Scores per segment'!$A208,'Error Log'!$A:$A,0),MATCH('Scores per segment'!C$1,'Error Log'!$A$1:$J$1,0)))</f>
        <v/>
      </c>
      <c r="D208" s="70">
        <f>IF(H208=0,wdct(TRIM(C208)),0)</f>
        <v>0</v>
      </c>
      <c r="E208" s="70">
        <f>COUNTIFS('Error Log'!$A:$A,$A208,'Error Log'!$J:$J,E$1)</f>
        <v>0</v>
      </c>
      <c r="F208" s="70">
        <f>COUNTIFS('Error Log'!$A:$A,$A208,'Error Log'!$J:$J,F$1)</f>
        <v>0</v>
      </c>
      <c r="G208" s="70">
        <f>COUNTIFS('Error Log'!$A:$A,$A208,'Error Log'!$J:$J,G$1)</f>
        <v>0</v>
      </c>
      <c r="H208" s="70">
        <f>COUNTIFS('Error Log'!$A:$A,$A208,'Error Log'!$F:$F,"Source")</f>
        <v>0</v>
      </c>
      <c r="I208" s="70">
        <f>COUNTIFS('Error Log'!$A:$A,$A208,'Error Log'!$F:$F,"Target")</f>
        <v>0</v>
      </c>
      <c r="J208" s="71">
        <f t="shared" si="3"/>
        <v>0</v>
      </c>
    </row>
    <row r="209" spans="1:10">
      <c r="A209" s="123"/>
      <c r="B209" s="70" t="str">
        <f>IF(ISBLANK(A209),"",INDEX('Error Log'!$A:$J,MATCH('Scores per segment'!$A209,'Error Log'!$A:$A,0),MATCH('Scores per segment'!B$1,'Error Log'!$A$1:$J$1,0)))</f>
        <v/>
      </c>
      <c r="C209" s="70" t="str">
        <f>IF(ISBLANK(A209),"",INDEX('Error Log'!$A:$J,MATCH('Scores per segment'!$A209,'Error Log'!$A:$A,0),MATCH('Scores per segment'!C$1,'Error Log'!$A$1:$J$1,0)))</f>
        <v/>
      </c>
      <c r="D209" s="70">
        <f>IF(H209=0,wdct(TRIM(C209)),0)</f>
        <v>0</v>
      </c>
      <c r="E209" s="70">
        <f>COUNTIFS('Error Log'!$A:$A,$A209,'Error Log'!$J:$J,E$1)</f>
        <v>0</v>
      </c>
      <c r="F209" s="70">
        <f>COUNTIFS('Error Log'!$A:$A,$A209,'Error Log'!$J:$J,F$1)</f>
        <v>0</v>
      </c>
      <c r="G209" s="70">
        <f>COUNTIFS('Error Log'!$A:$A,$A209,'Error Log'!$J:$J,G$1)</f>
        <v>0</v>
      </c>
      <c r="H209" s="70">
        <f>COUNTIFS('Error Log'!$A:$A,$A209,'Error Log'!$F:$F,"Source")</f>
        <v>0</v>
      </c>
      <c r="I209" s="70">
        <f>COUNTIFS('Error Log'!$A:$A,$A209,'Error Log'!$F:$F,"Target")</f>
        <v>0</v>
      </c>
      <c r="J209" s="71">
        <f t="shared" si="3"/>
        <v>0</v>
      </c>
    </row>
    <row r="210" spans="1:10">
      <c r="A210" s="123"/>
      <c r="B210" s="70" t="str">
        <f>IF(ISBLANK(A210),"",INDEX('Error Log'!$A:$J,MATCH('Scores per segment'!$A210,'Error Log'!$A:$A,0),MATCH('Scores per segment'!B$1,'Error Log'!$A$1:$J$1,0)))</f>
        <v/>
      </c>
      <c r="C210" s="70" t="str">
        <f>IF(ISBLANK(A210),"",INDEX('Error Log'!$A:$J,MATCH('Scores per segment'!$A210,'Error Log'!$A:$A,0),MATCH('Scores per segment'!C$1,'Error Log'!$A$1:$J$1,0)))</f>
        <v/>
      </c>
      <c r="D210" s="70">
        <f>IF(H210=0,wdct(TRIM(C210)),0)</f>
        <v>0</v>
      </c>
      <c r="E210" s="70">
        <f>COUNTIFS('Error Log'!$A:$A,$A210,'Error Log'!$J:$J,E$1)</f>
        <v>0</v>
      </c>
      <c r="F210" s="70">
        <f>COUNTIFS('Error Log'!$A:$A,$A210,'Error Log'!$J:$J,F$1)</f>
        <v>0</v>
      </c>
      <c r="G210" s="70">
        <f>COUNTIFS('Error Log'!$A:$A,$A210,'Error Log'!$J:$J,G$1)</f>
        <v>0</v>
      </c>
      <c r="H210" s="70">
        <f>COUNTIFS('Error Log'!$A:$A,$A210,'Error Log'!$F:$F,"Source")</f>
        <v>0</v>
      </c>
      <c r="I210" s="70">
        <f>COUNTIFS('Error Log'!$A:$A,$A210,'Error Log'!$F:$F,"Target")</f>
        <v>0</v>
      </c>
      <c r="J210" s="71">
        <f t="shared" si="3"/>
        <v>0</v>
      </c>
    </row>
    <row r="211" spans="1:10">
      <c r="A211" s="123"/>
      <c r="B211" s="70" t="str">
        <f>IF(ISBLANK(A211),"",INDEX('Error Log'!$A:$J,MATCH('Scores per segment'!$A211,'Error Log'!$A:$A,0),MATCH('Scores per segment'!B$1,'Error Log'!$A$1:$J$1,0)))</f>
        <v/>
      </c>
      <c r="C211" s="70" t="str">
        <f>IF(ISBLANK(A211),"",INDEX('Error Log'!$A:$J,MATCH('Scores per segment'!$A211,'Error Log'!$A:$A,0),MATCH('Scores per segment'!C$1,'Error Log'!$A$1:$J$1,0)))</f>
        <v/>
      </c>
      <c r="D211" s="70">
        <f>IF(H211=0,wdct(TRIM(C211)),0)</f>
        <v>0</v>
      </c>
      <c r="E211" s="70">
        <f>COUNTIFS('Error Log'!$A:$A,$A211,'Error Log'!$J:$J,E$1)</f>
        <v>0</v>
      </c>
      <c r="F211" s="70">
        <f>COUNTIFS('Error Log'!$A:$A,$A211,'Error Log'!$J:$J,F$1)</f>
        <v>0</v>
      </c>
      <c r="G211" s="70">
        <f>COUNTIFS('Error Log'!$A:$A,$A211,'Error Log'!$J:$J,G$1)</f>
        <v>0</v>
      </c>
      <c r="H211" s="70">
        <f>COUNTIFS('Error Log'!$A:$A,$A211,'Error Log'!$F:$F,"Source")</f>
        <v>0</v>
      </c>
      <c r="I211" s="70">
        <f>COUNTIFS('Error Log'!$A:$A,$A211,'Error Log'!$F:$F,"Target")</f>
        <v>0</v>
      </c>
      <c r="J211" s="71">
        <f t="shared" si="3"/>
        <v>0</v>
      </c>
    </row>
    <row r="212" spans="1:10">
      <c r="A212" s="123"/>
      <c r="B212" s="70" t="str">
        <f>IF(ISBLANK(A212),"",INDEX('Error Log'!$A:$J,MATCH('Scores per segment'!$A212,'Error Log'!$A:$A,0),MATCH('Scores per segment'!B$1,'Error Log'!$A$1:$J$1,0)))</f>
        <v/>
      </c>
      <c r="C212" s="70" t="str">
        <f>IF(ISBLANK(A212),"",INDEX('Error Log'!$A:$J,MATCH('Scores per segment'!$A212,'Error Log'!$A:$A,0),MATCH('Scores per segment'!C$1,'Error Log'!$A$1:$J$1,0)))</f>
        <v/>
      </c>
      <c r="D212" s="70">
        <f>IF(H212=0,wdct(TRIM(C212)),0)</f>
        <v>0</v>
      </c>
      <c r="E212" s="70">
        <f>COUNTIFS('Error Log'!$A:$A,$A212,'Error Log'!$J:$J,E$1)</f>
        <v>0</v>
      </c>
      <c r="F212" s="70">
        <f>COUNTIFS('Error Log'!$A:$A,$A212,'Error Log'!$J:$J,F$1)</f>
        <v>0</v>
      </c>
      <c r="G212" s="70">
        <f>COUNTIFS('Error Log'!$A:$A,$A212,'Error Log'!$J:$J,G$1)</f>
        <v>0</v>
      </c>
      <c r="H212" s="70">
        <f>COUNTIFS('Error Log'!$A:$A,$A212,'Error Log'!$F:$F,"Source")</f>
        <v>0</v>
      </c>
      <c r="I212" s="70">
        <f>COUNTIFS('Error Log'!$A:$A,$A212,'Error Log'!$F:$F,"Target")</f>
        <v>0</v>
      </c>
      <c r="J212" s="71">
        <f t="shared" si="3"/>
        <v>0</v>
      </c>
    </row>
    <row r="213" spans="1:10">
      <c r="A213" s="123"/>
      <c r="B213" s="70" t="str">
        <f>IF(ISBLANK(A213),"",INDEX('Error Log'!$A:$J,MATCH('Scores per segment'!$A213,'Error Log'!$A:$A,0),MATCH('Scores per segment'!B$1,'Error Log'!$A$1:$J$1,0)))</f>
        <v/>
      </c>
      <c r="C213" s="70" t="str">
        <f>IF(ISBLANK(A213),"",INDEX('Error Log'!$A:$J,MATCH('Scores per segment'!$A213,'Error Log'!$A:$A,0),MATCH('Scores per segment'!C$1,'Error Log'!$A$1:$J$1,0)))</f>
        <v/>
      </c>
      <c r="D213" s="70">
        <f>IF(H213=0,wdct(TRIM(C213)),0)</f>
        <v>0</v>
      </c>
      <c r="E213" s="70">
        <f>COUNTIFS('Error Log'!$A:$A,$A213,'Error Log'!$J:$J,E$1)</f>
        <v>0</v>
      </c>
      <c r="F213" s="70">
        <f>COUNTIFS('Error Log'!$A:$A,$A213,'Error Log'!$J:$J,F$1)</f>
        <v>0</v>
      </c>
      <c r="G213" s="70">
        <f>COUNTIFS('Error Log'!$A:$A,$A213,'Error Log'!$J:$J,G$1)</f>
        <v>0</v>
      </c>
      <c r="H213" s="70">
        <f>COUNTIFS('Error Log'!$A:$A,$A213,'Error Log'!$F:$F,"Source")</f>
        <v>0</v>
      </c>
      <c r="I213" s="70">
        <f>COUNTIFS('Error Log'!$A:$A,$A213,'Error Log'!$F:$F,"Target")</f>
        <v>0</v>
      </c>
      <c r="J213" s="71">
        <f t="shared" si="3"/>
        <v>0</v>
      </c>
    </row>
    <row r="214" spans="1:10">
      <c r="A214" s="123"/>
      <c r="B214" s="70" t="str">
        <f>IF(ISBLANK(A214),"",INDEX('Error Log'!$A:$J,MATCH('Scores per segment'!$A214,'Error Log'!$A:$A,0),MATCH('Scores per segment'!B$1,'Error Log'!$A$1:$J$1,0)))</f>
        <v/>
      </c>
      <c r="C214" s="70" t="str">
        <f>IF(ISBLANK(A214),"",INDEX('Error Log'!$A:$J,MATCH('Scores per segment'!$A214,'Error Log'!$A:$A,0),MATCH('Scores per segment'!C$1,'Error Log'!$A$1:$J$1,0)))</f>
        <v/>
      </c>
      <c r="D214" s="70">
        <f>IF(H214=0,wdct(TRIM(C214)),0)</f>
        <v>0</v>
      </c>
      <c r="E214" s="70">
        <f>COUNTIFS('Error Log'!$A:$A,$A214,'Error Log'!$J:$J,E$1)</f>
        <v>0</v>
      </c>
      <c r="F214" s="70">
        <f>COUNTIFS('Error Log'!$A:$A,$A214,'Error Log'!$J:$J,F$1)</f>
        <v>0</v>
      </c>
      <c r="G214" s="70">
        <f>COUNTIFS('Error Log'!$A:$A,$A214,'Error Log'!$J:$J,G$1)</f>
        <v>0</v>
      </c>
      <c r="H214" s="70">
        <f>COUNTIFS('Error Log'!$A:$A,$A214,'Error Log'!$F:$F,"Source")</f>
        <v>0</v>
      </c>
      <c r="I214" s="70">
        <f>COUNTIFS('Error Log'!$A:$A,$A214,'Error Log'!$F:$F,"Target")</f>
        <v>0</v>
      </c>
      <c r="J214" s="71">
        <f t="shared" si="3"/>
        <v>0</v>
      </c>
    </row>
    <row r="215" spans="1:10">
      <c r="A215" s="123"/>
      <c r="B215" s="70" t="str">
        <f>IF(ISBLANK(A215),"",INDEX('Error Log'!$A:$J,MATCH('Scores per segment'!$A215,'Error Log'!$A:$A,0),MATCH('Scores per segment'!B$1,'Error Log'!$A$1:$J$1,0)))</f>
        <v/>
      </c>
      <c r="C215" s="70" t="str">
        <f>IF(ISBLANK(A215),"",INDEX('Error Log'!$A:$J,MATCH('Scores per segment'!$A215,'Error Log'!$A:$A,0),MATCH('Scores per segment'!C$1,'Error Log'!$A$1:$J$1,0)))</f>
        <v/>
      </c>
      <c r="D215" s="70">
        <f>IF(H215=0,wdct(TRIM(C215)),0)</f>
        <v>0</v>
      </c>
      <c r="E215" s="70">
        <f>COUNTIFS('Error Log'!$A:$A,$A215,'Error Log'!$J:$J,E$1)</f>
        <v>0</v>
      </c>
      <c r="F215" s="70">
        <f>COUNTIFS('Error Log'!$A:$A,$A215,'Error Log'!$J:$J,F$1)</f>
        <v>0</v>
      </c>
      <c r="G215" s="70">
        <f>COUNTIFS('Error Log'!$A:$A,$A215,'Error Log'!$J:$J,G$1)</f>
        <v>0</v>
      </c>
      <c r="H215" s="70">
        <f>COUNTIFS('Error Log'!$A:$A,$A215,'Error Log'!$F:$F,"Source")</f>
        <v>0</v>
      </c>
      <c r="I215" s="70">
        <f>COUNTIFS('Error Log'!$A:$A,$A215,'Error Log'!$F:$F,"Target")</f>
        <v>0</v>
      </c>
      <c r="J215" s="71">
        <f t="shared" si="3"/>
        <v>0</v>
      </c>
    </row>
    <row r="216" spans="1:10">
      <c r="A216" s="123"/>
      <c r="B216" s="70" t="str">
        <f>IF(ISBLANK(A216),"",INDEX('Error Log'!$A:$J,MATCH('Scores per segment'!$A216,'Error Log'!$A:$A,0),MATCH('Scores per segment'!B$1,'Error Log'!$A$1:$J$1,0)))</f>
        <v/>
      </c>
      <c r="C216" s="70" t="str">
        <f>IF(ISBLANK(A216),"",INDEX('Error Log'!$A:$J,MATCH('Scores per segment'!$A216,'Error Log'!$A:$A,0),MATCH('Scores per segment'!C$1,'Error Log'!$A$1:$J$1,0)))</f>
        <v/>
      </c>
      <c r="D216" s="70">
        <f>IF(H216=0,wdct(TRIM(C216)),0)</f>
        <v>0</v>
      </c>
      <c r="E216" s="70">
        <f>COUNTIFS('Error Log'!$A:$A,$A216,'Error Log'!$J:$J,E$1)</f>
        <v>0</v>
      </c>
      <c r="F216" s="70">
        <f>COUNTIFS('Error Log'!$A:$A,$A216,'Error Log'!$J:$J,F$1)</f>
        <v>0</v>
      </c>
      <c r="G216" s="70">
        <f>COUNTIFS('Error Log'!$A:$A,$A216,'Error Log'!$J:$J,G$1)</f>
        <v>0</v>
      </c>
      <c r="H216" s="70">
        <f>COUNTIFS('Error Log'!$A:$A,$A216,'Error Log'!$F:$F,"Source")</f>
        <v>0</v>
      </c>
      <c r="I216" s="70">
        <f>COUNTIFS('Error Log'!$A:$A,$A216,'Error Log'!$F:$F,"Target")</f>
        <v>0</v>
      </c>
      <c r="J216" s="71">
        <f t="shared" si="3"/>
        <v>0</v>
      </c>
    </row>
    <row r="217" spans="1:10">
      <c r="A217" s="123"/>
      <c r="B217" s="70" t="str">
        <f>IF(ISBLANK(A217),"",INDEX('Error Log'!$A:$J,MATCH('Scores per segment'!$A217,'Error Log'!$A:$A,0),MATCH('Scores per segment'!B$1,'Error Log'!$A$1:$J$1,0)))</f>
        <v/>
      </c>
      <c r="C217" s="70" t="str">
        <f>IF(ISBLANK(A217),"",INDEX('Error Log'!$A:$J,MATCH('Scores per segment'!$A217,'Error Log'!$A:$A,0),MATCH('Scores per segment'!C$1,'Error Log'!$A$1:$J$1,0)))</f>
        <v/>
      </c>
      <c r="D217" s="70">
        <f>IF(H217=0,wdct(TRIM(C217)),0)</f>
        <v>0</v>
      </c>
      <c r="E217" s="70">
        <f>COUNTIFS('Error Log'!$A:$A,$A217,'Error Log'!$J:$J,E$1)</f>
        <v>0</v>
      </c>
      <c r="F217" s="70">
        <f>COUNTIFS('Error Log'!$A:$A,$A217,'Error Log'!$J:$J,F$1)</f>
        <v>0</v>
      </c>
      <c r="G217" s="70">
        <f>COUNTIFS('Error Log'!$A:$A,$A217,'Error Log'!$J:$J,G$1)</f>
        <v>0</v>
      </c>
      <c r="H217" s="70">
        <f>COUNTIFS('Error Log'!$A:$A,$A217,'Error Log'!$F:$F,"Source")</f>
        <v>0</v>
      </c>
      <c r="I217" s="70">
        <f>COUNTIFS('Error Log'!$A:$A,$A217,'Error Log'!$F:$F,"Target")</f>
        <v>0</v>
      </c>
      <c r="J217" s="71">
        <f t="shared" si="3"/>
        <v>0</v>
      </c>
    </row>
    <row r="218" spans="1:10">
      <c r="A218" s="123"/>
      <c r="B218" s="70" t="str">
        <f>IF(ISBLANK(A218),"",INDEX('Error Log'!$A:$J,MATCH('Scores per segment'!$A218,'Error Log'!$A:$A,0),MATCH('Scores per segment'!B$1,'Error Log'!$A$1:$J$1,0)))</f>
        <v/>
      </c>
      <c r="C218" s="70" t="str">
        <f>IF(ISBLANK(A218),"",INDEX('Error Log'!$A:$J,MATCH('Scores per segment'!$A218,'Error Log'!$A:$A,0),MATCH('Scores per segment'!C$1,'Error Log'!$A$1:$J$1,0)))</f>
        <v/>
      </c>
      <c r="D218" s="70">
        <f>IF(H218=0,wdct(TRIM(C218)),0)</f>
        <v>0</v>
      </c>
      <c r="E218" s="70">
        <f>COUNTIFS('Error Log'!$A:$A,$A218,'Error Log'!$J:$J,E$1)</f>
        <v>0</v>
      </c>
      <c r="F218" s="70">
        <f>COUNTIFS('Error Log'!$A:$A,$A218,'Error Log'!$J:$J,F$1)</f>
        <v>0</v>
      </c>
      <c r="G218" s="70">
        <f>COUNTIFS('Error Log'!$A:$A,$A218,'Error Log'!$J:$J,G$1)</f>
        <v>0</v>
      </c>
      <c r="H218" s="70">
        <f>COUNTIFS('Error Log'!$A:$A,$A218,'Error Log'!$F:$F,"Source")</f>
        <v>0</v>
      </c>
      <c r="I218" s="70">
        <f>COUNTIFS('Error Log'!$A:$A,$A218,'Error Log'!$F:$F,"Target")</f>
        <v>0</v>
      </c>
      <c r="J218" s="71">
        <f t="shared" si="3"/>
        <v>0</v>
      </c>
    </row>
    <row r="219" spans="1:10">
      <c r="A219" s="123"/>
      <c r="B219" s="70" t="str">
        <f>IF(ISBLANK(A219),"",INDEX('Error Log'!$A:$J,MATCH('Scores per segment'!$A219,'Error Log'!$A:$A,0),MATCH('Scores per segment'!B$1,'Error Log'!$A$1:$J$1,0)))</f>
        <v/>
      </c>
      <c r="C219" s="70" t="str">
        <f>IF(ISBLANK(A219),"",INDEX('Error Log'!$A:$J,MATCH('Scores per segment'!$A219,'Error Log'!$A:$A,0),MATCH('Scores per segment'!C$1,'Error Log'!$A$1:$J$1,0)))</f>
        <v/>
      </c>
      <c r="D219" s="70">
        <f>IF(H219=0,wdct(TRIM(C219)),0)</f>
        <v>0</v>
      </c>
      <c r="E219" s="70">
        <f>COUNTIFS('Error Log'!$A:$A,$A219,'Error Log'!$J:$J,E$1)</f>
        <v>0</v>
      </c>
      <c r="F219" s="70">
        <f>COUNTIFS('Error Log'!$A:$A,$A219,'Error Log'!$J:$J,F$1)</f>
        <v>0</v>
      </c>
      <c r="G219" s="70">
        <f>COUNTIFS('Error Log'!$A:$A,$A219,'Error Log'!$J:$J,G$1)</f>
        <v>0</v>
      </c>
      <c r="H219" s="70">
        <f>COUNTIFS('Error Log'!$A:$A,$A219,'Error Log'!$F:$F,"Source")</f>
        <v>0</v>
      </c>
      <c r="I219" s="70">
        <f>COUNTIFS('Error Log'!$A:$A,$A219,'Error Log'!$F:$F,"Target")</f>
        <v>0</v>
      </c>
      <c r="J219" s="71">
        <f t="shared" si="3"/>
        <v>0</v>
      </c>
    </row>
    <row r="220" spans="1:10">
      <c r="A220" s="123"/>
      <c r="B220" s="70" t="str">
        <f>IF(ISBLANK(A220),"",INDEX('Error Log'!$A:$J,MATCH('Scores per segment'!$A220,'Error Log'!$A:$A,0),MATCH('Scores per segment'!B$1,'Error Log'!$A$1:$J$1,0)))</f>
        <v/>
      </c>
      <c r="C220" s="70" t="str">
        <f>IF(ISBLANK(A220),"",INDEX('Error Log'!$A:$J,MATCH('Scores per segment'!$A220,'Error Log'!$A:$A,0),MATCH('Scores per segment'!C$1,'Error Log'!$A$1:$J$1,0)))</f>
        <v/>
      </c>
      <c r="D220" s="70">
        <f>IF(H220=0,wdct(TRIM(C220)),0)</f>
        <v>0</v>
      </c>
      <c r="E220" s="70">
        <f>COUNTIFS('Error Log'!$A:$A,$A220,'Error Log'!$J:$J,E$1)</f>
        <v>0</v>
      </c>
      <c r="F220" s="70">
        <f>COUNTIFS('Error Log'!$A:$A,$A220,'Error Log'!$J:$J,F$1)</f>
        <v>0</v>
      </c>
      <c r="G220" s="70">
        <f>COUNTIFS('Error Log'!$A:$A,$A220,'Error Log'!$J:$J,G$1)</f>
        <v>0</v>
      </c>
      <c r="H220" s="70">
        <f>COUNTIFS('Error Log'!$A:$A,$A220,'Error Log'!$F:$F,"Source")</f>
        <v>0</v>
      </c>
      <c r="I220" s="70">
        <f>COUNTIFS('Error Log'!$A:$A,$A220,'Error Log'!$F:$F,"Target")</f>
        <v>0</v>
      </c>
      <c r="J220" s="71">
        <f t="shared" si="3"/>
        <v>0</v>
      </c>
    </row>
    <row r="221" spans="1:10">
      <c r="A221" s="123"/>
      <c r="B221" s="70" t="str">
        <f>IF(ISBLANK(A221),"",INDEX('Error Log'!$A:$J,MATCH('Scores per segment'!$A221,'Error Log'!$A:$A,0),MATCH('Scores per segment'!B$1,'Error Log'!$A$1:$J$1,0)))</f>
        <v/>
      </c>
      <c r="C221" s="70" t="str">
        <f>IF(ISBLANK(A221),"",INDEX('Error Log'!$A:$J,MATCH('Scores per segment'!$A221,'Error Log'!$A:$A,0),MATCH('Scores per segment'!C$1,'Error Log'!$A$1:$J$1,0)))</f>
        <v/>
      </c>
      <c r="D221" s="70">
        <f>IF(H221=0,wdct(TRIM(C221)),0)</f>
        <v>0</v>
      </c>
      <c r="E221" s="70">
        <f>COUNTIFS('Error Log'!$A:$A,$A221,'Error Log'!$J:$J,E$1)</f>
        <v>0</v>
      </c>
      <c r="F221" s="70">
        <f>COUNTIFS('Error Log'!$A:$A,$A221,'Error Log'!$J:$J,F$1)</f>
        <v>0</v>
      </c>
      <c r="G221" s="70">
        <f>COUNTIFS('Error Log'!$A:$A,$A221,'Error Log'!$J:$J,G$1)</f>
        <v>0</v>
      </c>
      <c r="H221" s="70">
        <f>COUNTIFS('Error Log'!$A:$A,$A221,'Error Log'!$F:$F,"Source")</f>
        <v>0</v>
      </c>
      <c r="I221" s="70">
        <f>COUNTIFS('Error Log'!$A:$A,$A221,'Error Log'!$F:$F,"Target")</f>
        <v>0</v>
      </c>
      <c r="J221" s="71">
        <f t="shared" si="3"/>
        <v>0</v>
      </c>
    </row>
    <row r="222" spans="1:10">
      <c r="A222" s="123"/>
      <c r="B222" s="70" t="str">
        <f>IF(ISBLANK(A222),"",INDEX('Error Log'!$A:$J,MATCH('Scores per segment'!$A222,'Error Log'!$A:$A,0),MATCH('Scores per segment'!B$1,'Error Log'!$A$1:$J$1,0)))</f>
        <v/>
      </c>
      <c r="C222" s="70" t="str">
        <f>IF(ISBLANK(A222),"",INDEX('Error Log'!$A:$J,MATCH('Scores per segment'!$A222,'Error Log'!$A:$A,0),MATCH('Scores per segment'!C$1,'Error Log'!$A$1:$J$1,0)))</f>
        <v/>
      </c>
      <c r="D222" s="70">
        <f>IF(H222=0,wdct(TRIM(C222)),0)</f>
        <v>0</v>
      </c>
      <c r="E222" s="70">
        <f>COUNTIFS('Error Log'!$A:$A,$A222,'Error Log'!$J:$J,E$1)</f>
        <v>0</v>
      </c>
      <c r="F222" s="70">
        <f>COUNTIFS('Error Log'!$A:$A,$A222,'Error Log'!$J:$J,F$1)</f>
        <v>0</v>
      </c>
      <c r="G222" s="70">
        <f>COUNTIFS('Error Log'!$A:$A,$A222,'Error Log'!$J:$J,G$1)</f>
        <v>0</v>
      </c>
      <c r="H222" s="70">
        <f>COUNTIFS('Error Log'!$A:$A,$A222,'Error Log'!$F:$F,"Source")</f>
        <v>0</v>
      </c>
      <c r="I222" s="70">
        <f>COUNTIFS('Error Log'!$A:$A,$A222,'Error Log'!$F:$F,"Target")</f>
        <v>0</v>
      </c>
      <c r="J222" s="71">
        <f t="shared" si="3"/>
        <v>0</v>
      </c>
    </row>
    <row r="223" spans="1:10">
      <c r="A223" s="123"/>
      <c r="B223" s="70" t="str">
        <f>IF(ISBLANK(A223),"",INDEX('Error Log'!$A:$J,MATCH('Scores per segment'!$A223,'Error Log'!$A:$A,0),MATCH('Scores per segment'!B$1,'Error Log'!$A$1:$J$1,0)))</f>
        <v/>
      </c>
      <c r="C223" s="70" t="str">
        <f>IF(ISBLANK(A223),"",INDEX('Error Log'!$A:$J,MATCH('Scores per segment'!$A223,'Error Log'!$A:$A,0),MATCH('Scores per segment'!C$1,'Error Log'!$A$1:$J$1,0)))</f>
        <v/>
      </c>
      <c r="D223" s="70">
        <f>IF(H223=0,wdct(TRIM(C223)),0)</f>
        <v>0</v>
      </c>
      <c r="E223" s="70">
        <f>COUNTIFS('Error Log'!$A:$A,$A223,'Error Log'!$J:$J,E$1)</f>
        <v>0</v>
      </c>
      <c r="F223" s="70">
        <f>COUNTIFS('Error Log'!$A:$A,$A223,'Error Log'!$J:$J,F$1)</f>
        <v>0</v>
      </c>
      <c r="G223" s="70">
        <f>COUNTIFS('Error Log'!$A:$A,$A223,'Error Log'!$J:$J,G$1)</f>
        <v>0</v>
      </c>
      <c r="H223" s="70">
        <f>COUNTIFS('Error Log'!$A:$A,$A223,'Error Log'!$F:$F,"Source")</f>
        <v>0</v>
      </c>
      <c r="I223" s="70">
        <f>COUNTIFS('Error Log'!$A:$A,$A223,'Error Log'!$F:$F,"Target")</f>
        <v>0</v>
      </c>
      <c r="J223" s="71">
        <f t="shared" si="3"/>
        <v>0</v>
      </c>
    </row>
    <row r="224" spans="1:10">
      <c r="A224" s="123"/>
      <c r="B224" s="70" t="str">
        <f>IF(ISBLANK(A224),"",INDEX('Error Log'!$A:$J,MATCH('Scores per segment'!$A224,'Error Log'!$A:$A,0),MATCH('Scores per segment'!B$1,'Error Log'!$A$1:$J$1,0)))</f>
        <v/>
      </c>
      <c r="C224" s="70" t="str">
        <f>IF(ISBLANK(A224),"",INDEX('Error Log'!$A:$J,MATCH('Scores per segment'!$A224,'Error Log'!$A:$A,0),MATCH('Scores per segment'!C$1,'Error Log'!$A$1:$J$1,0)))</f>
        <v/>
      </c>
      <c r="D224" s="70">
        <f>IF(H224=0,wdct(TRIM(C224)),0)</f>
        <v>0</v>
      </c>
      <c r="E224" s="70">
        <f>COUNTIFS('Error Log'!$A:$A,$A224,'Error Log'!$J:$J,E$1)</f>
        <v>0</v>
      </c>
      <c r="F224" s="70">
        <f>COUNTIFS('Error Log'!$A:$A,$A224,'Error Log'!$J:$J,F$1)</f>
        <v>0</v>
      </c>
      <c r="G224" s="70">
        <f>COUNTIFS('Error Log'!$A:$A,$A224,'Error Log'!$J:$J,G$1)</f>
        <v>0</v>
      </c>
      <c r="H224" s="70">
        <f>COUNTIFS('Error Log'!$A:$A,$A224,'Error Log'!$F:$F,"Source")</f>
        <v>0</v>
      </c>
      <c r="I224" s="70">
        <f>COUNTIFS('Error Log'!$A:$A,$A224,'Error Log'!$F:$F,"Target")</f>
        <v>0</v>
      </c>
      <c r="J224" s="71">
        <f t="shared" si="3"/>
        <v>0</v>
      </c>
    </row>
    <row r="225" spans="1:10">
      <c r="A225" s="123"/>
      <c r="B225" s="70" t="str">
        <f>IF(ISBLANK(A225),"",INDEX('Error Log'!$A:$J,MATCH('Scores per segment'!$A225,'Error Log'!$A:$A,0),MATCH('Scores per segment'!B$1,'Error Log'!$A$1:$J$1,0)))</f>
        <v/>
      </c>
      <c r="C225" s="70" t="str">
        <f>IF(ISBLANK(A225),"",INDEX('Error Log'!$A:$J,MATCH('Scores per segment'!$A225,'Error Log'!$A:$A,0),MATCH('Scores per segment'!C$1,'Error Log'!$A$1:$J$1,0)))</f>
        <v/>
      </c>
      <c r="D225" s="70">
        <f>IF(H225=0,wdct(TRIM(C225)),0)</f>
        <v>0</v>
      </c>
      <c r="E225" s="70">
        <f>COUNTIFS('Error Log'!$A:$A,$A225,'Error Log'!$J:$J,E$1)</f>
        <v>0</v>
      </c>
      <c r="F225" s="70">
        <f>COUNTIFS('Error Log'!$A:$A,$A225,'Error Log'!$J:$J,F$1)</f>
        <v>0</v>
      </c>
      <c r="G225" s="70">
        <f>COUNTIFS('Error Log'!$A:$A,$A225,'Error Log'!$J:$J,G$1)</f>
        <v>0</v>
      </c>
      <c r="H225" s="70">
        <f>COUNTIFS('Error Log'!$A:$A,$A225,'Error Log'!$F:$F,"Source")</f>
        <v>0</v>
      </c>
      <c r="I225" s="70">
        <f>COUNTIFS('Error Log'!$A:$A,$A225,'Error Log'!$F:$F,"Target")</f>
        <v>0</v>
      </c>
      <c r="J225" s="71">
        <f t="shared" si="3"/>
        <v>0</v>
      </c>
    </row>
    <row r="226" spans="1:10">
      <c r="A226" s="123"/>
      <c r="B226" s="70" t="str">
        <f>IF(ISBLANK(A226),"",INDEX('Error Log'!$A:$J,MATCH('Scores per segment'!$A226,'Error Log'!$A:$A,0),MATCH('Scores per segment'!B$1,'Error Log'!$A$1:$J$1,0)))</f>
        <v/>
      </c>
      <c r="C226" s="70" t="str">
        <f>IF(ISBLANK(A226),"",INDEX('Error Log'!$A:$J,MATCH('Scores per segment'!$A226,'Error Log'!$A:$A,0),MATCH('Scores per segment'!C$1,'Error Log'!$A$1:$J$1,0)))</f>
        <v/>
      </c>
      <c r="D226" s="70">
        <f>IF(H226=0,wdct(TRIM(C226)),0)</f>
        <v>0</v>
      </c>
      <c r="E226" s="70">
        <f>COUNTIFS('Error Log'!$A:$A,$A226,'Error Log'!$J:$J,E$1)</f>
        <v>0</v>
      </c>
      <c r="F226" s="70">
        <f>COUNTIFS('Error Log'!$A:$A,$A226,'Error Log'!$J:$J,F$1)</f>
        <v>0</v>
      </c>
      <c r="G226" s="70">
        <f>COUNTIFS('Error Log'!$A:$A,$A226,'Error Log'!$J:$J,G$1)</f>
        <v>0</v>
      </c>
      <c r="H226" s="70">
        <f>COUNTIFS('Error Log'!$A:$A,$A226,'Error Log'!$F:$F,"Source")</f>
        <v>0</v>
      </c>
      <c r="I226" s="70">
        <f>COUNTIFS('Error Log'!$A:$A,$A226,'Error Log'!$F:$F,"Target")</f>
        <v>0</v>
      </c>
      <c r="J226" s="71">
        <f t="shared" si="3"/>
        <v>0</v>
      </c>
    </row>
    <row r="227" spans="1:10">
      <c r="A227" s="123"/>
      <c r="B227" s="70" t="str">
        <f>IF(ISBLANK(A227),"",INDEX('Error Log'!$A:$J,MATCH('Scores per segment'!$A227,'Error Log'!$A:$A,0),MATCH('Scores per segment'!B$1,'Error Log'!$A$1:$J$1,0)))</f>
        <v/>
      </c>
      <c r="C227" s="70" t="str">
        <f>IF(ISBLANK(A227),"",INDEX('Error Log'!$A:$J,MATCH('Scores per segment'!$A227,'Error Log'!$A:$A,0),MATCH('Scores per segment'!C$1,'Error Log'!$A$1:$J$1,0)))</f>
        <v/>
      </c>
      <c r="D227" s="70">
        <f>IF(H227=0,wdct(TRIM(C227)),0)</f>
        <v>0</v>
      </c>
      <c r="E227" s="70">
        <f>COUNTIFS('Error Log'!$A:$A,$A227,'Error Log'!$J:$J,E$1)</f>
        <v>0</v>
      </c>
      <c r="F227" s="70">
        <f>COUNTIFS('Error Log'!$A:$A,$A227,'Error Log'!$J:$J,F$1)</f>
        <v>0</v>
      </c>
      <c r="G227" s="70">
        <f>COUNTIFS('Error Log'!$A:$A,$A227,'Error Log'!$J:$J,G$1)</f>
        <v>0</v>
      </c>
      <c r="H227" s="70">
        <f>COUNTIFS('Error Log'!$A:$A,$A227,'Error Log'!$F:$F,"Source")</f>
        <v>0</v>
      </c>
      <c r="I227" s="70">
        <f>COUNTIFS('Error Log'!$A:$A,$A227,'Error Log'!$F:$F,"Target")</f>
        <v>0</v>
      </c>
      <c r="J227" s="71">
        <f t="shared" si="3"/>
        <v>0</v>
      </c>
    </row>
    <row r="228" spans="1:10">
      <c r="A228" s="123"/>
      <c r="B228" s="70" t="str">
        <f>IF(ISBLANK(A228),"",INDEX('Error Log'!$A:$J,MATCH('Scores per segment'!$A228,'Error Log'!$A:$A,0),MATCH('Scores per segment'!B$1,'Error Log'!$A$1:$J$1,0)))</f>
        <v/>
      </c>
      <c r="C228" s="70" t="str">
        <f>IF(ISBLANK(A228),"",INDEX('Error Log'!$A:$J,MATCH('Scores per segment'!$A228,'Error Log'!$A:$A,0),MATCH('Scores per segment'!C$1,'Error Log'!$A$1:$J$1,0)))</f>
        <v/>
      </c>
      <c r="D228" s="70">
        <f>IF(H228=0,wdct(TRIM(C228)),0)</f>
        <v>0</v>
      </c>
      <c r="E228" s="70">
        <f>COUNTIFS('Error Log'!$A:$A,$A228,'Error Log'!$J:$J,E$1)</f>
        <v>0</v>
      </c>
      <c r="F228" s="70">
        <f>COUNTIFS('Error Log'!$A:$A,$A228,'Error Log'!$J:$J,F$1)</f>
        <v>0</v>
      </c>
      <c r="G228" s="70">
        <f>COUNTIFS('Error Log'!$A:$A,$A228,'Error Log'!$J:$J,G$1)</f>
        <v>0</v>
      </c>
      <c r="H228" s="70">
        <f>COUNTIFS('Error Log'!$A:$A,$A228,'Error Log'!$F:$F,"Source")</f>
        <v>0</v>
      </c>
      <c r="I228" s="70">
        <f>COUNTIFS('Error Log'!$A:$A,$A228,'Error Log'!$F:$F,"Target")</f>
        <v>0</v>
      </c>
      <c r="J228" s="71">
        <f t="shared" si="3"/>
        <v>0</v>
      </c>
    </row>
    <row r="229" spans="1:10">
      <c r="A229" s="123"/>
      <c r="B229" s="70" t="str">
        <f>IF(ISBLANK(A229),"",INDEX('Error Log'!$A:$J,MATCH('Scores per segment'!$A229,'Error Log'!$A:$A,0),MATCH('Scores per segment'!B$1,'Error Log'!$A$1:$J$1,0)))</f>
        <v/>
      </c>
      <c r="C229" s="70" t="str">
        <f>IF(ISBLANK(A229),"",INDEX('Error Log'!$A:$J,MATCH('Scores per segment'!$A229,'Error Log'!$A:$A,0),MATCH('Scores per segment'!C$1,'Error Log'!$A$1:$J$1,0)))</f>
        <v/>
      </c>
      <c r="D229" s="70">
        <f>IF(H229=0,wdct(TRIM(C229)),0)</f>
        <v>0</v>
      </c>
      <c r="E229" s="70">
        <f>COUNTIFS('Error Log'!$A:$A,$A229,'Error Log'!$J:$J,E$1)</f>
        <v>0</v>
      </c>
      <c r="F229" s="70">
        <f>COUNTIFS('Error Log'!$A:$A,$A229,'Error Log'!$J:$J,F$1)</f>
        <v>0</v>
      </c>
      <c r="G229" s="70">
        <f>COUNTIFS('Error Log'!$A:$A,$A229,'Error Log'!$J:$J,G$1)</f>
        <v>0</v>
      </c>
      <c r="H229" s="70">
        <f>COUNTIFS('Error Log'!$A:$A,$A229,'Error Log'!$F:$F,"Source")</f>
        <v>0</v>
      </c>
      <c r="I229" s="70">
        <f>COUNTIFS('Error Log'!$A:$A,$A229,'Error Log'!$F:$F,"Target")</f>
        <v>0</v>
      </c>
      <c r="J229" s="71">
        <f t="shared" si="3"/>
        <v>0</v>
      </c>
    </row>
    <row r="230" spans="1:10">
      <c r="A230" s="123"/>
      <c r="B230" s="70" t="str">
        <f>IF(ISBLANK(A230),"",INDEX('Error Log'!$A:$J,MATCH('Scores per segment'!$A230,'Error Log'!$A:$A,0),MATCH('Scores per segment'!B$1,'Error Log'!$A$1:$J$1,0)))</f>
        <v/>
      </c>
      <c r="C230" s="70" t="str">
        <f>IF(ISBLANK(A230),"",INDEX('Error Log'!$A:$J,MATCH('Scores per segment'!$A230,'Error Log'!$A:$A,0),MATCH('Scores per segment'!C$1,'Error Log'!$A$1:$J$1,0)))</f>
        <v/>
      </c>
      <c r="D230" s="70">
        <f>IF(H230=0,wdct(TRIM(C230)),0)</f>
        <v>0</v>
      </c>
      <c r="E230" s="70">
        <f>COUNTIFS('Error Log'!$A:$A,$A230,'Error Log'!$J:$J,E$1)</f>
        <v>0</v>
      </c>
      <c r="F230" s="70">
        <f>COUNTIFS('Error Log'!$A:$A,$A230,'Error Log'!$J:$J,F$1)</f>
        <v>0</v>
      </c>
      <c r="G230" s="70">
        <f>COUNTIFS('Error Log'!$A:$A,$A230,'Error Log'!$J:$J,G$1)</f>
        <v>0</v>
      </c>
      <c r="H230" s="70">
        <f>COUNTIFS('Error Log'!$A:$A,$A230,'Error Log'!$F:$F,"Source")</f>
        <v>0</v>
      </c>
      <c r="I230" s="70">
        <f>COUNTIFS('Error Log'!$A:$A,$A230,'Error Log'!$F:$F,"Target")</f>
        <v>0</v>
      </c>
      <c r="J230" s="71">
        <f t="shared" si="3"/>
        <v>0</v>
      </c>
    </row>
    <row r="231" spans="1:10">
      <c r="A231" s="123"/>
      <c r="B231" s="70" t="str">
        <f>IF(ISBLANK(A231),"",INDEX('Error Log'!$A:$J,MATCH('Scores per segment'!$A231,'Error Log'!$A:$A,0),MATCH('Scores per segment'!B$1,'Error Log'!$A$1:$J$1,0)))</f>
        <v/>
      </c>
      <c r="C231" s="70" t="str">
        <f>IF(ISBLANK(A231),"",INDEX('Error Log'!$A:$J,MATCH('Scores per segment'!$A231,'Error Log'!$A:$A,0),MATCH('Scores per segment'!C$1,'Error Log'!$A$1:$J$1,0)))</f>
        <v/>
      </c>
      <c r="D231" s="70">
        <f>IF(H231=0,wdct(TRIM(C231)),0)</f>
        <v>0</v>
      </c>
      <c r="E231" s="70">
        <f>COUNTIFS('Error Log'!$A:$A,$A231,'Error Log'!$J:$J,E$1)</f>
        <v>0</v>
      </c>
      <c r="F231" s="70">
        <f>COUNTIFS('Error Log'!$A:$A,$A231,'Error Log'!$J:$J,F$1)</f>
        <v>0</v>
      </c>
      <c r="G231" s="70">
        <f>COUNTIFS('Error Log'!$A:$A,$A231,'Error Log'!$J:$J,G$1)</f>
        <v>0</v>
      </c>
      <c r="H231" s="70">
        <f>COUNTIFS('Error Log'!$A:$A,$A231,'Error Log'!$F:$F,"Source")</f>
        <v>0</v>
      </c>
      <c r="I231" s="70">
        <f>COUNTIFS('Error Log'!$A:$A,$A231,'Error Log'!$F:$F,"Target")</f>
        <v>0</v>
      </c>
      <c r="J231" s="71">
        <f t="shared" si="3"/>
        <v>0</v>
      </c>
    </row>
    <row r="232" spans="1:10">
      <c r="A232" s="123"/>
      <c r="B232" s="70" t="str">
        <f>IF(ISBLANK(A232),"",INDEX('Error Log'!$A:$J,MATCH('Scores per segment'!$A232,'Error Log'!$A:$A,0),MATCH('Scores per segment'!B$1,'Error Log'!$A$1:$J$1,0)))</f>
        <v/>
      </c>
      <c r="C232" s="70" t="str">
        <f>IF(ISBLANK(A232),"",INDEX('Error Log'!$A:$J,MATCH('Scores per segment'!$A232,'Error Log'!$A:$A,0),MATCH('Scores per segment'!C$1,'Error Log'!$A$1:$J$1,0)))</f>
        <v/>
      </c>
      <c r="D232" s="70">
        <f>IF(H232=0,wdct(TRIM(C232)),0)</f>
        <v>0</v>
      </c>
      <c r="E232" s="70">
        <f>COUNTIFS('Error Log'!$A:$A,$A232,'Error Log'!$J:$J,E$1)</f>
        <v>0</v>
      </c>
      <c r="F232" s="70">
        <f>COUNTIFS('Error Log'!$A:$A,$A232,'Error Log'!$J:$J,F$1)</f>
        <v>0</v>
      </c>
      <c r="G232" s="70">
        <f>COUNTIFS('Error Log'!$A:$A,$A232,'Error Log'!$J:$J,G$1)</f>
        <v>0</v>
      </c>
      <c r="H232" s="70">
        <f>COUNTIFS('Error Log'!$A:$A,$A232,'Error Log'!$F:$F,"Source")</f>
        <v>0</v>
      </c>
      <c r="I232" s="70">
        <f>COUNTIFS('Error Log'!$A:$A,$A232,'Error Log'!$F:$F,"Target")</f>
        <v>0</v>
      </c>
      <c r="J232" s="71">
        <f t="shared" si="3"/>
        <v>0</v>
      </c>
    </row>
    <row r="233" spans="1:10">
      <c r="A233" s="123"/>
      <c r="B233" s="70" t="str">
        <f>IF(ISBLANK(A233),"",INDEX('Error Log'!$A:$J,MATCH('Scores per segment'!$A233,'Error Log'!$A:$A,0),MATCH('Scores per segment'!B$1,'Error Log'!$A$1:$J$1,0)))</f>
        <v/>
      </c>
      <c r="C233" s="70" t="str">
        <f>IF(ISBLANK(A233),"",INDEX('Error Log'!$A:$J,MATCH('Scores per segment'!$A233,'Error Log'!$A:$A,0),MATCH('Scores per segment'!C$1,'Error Log'!$A$1:$J$1,0)))</f>
        <v/>
      </c>
      <c r="D233" s="70">
        <f>IF(H233=0,wdct(TRIM(C233)),0)</f>
        <v>0</v>
      </c>
      <c r="E233" s="70">
        <f>COUNTIFS('Error Log'!$A:$A,$A233,'Error Log'!$J:$J,E$1)</f>
        <v>0</v>
      </c>
      <c r="F233" s="70">
        <f>COUNTIFS('Error Log'!$A:$A,$A233,'Error Log'!$J:$J,F$1)</f>
        <v>0</v>
      </c>
      <c r="G233" s="70">
        <f>COUNTIFS('Error Log'!$A:$A,$A233,'Error Log'!$J:$J,G$1)</f>
        <v>0</v>
      </c>
      <c r="H233" s="70">
        <f>COUNTIFS('Error Log'!$A:$A,$A233,'Error Log'!$F:$F,"Source")</f>
        <v>0</v>
      </c>
      <c r="I233" s="70">
        <f>COUNTIFS('Error Log'!$A:$A,$A233,'Error Log'!$F:$F,"Target")</f>
        <v>0</v>
      </c>
      <c r="J233" s="71">
        <f t="shared" si="3"/>
        <v>0</v>
      </c>
    </row>
    <row r="234" spans="1:10">
      <c r="A234" s="123"/>
      <c r="B234" s="70" t="str">
        <f>IF(ISBLANK(A234),"",INDEX('Error Log'!$A:$J,MATCH('Scores per segment'!$A234,'Error Log'!$A:$A,0),MATCH('Scores per segment'!B$1,'Error Log'!$A$1:$J$1,0)))</f>
        <v/>
      </c>
      <c r="C234" s="70" t="str">
        <f>IF(ISBLANK(A234),"",INDEX('Error Log'!$A:$J,MATCH('Scores per segment'!$A234,'Error Log'!$A:$A,0),MATCH('Scores per segment'!C$1,'Error Log'!$A$1:$J$1,0)))</f>
        <v/>
      </c>
      <c r="D234" s="70">
        <f>IF(H234=0,wdct(TRIM(C234)),0)</f>
        <v>0</v>
      </c>
      <c r="E234" s="70">
        <f>COUNTIFS('Error Log'!$A:$A,$A234,'Error Log'!$J:$J,E$1)</f>
        <v>0</v>
      </c>
      <c r="F234" s="70">
        <f>COUNTIFS('Error Log'!$A:$A,$A234,'Error Log'!$J:$J,F$1)</f>
        <v>0</v>
      </c>
      <c r="G234" s="70">
        <f>COUNTIFS('Error Log'!$A:$A,$A234,'Error Log'!$J:$J,G$1)</f>
        <v>0</v>
      </c>
      <c r="H234" s="70">
        <f>COUNTIFS('Error Log'!$A:$A,$A234,'Error Log'!$F:$F,"Source")</f>
        <v>0</v>
      </c>
      <c r="I234" s="70">
        <f>COUNTIFS('Error Log'!$A:$A,$A234,'Error Log'!$F:$F,"Target")</f>
        <v>0</v>
      </c>
      <c r="J234" s="71">
        <f t="shared" si="3"/>
        <v>0</v>
      </c>
    </row>
    <row r="235" spans="1:10">
      <c r="A235" s="123"/>
      <c r="B235" s="70" t="str">
        <f>IF(ISBLANK(A235),"",INDEX('Error Log'!$A:$J,MATCH('Scores per segment'!$A235,'Error Log'!$A:$A,0),MATCH('Scores per segment'!B$1,'Error Log'!$A$1:$J$1,0)))</f>
        <v/>
      </c>
      <c r="C235" s="70" t="str">
        <f>IF(ISBLANK(A235),"",INDEX('Error Log'!$A:$J,MATCH('Scores per segment'!$A235,'Error Log'!$A:$A,0),MATCH('Scores per segment'!C$1,'Error Log'!$A$1:$J$1,0)))</f>
        <v/>
      </c>
      <c r="D235" s="70">
        <f>IF(H235=0,wdct(TRIM(C235)),0)</f>
        <v>0</v>
      </c>
      <c r="E235" s="70">
        <f>COUNTIFS('Error Log'!$A:$A,$A235,'Error Log'!$J:$J,E$1)</f>
        <v>0</v>
      </c>
      <c r="F235" s="70">
        <f>COUNTIFS('Error Log'!$A:$A,$A235,'Error Log'!$J:$J,F$1)</f>
        <v>0</v>
      </c>
      <c r="G235" s="70">
        <f>COUNTIFS('Error Log'!$A:$A,$A235,'Error Log'!$J:$J,G$1)</f>
        <v>0</v>
      </c>
      <c r="H235" s="70">
        <f>COUNTIFS('Error Log'!$A:$A,$A235,'Error Log'!$F:$F,"Source")</f>
        <v>0</v>
      </c>
      <c r="I235" s="70">
        <f>COUNTIFS('Error Log'!$A:$A,$A235,'Error Log'!$F:$F,"Target")</f>
        <v>0</v>
      </c>
      <c r="J235" s="71">
        <f t="shared" si="3"/>
        <v>0</v>
      </c>
    </row>
    <row r="236" spans="1:10">
      <c r="A236" s="123"/>
      <c r="B236" s="70" t="str">
        <f>IF(ISBLANK(A236),"",INDEX('Error Log'!$A:$J,MATCH('Scores per segment'!$A236,'Error Log'!$A:$A,0),MATCH('Scores per segment'!B$1,'Error Log'!$A$1:$J$1,0)))</f>
        <v/>
      </c>
      <c r="C236" s="70" t="str">
        <f>IF(ISBLANK(A236),"",INDEX('Error Log'!$A:$J,MATCH('Scores per segment'!$A236,'Error Log'!$A:$A,0),MATCH('Scores per segment'!C$1,'Error Log'!$A$1:$J$1,0)))</f>
        <v/>
      </c>
      <c r="D236" s="70">
        <f>IF(H236=0,wdct(TRIM(C236)),0)</f>
        <v>0</v>
      </c>
      <c r="E236" s="70">
        <f>COUNTIFS('Error Log'!$A:$A,$A236,'Error Log'!$J:$J,E$1)</f>
        <v>0</v>
      </c>
      <c r="F236" s="70">
        <f>COUNTIFS('Error Log'!$A:$A,$A236,'Error Log'!$J:$J,F$1)</f>
        <v>0</v>
      </c>
      <c r="G236" s="70">
        <f>COUNTIFS('Error Log'!$A:$A,$A236,'Error Log'!$J:$J,G$1)</f>
        <v>0</v>
      </c>
      <c r="H236" s="70">
        <f>COUNTIFS('Error Log'!$A:$A,$A236,'Error Log'!$F:$F,"Source")</f>
        <v>0</v>
      </c>
      <c r="I236" s="70">
        <f>COUNTIFS('Error Log'!$A:$A,$A236,'Error Log'!$F:$F,"Target")</f>
        <v>0</v>
      </c>
      <c r="J236" s="71">
        <f t="shared" si="3"/>
        <v>0</v>
      </c>
    </row>
    <row r="237" spans="1:10">
      <c r="A237" s="123"/>
      <c r="B237" s="70" t="str">
        <f>IF(ISBLANK(A237),"",INDEX('Error Log'!$A:$J,MATCH('Scores per segment'!$A237,'Error Log'!$A:$A,0),MATCH('Scores per segment'!B$1,'Error Log'!$A$1:$J$1,0)))</f>
        <v/>
      </c>
      <c r="C237" s="70" t="str">
        <f>IF(ISBLANK(A237),"",INDEX('Error Log'!$A:$J,MATCH('Scores per segment'!$A237,'Error Log'!$A:$A,0),MATCH('Scores per segment'!C$1,'Error Log'!$A$1:$J$1,0)))</f>
        <v/>
      </c>
      <c r="D237" s="70">
        <f>IF(H237=0,wdct(TRIM(C237)),0)</f>
        <v>0</v>
      </c>
      <c r="E237" s="70">
        <f>COUNTIFS('Error Log'!$A:$A,$A237,'Error Log'!$J:$J,E$1)</f>
        <v>0</v>
      </c>
      <c r="F237" s="70">
        <f>COUNTIFS('Error Log'!$A:$A,$A237,'Error Log'!$J:$J,F$1)</f>
        <v>0</v>
      </c>
      <c r="G237" s="70">
        <f>COUNTIFS('Error Log'!$A:$A,$A237,'Error Log'!$J:$J,G$1)</f>
        <v>0</v>
      </c>
      <c r="H237" s="70">
        <f>COUNTIFS('Error Log'!$A:$A,$A237,'Error Log'!$F:$F,"Source")</f>
        <v>0</v>
      </c>
      <c r="I237" s="70">
        <f>COUNTIFS('Error Log'!$A:$A,$A237,'Error Log'!$F:$F,"Target")</f>
        <v>0</v>
      </c>
      <c r="J237" s="71">
        <f t="shared" si="3"/>
        <v>0</v>
      </c>
    </row>
    <row r="238" spans="1:10">
      <c r="A238" s="123"/>
      <c r="B238" s="70" t="str">
        <f>IF(ISBLANK(A238),"",INDEX('Error Log'!$A:$J,MATCH('Scores per segment'!$A238,'Error Log'!$A:$A,0),MATCH('Scores per segment'!B$1,'Error Log'!$A$1:$J$1,0)))</f>
        <v/>
      </c>
      <c r="C238" s="70" t="str">
        <f>IF(ISBLANK(A238),"",INDEX('Error Log'!$A:$J,MATCH('Scores per segment'!$A238,'Error Log'!$A:$A,0),MATCH('Scores per segment'!C$1,'Error Log'!$A$1:$J$1,0)))</f>
        <v/>
      </c>
      <c r="D238" s="70">
        <f>IF(H238=0,wdct(TRIM(C238)),0)</f>
        <v>0</v>
      </c>
      <c r="E238" s="70">
        <f>COUNTIFS('Error Log'!$A:$A,$A238,'Error Log'!$J:$J,E$1)</f>
        <v>0</v>
      </c>
      <c r="F238" s="70">
        <f>COUNTIFS('Error Log'!$A:$A,$A238,'Error Log'!$J:$J,F$1)</f>
        <v>0</v>
      </c>
      <c r="G238" s="70">
        <f>COUNTIFS('Error Log'!$A:$A,$A238,'Error Log'!$J:$J,G$1)</f>
        <v>0</v>
      </c>
      <c r="H238" s="70">
        <f>COUNTIFS('Error Log'!$A:$A,$A238,'Error Log'!$F:$F,"Source")</f>
        <v>0</v>
      </c>
      <c r="I238" s="70">
        <f>COUNTIFS('Error Log'!$A:$A,$A238,'Error Log'!$F:$F,"Target")</f>
        <v>0</v>
      </c>
      <c r="J238" s="71">
        <f t="shared" si="3"/>
        <v>0</v>
      </c>
    </row>
    <row r="239" spans="1:10">
      <c r="A239" s="123"/>
      <c r="B239" s="70" t="str">
        <f>IF(ISBLANK(A239),"",INDEX('Error Log'!$A:$J,MATCH('Scores per segment'!$A239,'Error Log'!$A:$A,0),MATCH('Scores per segment'!B$1,'Error Log'!$A$1:$J$1,0)))</f>
        <v/>
      </c>
      <c r="C239" s="70" t="str">
        <f>IF(ISBLANK(A239),"",INDEX('Error Log'!$A:$J,MATCH('Scores per segment'!$A239,'Error Log'!$A:$A,0),MATCH('Scores per segment'!C$1,'Error Log'!$A$1:$J$1,0)))</f>
        <v/>
      </c>
      <c r="D239" s="70">
        <f>IF(H239=0,wdct(TRIM(C239)),0)</f>
        <v>0</v>
      </c>
      <c r="E239" s="70">
        <f>COUNTIFS('Error Log'!$A:$A,$A239,'Error Log'!$J:$J,E$1)</f>
        <v>0</v>
      </c>
      <c r="F239" s="70">
        <f>COUNTIFS('Error Log'!$A:$A,$A239,'Error Log'!$J:$J,F$1)</f>
        <v>0</v>
      </c>
      <c r="G239" s="70">
        <f>COUNTIFS('Error Log'!$A:$A,$A239,'Error Log'!$J:$J,G$1)</f>
        <v>0</v>
      </c>
      <c r="H239" s="70">
        <f>COUNTIFS('Error Log'!$A:$A,$A239,'Error Log'!$F:$F,"Source")</f>
        <v>0</v>
      </c>
      <c r="I239" s="70">
        <f>COUNTIFS('Error Log'!$A:$A,$A239,'Error Log'!$F:$F,"Target")</f>
        <v>0</v>
      </c>
      <c r="J239" s="71">
        <f t="shared" si="3"/>
        <v>0</v>
      </c>
    </row>
    <row r="240" spans="1:10">
      <c r="A240" s="123"/>
      <c r="B240" s="70" t="str">
        <f>IF(ISBLANK(A240),"",INDEX('Error Log'!$A:$J,MATCH('Scores per segment'!$A240,'Error Log'!$A:$A,0),MATCH('Scores per segment'!B$1,'Error Log'!$A$1:$J$1,0)))</f>
        <v/>
      </c>
      <c r="C240" s="70" t="str">
        <f>IF(ISBLANK(A240),"",INDEX('Error Log'!$A:$J,MATCH('Scores per segment'!$A240,'Error Log'!$A:$A,0),MATCH('Scores per segment'!C$1,'Error Log'!$A$1:$J$1,0)))</f>
        <v/>
      </c>
      <c r="D240" s="70">
        <f>IF(H240=0,wdct(TRIM(C240)),0)</f>
        <v>0</v>
      </c>
      <c r="E240" s="70">
        <f>COUNTIFS('Error Log'!$A:$A,$A240,'Error Log'!$J:$J,E$1)</f>
        <v>0</v>
      </c>
      <c r="F240" s="70">
        <f>COUNTIFS('Error Log'!$A:$A,$A240,'Error Log'!$J:$J,F$1)</f>
        <v>0</v>
      </c>
      <c r="G240" s="70">
        <f>COUNTIFS('Error Log'!$A:$A,$A240,'Error Log'!$J:$J,G$1)</f>
        <v>0</v>
      </c>
      <c r="H240" s="70">
        <f>COUNTIFS('Error Log'!$A:$A,$A240,'Error Log'!$F:$F,"Source")</f>
        <v>0</v>
      </c>
      <c r="I240" s="70">
        <f>COUNTIFS('Error Log'!$A:$A,$A240,'Error Log'!$F:$F,"Target")</f>
        <v>0</v>
      </c>
      <c r="J240" s="71">
        <f t="shared" si="3"/>
        <v>0</v>
      </c>
    </row>
    <row r="241" spans="1:10">
      <c r="A241" s="123"/>
      <c r="B241" s="70" t="str">
        <f>IF(ISBLANK(A241),"",INDEX('Error Log'!$A:$J,MATCH('Scores per segment'!$A241,'Error Log'!$A:$A,0),MATCH('Scores per segment'!B$1,'Error Log'!$A$1:$J$1,0)))</f>
        <v/>
      </c>
      <c r="C241" s="70" t="str">
        <f>IF(ISBLANK(A241),"",INDEX('Error Log'!$A:$J,MATCH('Scores per segment'!$A241,'Error Log'!$A:$A,0),MATCH('Scores per segment'!C$1,'Error Log'!$A$1:$J$1,0)))</f>
        <v/>
      </c>
      <c r="D241" s="70">
        <f>IF(H241=0,wdct(TRIM(C241)),0)</f>
        <v>0</v>
      </c>
      <c r="E241" s="70">
        <f>COUNTIFS('Error Log'!$A:$A,$A241,'Error Log'!$J:$J,E$1)</f>
        <v>0</v>
      </c>
      <c r="F241" s="70">
        <f>COUNTIFS('Error Log'!$A:$A,$A241,'Error Log'!$J:$J,F$1)</f>
        <v>0</v>
      </c>
      <c r="G241" s="70">
        <f>COUNTIFS('Error Log'!$A:$A,$A241,'Error Log'!$J:$J,G$1)</f>
        <v>0</v>
      </c>
      <c r="H241" s="70">
        <f>COUNTIFS('Error Log'!$A:$A,$A241,'Error Log'!$F:$F,"Source")</f>
        <v>0</v>
      </c>
      <c r="I241" s="70">
        <f>COUNTIFS('Error Log'!$A:$A,$A241,'Error Log'!$F:$F,"Target")</f>
        <v>0</v>
      </c>
      <c r="J241" s="71">
        <f t="shared" si="3"/>
        <v>0</v>
      </c>
    </row>
    <row r="242" spans="1:10">
      <c r="A242" s="123"/>
      <c r="B242" s="70" t="str">
        <f>IF(ISBLANK(A242),"",INDEX('Error Log'!$A:$J,MATCH('Scores per segment'!$A242,'Error Log'!$A:$A,0),MATCH('Scores per segment'!B$1,'Error Log'!$A$1:$J$1,0)))</f>
        <v/>
      </c>
      <c r="C242" s="70" t="str">
        <f>IF(ISBLANK(A242),"",INDEX('Error Log'!$A:$J,MATCH('Scores per segment'!$A242,'Error Log'!$A:$A,0),MATCH('Scores per segment'!C$1,'Error Log'!$A$1:$J$1,0)))</f>
        <v/>
      </c>
      <c r="D242" s="70">
        <f>IF(H242=0,wdct(TRIM(C242)),0)</f>
        <v>0</v>
      </c>
      <c r="E242" s="70">
        <f>COUNTIFS('Error Log'!$A:$A,$A242,'Error Log'!$J:$J,E$1)</f>
        <v>0</v>
      </c>
      <c r="F242" s="70">
        <f>COUNTIFS('Error Log'!$A:$A,$A242,'Error Log'!$J:$J,F$1)</f>
        <v>0</v>
      </c>
      <c r="G242" s="70">
        <f>COUNTIFS('Error Log'!$A:$A,$A242,'Error Log'!$J:$J,G$1)</f>
        <v>0</v>
      </c>
      <c r="H242" s="70">
        <f>COUNTIFS('Error Log'!$A:$A,$A242,'Error Log'!$F:$F,"Source")</f>
        <v>0</v>
      </c>
      <c r="I242" s="70">
        <f>COUNTIFS('Error Log'!$A:$A,$A242,'Error Log'!$F:$F,"Target")</f>
        <v>0</v>
      </c>
      <c r="J242" s="71">
        <f t="shared" si="3"/>
        <v>0</v>
      </c>
    </row>
    <row r="243" spans="1:10">
      <c r="A243" s="123"/>
      <c r="B243" s="70" t="str">
        <f>IF(ISBLANK(A243),"",INDEX('Error Log'!$A:$J,MATCH('Scores per segment'!$A243,'Error Log'!$A:$A,0),MATCH('Scores per segment'!B$1,'Error Log'!$A$1:$J$1,0)))</f>
        <v/>
      </c>
      <c r="C243" s="70" t="str">
        <f>IF(ISBLANK(A243),"",INDEX('Error Log'!$A:$J,MATCH('Scores per segment'!$A243,'Error Log'!$A:$A,0),MATCH('Scores per segment'!C$1,'Error Log'!$A$1:$J$1,0)))</f>
        <v/>
      </c>
      <c r="D243" s="70">
        <f>IF(H243=0,wdct(TRIM(C243)),0)</f>
        <v>0</v>
      </c>
      <c r="E243" s="70">
        <f>COUNTIFS('Error Log'!$A:$A,$A243,'Error Log'!$J:$J,E$1)</f>
        <v>0</v>
      </c>
      <c r="F243" s="70">
        <f>COUNTIFS('Error Log'!$A:$A,$A243,'Error Log'!$J:$J,F$1)</f>
        <v>0</v>
      </c>
      <c r="G243" s="70">
        <f>COUNTIFS('Error Log'!$A:$A,$A243,'Error Log'!$J:$J,G$1)</f>
        <v>0</v>
      </c>
      <c r="H243" s="70">
        <f>COUNTIFS('Error Log'!$A:$A,$A243,'Error Log'!$F:$F,"Source")</f>
        <v>0</v>
      </c>
      <c r="I243" s="70">
        <f>COUNTIFS('Error Log'!$A:$A,$A243,'Error Log'!$F:$F,"Target")</f>
        <v>0</v>
      </c>
      <c r="J243" s="71">
        <f t="shared" si="3"/>
        <v>0</v>
      </c>
    </row>
    <row r="244" spans="1:10">
      <c r="A244" s="123"/>
      <c r="B244" s="70" t="str">
        <f>IF(ISBLANK(A244),"",INDEX('Error Log'!$A:$J,MATCH('Scores per segment'!$A244,'Error Log'!$A:$A,0),MATCH('Scores per segment'!B$1,'Error Log'!$A$1:$J$1,0)))</f>
        <v/>
      </c>
      <c r="C244" s="70" t="str">
        <f>IF(ISBLANK(A244),"",INDEX('Error Log'!$A:$J,MATCH('Scores per segment'!$A244,'Error Log'!$A:$A,0),MATCH('Scores per segment'!C$1,'Error Log'!$A$1:$J$1,0)))</f>
        <v/>
      </c>
      <c r="D244" s="70">
        <f>IF(H244=0,wdct(TRIM(C244)),0)</f>
        <v>0</v>
      </c>
      <c r="E244" s="70">
        <f>COUNTIFS('Error Log'!$A:$A,$A244,'Error Log'!$J:$J,E$1)</f>
        <v>0</v>
      </c>
      <c r="F244" s="70">
        <f>COUNTIFS('Error Log'!$A:$A,$A244,'Error Log'!$J:$J,F$1)</f>
        <v>0</v>
      </c>
      <c r="G244" s="70">
        <f>COUNTIFS('Error Log'!$A:$A,$A244,'Error Log'!$J:$J,G$1)</f>
        <v>0</v>
      </c>
      <c r="H244" s="70">
        <f>COUNTIFS('Error Log'!$A:$A,$A244,'Error Log'!$F:$F,"Source")</f>
        <v>0</v>
      </c>
      <c r="I244" s="70">
        <f>COUNTIFS('Error Log'!$A:$A,$A244,'Error Log'!$F:$F,"Target")</f>
        <v>0</v>
      </c>
      <c r="J244" s="71">
        <f t="shared" si="3"/>
        <v>0</v>
      </c>
    </row>
    <row r="245" spans="1:10">
      <c r="A245" s="123"/>
      <c r="B245" s="70" t="str">
        <f>IF(ISBLANK(A245),"",INDEX('Error Log'!$A:$J,MATCH('Scores per segment'!$A245,'Error Log'!$A:$A,0),MATCH('Scores per segment'!B$1,'Error Log'!$A$1:$J$1,0)))</f>
        <v/>
      </c>
      <c r="C245" s="70" t="str">
        <f>IF(ISBLANK(A245),"",INDEX('Error Log'!$A:$J,MATCH('Scores per segment'!$A245,'Error Log'!$A:$A,0),MATCH('Scores per segment'!C$1,'Error Log'!$A$1:$J$1,0)))</f>
        <v/>
      </c>
      <c r="D245" s="70">
        <f>IF(H245=0,wdct(TRIM(C245)),0)</f>
        <v>0</v>
      </c>
      <c r="E245" s="70">
        <f>COUNTIFS('Error Log'!$A:$A,$A245,'Error Log'!$J:$J,E$1)</f>
        <v>0</v>
      </c>
      <c r="F245" s="70">
        <f>COUNTIFS('Error Log'!$A:$A,$A245,'Error Log'!$J:$J,F$1)</f>
        <v>0</v>
      </c>
      <c r="G245" s="70">
        <f>COUNTIFS('Error Log'!$A:$A,$A245,'Error Log'!$J:$J,G$1)</f>
        <v>0</v>
      </c>
      <c r="H245" s="70">
        <f>COUNTIFS('Error Log'!$A:$A,$A245,'Error Log'!$F:$F,"Source")</f>
        <v>0</v>
      </c>
      <c r="I245" s="70">
        <f>COUNTIFS('Error Log'!$A:$A,$A245,'Error Log'!$F:$F,"Target")</f>
        <v>0</v>
      </c>
      <c r="J245" s="71">
        <f t="shared" si="3"/>
        <v>0</v>
      </c>
    </row>
    <row r="246" spans="1:10">
      <c r="A246" s="123"/>
      <c r="B246" s="70" t="str">
        <f>IF(ISBLANK(A246),"",INDEX('Error Log'!$A:$J,MATCH('Scores per segment'!$A246,'Error Log'!$A:$A,0),MATCH('Scores per segment'!B$1,'Error Log'!$A$1:$J$1,0)))</f>
        <v/>
      </c>
      <c r="C246" s="70" t="str">
        <f>IF(ISBLANK(A246),"",INDEX('Error Log'!$A:$J,MATCH('Scores per segment'!$A246,'Error Log'!$A:$A,0),MATCH('Scores per segment'!C$1,'Error Log'!$A$1:$J$1,0)))</f>
        <v/>
      </c>
      <c r="D246" s="70">
        <f>IF(H246=0,wdct(TRIM(C246)),0)</f>
        <v>0</v>
      </c>
      <c r="E246" s="70">
        <f>COUNTIFS('Error Log'!$A:$A,$A246,'Error Log'!$J:$J,E$1)</f>
        <v>0</v>
      </c>
      <c r="F246" s="70">
        <f>COUNTIFS('Error Log'!$A:$A,$A246,'Error Log'!$J:$J,F$1)</f>
        <v>0</v>
      </c>
      <c r="G246" s="70">
        <f>COUNTIFS('Error Log'!$A:$A,$A246,'Error Log'!$J:$J,G$1)</f>
        <v>0</v>
      </c>
      <c r="H246" s="70">
        <f>COUNTIFS('Error Log'!$A:$A,$A246,'Error Log'!$F:$F,"Source")</f>
        <v>0</v>
      </c>
      <c r="I246" s="70">
        <f>COUNTIFS('Error Log'!$A:$A,$A246,'Error Log'!$F:$F,"Target")</f>
        <v>0</v>
      </c>
      <c r="J246" s="71">
        <f t="shared" si="3"/>
        <v>0</v>
      </c>
    </row>
    <row r="247" spans="1:10">
      <c r="A247" s="123"/>
      <c r="B247" s="70" t="str">
        <f>IF(ISBLANK(A247),"",INDEX('Error Log'!$A:$J,MATCH('Scores per segment'!$A247,'Error Log'!$A:$A,0),MATCH('Scores per segment'!B$1,'Error Log'!$A$1:$J$1,0)))</f>
        <v/>
      </c>
      <c r="C247" s="70" t="str">
        <f>IF(ISBLANK(A247),"",INDEX('Error Log'!$A:$J,MATCH('Scores per segment'!$A247,'Error Log'!$A:$A,0),MATCH('Scores per segment'!C$1,'Error Log'!$A$1:$J$1,0)))</f>
        <v/>
      </c>
      <c r="D247" s="70">
        <f>IF(H247=0,wdct(TRIM(C247)),0)</f>
        <v>0</v>
      </c>
      <c r="E247" s="70">
        <f>COUNTIFS('Error Log'!$A:$A,$A247,'Error Log'!$J:$J,E$1)</f>
        <v>0</v>
      </c>
      <c r="F247" s="70">
        <f>COUNTIFS('Error Log'!$A:$A,$A247,'Error Log'!$J:$J,F$1)</f>
        <v>0</v>
      </c>
      <c r="G247" s="70">
        <f>COUNTIFS('Error Log'!$A:$A,$A247,'Error Log'!$J:$J,G$1)</f>
        <v>0</v>
      </c>
      <c r="H247" s="70">
        <f>COUNTIFS('Error Log'!$A:$A,$A247,'Error Log'!$F:$F,"Source")</f>
        <v>0</v>
      </c>
      <c r="I247" s="70">
        <f>COUNTIFS('Error Log'!$A:$A,$A247,'Error Log'!$F:$F,"Target")</f>
        <v>0</v>
      </c>
      <c r="J247" s="71">
        <f t="shared" si="3"/>
        <v>0</v>
      </c>
    </row>
    <row r="248" spans="1:10">
      <c r="A248" s="123"/>
      <c r="B248" s="70" t="str">
        <f>IF(ISBLANK(A248),"",INDEX('Error Log'!$A:$J,MATCH('Scores per segment'!$A248,'Error Log'!$A:$A,0),MATCH('Scores per segment'!B$1,'Error Log'!$A$1:$J$1,0)))</f>
        <v/>
      </c>
      <c r="C248" s="70" t="str">
        <f>IF(ISBLANK(A248),"",INDEX('Error Log'!$A:$J,MATCH('Scores per segment'!$A248,'Error Log'!$A:$A,0),MATCH('Scores per segment'!C$1,'Error Log'!$A$1:$J$1,0)))</f>
        <v/>
      </c>
      <c r="D248" s="70">
        <f>IF(H248=0,wdct(TRIM(C248)),0)</f>
        <v>0</v>
      </c>
      <c r="E248" s="70">
        <f>COUNTIFS('Error Log'!$A:$A,$A248,'Error Log'!$J:$J,E$1)</f>
        <v>0</v>
      </c>
      <c r="F248" s="70">
        <f>COUNTIFS('Error Log'!$A:$A,$A248,'Error Log'!$J:$J,F$1)</f>
        <v>0</v>
      </c>
      <c r="G248" s="70">
        <f>COUNTIFS('Error Log'!$A:$A,$A248,'Error Log'!$J:$J,G$1)</f>
        <v>0</v>
      </c>
      <c r="H248" s="70">
        <f>COUNTIFS('Error Log'!$A:$A,$A248,'Error Log'!$F:$F,"Source")</f>
        <v>0</v>
      </c>
      <c r="I248" s="70">
        <f>COUNTIFS('Error Log'!$A:$A,$A248,'Error Log'!$F:$F,"Target")</f>
        <v>0</v>
      </c>
      <c r="J248" s="71">
        <f t="shared" si="3"/>
        <v>0</v>
      </c>
    </row>
    <row r="249" spans="1:10">
      <c r="A249" s="123"/>
      <c r="B249" s="70" t="str">
        <f>IF(ISBLANK(A249),"",INDEX('Error Log'!$A:$J,MATCH('Scores per segment'!$A249,'Error Log'!$A:$A,0),MATCH('Scores per segment'!B$1,'Error Log'!$A$1:$J$1,0)))</f>
        <v/>
      </c>
      <c r="C249" s="70" t="str">
        <f>IF(ISBLANK(A249),"",INDEX('Error Log'!$A:$J,MATCH('Scores per segment'!$A249,'Error Log'!$A:$A,0),MATCH('Scores per segment'!C$1,'Error Log'!$A$1:$J$1,0)))</f>
        <v/>
      </c>
      <c r="D249" s="70">
        <f>IF(H249=0,wdct(TRIM(C249)),0)</f>
        <v>0</v>
      </c>
      <c r="E249" s="70">
        <f>COUNTIFS('Error Log'!$A:$A,$A249,'Error Log'!$J:$J,E$1)</f>
        <v>0</v>
      </c>
      <c r="F249" s="70">
        <f>COUNTIFS('Error Log'!$A:$A,$A249,'Error Log'!$J:$J,F$1)</f>
        <v>0</v>
      </c>
      <c r="G249" s="70">
        <f>COUNTIFS('Error Log'!$A:$A,$A249,'Error Log'!$J:$J,G$1)</f>
        <v>0</v>
      </c>
      <c r="H249" s="70">
        <f>COUNTIFS('Error Log'!$A:$A,$A249,'Error Log'!$F:$F,"Source")</f>
        <v>0</v>
      </c>
      <c r="I249" s="70">
        <f>COUNTIFS('Error Log'!$A:$A,$A249,'Error Log'!$F:$F,"Target")</f>
        <v>0</v>
      </c>
      <c r="J249" s="71">
        <f t="shared" si="3"/>
        <v>0</v>
      </c>
    </row>
    <row r="250" spans="1:10">
      <c r="A250" s="123"/>
      <c r="B250" s="70" t="str">
        <f>IF(ISBLANK(A250),"",INDEX('Error Log'!$A:$J,MATCH('Scores per segment'!$A250,'Error Log'!$A:$A,0),MATCH('Scores per segment'!B$1,'Error Log'!$A$1:$J$1,0)))</f>
        <v/>
      </c>
      <c r="C250" s="70" t="str">
        <f>IF(ISBLANK(A250),"",INDEX('Error Log'!$A:$J,MATCH('Scores per segment'!$A250,'Error Log'!$A:$A,0),MATCH('Scores per segment'!C$1,'Error Log'!$A$1:$J$1,0)))</f>
        <v/>
      </c>
      <c r="D250" s="70">
        <f>IF(H250=0,wdct(TRIM(C250)),0)</f>
        <v>0</v>
      </c>
      <c r="E250" s="70">
        <f>COUNTIFS('Error Log'!$A:$A,$A250,'Error Log'!$J:$J,E$1)</f>
        <v>0</v>
      </c>
      <c r="F250" s="70">
        <f>COUNTIFS('Error Log'!$A:$A,$A250,'Error Log'!$J:$J,F$1)</f>
        <v>0</v>
      </c>
      <c r="G250" s="70">
        <f>COUNTIFS('Error Log'!$A:$A,$A250,'Error Log'!$J:$J,G$1)</f>
        <v>0</v>
      </c>
      <c r="H250" s="70">
        <f>COUNTIFS('Error Log'!$A:$A,$A250,'Error Log'!$F:$F,"Source")</f>
        <v>0</v>
      </c>
      <c r="I250" s="70">
        <f>COUNTIFS('Error Log'!$A:$A,$A250,'Error Log'!$F:$F,"Target")</f>
        <v>0</v>
      </c>
      <c r="J250" s="71">
        <f t="shared" si="3"/>
        <v>0</v>
      </c>
    </row>
    <row r="251" spans="1:10">
      <c r="A251" s="123"/>
      <c r="B251" s="70" t="str">
        <f>IF(ISBLANK(A251),"",INDEX('Error Log'!$A:$J,MATCH('Scores per segment'!$A251,'Error Log'!$A:$A,0),MATCH('Scores per segment'!B$1,'Error Log'!$A$1:$J$1,0)))</f>
        <v/>
      </c>
      <c r="C251" s="70" t="str">
        <f>IF(ISBLANK(A251),"",INDEX('Error Log'!$A:$J,MATCH('Scores per segment'!$A251,'Error Log'!$A:$A,0),MATCH('Scores per segment'!C$1,'Error Log'!$A$1:$J$1,0)))</f>
        <v/>
      </c>
      <c r="D251" s="70">
        <f>IF(H251=0,wdct(TRIM(C251)),0)</f>
        <v>0</v>
      </c>
      <c r="E251" s="70">
        <f>COUNTIFS('Error Log'!$A:$A,$A251,'Error Log'!$J:$J,E$1)</f>
        <v>0</v>
      </c>
      <c r="F251" s="70">
        <f>COUNTIFS('Error Log'!$A:$A,$A251,'Error Log'!$J:$J,F$1)</f>
        <v>0</v>
      </c>
      <c r="G251" s="70">
        <f>COUNTIFS('Error Log'!$A:$A,$A251,'Error Log'!$J:$J,G$1)</f>
        <v>0</v>
      </c>
      <c r="H251" s="70">
        <f>COUNTIFS('Error Log'!$A:$A,$A251,'Error Log'!$F:$F,"Source")</f>
        <v>0</v>
      </c>
      <c r="I251" s="70">
        <f>COUNTIFS('Error Log'!$A:$A,$A251,'Error Log'!$F:$F,"Target")</f>
        <v>0</v>
      </c>
      <c r="J251" s="71">
        <f t="shared" si="3"/>
        <v>0</v>
      </c>
    </row>
    <row r="252" spans="1:10">
      <c r="A252" s="123"/>
      <c r="B252" s="70" t="str">
        <f>IF(ISBLANK(A252),"",INDEX('Error Log'!$A:$J,MATCH('Scores per segment'!$A252,'Error Log'!$A:$A,0),MATCH('Scores per segment'!B$1,'Error Log'!$A$1:$J$1,0)))</f>
        <v/>
      </c>
      <c r="C252" s="70" t="str">
        <f>IF(ISBLANK(A252),"",INDEX('Error Log'!$A:$J,MATCH('Scores per segment'!$A252,'Error Log'!$A:$A,0),MATCH('Scores per segment'!C$1,'Error Log'!$A$1:$J$1,0)))</f>
        <v/>
      </c>
      <c r="D252" s="70">
        <f>IF(H252=0,wdct(TRIM(C252)),0)</f>
        <v>0</v>
      </c>
      <c r="E252" s="70">
        <f>COUNTIFS('Error Log'!$A:$A,$A252,'Error Log'!$J:$J,E$1)</f>
        <v>0</v>
      </c>
      <c r="F252" s="70">
        <f>COUNTIFS('Error Log'!$A:$A,$A252,'Error Log'!$J:$J,F$1)</f>
        <v>0</v>
      </c>
      <c r="G252" s="70">
        <f>COUNTIFS('Error Log'!$A:$A,$A252,'Error Log'!$J:$J,G$1)</f>
        <v>0</v>
      </c>
      <c r="H252" s="70">
        <f>COUNTIFS('Error Log'!$A:$A,$A252,'Error Log'!$F:$F,"Source")</f>
        <v>0</v>
      </c>
      <c r="I252" s="70">
        <f>COUNTIFS('Error Log'!$A:$A,$A252,'Error Log'!$F:$F,"Target")</f>
        <v>0</v>
      </c>
      <c r="J252" s="71">
        <f t="shared" si="3"/>
        <v>0</v>
      </c>
    </row>
    <row r="253" spans="1:10">
      <c r="A253" s="123"/>
      <c r="B253" s="70" t="str">
        <f>IF(ISBLANK(A253),"",INDEX('Error Log'!$A:$J,MATCH('Scores per segment'!$A253,'Error Log'!$A:$A,0),MATCH('Scores per segment'!B$1,'Error Log'!$A$1:$J$1,0)))</f>
        <v/>
      </c>
      <c r="C253" s="70" t="str">
        <f>IF(ISBLANK(A253),"",INDEX('Error Log'!$A:$J,MATCH('Scores per segment'!$A253,'Error Log'!$A:$A,0),MATCH('Scores per segment'!C$1,'Error Log'!$A$1:$J$1,0)))</f>
        <v/>
      </c>
      <c r="D253" s="70">
        <f>IF(H253=0,wdct(TRIM(C253)),0)</f>
        <v>0</v>
      </c>
      <c r="E253" s="70">
        <f>COUNTIFS('Error Log'!$A:$A,$A253,'Error Log'!$J:$J,E$1)</f>
        <v>0</v>
      </c>
      <c r="F253" s="70">
        <f>COUNTIFS('Error Log'!$A:$A,$A253,'Error Log'!$J:$J,F$1)</f>
        <v>0</v>
      </c>
      <c r="G253" s="70">
        <f>COUNTIFS('Error Log'!$A:$A,$A253,'Error Log'!$J:$J,G$1)</f>
        <v>0</v>
      </c>
      <c r="H253" s="70">
        <f>COUNTIFS('Error Log'!$A:$A,$A253,'Error Log'!$F:$F,"Source")</f>
        <v>0</v>
      </c>
      <c r="I253" s="70">
        <f>COUNTIFS('Error Log'!$A:$A,$A253,'Error Log'!$F:$F,"Target")</f>
        <v>0</v>
      </c>
      <c r="J253" s="71">
        <f t="shared" si="3"/>
        <v>0</v>
      </c>
    </row>
    <row r="254" spans="1:10">
      <c r="A254" s="123"/>
      <c r="B254" s="70" t="str">
        <f>IF(ISBLANK(A254),"",INDEX('Error Log'!$A:$J,MATCH('Scores per segment'!$A254,'Error Log'!$A:$A,0),MATCH('Scores per segment'!B$1,'Error Log'!$A$1:$J$1,0)))</f>
        <v/>
      </c>
      <c r="C254" s="70" t="str">
        <f>IF(ISBLANK(A254),"",INDEX('Error Log'!$A:$J,MATCH('Scores per segment'!$A254,'Error Log'!$A:$A,0),MATCH('Scores per segment'!C$1,'Error Log'!$A$1:$J$1,0)))</f>
        <v/>
      </c>
      <c r="D254" s="70">
        <f>IF(H254=0,wdct(TRIM(C254)),0)</f>
        <v>0</v>
      </c>
      <c r="E254" s="70">
        <f>COUNTIFS('Error Log'!$A:$A,$A254,'Error Log'!$J:$J,E$1)</f>
        <v>0</v>
      </c>
      <c r="F254" s="70">
        <f>COUNTIFS('Error Log'!$A:$A,$A254,'Error Log'!$J:$J,F$1)</f>
        <v>0</v>
      </c>
      <c r="G254" s="70">
        <f>COUNTIFS('Error Log'!$A:$A,$A254,'Error Log'!$J:$J,G$1)</f>
        <v>0</v>
      </c>
      <c r="H254" s="70">
        <f>COUNTIFS('Error Log'!$A:$A,$A254,'Error Log'!$F:$F,"Source")</f>
        <v>0</v>
      </c>
      <c r="I254" s="70">
        <f>COUNTIFS('Error Log'!$A:$A,$A254,'Error Log'!$F:$F,"Target")</f>
        <v>0</v>
      </c>
      <c r="J254" s="71">
        <f t="shared" si="3"/>
        <v>0</v>
      </c>
    </row>
    <row r="255" spans="1:10">
      <c r="A255" s="123"/>
      <c r="B255" s="70" t="str">
        <f>IF(ISBLANK(A255),"",INDEX('Error Log'!$A:$J,MATCH('Scores per segment'!$A255,'Error Log'!$A:$A,0),MATCH('Scores per segment'!B$1,'Error Log'!$A$1:$J$1,0)))</f>
        <v/>
      </c>
      <c r="C255" s="70" t="str">
        <f>IF(ISBLANK(A255),"",INDEX('Error Log'!$A:$J,MATCH('Scores per segment'!$A255,'Error Log'!$A:$A,0),MATCH('Scores per segment'!C$1,'Error Log'!$A$1:$J$1,0)))</f>
        <v/>
      </c>
      <c r="D255" s="70">
        <f>IF(H255=0,wdct(TRIM(C255)),0)</f>
        <v>0</v>
      </c>
      <c r="E255" s="70">
        <f>COUNTIFS('Error Log'!$A:$A,$A255,'Error Log'!$J:$J,E$1)</f>
        <v>0</v>
      </c>
      <c r="F255" s="70">
        <f>COUNTIFS('Error Log'!$A:$A,$A255,'Error Log'!$J:$J,F$1)</f>
        <v>0</v>
      </c>
      <c r="G255" s="70">
        <f>COUNTIFS('Error Log'!$A:$A,$A255,'Error Log'!$J:$J,G$1)</f>
        <v>0</v>
      </c>
      <c r="H255" s="70">
        <f>COUNTIFS('Error Log'!$A:$A,$A255,'Error Log'!$F:$F,"Source")</f>
        <v>0</v>
      </c>
      <c r="I255" s="70">
        <f>COUNTIFS('Error Log'!$A:$A,$A255,'Error Log'!$F:$F,"Target")</f>
        <v>0</v>
      </c>
      <c r="J255" s="71">
        <f t="shared" si="3"/>
        <v>0</v>
      </c>
    </row>
    <row r="256" spans="1:10">
      <c r="A256" s="123"/>
      <c r="B256" s="70" t="str">
        <f>IF(ISBLANK(A256),"",INDEX('Error Log'!$A:$J,MATCH('Scores per segment'!$A256,'Error Log'!$A:$A,0),MATCH('Scores per segment'!B$1,'Error Log'!$A$1:$J$1,0)))</f>
        <v/>
      </c>
      <c r="C256" s="70" t="str">
        <f>IF(ISBLANK(A256),"",INDEX('Error Log'!$A:$J,MATCH('Scores per segment'!$A256,'Error Log'!$A:$A,0),MATCH('Scores per segment'!C$1,'Error Log'!$A$1:$J$1,0)))</f>
        <v/>
      </c>
      <c r="D256" s="70">
        <f>IF(H256=0,wdct(TRIM(C256)),0)</f>
        <v>0</v>
      </c>
      <c r="E256" s="70">
        <f>COUNTIFS('Error Log'!$A:$A,$A256,'Error Log'!$J:$J,E$1)</f>
        <v>0</v>
      </c>
      <c r="F256" s="70">
        <f>COUNTIFS('Error Log'!$A:$A,$A256,'Error Log'!$J:$J,F$1)</f>
        <v>0</v>
      </c>
      <c r="G256" s="70">
        <f>COUNTIFS('Error Log'!$A:$A,$A256,'Error Log'!$J:$J,G$1)</f>
        <v>0</v>
      </c>
      <c r="H256" s="70">
        <f>COUNTIFS('Error Log'!$A:$A,$A256,'Error Log'!$F:$F,"Source")</f>
        <v>0</v>
      </c>
      <c r="I256" s="70">
        <f>COUNTIFS('Error Log'!$A:$A,$A256,'Error Log'!$F:$F,"Target")</f>
        <v>0</v>
      </c>
      <c r="J256" s="71">
        <f t="shared" si="3"/>
        <v>0</v>
      </c>
    </row>
    <row r="257" spans="1:10">
      <c r="A257" s="123"/>
      <c r="B257" s="70" t="str">
        <f>IF(ISBLANK(A257),"",INDEX('Error Log'!$A:$J,MATCH('Scores per segment'!$A257,'Error Log'!$A:$A,0),MATCH('Scores per segment'!B$1,'Error Log'!$A$1:$J$1,0)))</f>
        <v/>
      </c>
      <c r="C257" s="70" t="str">
        <f>IF(ISBLANK(A257),"",INDEX('Error Log'!$A:$J,MATCH('Scores per segment'!$A257,'Error Log'!$A:$A,0),MATCH('Scores per segment'!C$1,'Error Log'!$A$1:$J$1,0)))</f>
        <v/>
      </c>
      <c r="D257" s="70">
        <f>IF(H257=0,wdct(TRIM(C257)),0)</f>
        <v>0</v>
      </c>
      <c r="E257" s="70">
        <f>COUNTIFS('Error Log'!$A:$A,$A257,'Error Log'!$J:$J,E$1)</f>
        <v>0</v>
      </c>
      <c r="F257" s="70">
        <f>COUNTIFS('Error Log'!$A:$A,$A257,'Error Log'!$J:$J,F$1)</f>
        <v>0</v>
      </c>
      <c r="G257" s="70">
        <f>COUNTIFS('Error Log'!$A:$A,$A257,'Error Log'!$J:$J,G$1)</f>
        <v>0</v>
      </c>
      <c r="H257" s="70">
        <f>COUNTIFS('Error Log'!$A:$A,$A257,'Error Log'!$F:$F,"Source")</f>
        <v>0</v>
      </c>
      <c r="I257" s="70">
        <f>COUNTIFS('Error Log'!$A:$A,$A257,'Error Log'!$F:$F,"Target")</f>
        <v>0</v>
      </c>
      <c r="J257" s="71">
        <f t="shared" si="3"/>
        <v>0</v>
      </c>
    </row>
    <row r="258" spans="1:10">
      <c r="A258" s="123"/>
      <c r="B258" s="70" t="str">
        <f>IF(ISBLANK(A258),"",INDEX('Error Log'!$A:$J,MATCH('Scores per segment'!$A258,'Error Log'!$A:$A,0),MATCH('Scores per segment'!B$1,'Error Log'!$A$1:$J$1,0)))</f>
        <v/>
      </c>
      <c r="C258" s="70" t="str">
        <f>IF(ISBLANK(A258),"",INDEX('Error Log'!$A:$J,MATCH('Scores per segment'!$A258,'Error Log'!$A:$A,0),MATCH('Scores per segment'!C$1,'Error Log'!$A$1:$J$1,0)))</f>
        <v/>
      </c>
      <c r="D258" s="70">
        <f>IF(H258=0,wdct(TRIM(C258)),0)</f>
        <v>0</v>
      </c>
      <c r="E258" s="70">
        <f>COUNTIFS('Error Log'!$A:$A,$A258,'Error Log'!$J:$J,E$1)</f>
        <v>0</v>
      </c>
      <c r="F258" s="70">
        <f>COUNTIFS('Error Log'!$A:$A,$A258,'Error Log'!$J:$J,F$1)</f>
        <v>0</v>
      </c>
      <c r="G258" s="70">
        <f>COUNTIFS('Error Log'!$A:$A,$A258,'Error Log'!$J:$J,G$1)</f>
        <v>0</v>
      </c>
      <c r="H258" s="70">
        <f>COUNTIFS('Error Log'!$A:$A,$A258,'Error Log'!$F:$F,"Source")</f>
        <v>0</v>
      </c>
      <c r="I258" s="70">
        <f>COUNTIFS('Error Log'!$A:$A,$A258,'Error Log'!$F:$F,"Target")</f>
        <v>0</v>
      </c>
      <c r="J258" s="71">
        <f t="shared" ref="J258:J321" si="4">IF(I258=0,IFERROR((((1-((E258*10+F258*5+G258*1)/D258))*100)+100)/2,0),-150)</f>
        <v>0</v>
      </c>
    </row>
    <row r="259" spans="1:10">
      <c r="A259" s="123"/>
      <c r="B259" s="70" t="str">
        <f>IF(ISBLANK(A259),"",INDEX('Error Log'!$A:$J,MATCH('Scores per segment'!$A259,'Error Log'!$A:$A,0),MATCH('Scores per segment'!B$1,'Error Log'!$A$1:$J$1,0)))</f>
        <v/>
      </c>
      <c r="C259" s="70" t="str">
        <f>IF(ISBLANK(A259),"",INDEX('Error Log'!$A:$J,MATCH('Scores per segment'!$A259,'Error Log'!$A:$A,0),MATCH('Scores per segment'!C$1,'Error Log'!$A$1:$J$1,0)))</f>
        <v/>
      </c>
      <c r="D259" s="70">
        <f>IF(H259=0,wdct(TRIM(C259)),0)</f>
        <v>0</v>
      </c>
      <c r="E259" s="70">
        <f>COUNTIFS('Error Log'!$A:$A,$A259,'Error Log'!$J:$J,E$1)</f>
        <v>0</v>
      </c>
      <c r="F259" s="70">
        <f>COUNTIFS('Error Log'!$A:$A,$A259,'Error Log'!$J:$J,F$1)</f>
        <v>0</v>
      </c>
      <c r="G259" s="70">
        <f>COUNTIFS('Error Log'!$A:$A,$A259,'Error Log'!$J:$J,G$1)</f>
        <v>0</v>
      </c>
      <c r="H259" s="70">
        <f>COUNTIFS('Error Log'!$A:$A,$A259,'Error Log'!$F:$F,"Source")</f>
        <v>0</v>
      </c>
      <c r="I259" s="70">
        <f>COUNTIFS('Error Log'!$A:$A,$A259,'Error Log'!$F:$F,"Target")</f>
        <v>0</v>
      </c>
      <c r="J259" s="71">
        <f t="shared" si="4"/>
        <v>0</v>
      </c>
    </row>
    <row r="260" spans="1:10">
      <c r="A260" s="123"/>
      <c r="B260" s="70" t="str">
        <f>IF(ISBLANK(A260),"",INDEX('Error Log'!$A:$J,MATCH('Scores per segment'!$A260,'Error Log'!$A:$A,0),MATCH('Scores per segment'!B$1,'Error Log'!$A$1:$J$1,0)))</f>
        <v/>
      </c>
      <c r="C260" s="70" t="str">
        <f>IF(ISBLANK(A260),"",INDEX('Error Log'!$A:$J,MATCH('Scores per segment'!$A260,'Error Log'!$A:$A,0),MATCH('Scores per segment'!C$1,'Error Log'!$A$1:$J$1,0)))</f>
        <v/>
      </c>
      <c r="D260" s="70">
        <f>IF(H260=0,wdct(TRIM(C260)),0)</f>
        <v>0</v>
      </c>
      <c r="E260" s="70">
        <f>COUNTIFS('Error Log'!$A:$A,$A260,'Error Log'!$J:$J,E$1)</f>
        <v>0</v>
      </c>
      <c r="F260" s="70">
        <f>COUNTIFS('Error Log'!$A:$A,$A260,'Error Log'!$J:$J,F$1)</f>
        <v>0</v>
      </c>
      <c r="G260" s="70">
        <f>COUNTIFS('Error Log'!$A:$A,$A260,'Error Log'!$J:$J,G$1)</f>
        <v>0</v>
      </c>
      <c r="H260" s="70">
        <f>COUNTIFS('Error Log'!$A:$A,$A260,'Error Log'!$F:$F,"Source")</f>
        <v>0</v>
      </c>
      <c r="I260" s="70">
        <f>COUNTIFS('Error Log'!$A:$A,$A260,'Error Log'!$F:$F,"Target")</f>
        <v>0</v>
      </c>
      <c r="J260" s="71">
        <f t="shared" si="4"/>
        <v>0</v>
      </c>
    </row>
    <row r="261" spans="1:10">
      <c r="A261" s="123"/>
      <c r="B261" s="70" t="str">
        <f>IF(ISBLANK(A261),"",INDEX('Error Log'!$A:$J,MATCH('Scores per segment'!$A261,'Error Log'!$A:$A,0),MATCH('Scores per segment'!B$1,'Error Log'!$A$1:$J$1,0)))</f>
        <v/>
      </c>
      <c r="C261" s="70" t="str">
        <f>IF(ISBLANK(A261),"",INDEX('Error Log'!$A:$J,MATCH('Scores per segment'!$A261,'Error Log'!$A:$A,0),MATCH('Scores per segment'!C$1,'Error Log'!$A$1:$J$1,0)))</f>
        <v/>
      </c>
      <c r="D261" s="70">
        <f>IF(H261=0,wdct(TRIM(C261)),0)</f>
        <v>0</v>
      </c>
      <c r="E261" s="70">
        <f>COUNTIFS('Error Log'!$A:$A,$A261,'Error Log'!$J:$J,E$1)</f>
        <v>0</v>
      </c>
      <c r="F261" s="70">
        <f>COUNTIFS('Error Log'!$A:$A,$A261,'Error Log'!$J:$J,F$1)</f>
        <v>0</v>
      </c>
      <c r="G261" s="70">
        <f>COUNTIFS('Error Log'!$A:$A,$A261,'Error Log'!$J:$J,G$1)</f>
        <v>0</v>
      </c>
      <c r="H261" s="70">
        <f>COUNTIFS('Error Log'!$A:$A,$A261,'Error Log'!$F:$F,"Source")</f>
        <v>0</v>
      </c>
      <c r="I261" s="70">
        <f>COUNTIFS('Error Log'!$A:$A,$A261,'Error Log'!$F:$F,"Target")</f>
        <v>0</v>
      </c>
      <c r="J261" s="71">
        <f t="shared" si="4"/>
        <v>0</v>
      </c>
    </row>
    <row r="262" spans="1:10">
      <c r="A262" s="123"/>
      <c r="B262" s="70" t="str">
        <f>IF(ISBLANK(A262),"",INDEX('Error Log'!$A:$J,MATCH('Scores per segment'!$A262,'Error Log'!$A:$A,0),MATCH('Scores per segment'!B$1,'Error Log'!$A$1:$J$1,0)))</f>
        <v/>
      </c>
      <c r="C262" s="70" t="str">
        <f>IF(ISBLANK(A262),"",INDEX('Error Log'!$A:$J,MATCH('Scores per segment'!$A262,'Error Log'!$A:$A,0),MATCH('Scores per segment'!C$1,'Error Log'!$A$1:$J$1,0)))</f>
        <v/>
      </c>
      <c r="D262" s="70">
        <f>IF(H262=0,wdct(TRIM(C262)),0)</f>
        <v>0</v>
      </c>
      <c r="E262" s="70">
        <f>COUNTIFS('Error Log'!$A:$A,$A262,'Error Log'!$J:$J,E$1)</f>
        <v>0</v>
      </c>
      <c r="F262" s="70">
        <f>COUNTIFS('Error Log'!$A:$A,$A262,'Error Log'!$J:$J,F$1)</f>
        <v>0</v>
      </c>
      <c r="G262" s="70">
        <f>COUNTIFS('Error Log'!$A:$A,$A262,'Error Log'!$J:$J,G$1)</f>
        <v>0</v>
      </c>
      <c r="H262" s="70">
        <f>COUNTIFS('Error Log'!$A:$A,$A262,'Error Log'!$F:$F,"Source")</f>
        <v>0</v>
      </c>
      <c r="I262" s="70">
        <f>COUNTIFS('Error Log'!$A:$A,$A262,'Error Log'!$F:$F,"Target")</f>
        <v>0</v>
      </c>
      <c r="J262" s="71">
        <f t="shared" si="4"/>
        <v>0</v>
      </c>
    </row>
    <row r="263" spans="1:10">
      <c r="A263" s="123"/>
      <c r="B263" s="70" t="str">
        <f>IF(ISBLANK(A263),"",INDEX('Error Log'!$A:$J,MATCH('Scores per segment'!$A263,'Error Log'!$A:$A,0),MATCH('Scores per segment'!B$1,'Error Log'!$A$1:$J$1,0)))</f>
        <v/>
      </c>
      <c r="C263" s="70" t="str">
        <f>IF(ISBLANK(A263),"",INDEX('Error Log'!$A:$J,MATCH('Scores per segment'!$A263,'Error Log'!$A:$A,0),MATCH('Scores per segment'!C$1,'Error Log'!$A$1:$J$1,0)))</f>
        <v/>
      </c>
      <c r="D263" s="70">
        <f>IF(H263=0,wdct(TRIM(C263)),0)</f>
        <v>0</v>
      </c>
      <c r="E263" s="70">
        <f>COUNTIFS('Error Log'!$A:$A,$A263,'Error Log'!$J:$J,E$1)</f>
        <v>0</v>
      </c>
      <c r="F263" s="70">
        <f>COUNTIFS('Error Log'!$A:$A,$A263,'Error Log'!$J:$J,F$1)</f>
        <v>0</v>
      </c>
      <c r="G263" s="70">
        <f>COUNTIFS('Error Log'!$A:$A,$A263,'Error Log'!$J:$J,G$1)</f>
        <v>0</v>
      </c>
      <c r="H263" s="70">
        <f>COUNTIFS('Error Log'!$A:$A,$A263,'Error Log'!$F:$F,"Source")</f>
        <v>0</v>
      </c>
      <c r="I263" s="70">
        <f>COUNTIFS('Error Log'!$A:$A,$A263,'Error Log'!$F:$F,"Target")</f>
        <v>0</v>
      </c>
      <c r="J263" s="71">
        <f t="shared" si="4"/>
        <v>0</v>
      </c>
    </row>
    <row r="264" spans="1:10">
      <c r="A264" s="123"/>
      <c r="B264" s="70" t="str">
        <f>IF(ISBLANK(A264),"",INDEX('Error Log'!$A:$J,MATCH('Scores per segment'!$A264,'Error Log'!$A:$A,0),MATCH('Scores per segment'!B$1,'Error Log'!$A$1:$J$1,0)))</f>
        <v/>
      </c>
      <c r="C264" s="70" t="str">
        <f>IF(ISBLANK(A264),"",INDEX('Error Log'!$A:$J,MATCH('Scores per segment'!$A264,'Error Log'!$A:$A,0),MATCH('Scores per segment'!C$1,'Error Log'!$A$1:$J$1,0)))</f>
        <v/>
      </c>
      <c r="D264" s="70">
        <f>IF(H264=0,wdct(TRIM(C264)),0)</f>
        <v>0</v>
      </c>
      <c r="E264" s="70">
        <f>COUNTIFS('Error Log'!$A:$A,$A264,'Error Log'!$J:$J,E$1)</f>
        <v>0</v>
      </c>
      <c r="F264" s="70">
        <f>COUNTIFS('Error Log'!$A:$A,$A264,'Error Log'!$J:$J,F$1)</f>
        <v>0</v>
      </c>
      <c r="G264" s="70">
        <f>COUNTIFS('Error Log'!$A:$A,$A264,'Error Log'!$J:$J,G$1)</f>
        <v>0</v>
      </c>
      <c r="H264" s="70">
        <f>COUNTIFS('Error Log'!$A:$A,$A264,'Error Log'!$F:$F,"Source")</f>
        <v>0</v>
      </c>
      <c r="I264" s="70">
        <f>COUNTIFS('Error Log'!$A:$A,$A264,'Error Log'!$F:$F,"Target")</f>
        <v>0</v>
      </c>
      <c r="J264" s="71">
        <f t="shared" si="4"/>
        <v>0</v>
      </c>
    </row>
    <row r="265" spans="1:10">
      <c r="A265" s="123"/>
      <c r="B265" s="70" t="str">
        <f>IF(ISBLANK(A265),"",INDEX('Error Log'!$A:$J,MATCH('Scores per segment'!$A265,'Error Log'!$A:$A,0),MATCH('Scores per segment'!B$1,'Error Log'!$A$1:$J$1,0)))</f>
        <v/>
      </c>
      <c r="C265" s="70" t="str">
        <f>IF(ISBLANK(A265),"",INDEX('Error Log'!$A:$J,MATCH('Scores per segment'!$A265,'Error Log'!$A:$A,0),MATCH('Scores per segment'!C$1,'Error Log'!$A$1:$J$1,0)))</f>
        <v/>
      </c>
      <c r="D265" s="70">
        <f>IF(H265=0,wdct(TRIM(C265)),0)</f>
        <v>0</v>
      </c>
      <c r="E265" s="70">
        <f>COUNTIFS('Error Log'!$A:$A,$A265,'Error Log'!$J:$J,E$1)</f>
        <v>0</v>
      </c>
      <c r="F265" s="70">
        <f>COUNTIFS('Error Log'!$A:$A,$A265,'Error Log'!$J:$J,F$1)</f>
        <v>0</v>
      </c>
      <c r="G265" s="70">
        <f>COUNTIFS('Error Log'!$A:$A,$A265,'Error Log'!$J:$J,G$1)</f>
        <v>0</v>
      </c>
      <c r="H265" s="70">
        <f>COUNTIFS('Error Log'!$A:$A,$A265,'Error Log'!$F:$F,"Source")</f>
        <v>0</v>
      </c>
      <c r="I265" s="70">
        <f>COUNTIFS('Error Log'!$A:$A,$A265,'Error Log'!$F:$F,"Target")</f>
        <v>0</v>
      </c>
      <c r="J265" s="71">
        <f t="shared" si="4"/>
        <v>0</v>
      </c>
    </row>
    <row r="266" spans="1:10">
      <c r="A266" s="123"/>
      <c r="B266" s="70" t="str">
        <f>IF(ISBLANK(A266),"",INDEX('Error Log'!$A:$J,MATCH('Scores per segment'!$A266,'Error Log'!$A:$A,0),MATCH('Scores per segment'!B$1,'Error Log'!$A$1:$J$1,0)))</f>
        <v/>
      </c>
      <c r="C266" s="70" t="str">
        <f>IF(ISBLANK(A266),"",INDEX('Error Log'!$A:$J,MATCH('Scores per segment'!$A266,'Error Log'!$A:$A,0),MATCH('Scores per segment'!C$1,'Error Log'!$A$1:$J$1,0)))</f>
        <v/>
      </c>
      <c r="D266" s="70">
        <f>IF(H266=0,wdct(TRIM(C266)),0)</f>
        <v>0</v>
      </c>
      <c r="E266" s="70">
        <f>COUNTIFS('Error Log'!$A:$A,$A266,'Error Log'!$J:$J,E$1)</f>
        <v>0</v>
      </c>
      <c r="F266" s="70">
        <f>COUNTIFS('Error Log'!$A:$A,$A266,'Error Log'!$J:$J,F$1)</f>
        <v>0</v>
      </c>
      <c r="G266" s="70">
        <f>COUNTIFS('Error Log'!$A:$A,$A266,'Error Log'!$J:$J,G$1)</f>
        <v>0</v>
      </c>
      <c r="H266" s="70">
        <f>COUNTIFS('Error Log'!$A:$A,$A266,'Error Log'!$F:$F,"Source")</f>
        <v>0</v>
      </c>
      <c r="I266" s="70">
        <f>COUNTIFS('Error Log'!$A:$A,$A266,'Error Log'!$F:$F,"Target")</f>
        <v>0</v>
      </c>
      <c r="J266" s="71">
        <f t="shared" si="4"/>
        <v>0</v>
      </c>
    </row>
    <row r="267" spans="1:10">
      <c r="A267" s="123"/>
      <c r="B267" s="70" t="str">
        <f>IF(ISBLANK(A267),"",INDEX('Error Log'!$A:$J,MATCH('Scores per segment'!$A267,'Error Log'!$A:$A,0),MATCH('Scores per segment'!B$1,'Error Log'!$A$1:$J$1,0)))</f>
        <v/>
      </c>
      <c r="C267" s="70" t="str">
        <f>IF(ISBLANK(A267),"",INDEX('Error Log'!$A:$J,MATCH('Scores per segment'!$A267,'Error Log'!$A:$A,0),MATCH('Scores per segment'!C$1,'Error Log'!$A$1:$J$1,0)))</f>
        <v/>
      </c>
      <c r="D267" s="70">
        <f>IF(H267=0,wdct(TRIM(C267)),0)</f>
        <v>0</v>
      </c>
      <c r="E267" s="70">
        <f>COUNTIFS('Error Log'!$A:$A,$A267,'Error Log'!$J:$J,E$1)</f>
        <v>0</v>
      </c>
      <c r="F267" s="70">
        <f>COUNTIFS('Error Log'!$A:$A,$A267,'Error Log'!$J:$J,F$1)</f>
        <v>0</v>
      </c>
      <c r="G267" s="70">
        <f>COUNTIFS('Error Log'!$A:$A,$A267,'Error Log'!$J:$J,G$1)</f>
        <v>0</v>
      </c>
      <c r="H267" s="70">
        <f>COUNTIFS('Error Log'!$A:$A,$A267,'Error Log'!$F:$F,"Source")</f>
        <v>0</v>
      </c>
      <c r="I267" s="70">
        <f>COUNTIFS('Error Log'!$A:$A,$A267,'Error Log'!$F:$F,"Target")</f>
        <v>0</v>
      </c>
      <c r="J267" s="71">
        <f t="shared" si="4"/>
        <v>0</v>
      </c>
    </row>
    <row r="268" spans="1:10">
      <c r="A268" s="123"/>
      <c r="B268" s="70" t="str">
        <f>IF(ISBLANK(A268),"",INDEX('Error Log'!$A:$J,MATCH('Scores per segment'!$A268,'Error Log'!$A:$A,0),MATCH('Scores per segment'!B$1,'Error Log'!$A$1:$J$1,0)))</f>
        <v/>
      </c>
      <c r="C268" s="70" t="str">
        <f>IF(ISBLANK(A268),"",INDEX('Error Log'!$A:$J,MATCH('Scores per segment'!$A268,'Error Log'!$A:$A,0),MATCH('Scores per segment'!C$1,'Error Log'!$A$1:$J$1,0)))</f>
        <v/>
      </c>
      <c r="D268" s="70">
        <f>IF(H268=0,wdct(TRIM(C268)),0)</f>
        <v>0</v>
      </c>
      <c r="E268" s="70">
        <f>COUNTIFS('Error Log'!$A:$A,$A268,'Error Log'!$J:$J,E$1)</f>
        <v>0</v>
      </c>
      <c r="F268" s="70">
        <f>COUNTIFS('Error Log'!$A:$A,$A268,'Error Log'!$J:$J,F$1)</f>
        <v>0</v>
      </c>
      <c r="G268" s="70">
        <f>COUNTIFS('Error Log'!$A:$A,$A268,'Error Log'!$J:$J,G$1)</f>
        <v>0</v>
      </c>
      <c r="H268" s="70">
        <f>COUNTIFS('Error Log'!$A:$A,$A268,'Error Log'!$F:$F,"Source")</f>
        <v>0</v>
      </c>
      <c r="I268" s="70">
        <f>COUNTIFS('Error Log'!$A:$A,$A268,'Error Log'!$F:$F,"Target")</f>
        <v>0</v>
      </c>
      <c r="J268" s="71">
        <f t="shared" si="4"/>
        <v>0</v>
      </c>
    </row>
    <row r="269" spans="1:10">
      <c r="A269" s="123"/>
      <c r="B269" s="70" t="str">
        <f>IF(ISBLANK(A269),"",INDEX('Error Log'!$A:$J,MATCH('Scores per segment'!$A269,'Error Log'!$A:$A,0),MATCH('Scores per segment'!B$1,'Error Log'!$A$1:$J$1,0)))</f>
        <v/>
      </c>
      <c r="C269" s="70" t="str">
        <f>IF(ISBLANK(A269),"",INDEX('Error Log'!$A:$J,MATCH('Scores per segment'!$A269,'Error Log'!$A:$A,0),MATCH('Scores per segment'!C$1,'Error Log'!$A$1:$J$1,0)))</f>
        <v/>
      </c>
      <c r="D269" s="70">
        <f>IF(H269=0,wdct(TRIM(C269)),0)</f>
        <v>0</v>
      </c>
      <c r="E269" s="70">
        <f>COUNTIFS('Error Log'!$A:$A,$A269,'Error Log'!$J:$J,E$1)</f>
        <v>0</v>
      </c>
      <c r="F269" s="70">
        <f>COUNTIFS('Error Log'!$A:$A,$A269,'Error Log'!$J:$J,F$1)</f>
        <v>0</v>
      </c>
      <c r="G269" s="70">
        <f>COUNTIFS('Error Log'!$A:$A,$A269,'Error Log'!$J:$J,G$1)</f>
        <v>0</v>
      </c>
      <c r="H269" s="70">
        <f>COUNTIFS('Error Log'!$A:$A,$A269,'Error Log'!$F:$F,"Source")</f>
        <v>0</v>
      </c>
      <c r="I269" s="70">
        <f>COUNTIFS('Error Log'!$A:$A,$A269,'Error Log'!$F:$F,"Target")</f>
        <v>0</v>
      </c>
      <c r="J269" s="71">
        <f t="shared" si="4"/>
        <v>0</v>
      </c>
    </row>
    <row r="270" spans="1:10">
      <c r="A270" s="123"/>
      <c r="B270" s="70" t="str">
        <f>IF(ISBLANK(A270),"",INDEX('Error Log'!$A:$J,MATCH('Scores per segment'!$A270,'Error Log'!$A:$A,0),MATCH('Scores per segment'!B$1,'Error Log'!$A$1:$J$1,0)))</f>
        <v/>
      </c>
      <c r="C270" s="70" t="str">
        <f>IF(ISBLANK(A270),"",INDEX('Error Log'!$A:$J,MATCH('Scores per segment'!$A270,'Error Log'!$A:$A,0),MATCH('Scores per segment'!C$1,'Error Log'!$A$1:$J$1,0)))</f>
        <v/>
      </c>
      <c r="D270" s="70">
        <f>IF(H270=0,wdct(TRIM(C270)),0)</f>
        <v>0</v>
      </c>
      <c r="E270" s="70">
        <f>COUNTIFS('Error Log'!$A:$A,$A270,'Error Log'!$J:$J,E$1)</f>
        <v>0</v>
      </c>
      <c r="F270" s="70">
        <f>COUNTIFS('Error Log'!$A:$A,$A270,'Error Log'!$J:$J,F$1)</f>
        <v>0</v>
      </c>
      <c r="G270" s="70">
        <f>COUNTIFS('Error Log'!$A:$A,$A270,'Error Log'!$J:$J,G$1)</f>
        <v>0</v>
      </c>
      <c r="H270" s="70">
        <f>COUNTIFS('Error Log'!$A:$A,$A270,'Error Log'!$F:$F,"Source")</f>
        <v>0</v>
      </c>
      <c r="I270" s="70">
        <f>COUNTIFS('Error Log'!$A:$A,$A270,'Error Log'!$F:$F,"Target")</f>
        <v>0</v>
      </c>
      <c r="J270" s="71">
        <f t="shared" si="4"/>
        <v>0</v>
      </c>
    </row>
    <row r="271" spans="1:10">
      <c r="A271" s="123"/>
      <c r="B271" s="70" t="str">
        <f>IF(ISBLANK(A271),"",INDEX('Error Log'!$A:$J,MATCH('Scores per segment'!$A271,'Error Log'!$A:$A,0),MATCH('Scores per segment'!B$1,'Error Log'!$A$1:$J$1,0)))</f>
        <v/>
      </c>
      <c r="C271" s="70" t="str">
        <f>IF(ISBLANK(A271),"",INDEX('Error Log'!$A:$J,MATCH('Scores per segment'!$A271,'Error Log'!$A:$A,0),MATCH('Scores per segment'!C$1,'Error Log'!$A$1:$J$1,0)))</f>
        <v/>
      </c>
      <c r="D271" s="70">
        <f>IF(H271=0,wdct(TRIM(C271)),0)</f>
        <v>0</v>
      </c>
      <c r="E271" s="70">
        <f>COUNTIFS('Error Log'!$A:$A,$A271,'Error Log'!$J:$J,E$1)</f>
        <v>0</v>
      </c>
      <c r="F271" s="70">
        <f>COUNTIFS('Error Log'!$A:$A,$A271,'Error Log'!$J:$J,F$1)</f>
        <v>0</v>
      </c>
      <c r="G271" s="70">
        <f>COUNTIFS('Error Log'!$A:$A,$A271,'Error Log'!$J:$J,G$1)</f>
        <v>0</v>
      </c>
      <c r="H271" s="70">
        <f>COUNTIFS('Error Log'!$A:$A,$A271,'Error Log'!$F:$F,"Source")</f>
        <v>0</v>
      </c>
      <c r="I271" s="70">
        <f>COUNTIFS('Error Log'!$A:$A,$A271,'Error Log'!$F:$F,"Target")</f>
        <v>0</v>
      </c>
      <c r="J271" s="71">
        <f t="shared" si="4"/>
        <v>0</v>
      </c>
    </row>
    <row r="272" spans="1:10">
      <c r="A272" s="123"/>
      <c r="B272" s="70" t="str">
        <f>IF(ISBLANK(A272),"",INDEX('Error Log'!$A:$J,MATCH('Scores per segment'!$A272,'Error Log'!$A:$A,0),MATCH('Scores per segment'!B$1,'Error Log'!$A$1:$J$1,0)))</f>
        <v/>
      </c>
      <c r="C272" s="70" t="str">
        <f>IF(ISBLANK(A272),"",INDEX('Error Log'!$A:$J,MATCH('Scores per segment'!$A272,'Error Log'!$A:$A,0),MATCH('Scores per segment'!C$1,'Error Log'!$A$1:$J$1,0)))</f>
        <v/>
      </c>
      <c r="D272" s="70">
        <f>IF(H272=0,wdct(TRIM(C272)),0)</f>
        <v>0</v>
      </c>
      <c r="E272" s="70">
        <f>COUNTIFS('Error Log'!$A:$A,$A272,'Error Log'!$J:$J,E$1)</f>
        <v>0</v>
      </c>
      <c r="F272" s="70">
        <f>COUNTIFS('Error Log'!$A:$A,$A272,'Error Log'!$J:$J,F$1)</f>
        <v>0</v>
      </c>
      <c r="G272" s="70">
        <f>COUNTIFS('Error Log'!$A:$A,$A272,'Error Log'!$J:$J,G$1)</f>
        <v>0</v>
      </c>
      <c r="H272" s="70">
        <f>COUNTIFS('Error Log'!$A:$A,$A272,'Error Log'!$F:$F,"Source")</f>
        <v>0</v>
      </c>
      <c r="I272" s="70">
        <f>COUNTIFS('Error Log'!$A:$A,$A272,'Error Log'!$F:$F,"Target")</f>
        <v>0</v>
      </c>
      <c r="J272" s="71">
        <f t="shared" si="4"/>
        <v>0</v>
      </c>
    </row>
    <row r="273" spans="1:10">
      <c r="A273" s="123"/>
      <c r="B273" s="70" t="str">
        <f>IF(ISBLANK(A273),"",INDEX('Error Log'!$A:$J,MATCH('Scores per segment'!$A273,'Error Log'!$A:$A,0),MATCH('Scores per segment'!B$1,'Error Log'!$A$1:$J$1,0)))</f>
        <v/>
      </c>
      <c r="C273" s="70" t="str">
        <f>IF(ISBLANK(A273),"",INDEX('Error Log'!$A:$J,MATCH('Scores per segment'!$A273,'Error Log'!$A:$A,0),MATCH('Scores per segment'!C$1,'Error Log'!$A$1:$J$1,0)))</f>
        <v/>
      </c>
      <c r="D273" s="70">
        <f>IF(H273=0,wdct(TRIM(C273)),0)</f>
        <v>0</v>
      </c>
      <c r="E273" s="70">
        <f>COUNTIFS('Error Log'!$A:$A,$A273,'Error Log'!$J:$J,E$1)</f>
        <v>0</v>
      </c>
      <c r="F273" s="70">
        <f>COUNTIFS('Error Log'!$A:$A,$A273,'Error Log'!$J:$J,F$1)</f>
        <v>0</v>
      </c>
      <c r="G273" s="70">
        <f>COUNTIFS('Error Log'!$A:$A,$A273,'Error Log'!$J:$J,G$1)</f>
        <v>0</v>
      </c>
      <c r="H273" s="70">
        <f>COUNTIFS('Error Log'!$A:$A,$A273,'Error Log'!$F:$F,"Source")</f>
        <v>0</v>
      </c>
      <c r="I273" s="70">
        <f>COUNTIFS('Error Log'!$A:$A,$A273,'Error Log'!$F:$F,"Target")</f>
        <v>0</v>
      </c>
      <c r="J273" s="71">
        <f t="shared" si="4"/>
        <v>0</v>
      </c>
    </row>
    <row r="274" spans="1:10">
      <c r="A274" s="123"/>
      <c r="B274" s="70" t="str">
        <f>IF(ISBLANK(A274),"",INDEX('Error Log'!$A:$J,MATCH('Scores per segment'!$A274,'Error Log'!$A:$A,0),MATCH('Scores per segment'!B$1,'Error Log'!$A$1:$J$1,0)))</f>
        <v/>
      </c>
      <c r="C274" s="70" t="str">
        <f>IF(ISBLANK(A274),"",INDEX('Error Log'!$A:$J,MATCH('Scores per segment'!$A274,'Error Log'!$A:$A,0),MATCH('Scores per segment'!C$1,'Error Log'!$A$1:$J$1,0)))</f>
        <v/>
      </c>
      <c r="D274" s="70">
        <f>IF(H274=0,wdct(TRIM(C274)),0)</f>
        <v>0</v>
      </c>
      <c r="E274" s="70">
        <f>COUNTIFS('Error Log'!$A:$A,$A274,'Error Log'!$J:$J,E$1)</f>
        <v>0</v>
      </c>
      <c r="F274" s="70">
        <f>COUNTIFS('Error Log'!$A:$A,$A274,'Error Log'!$J:$J,F$1)</f>
        <v>0</v>
      </c>
      <c r="G274" s="70">
        <f>COUNTIFS('Error Log'!$A:$A,$A274,'Error Log'!$J:$J,G$1)</f>
        <v>0</v>
      </c>
      <c r="H274" s="70">
        <f>COUNTIFS('Error Log'!$A:$A,$A274,'Error Log'!$F:$F,"Source")</f>
        <v>0</v>
      </c>
      <c r="I274" s="70">
        <f>COUNTIFS('Error Log'!$A:$A,$A274,'Error Log'!$F:$F,"Target")</f>
        <v>0</v>
      </c>
      <c r="J274" s="71">
        <f t="shared" si="4"/>
        <v>0</v>
      </c>
    </row>
    <row r="275" spans="1:10">
      <c r="A275" s="123"/>
      <c r="B275" s="70" t="str">
        <f>IF(ISBLANK(A275),"",INDEX('Error Log'!$A:$J,MATCH('Scores per segment'!$A275,'Error Log'!$A:$A,0),MATCH('Scores per segment'!B$1,'Error Log'!$A$1:$J$1,0)))</f>
        <v/>
      </c>
      <c r="C275" s="70" t="str">
        <f>IF(ISBLANK(A275),"",INDEX('Error Log'!$A:$J,MATCH('Scores per segment'!$A275,'Error Log'!$A:$A,0),MATCH('Scores per segment'!C$1,'Error Log'!$A$1:$J$1,0)))</f>
        <v/>
      </c>
      <c r="D275" s="70">
        <f>IF(H275=0,wdct(TRIM(C275)),0)</f>
        <v>0</v>
      </c>
      <c r="E275" s="70">
        <f>COUNTIFS('Error Log'!$A:$A,$A275,'Error Log'!$J:$J,E$1)</f>
        <v>0</v>
      </c>
      <c r="F275" s="70">
        <f>COUNTIFS('Error Log'!$A:$A,$A275,'Error Log'!$J:$J,F$1)</f>
        <v>0</v>
      </c>
      <c r="G275" s="70">
        <f>COUNTIFS('Error Log'!$A:$A,$A275,'Error Log'!$J:$J,G$1)</f>
        <v>0</v>
      </c>
      <c r="H275" s="70">
        <f>COUNTIFS('Error Log'!$A:$A,$A275,'Error Log'!$F:$F,"Source")</f>
        <v>0</v>
      </c>
      <c r="I275" s="70">
        <f>COUNTIFS('Error Log'!$A:$A,$A275,'Error Log'!$F:$F,"Target")</f>
        <v>0</v>
      </c>
      <c r="J275" s="71">
        <f t="shared" si="4"/>
        <v>0</v>
      </c>
    </row>
    <row r="276" spans="1:10">
      <c r="A276" s="123"/>
      <c r="B276" s="70" t="str">
        <f>IF(ISBLANK(A276),"",INDEX('Error Log'!$A:$J,MATCH('Scores per segment'!$A276,'Error Log'!$A:$A,0),MATCH('Scores per segment'!B$1,'Error Log'!$A$1:$J$1,0)))</f>
        <v/>
      </c>
      <c r="C276" s="70" t="str">
        <f>IF(ISBLANK(A276),"",INDEX('Error Log'!$A:$J,MATCH('Scores per segment'!$A276,'Error Log'!$A:$A,0),MATCH('Scores per segment'!C$1,'Error Log'!$A$1:$J$1,0)))</f>
        <v/>
      </c>
      <c r="D276" s="70">
        <f>IF(H276=0,wdct(TRIM(C276)),0)</f>
        <v>0</v>
      </c>
      <c r="E276" s="70">
        <f>COUNTIFS('Error Log'!$A:$A,$A276,'Error Log'!$J:$J,E$1)</f>
        <v>0</v>
      </c>
      <c r="F276" s="70">
        <f>COUNTIFS('Error Log'!$A:$A,$A276,'Error Log'!$J:$J,F$1)</f>
        <v>0</v>
      </c>
      <c r="G276" s="70">
        <f>COUNTIFS('Error Log'!$A:$A,$A276,'Error Log'!$J:$J,G$1)</f>
        <v>0</v>
      </c>
      <c r="H276" s="70">
        <f>COUNTIFS('Error Log'!$A:$A,$A276,'Error Log'!$F:$F,"Source")</f>
        <v>0</v>
      </c>
      <c r="I276" s="70">
        <f>COUNTIFS('Error Log'!$A:$A,$A276,'Error Log'!$F:$F,"Target")</f>
        <v>0</v>
      </c>
      <c r="J276" s="71">
        <f t="shared" si="4"/>
        <v>0</v>
      </c>
    </row>
    <row r="277" spans="1:10">
      <c r="A277" s="123"/>
      <c r="B277" s="70" t="str">
        <f>IF(ISBLANK(A277),"",INDEX('Error Log'!$A:$J,MATCH('Scores per segment'!$A277,'Error Log'!$A:$A,0),MATCH('Scores per segment'!B$1,'Error Log'!$A$1:$J$1,0)))</f>
        <v/>
      </c>
      <c r="C277" s="70" t="str">
        <f>IF(ISBLANK(A277),"",INDEX('Error Log'!$A:$J,MATCH('Scores per segment'!$A277,'Error Log'!$A:$A,0),MATCH('Scores per segment'!C$1,'Error Log'!$A$1:$J$1,0)))</f>
        <v/>
      </c>
      <c r="D277" s="70">
        <f>IF(H277=0,wdct(TRIM(C277)),0)</f>
        <v>0</v>
      </c>
      <c r="E277" s="70">
        <f>COUNTIFS('Error Log'!$A:$A,$A277,'Error Log'!$J:$J,E$1)</f>
        <v>0</v>
      </c>
      <c r="F277" s="70">
        <f>COUNTIFS('Error Log'!$A:$A,$A277,'Error Log'!$J:$J,F$1)</f>
        <v>0</v>
      </c>
      <c r="G277" s="70">
        <f>COUNTIFS('Error Log'!$A:$A,$A277,'Error Log'!$J:$J,G$1)</f>
        <v>0</v>
      </c>
      <c r="H277" s="70">
        <f>COUNTIFS('Error Log'!$A:$A,$A277,'Error Log'!$F:$F,"Source")</f>
        <v>0</v>
      </c>
      <c r="I277" s="70">
        <f>COUNTIFS('Error Log'!$A:$A,$A277,'Error Log'!$F:$F,"Target")</f>
        <v>0</v>
      </c>
      <c r="J277" s="71">
        <f t="shared" si="4"/>
        <v>0</v>
      </c>
    </row>
    <row r="278" spans="1:10">
      <c r="A278" s="123"/>
      <c r="B278" s="70" t="str">
        <f>IF(ISBLANK(A278),"",INDEX('Error Log'!$A:$J,MATCH('Scores per segment'!$A278,'Error Log'!$A:$A,0),MATCH('Scores per segment'!B$1,'Error Log'!$A$1:$J$1,0)))</f>
        <v/>
      </c>
      <c r="C278" s="70" t="str">
        <f>IF(ISBLANK(A278),"",INDEX('Error Log'!$A:$J,MATCH('Scores per segment'!$A278,'Error Log'!$A:$A,0),MATCH('Scores per segment'!C$1,'Error Log'!$A$1:$J$1,0)))</f>
        <v/>
      </c>
      <c r="D278" s="70">
        <f>IF(H278=0,wdct(TRIM(C278)),0)</f>
        <v>0</v>
      </c>
      <c r="E278" s="70">
        <f>COUNTIFS('Error Log'!$A:$A,$A278,'Error Log'!$J:$J,E$1)</f>
        <v>0</v>
      </c>
      <c r="F278" s="70">
        <f>COUNTIFS('Error Log'!$A:$A,$A278,'Error Log'!$J:$J,F$1)</f>
        <v>0</v>
      </c>
      <c r="G278" s="70">
        <f>COUNTIFS('Error Log'!$A:$A,$A278,'Error Log'!$J:$J,G$1)</f>
        <v>0</v>
      </c>
      <c r="H278" s="70">
        <f>COUNTIFS('Error Log'!$A:$A,$A278,'Error Log'!$F:$F,"Source")</f>
        <v>0</v>
      </c>
      <c r="I278" s="70">
        <f>COUNTIFS('Error Log'!$A:$A,$A278,'Error Log'!$F:$F,"Target")</f>
        <v>0</v>
      </c>
      <c r="J278" s="71">
        <f t="shared" si="4"/>
        <v>0</v>
      </c>
    </row>
    <row r="279" spans="1:10">
      <c r="A279" s="123"/>
      <c r="B279" s="70" t="str">
        <f>IF(ISBLANK(A279),"",INDEX('Error Log'!$A:$J,MATCH('Scores per segment'!$A279,'Error Log'!$A:$A,0),MATCH('Scores per segment'!B$1,'Error Log'!$A$1:$J$1,0)))</f>
        <v/>
      </c>
      <c r="C279" s="70" t="str">
        <f>IF(ISBLANK(A279),"",INDEX('Error Log'!$A:$J,MATCH('Scores per segment'!$A279,'Error Log'!$A:$A,0),MATCH('Scores per segment'!C$1,'Error Log'!$A$1:$J$1,0)))</f>
        <v/>
      </c>
      <c r="D279" s="70">
        <f>IF(H279=0,wdct(TRIM(C279)),0)</f>
        <v>0</v>
      </c>
      <c r="E279" s="70">
        <f>COUNTIFS('Error Log'!$A:$A,$A279,'Error Log'!$J:$J,E$1)</f>
        <v>0</v>
      </c>
      <c r="F279" s="70">
        <f>COUNTIFS('Error Log'!$A:$A,$A279,'Error Log'!$J:$J,F$1)</f>
        <v>0</v>
      </c>
      <c r="G279" s="70">
        <f>COUNTIFS('Error Log'!$A:$A,$A279,'Error Log'!$J:$J,G$1)</f>
        <v>0</v>
      </c>
      <c r="H279" s="70">
        <f>COUNTIFS('Error Log'!$A:$A,$A279,'Error Log'!$F:$F,"Source")</f>
        <v>0</v>
      </c>
      <c r="I279" s="70">
        <f>COUNTIFS('Error Log'!$A:$A,$A279,'Error Log'!$F:$F,"Target")</f>
        <v>0</v>
      </c>
      <c r="J279" s="71">
        <f t="shared" si="4"/>
        <v>0</v>
      </c>
    </row>
    <row r="280" spans="1:10">
      <c r="A280" s="123"/>
      <c r="B280" s="70" t="str">
        <f>IF(ISBLANK(A280),"",INDEX('Error Log'!$A:$J,MATCH('Scores per segment'!$A280,'Error Log'!$A:$A,0),MATCH('Scores per segment'!B$1,'Error Log'!$A$1:$J$1,0)))</f>
        <v/>
      </c>
      <c r="C280" s="70" t="str">
        <f>IF(ISBLANK(A280),"",INDEX('Error Log'!$A:$J,MATCH('Scores per segment'!$A280,'Error Log'!$A:$A,0),MATCH('Scores per segment'!C$1,'Error Log'!$A$1:$J$1,0)))</f>
        <v/>
      </c>
      <c r="D280" s="70">
        <f>IF(H280=0,wdct(TRIM(C280)),0)</f>
        <v>0</v>
      </c>
      <c r="E280" s="70">
        <f>COUNTIFS('Error Log'!$A:$A,$A280,'Error Log'!$J:$J,E$1)</f>
        <v>0</v>
      </c>
      <c r="F280" s="70">
        <f>COUNTIFS('Error Log'!$A:$A,$A280,'Error Log'!$J:$J,F$1)</f>
        <v>0</v>
      </c>
      <c r="G280" s="70">
        <f>COUNTIFS('Error Log'!$A:$A,$A280,'Error Log'!$J:$J,G$1)</f>
        <v>0</v>
      </c>
      <c r="H280" s="70">
        <f>COUNTIFS('Error Log'!$A:$A,$A280,'Error Log'!$F:$F,"Source")</f>
        <v>0</v>
      </c>
      <c r="I280" s="70">
        <f>COUNTIFS('Error Log'!$A:$A,$A280,'Error Log'!$F:$F,"Target")</f>
        <v>0</v>
      </c>
      <c r="J280" s="71">
        <f t="shared" si="4"/>
        <v>0</v>
      </c>
    </row>
    <row r="281" spans="1:10">
      <c r="A281" s="123"/>
      <c r="B281" s="70" t="str">
        <f>IF(ISBLANK(A281),"",INDEX('Error Log'!$A:$J,MATCH('Scores per segment'!$A281,'Error Log'!$A:$A,0),MATCH('Scores per segment'!B$1,'Error Log'!$A$1:$J$1,0)))</f>
        <v/>
      </c>
      <c r="C281" s="70" t="str">
        <f>IF(ISBLANK(A281),"",INDEX('Error Log'!$A:$J,MATCH('Scores per segment'!$A281,'Error Log'!$A:$A,0),MATCH('Scores per segment'!C$1,'Error Log'!$A$1:$J$1,0)))</f>
        <v/>
      </c>
      <c r="D281" s="70">
        <f>IF(H281=0,wdct(TRIM(C281)),0)</f>
        <v>0</v>
      </c>
      <c r="E281" s="70">
        <f>COUNTIFS('Error Log'!$A:$A,$A281,'Error Log'!$J:$J,E$1)</f>
        <v>0</v>
      </c>
      <c r="F281" s="70">
        <f>COUNTIFS('Error Log'!$A:$A,$A281,'Error Log'!$J:$J,F$1)</f>
        <v>0</v>
      </c>
      <c r="G281" s="70">
        <f>COUNTIFS('Error Log'!$A:$A,$A281,'Error Log'!$J:$J,G$1)</f>
        <v>0</v>
      </c>
      <c r="H281" s="70">
        <f>COUNTIFS('Error Log'!$A:$A,$A281,'Error Log'!$F:$F,"Source")</f>
        <v>0</v>
      </c>
      <c r="I281" s="70">
        <f>COUNTIFS('Error Log'!$A:$A,$A281,'Error Log'!$F:$F,"Target")</f>
        <v>0</v>
      </c>
      <c r="J281" s="71">
        <f t="shared" si="4"/>
        <v>0</v>
      </c>
    </row>
    <row r="282" spans="1:10">
      <c r="A282" s="123"/>
      <c r="B282" s="70" t="str">
        <f>IF(ISBLANK(A282),"",INDEX('Error Log'!$A:$J,MATCH('Scores per segment'!$A282,'Error Log'!$A:$A,0),MATCH('Scores per segment'!B$1,'Error Log'!$A$1:$J$1,0)))</f>
        <v/>
      </c>
      <c r="C282" s="70" t="str">
        <f>IF(ISBLANK(A282),"",INDEX('Error Log'!$A:$J,MATCH('Scores per segment'!$A282,'Error Log'!$A:$A,0),MATCH('Scores per segment'!C$1,'Error Log'!$A$1:$J$1,0)))</f>
        <v/>
      </c>
      <c r="D282" s="70">
        <f>IF(H282=0,wdct(TRIM(C282)),0)</f>
        <v>0</v>
      </c>
      <c r="E282" s="70">
        <f>COUNTIFS('Error Log'!$A:$A,$A282,'Error Log'!$J:$J,E$1)</f>
        <v>0</v>
      </c>
      <c r="F282" s="70">
        <f>COUNTIFS('Error Log'!$A:$A,$A282,'Error Log'!$J:$J,F$1)</f>
        <v>0</v>
      </c>
      <c r="G282" s="70">
        <f>COUNTIFS('Error Log'!$A:$A,$A282,'Error Log'!$J:$J,G$1)</f>
        <v>0</v>
      </c>
      <c r="H282" s="70">
        <f>COUNTIFS('Error Log'!$A:$A,$A282,'Error Log'!$F:$F,"Source")</f>
        <v>0</v>
      </c>
      <c r="I282" s="70">
        <f>COUNTIFS('Error Log'!$A:$A,$A282,'Error Log'!$F:$F,"Target")</f>
        <v>0</v>
      </c>
      <c r="J282" s="71">
        <f t="shared" si="4"/>
        <v>0</v>
      </c>
    </row>
    <row r="283" spans="1:10">
      <c r="A283" s="123"/>
      <c r="B283" s="70" t="str">
        <f>IF(ISBLANK(A283),"",INDEX('Error Log'!$A:$J,MATCH('Scores per segment'!$A283,'Error Log'!$A:$A,0),MATCH('Scores per segment'!B$1,'Error Log'!$A$1:$J$1,0)))</f>
        <v/>
      </c>
      <c r="C283" s="70" t="str">
        <f>IF(ISBLANK(A283),"",INDEX('Error Log'!$A:$J,MATCH('Scores per segment'!$A283,'Error Log'!$A:$A,0),MATCH('Scores per segment'!C$1,'Error Log'!$A$1:$J$1,0)))</f>
        <v/>
      </c>
      <c r="D283" s="70">
        <f>IF(H283=0,wdct(TRIM(C283)),0)</f>
        <v>0</v>
      </c>
      <c r="E283" s="70">
        <f>COUNTIFS('Error Log'!$A:$A,$A283,'Error Log'!$J:$J,E$1)</f>
        <v>0</v>
      </c>
      <c r="F283" s="70">
        <f>COUNTIFS('Error Log'!$A:$A,$A283,'Error Log'!$J:$J,F$1)</f>
        <v>0</v>
      </c>
      <c r="G283" s="70">
        <f>COUNTIFS('Error Log'!$A:$A,$A283,'Error Log'!$J:$J,G$1)</f>
        <v>0</v>
      </c>
      <c r="H283" s="70">
        <f>COUNTIFS('Error Log'!$A:$A,$A283,'Error Log'!$F:$F,"Source")</f>
        <v>0</v>
      </c>
      <c r="I283" s="70">
        <f>COUNTIFS('Error Log'!$A:$A,$A283,'Error Log'!$F:$F,"Target")</f>
        <v>0</v>
      </c>
      <c r="J283" s="71">
        <f t="shared" si="4"/>
        <v>0</v>
      </c>
    </row>
    <row r="284" spans="1:10">
      <c r="A284" s="123"/>
      <c r="B284" s="70" t="str">
        <f>IF(ISBLANK(A284),"",INDEX('Error Log'!$A:$J,MATCH('Scores per segment'!$A284,'Error Log'!$A:$A,0),MATCH('Scores per segment'!B$1,'Error Log'!$A$1:$J$1,0)))</f>
        <v/>
      </c>
      <c r="C284" s="70" t="str">
        <f>IF(ISBLANK(A284),"",INDEX('Error Log'!$A:$J,MATCH('Scores per segment'!$A284,'Error Log'!$A:$A,0),MATCH('Scores per segment'!C$1,'Error Log'!$A$1:$J$1,0)))</f>
        <v/>
      </c>
      <c r="D284" s="70">
        <f>IF(H284=0,wdct(TRIM(C284)),0)</f>
        <v>0</v>
      </c>
      <c r="E284" s="70">
        <f>COUNTIFS('Error Log'!$A:$A,$A284,'Error Log'!$J:$J,E$1)</f>
        <v>0</v>
      </c>
      <c r="F284" s="70">
        <f>COUNTIFS('Error Log'!$A:$A,$A284,'Error Log'!$J:$J,F$1)</f>
        <v>0</v>
      </c>
      <c r="G284" s="70">
        <f>COUNTIFS('Error Log'!$A:$A,$A284,'Error Log'!$J:$J,G$1)</f>
        <v>0</v>
      </c>
      <c r="H284" s="70">
        <f>COUNTIFS('Error Log'!$A:$A,$A284,'Error Log'!$F:$F,"Source")</f>
        <v>0</v>
      </c>
      <c r="I284" s="70">
        <f>COUNTIFS('Error Log'!$A:$A,$A284,'Error Log'!$F:$F,"Target")</f>
        <v>0</v>
      </c>
      <c r="J284" s="71">
        <f t="shared" si="4"/>
        <v>0</v>
      </c>
    </row>
    <row r="285" spans="1:10">
      <c r="A285" s="123"/>
      <c r="B285" s="70" t="str">
        <f>IF(ISBLANK(A285),"",INDEX('Error Log'!$A:$J,MATCH('Scores per segment'!$A285,'Error Log'!$A:$A,0),MATCH('Scores per segment'!B$1,'Error Log'!$A$1:$J$1,0)))</f>
        <v/>
      </c>
      <c r="C285" s="70" t="str">
        <f>IF(ISBLANK(A285),"",INDEX('Error Log'!$A:$J,MATCH('Scores per segment'!$A285,'Error Log'!$A:$A,0),MATCH('Scores per segment'!C$1,'Error Log'!$A$1:$J$1,0)))</f>
        <v/>
      </c>
      <c r="D285" s="70">
        <f>IF(H285=0,wdct(TRIM(C285)),0)</f>
        <v>0</v>
      </c>
      <c r="E285" s="70">
        <f>COUNTIFS('Error Log'!$A:$A,$A285,'Error Log'!$J:$J,E$1)</f>
        <v>0</v>
      </c>
      <c r="F285" s="70">
        <f>COUNTIFS('Error Log'!$A:$A,$A285,'Error Log'!$J:$J,F$1)</f>
        <v>0</v>
      </c>
      <c r="G285" s="70">
        <f>COUNTIFS('Error Log'!$A:$A,$A285,'Error Log'!$J:$J,G$1)</f>
        <v>0</v>
      </c>
      <c r="H285" s="70">
        <f>COUNTIFS('Error Log'!$A:$A,$A285,'Error Log'!$F:$F,"Source")</f>
        <v>0</v>
      </c>
      <c r="I285" s="70">
        <f>COUNTIFS('Error Log'!$A:$A,$A285,'Error Log'!$F:$F,"Target")</f>
        <v>0</v>
      </c>
      <c r="J285" s="71">
        <f t="shared" si="4"/>
        <v>0</v>
      </c>
    </row>
    <row r="286" spans="1:10">
      <c r="A286" s="123"/>
      <c r="B286" s="70" t="str">
        <f>IF(ISBLANK(A286),"",INDEX('Error Log'!$A:$J,MATCH('Scores per segment'!$A286,'Error Log'!$A:$A,0),MATCH('Scores per segment'!B$1,'Error Log'!$A$1:$J$1,0)))</f>
        <v/>
      </c>
      <c r="C286" s="70" t="str">
        <f>IF(ISBLANK(A286),"",INDEX('Error Log'!$A:$J,MATCH('Scores per segment'!$A286,'Error Log'!$A:$A,0),MATCH('Scores per segment'!C$1,'Error Log'!$A$1:$J$1,0)))</f>
        <v/>
      </c>
      <c r="D286" s="70">
        <f>IF(H286=0,wdct(TRIM(C286)),0)</f>
        <v>0</v>
      </c>
      <c r="E286" s="70">
        <f>COUNTIFS('Error Log'!$A:$A,$A286,'Error Log'!$J:$J,E$1)</f>
        <v>0</v>
      </c>
      <c r="F286" s="70">
        <f>COUNTIFS('Error Log'!$A:$A,$A286,'Error Log'!$J:$J,F$1)</f>
        <v>0</v>
      </c>
      <c r="G286" s="70">
        <f>COUNTIFS('Error Log'!$A:$A,$A286,'Error Log'!$J:$J,G$1)</f>
        <v>0</v>
      </c>
      <c r="H286" s="70">
        <f>COUNTIFS('Error Log'!$A:$A,$A286,'Error Log'!$F:$F,"Source")</f>
        <v>0</v>
      </c>
      <c r="I286" s="70">
        <f>COUNTIFS('Error Log'!$A:$A,$A286,'Error Log'!$F:$F,"Target")</f>
        <v>0</v>
      </c>
      <c r="J286" s="71">
        <f t="shared" si="4"/>
        <v>0</v>
      </c>
    </row>
    <row r="287" spans="1:10">
      <c r="A287" s="123"/>
      <c r="B287" s="70" t="str">
        <f>IF(ISBLANK(A287),"",INDEX('Error Log'!$A:$J,MATCH('Scores per segment'!$A287,'Error Log'!$A:$A,0),MATCH('Scores per segment'!B$1,'Error Log'!$A$1:$J$1,0)))</f>
        <v/>
      </c>
      <c r="C287" s="70" t="str">
        <f>IF(ISBLANK(A287),"",INDEX('Error Log'!$A:$J,MATCH('Scores per segment'!$A287,'Error Log'!$A:$A,0),MATCH('Scores per segment'!C$1,'Error Log'!$A$1:$J$1,0)))</f>
        <v/>
      </c>
      <c r="D287" s="70">
        <f>IF(H287=0,wdct(TRIM(C287)),0)</f>
        <v>0</v>
      </c>
      <c r="E287" s="70">
        <f>COUNTIFS('Error Log'!$A:$A,$A287,'Error Log'!$J:$J,E$1)</f>
        <v>0</v>
      </c>
      <c r="F287" s="70">
        <f>COUNTIFS('Error Log'!$A:$A,$A287,'Error Log'!$J:$J,F$1)</f>
        <v>0</v>
      </c>
      <c r="G287" s="70">
        <f>COUNTIFS('Error Log'!$A:$A,$A287,'Error Log'!$J:$J,G$1)</f>
        <v>0</v>
      </c>
      <c r="H287" s="70">
        <f>COUNTIFS('Error Log'!$A:$A,$A287,'Error Log'!$F:$F,"Source")</f>
        <v>0</v>
      </c>
      <c r="I287" s="70">
        <f>COUNTIFS('Error Log'!$A:$A,$A287,'Error Log'!$F:$F,"Target")</f>
        <v>0</v>
      </c>
      <c r="J287" s="71">
        <f t="shared" si="4"/>
        <v>0</v>
      </c>
    </row>
    <row r="288" spans="1:10">
      <c r="A288" s="123"/>
      <c r="B288" s="70" t="str">
        <f>IF(ISBLANK(A288),"",INDEX('Error Log'!$A:$J,MATCH('Scores per segment'!$A288,'Error Log'!$A:$A,0),MATCH('Scores per segment'!B$1,'Error Log'!$A$1:$J$1,0)))</f>
        <v/>
      </c>
      <c r="C288" s="70" t="str">
        <f>IF(ISBLANK(A288),"",INDEX('Error Log'!$A:$J,MATCH('Scores per segment'!$A288,'Error Log'!$A:$A,0),MATCH('Scores per segment'!C$1,'Error Log'!$A$1:$J$1,0)))</f>
        <v/>
      </c>
      <c r="D288" s="70">
        <f>IF(H288=0,wdct(TRIM(C288)),0)</f>
        <v>0</v>
      </c>
      <c r="E288" s="70">
        <f>COUNTIFS('Error Log'!$A:$A,$A288,'Error Log'!$J:$J,E$1)</f>
        <v>0</v>
      </c>
      <c r="F288" s="70">
        <f>COUNTIFS('Error Log'!$A:$A,$A288,'Error Log'!$J:$J,F$1)</f>
        <v>0</v>
      </c>
      <c r="G288" s="70">
        <f>COUNTIFS('Error Log'!$A:$A,$A288,'Error Log'!$J:$J,G$1)</f>
        <v>0</v>
      </c>
      <c r="H288" s="70">
        <f>COUNTIFS('Error Log'!$A:$A,$A288,'Error Log'!$F:$F,"Source")</f>
        <v>0</v>
      </c>
      <c r="I288" s="70">
        <f>COUNTIFS('Error Log'!$A:$A,$A288,'Error Log'!$F:$F,"Target")</f>
        <v>0</v>
      </c>
      <c r="J288" s="71">
        <f t="shared" si="4"/>
        <v>0</v>
      </c>
    </row>
    <row r="289" spans="1:10">
      <c r="A289" s="123"/>
      <c r="B289" s="70" t="str">
        <f>IF(ISBLANK(A289),"",INDEX('Error Log'!$A:$J,MATCH('Scores per segment'!$A289,'Error Log'!$A:$A,0),MATCH('Scores per segment'!B$1,'Error Log'!$A$1:$J$1,0)))</f>
        <v/>
      </c>
      <c r="C289" s="70" t="str">
        <f>IF(ISBLANK(A289),"",INDEX('Error Log'!$A:$J,MATCH('Scores per segment'!$A289,'Error Log'!$A:$A,0),MATCH('Scores per segment'!C$1,'Error Log'!$A$1:$J$1,0)))</f>
        <v/>
      </c>
      <c r="D289" s="70">
        <f>IF(H289=0,wdct(TRIM(C289)),0)</f>
        <v>0</v>
      </c>
      <c r="E289" s="70">
        <f>COUNTIFS('Error Log'!$A:$A,$A289,'Error Log'!$J:$J,E$1)</f>
        <v>0</v>
      </c>
      <c r="F289" s="70">
        <f>COUNTIFS('Error Log'!$A:$A,$A289,'Error Log'!$J:$J,F$1)</f>
        <v>0</v>
      </c>
      <c r="G289" s="70">
        <f>COUNTIFS('Error Log'!$A:$A,$A289,'Error Log'!$J:$J,G$1)</f>
        <v>0</v>
      </c>
      <c r="H289" s="70">
        <f>COUNTIFS('Error Log'!$A:$A,$A289,'Error Log'!$F:$F,"Source")</f>
        <v>0</v>
      </c>
      <c r="I289" s="70">
        <f>COUNTIFS('Error Log'!$A:$A,$A289,'Error Log'!$F:$F,"Target")</f>
        <v>0</v>
      </c>
      <c r="J289" s="71">
        <f t="shared" si="4"/>
        <v>0</v>
      </c>
    </row>
    <row r="290" spans="1:10">
      <c r="A290" s="123"/>
      <c r="B290" s="70" t="str">
        <f>IF(ISBLANK(A290),"",INDEX('Error Log'!$A:$J,MATCH('Scores per segment'!$A290,'Error Log'!$A:$A,0),MATCH('Scores per segment'!B$1,'Error Log'!$A$1:$J$1,0)))</f>
        <v/>
      </c>
      <c r="C290" s="70" t="str">
        <f>IF(ISBLANK(A290),"",INDEX('Error Log'!$A:$J,MATCH('Scores per segment'!$A290,'Error Log'!$A:$A,0),MATCH('Scores per segment'!C$1,'Error Log'!$A$1:$J$1,0)))</f>
        <v/>
      </c>
      <c r="D290" s="70">
        <f>IF(H290=0,wdct(TRIM(C290)),0)</f>
        <v>0</v>
      </c>
      <c r="E290" s="70">
        <f>COUNTIFS('Error Log'!$A:$A,$A290,'Error Log'!$J:$J,E$1)</f>
        <v>0</v>
      </c>
      <c r="F290" s="70">
        <f>COUNTIFS('Error Log'!$A:$A,$A290,'Error Log'!$J:$J,F$1)</f>
        <v>0</v>
      </c>
      <c r="G290" s="70">
        <f>COUNTIFS('Error Log'!$A:$A,$A290,'Error Log'!$J:$J,G$1)</f>
        <v>0</v>
      </c>
      <c r="H290" s="70">
        <f>COUNTIFS('Error Log'!$A:$A,$A290,'Error Log'!$F:$F,"Source")</f>
        <v>0</v>
      </c>
      <c r="I290" s="70">
        <f>COUNTIFS('Error Log'!$A:$A,$A290,'Error Log'!$F:$F,"Target")</f>
        <v>0</v>
      </c>
      <c r="J290" s="71">
        <f t="shared" si="4"/>
        <v>0</v>
      </c>
    </row>
    <row r="291" spans="1:10">
      <c r="A291" s="123"/>
      <c r="B291" s="70" t="str">
        <f>IF(ISBLANK(A291),"",INDEX('Error Log'!$A:$J,MATCH('Scores per segment'!$A291,'Error Log'!$A:$A,0),MATCH('Scores per segment'!B$1,'Error Log'!$A$1:$J$1,0)))</f>
        <v/>
      </c>
      <c r="C291" s="70" t="str">
        <f>IF(ISBLANK(A291),"",INDEX('Error Log'!$A:$J,MATCH('Scores per segment'!$A291,'Error Log'!$A:$A,0),MATCH('Scores per segment'!C$1,'Error Log'!$A$1:$J$1,0)))</f>
        <v/>
      </c>
      <c r="D291" s="70">
        <f>IF(H291=0,wdct(TRIM(C291)),0)</f>
        <v>0</v>
      </c>
      <c r="E291" s="70">
        <f>COUNTIFS('Error Log'!$A:$A,$A291,'Error Log'!$J:$J,E$1)</f>
        <v>0</v>
      </c>
      <c r="F291" s="70">
        <f>COUNTIFS('Error Log'!$A:$A,$A291,'Error Log'!$J:$J,F$1)</f>
        <v>0</v>
      </c>
      <c r="G291" s="70">
        <f>COUNTIFS('Error Log'!$A:$A,$A291,'Error Log'!$J:$J,G$1)</f>
        <v>0</v>
      </c>
      <c r="H291" s="70">
        <f>COUNTIFS('Error Log'!$A:$A,$A291,'Error Log'!$F:$F,"Source")</f>
        <v>0</v>
      </c>
      <c r="I291" s="70">
        <f>COUNTIFS('Error Log'!$A:$A,$A291,'Error Log'!$F:$F,"Target")</f>
        <v>0</v>
      </c>
      <c r="J291" s="71">
        <f t="shared" si="4"/>
        <v>0</v>
      </c>
    </row>
    <row r="292" spans="1:10">
      <c r="A292" s="123"/>
      <c r="B292" s="70" t="str">
        <f>IF(ISBLANK(A292),"",INDEX('Error Log'!$A:$J,MATCH('Scores per segment'!$A292,'Error Log'!$A:$A,0),MATCH('Scores per segment'!B$1,'Error Log'!$A$1:$J$1,0)))</f>
        <v/>
      </c>
      <c r="C292" s="70" t="str">
        <f>IF(ISBLANK(A292),"",INDEX('Error Log'!$A:$J,MATCH('Scores per segment'!$A292,'Error Log'!$A:$A,0),MATCH('Scores per segment'!C$1,'Error Log'!$A$1:$J$1,0)))</f>
        <v/>
      </c>
      <c r="D292" s="70">
        <f>IF(H292=0,wdct(TRIM(C292)),0)</f>
        <v>0</v>
      </c>
      <c r="E292" s="70">
        <f>COUNTIFS('Error Log'!$A:$A,$A292,'Error Log'!$J:$J,E$1)</f>
        <v>0</v>
      </c>
      <c r="F292" s="70">
        <f>COUNTIFS('Error Log'!$A:$A,$A292,'Error Log'!$J:$J,F$1)</f>
        <v>0</v>
      </c>
      <c r="G292" s="70">
        <f>COUNTIFS('Error Log'!$A:$A,$A292,'Error Log'!$J:$J,G$1)</f>
        <v>0</v>
      </c>
      <c r="H292" s="70">
        <f>COUNTIFS('Error Log'!$A:$A,$A292,'Error Log'!$F:$F,"Source")</f>
        <v>0</v>
      </c>
      <c r="I292" s="70">
        <f>COUNTIFS('Error Log'!$A:$A,$A292,'Error Log'!$F:$F,"Target")</f>
        <v>0</v>
      </c>
      <c r="J292" s="71">
        <f t="shared" si="4"/>
        <v>0</v>
      </c>
    </row>
    <row r="293" spans="1:10">
      <c r="A293" s="123"/>
      <c r="B293" s="70" t="str">
        <f>IF(ISBLANK(A293),"",INDEX('Error Log'!$A:$J,MATCH('Scores per segment'!$A293,'Error Log'!$A:$A,0),MATCH('Scores per segment'!B$1,'Error Log'!$A$1:$J$1,0)))</f>
        <v/>
      </c>
      <c r="C293" s="70" t="str">
        <f>IF(ISBLANK(A293),"",INDEX('Error Log'!$A:$J,MATCH('Scores per segment'!$A293,'Error Log'!$A:$A,0),MATCH('Scores per segment'!C$1,'Error Log'!$A$1:$J$1,0)))</f>
        <v/>
      </c>
      <c r="D293" s="70">
        <f>IF(H293=0,wdct(TRIM(C293)),0)</f>
        <v>0</v>
      </c>
      <c r="E293" s="70">
        <f>COUNTIFS('Error Log'!$A:$A,$A293,'Error Log'!$J:$J,E$1)</f>
        <v>0</v>
      </c>
      <c r="F293" s="70">
        <f>COUNTIFS('Error Log'!$A:$A,$A293,'Error Log'!$J:$J,F$1)</f>
        <v>0</v>
      </c>
      <c r="G293" s="70">
        <f>COUNTIFS('Error Log'!$A:$A,$A293,'Error Log'!$J:$J,G$1)</f>
        <v>0</v>
      </c>
      <c r="H293" s="70">
        <f>COUNTIFS('Error Log'!$A:$A,$A293,'Error Log'!$F:$F,"Source")</f>
        <v>0</v>
      </c>
      <c r="I293" s="70">
        <f>COUNTIFS('Error Log'!$A:$A,$A293,'Error Log'!$F:$F,"Target")</f>
        <v>0</v>
      </c>
      <c r="J293" s="71">
        <f t="shared" si="4"/>
        <v>0</v>
      </c>
    </row>
    <row r="294" spans="1:10">
      <c r="A294" s="123"/>
      <c r="B294" s="70" t="str">
        <f>IF(ISBLANK(A294),"",INDEX('Error Log'!$A:$J,MATCH('Scores per segment'!$A294,'Error Log'!$A:$A,0),MATCH('Scores per segment'!B$1,'Error Log'!$A$1:$J$1,0)))</f>
        <v/>
      </c>
      <c r="C294" s="70" t="str">
        <f>IF(ISBLANK(A294),"",INDEX('Error Log'!$A:$J,MATCH('Scores per segment'!$A294,'Error Log'!$A:$A,0),MATCH('Scores per segment'!C$1,'Error Log'!$A$1:$J$1,0)))</f>
        <v/>
      </c>
      <c r="D294" s="70">
        <f>IF(H294=0,wdct(TRIM(C294)),0)</f>
        <v>0</v>
      </c>
      <c r="E294" s="70">
        <f>COUNTIFS('Error Log'!$A:$A,$A294,'Error Log'!$J:$J,E$1)</f>
        <v>0</v>
      </c>
      <c r="F294" s="70">
        <f>COUNTIFS('Error Log'!$A:$A,$A294,'Error Log'!$J:$J,F$1)</f>
        <v>0</v>
      </c>
      <c r="G294" s="70">
        <f>COUNTIFS('Error Log'!$A:$A,$A294,'Error Log'!$J:$J,G$1)</f>
        <v>0</v>
      </c>
      <c r="H294" s="70">
        <f>COUNTIFS('Error Log'!$A:$A,$A294,'Error Log'!$F:$F,"Source")</f>
        <v>0</v>
      </c>
      <c r="I294" s="70">
        <f>COUNTIFS('Error Log'!$A:$A,$A294,'Error Log'!$F:$F,"Target")</f>
        <v>0</v>
      </c>
      <c r="J294" s="71">
        <f t="shared" si="4"/>
        <v>0</v>
      </c>
    </row>
    <row r="295" spans="1:10">
      <c r="A295" s="123"/>
      <c r="B295" s="70" t="str">
        <f>IF(ISBLANK(A295),"",INDEX('Error Log'!$A:$J,MATCH('Scores per segment'!$A295,'Error Log'!$A:$A,0),MATCH('Scores per segment'!B$1,'Error Log'!$A$1:$J$1,0)))</f>
        <v/>
      </c>
      <c r="C295" s="70" t="str">
        <f>IF(ISBLANK(A295),"",INDEX('Error Log'!$A:$J,MATCH('Scores per segment'!$A295,'Error Log'!$A:$A,0),MATCH('Scores per segment'!C$1,'Error Log'!$A$1:$J$1,0)))</f>
        <v/>
      </c>
      <c r="D295" s="70">
        <f>IF(H295=0,wdct(TRIM(C295)),0)</f>
        <v>0</v>
      </c>
      <c r="E295" s="70">
        <f>COUNTIFS('Error Log'!$A:$A,$A295,'Error Log'!$J:$J,E$1)</f>
        <v>0</v>
      </c>
      <c r="F295" s="70">
        <f>COUNTIFS('Error Log'!$A:$A,$A295,'Error Log'!$J:$J,F$1)</f>
        <v>0</v>
      </c>
      <c r="G295" s="70">
        <f>COUNTIFS('Error Log'!$A:$A,$A295,'Error Log'!$J:$J,G$1)</f>
        <v>0</v>
      </c>
      <c r="H295" s="70">
        <f>COUNTIFS('Error Log'!$A:$A,$A295,'Error Log'!$F:$F,"Source")</f>
        <v>0</v>
      </c>
      <c r="I295" s="70">
        <f>COUNTIFS('Error Log'!$A:$A,$A295,'Error Log'!$F:$F,"Target")</f>
        <v>0</v>
      </c>
      <c r="J295" s="71">
        <f t="shared" si="4"/>
        <v>0</v>
      </c>
    </row>
    <row r="296" spans="1:10">
      <c r="A296" s="123"/>
      <c r="B296" s="70" t="str">
        <f>IF(ISBLANK(A296),"",INDEX('Error Log'!$A:$J,MATCH('Scores per segment'!$A296,'Error Log'!$A:$A,0),MATCH('Scores per segment'!B$1,'Error Log'!$A$1:$J$1,0)))</f>
        <v/>
      </c>
      <c r="C296" s="70" t="str">
        <f>IF(ISBLANK(A296),"",INDEX('Error Log'!$A:$J,MATCH('Scores per segment'!$A296,'Error Log'!$A:$A,0),MATCH('Scores per segment'!C$1,'Error Log'!$A$1:$J$1,0)))</f>
        <v/>
      </c>
      <c r="D296" s="70">
        <f>IF(H296=0,wdct(TRIM(C296)),0)</f>
        <v>0</v>
      </c>
      <c r="E296" s="70">
        <f>COUNTIFS('Error Log'!$A:$A,$A296,'Error Log'!$J:$J,E$1)</f>
        <v>0</v>
      </c>
      <c r="F296" s="70">
        <f>COUNTIFS('Error Log'!$A:$A,$A296,'Error Log'!$J:$J,F$1)</f>
        <v>0</v>
      </c>
      <c r="G296" s="70">
        <f>COUNTIFS('Error Log'!$A:$A,$A296,'Error Log'!$J:$J,G$1)</f>
        <v>0</v>
      </c>
      <c r="H296" s="70">
        <f>COUNTIFS('Error Log'!$A:$A,$A296,'Error Log'!$F:$F,"Source")</f>
        <v>0</v>
      </c>
      <c r="I296" s="70">
        <f>COUNTIFS('Error Log'!$A:$A,$A296,'Error Log'!$F:$F,"Target")</f>
        <v>0</v>
      </c>
      <c r="J296" s="71">
        <f t="shared" si="4"/>
        <v>0</v>
      </c>
    </row>
    <row r="297" spans="1:10">
      <c r="A297" s="123"/>
      <c r="B297" s="70" t="str">
        <f>IF(ISBLANK(A297),"",INDEX('Error Log'!$A:$J,MATCH('Scores per segment'!$A297,'Error Log'!$A:$A,0),MATCH('Scores per segment'!B$1,'Error Log'!$A$1:$J$1,0)))</f>
        <v/>
      </c>
      <c r="C297" s="70" t="str">
        <f>IF(ISBLANK(A297),"",INDEX('Error Log'!$A:$J,MATCH('Scores per segment'!$A297,'Error Log'!$A:$A,0),MATCH('Scores per segment'!C$1,'Error Log'!$A$1:$J$1,0)))</f>
        <v/>
      </c>
      <c r="D297" s="70">
        <f>IF(H297=0,wdct(TRIM(C297)),0)</f>
        <v>0</v>
      </c>
      <c r="E297" s="70">
        <f>COUNTIFS('Error Log'!$A:$A,$A297,'Error Log'!$J:$J,E$1)</f>
        <v>0</v>
      </c>
      <c r="F297" s="70">
        <f>COUNTIFS('Error Log'!$A:$A,$A297,'Error Log'!$J:$J,F$1)</f>
        <v>0</v>
      </c>
      <c r="G297" s="70">
        <f>COUNTIFS('Error Log'!$A:$A,$A297,'Error Log'!$J:$J,G$1)</f>
        <v>0</v>
      </c>
      <c r="H297" s="70">
        <f>COUNTIFS('Error Log'!$A:$A,$A297,'Error Log'!$F:$F,"Source")</f>
        <v>0</v>
      </c>
      <c r="I297" s="70">
        <f>COUNTIFS('Error Log'!$A:$A,$A297,'Error Log'!$F:$F,"Target")</f>
        <v>0</v>
      </c>
      <c r="J297" s="71">
        <f t="shared" si="4"/>
        <v>0</v>
      </c>
    </row>
    <row r="298" spans="1:10">
      <c r="A298" s="123"/>
      <c r="B298" s="70" t="str">
        <f>IF(ISBLANK(A298),"",INDEX('Error Log'!$A:$J,MATCH('Scores per segment'!$A298,'Error Log'!$A:$A,0),MATCH('Scores per segment'!B$1,'Error Log'!$A$1:$J$1,0)))</f>
        <v/>
      </c>
      <c r="C298" s="70" t="str">
        <f>IF(ISBLANK(A298),"",INDEX('Error Log'!$A:$J,MATCH('Scores per segment'!$A298,'Error Log'!$A:$A,0),MATCH('Scores per segment'!C$1,'Error Log'!$A$1:$J$1,0)))</f>
        <v/>
      </c>
      <c r="D298" s="70">
        <f>IF(H298=0,wdct(TRIM(C298)),0)</f>
        <v>0</v>
      </c>
      <c r="E298" s="70">
        <f>COUNTIFS('Error Log'!$A:$A,$A298,'Error Log'!$J:$J,E$1)</f>
        <v>0</v>
      </c>
      <c r="F298" s="70">
        <f>COUNTIFS('Error Log'!$A:$A,$A298,'Error Log'!$J:$J,F$1)</f>
        <v>0</v>
      </c>
      <c r="G298" s="70">
        <f>COUNTIFS('Error Log'!$A:$A,$A298,'Error Log'!$J:$J,G$1)</f>
        <v>0</v>
      </c>
      <c r="H298" s="70">
        <f>COUNTIFS('Error Log'!$A:$A,$A298,'Error Log'!$F:$F,"Source")</f>
        <v>0</v>
      </c>
      <c r="I298" s="70">
        <f>COUNTIFS('Error Log'!$A:$A,$A298,'Error Log'!$F:$F,"Target")</f>
        <v>0</v>
      </c>
      <c r="J298" s="71">
        <f t="shared" si="4"/>
        <v>0</v>
      </c>
    </row>
    <row r="299" spans="1:10">
      <c r="A299" s="123"/>
      <c r="B299" s="70" t="str">
        <f>IF(ISBLANK(A299),"",INDEX('Error Log'!$A:$J,MATCH('Scores per segment'!$A299,'Error Log'!$A:$A,0),MATCH('Scores per segment'!B$1,'Error Log'!$A$1:$J$1,0)))</f>
        <v/>
      </c>
      <c r="C299" s="70" t="str">
        <f>IF(ISBLANK(A299),"",INDEX('Error Log'!$A:$J,MATCH('Scores per segment'!$A299,'Error Log'!$A:$A,0),MATCH('Scores per segment'!C$1,'Error Log'!$A$1:$J$1,0)))</f>
        <v/>
      </c>
      <c r="D299" s="70">
        <f>IF(H299=0,wdct(TRIM(C299)),0)</f>
        <v>0</v>
      </c>
      <c r="E299" s="70">
        <f>COUNTIFS('Error Log'!$A:$A,$A299,'Error Log'!$J:$J,E$1)</f>
        <v>0</v>
      </c>
      <c r="F299" s="70">
        <f>COUNTIFS('Error Log'!$A:$A,$A299,'Error Log'!$J:$J,F$1)</f>
        <v>0</v>
      </c>
      <c r="G299" s="70">
        <f>COUNTIFS('Error Log'!$A:$A,$A299,'Error Log'!$J:$J,G$1)</f>
        <v>0</v>
      </c>
      <c r="H299" s="70">
        <f>COUNTIFS('Error Log'!$A:$A,$A299,'Error Log'!$F:$F,"Source")</f>
        <v>0</v>
      </c>
      <c r="I299" s="70">
        <f>COUNTIFS('Error Log'!$A:$A,$A299,'Error Log'!$F:$F,"Target")</f>
        <v>0</v>
      </c>
      <c r="J299" s="71">
        <f t="shared" si="4"/>
        <v>0</v>
      </c>
    </row>
    <row r="300" spans="1:10">
      <c r="A300" s="123"/>
      <c r="B300" s="70" t="str">
        <f>IF(ISBLANK(A300),"",INDEX('Error Log'!$A:$J,MATCH('Scores per segment'!$A300,'Error Log'!$A:$A,0),MATCH('Scores per segment'!B$1,'Error Log'!$A$1:$J$1,0)))</f>
        <v/>
      </c>
      <c r="C300" s="70" t="str">
        <f>IF(ISBLANK(A300),"",INDEX('Error Log'!$A:$J,MATCH('Scores per segment'!$A300,'Error Log'!$A:$A,0),MATCH('Scores per segment'!C$1,'Error Log'!$A$1:$J$1,0)))</f>
        <v/>
      </c>
      <c r="D300" s="70">
        <f>IF(H300=0,wdct(TRIM(C300)),0)</f>
        <v>0</v>
      </c>
      <c r="E300" s="70">
        <f>COUNTIFS('Error Log'!$A:$A,$A300,'Error Log'!$J:$J,E$1)</f>
        <v>0</v>
      </c>
      <c r="F300" s="70">
        <f>COUNTIFS('Error Log'!$A:$A,$A300,'Error Log'!$J:$J,F$1)</f>
        <v>0</v>
      </c>
      <c r="G300" s="70">
        <f>COUNTIFS('Error Log'!$A:$A,$A300,'Error Log'!$J:$J,G$1)</f>
        <v>0</v>
      </c>
      <c r="H300" s="70">
        <f>COUNTIFS('Error Log'!$A:$A,$A300,'Error Log'!$F:$F,"Source")</f>
        <v>0</v>
      </c>
      <c r="I300" s="70">
        <f>COUNTIFS('Error Log'!$A:$A,$A300,'Error Log'!$F:$F,"Target")</f>
        <v>0</v>
      </c>
      <c r="J300" s="71">
        <f t="shared" si="4"/>
        <v>0</v>
      </c>
    </row>
    <row r="301" spans="1:10">
      <c r="A301" s="123"/>
      <c r="B301" s="70" t="str">
        <f>IF(ISBLANK(A301),"",INDEX('Error Log'!$A:$J,MATCH('Scores per segment'!$A301,'Error Log'!$A:$A,0),MATCH('Scores per segment'!B$1,'Error Log'!$A$1:$J$1,0)))</f>
        <v/>
      </c>
      <c r="C301" s="70" t="str">
        <f>IF(ISBLANK(A301),"",INDEX('Error Log'!$A:$J,MATCH('Scores per segment'!$A301,'Error Log'!$A:$A,0),MATCH('Scores per segment'!C$1,'Error Log'!$A$1:$J$1,0)))</f>
        <v/>
      </c>
      <c r="D301" s="70">
        <f>IF(H301=0,wdct(TRIM(C301)),0)</f>
        <v>0</v>
      </c>
      <c r="E301" s="70">
        <f>COUNTIFS('Error Log'!$A:$A,$A301,'Error Log'!$J:$J,E$1)</f>
        <v>0</v>
      </c>
      <c r="F301" s="70">
        <f>COUNTIFS('Error Log'!$A:$A,$A301,'Error Log'!$J:$J,F$1)</f>
        <v>0</v>
      </c>
      <c r="G301" s="70">
        <f>COUNTIFS('Error Log'!$A:$A,$A301,'Error Log'!$J:$J,G$1)</f>
        <v>0</v>
      </c>
      <c r="H301" s="70">
        <f>COUNTIFS('Error Log'!$A:$A,$A301,'Error Log'!$F:$F,"Source")</f>
        <v>0</v>
      </c>
      <c r="I301" s="70">
        <f>COUNTIFS('Error Log'!$A:$A,$A301,'Error Log'!$F:$F,"Target")</f>
        <v>0</v>
      </c>
      <c r="J301" s="71">
        <f t="shared" si="4"/>
        <v>0</v>
      </c>
    </row>
    <row r="302" spans="1:10">
      <c r="A302" s="123"/>
      <c r="B302" s="70" t="str">
        <f>IF(ISBLANK(A302),"",INDEX('Error Log'!$A:$J,MATCH('Scores per segment'!$A302,'Error Log'!$A:$A,0),MATCH('Scores per segment'!B$1,'Error Log'!$A$1:$J$1,0)))</f>
        <v/>
      </c>
      <c r="C302" s="70" t="str">
        <f>IF(ISBLANK(A302),"",INDEX('Error Log'!$A:$J,MATCH('Scores per segment'!$A302,'Error Log'!$A:$A,0),MATCH('Scores per segment'!C$1,'Error Log'!$A$1:$J$1,0)))</f>
        <v/>
      </c>
      <c r="D302" s="70">
        <f>IF(H302=0,wdct(TRIM(C302)),0)</f>
        <v>0</v>
      </c>
      <c r="E302" s="70">
        <f>COUNTIFS('Error Log'!$A:$A,$A302,'Error Log'!$J:$J,E$1)</f>
        <v>0</v>
      </c>
      <c r="F302" s="70">
        <f>COUNTIFS('Error Log'!$A:$A,$A302,'Error Log'!$J:$J,F$1)</f>
        <v>0</v>
      </c>
      <c r="G302" s="70">
        <f>COUNTIFS('Error Log'!$A:$A,$A302,'Error Log'!$J:$J,G$1)</f>
        <v>0</v>
      </c>
      <c r="H302" s="70">
        <f>COUNTIFS('Error Log'!$A:$A,$A302,'Error Log'!$F:$F,"Source")</f>
        <v>0</v>
      </c>
      <c r="I302" s="70">
        <f>COUNTIFS('Error Log'!$A:$A,$A302,'Error Log'!$F:$F,"Target")</f>
        <v>0</v>
      </c>
      <c r="J302" s="71">
        <f t="shared" si="4"/>
        <v>0</v>
      </c>
    </row>
    <row r="303" spans="1:10">
      <c r="A303" s="123"/>
      <c r="B303" s="70" t="str">
        <f>IF(ISBLANK(A303),"",INDEX('Error Log'!$A:$J,MATCH('Scores per segment'!$A303,'Error Log'!$A:$A,0),MATCH('Scores per segment'!B$1,'Error Log'!$A$1:$J$1,0)))</f>
        <v/>
      </c>
      <c r="C303" s="70" t="str">
        <f>IF(ISBLANK(A303),"",INDEX('Error Log'!$A:$J,MATCH('Scores per segment'!$A303,'Error Log'!$A:$A,0),MATCH('Scores per segment'!C$1,'Error Log'!$A$1:$J$1,0)))</f>
        <v/>
      </c>
      <c r="D303" s="70">
        <f>IF(H303=0,wdct(TRIM(C303)),0)</f>
        <v>0</v>
      </c>
      <c r="E303" s="70">
        <f>COUNTIFS('Error Log'!$A:$A,$A303,'Error Log'!$J:$J,E$1)</f>
        <v>0</v>
      </c>
      <c r="F303" s="70">
        <f>COUNTIFS('Error Log'!$A:$A,$A303,'Error Log'!$J:$J,F$1)</f>
        <v>0</v>
      </c>
      <c r="G303" s="70">
        <f>COUNTIFS('Error Log'!$A:$A,$A303,'Error Log'!$J:$J,G$1)</f>
        <v>0</v>
      </c>
      <c r="H303" s="70">
        <f>COUNTIFS('Error Log'!$A:$A,$A303,'Error Log'!$F:$F,"Source")</f>
        <v>0</v>
      </c>
      <c r="I303" s="70">
        <f>COUNTIFS('Error Log'!$A:$A,$A303,'Error Log'!$F:$F,"Target")</f>
        <v>0</v>
      </c>
      <c r="J303" s="71">
        <f t="shared" si="4"/>
        <v>0</v>
      </c>
    </row>
    <row r="304" spans="1:10">
      <c r="A304" s="123"/>
      <c r="B304" s="70" t="str">
        <f>IF(ISBLANK(A304),"",INDEX('Error Log'!$A:$J,MATCH('Scores per segment'!$A304,'Error Log'!$A:$A,0),MATCH('Scores per segment'!B$1,'Error Log'!$A$1:$J$1,0)))</f>
        <v/>
      </c>
      <c r="C304" s="70" t="str">
        <f>IF(ISBLANK(A304),"",INDEX('Error Log'!$A:$J,MATCH('Scores per segment'!$A304,'Error Log'!$A:$A,0),MATCH('Scores per segment'!C$1,'Error Log'!$A$1:$J$1,0)))</f>
        <v/>
      </c>
      <c r="D304" s="70">
        <f>IF(H304=0,wdct(TRIM(C304)),0)</f>
        <v>0</v>
      </c>
      <c r="E304" s="70">
        <f>COUNTIFS('Error Log'!$A:$A,$A304,'Error Log'!$J:$J,E$1)</f>
        <v>0</v>
      </c>
      <c r="F304" s="70">
        <f>COUNTIFS('Error Log'!$A:$A,$A304,'Error Log'!$J:$J,F$1)</f>
        <v>0</v>
      </c>
      <c r="G304" s="70">
        <f>COUNTIFS('Error Log'!$A:$A,$A304,'Error Log'!$J:$J,G$1)</f>
        <v>0</v>
      </c>
      <c r="H304" s="70">
        <f>COUNTIFS('Error Log'!$A:$A,$A304,'Error Log'!$F:$F,"Source")</f>
        <v>0</v>
      </c>
      <c r="I304" s="70">
        <f>COUNTIFS('Error Log'!$A:$A,$A304,'Error Log'!$F:$F,"Target")</f>
        <v>0</v>
      </c>
      <c r="J304" s="71">
        <f t="shared" si="4"/>
        <v>0</v>
      </c>
    </row>
    <row r="305" spans="1:10">
      <c r="A305" s="123"/>
      <c r="B305" s="70" t="str">
        <f>IF(ISBLANK(A305),"",INDEX('Error Log'!$A:$J,MATCH('Scores per segment'!$A305,'Error Log'!$A:$A,0),MATCH('Scores per segment'!B$1,'Error Log'!$A$1:$J$1,0)))</f>
        <v/>
      </c>
      <c r="C305" s="70" t="str">
        <f>IF(ISBLANK(A305),"",INDEX('Error Log'!$A:$J,MATCH('Scores per segment'!$A305,'Error Log'!$A:$A,0),MATCH('Scores per segment'!C$1,'Error Log'!$A$1:$J$1,0)))</f>
        <v/>
      </c>
      <c r="D305" s="70">
        <f>IF(H305=0,wdct(TRIM(C305)),0)</f>
        <v>0</v>
      </c>
      <c r="E305" s="70">
        <f>COUNTIFS('Error Log'!$A:$A,$A305,'Error Log'!$J:$J,E$1)</f>
        <v>0</v>
      </c>
      <c r="F305" s="70">
        <f>COUNTIFS('Error Log'!$A:$A,$A305,'Error Log'!$J:$J,F$1)</f>
        <v>0</v>
      </c>
      <c r="G305" s="70">
        <f>COUNTIFS('Error Log'!$A:$A,$A305,'Error Log'!$J:$J,G$1)</f>
        <v>0</v>
      </c>
      <c r="H305" s="70">
        <f>COUNTIFS('Error Log'!$A:$A,$A305,'Error Log'!$F:$F,"Source")</f>
        <v>0</v>
      </c>
      <c r="I305" s="70">
        <f>COUNTIFS('Error Log'!$A:$A,$A305,'Error Log'!$F:$F,"Target")</f>
        <v>0</v>
      </c>
      <c r="J305" s="71">
        <f t="shared" si="4"/>
        <v>0</v>
      </c>
    </row>
    <row r="306" spans="1:10">
      <c r="A306" s="123"/>
      <c r="B306" s="70" t="str">
        <f>IF(ISBLANK(A306),"",INDEX('Error Log'!$A:$J,MATCH('Scores per segment'!$A306,'Error Log'!$A:$A,0),MATCH('Scores per segment'!B$1,'Error Log'!$A$1:$J$1,0)))</f>
        <v/>
      </c>
      <c r="C306" s="70" t="str">
        <f>IF(ISBLANK(A306),"",INDEX('Error Log'!$A:$J,MATCH('Scores per segment'!$A306,'Error Log'!$A:$A,0),MATCH('Scores per segment'!C$1,'Error Log'!$A$1:$J$1,0)))</f>
        <v/>
      </c>
      <c r="D306" s="70">
        <f>IF(H306=0,wdct(TRIM(C306)),0)</f>
        <v>0</v>
      </c>
      <c r="E306" s="70">
        <f>COUNTIFS('Error Log'!$A:$A,$A306,'Error Log'!$J:$J,E$1)</f>
        <v>0</v>
      </c>
      <c r="F306" s="70">
        <f>COUNTIFS('Error Log'!$A:$A,$A306,'Error Log'!$J:$J,F$1)</f>
        <v>0</v>
      </c>
      <c r="G306" s="70">
        <f>COUNTIFS('Error Log'!$A:$A,$A306,'Error Log'!$J:$J,G$1)</f>
        <v>0</v>
      </c>
      <c r="H306" s="70">
        <f>COUNTIFS('Error Log'!$A:$A,$A306,'Error Log'!$F:$F,"Source")</f>
        <v>0</v>
      </c>
      <c r="I306" s="70">
        <f>COUNTIFS('Error Log'!$A:$A,$A306,'Error Log'!$F:$F,"Target")</f>
        <v>0</v>
      </c>
      <c r="J306" s="71">
        <f t="shared" si="4"/>
        <v>0</v>
      </c>
    </row>
    <row r="307" spans="1:10">
      <c r="A307" s="123"/>
      <c r="B307" s="70" t="str">
        <f>IF(ISBLANK(A307),"",INDEX('Error Log'!$A:$J,MATCH('Scores per segment'!$A307,'Error Log'!$A:$A,0),MATCH('Scores per segment'!B$1,'Error Log'!$A$1:$J$1,0)))</f>
        <v/>
      </c>
      <c r="C307" s="70" t="str">
        <f>IF(ISBLANK(A307),"",INDEX('Error Log'!$A:$J,MATCH('Scores per segment'!$A307,'Error Log'!$A:$A,0),MATCH('Scores per segment'!C$1,'Error Log'!$A$1:$J$1,0)))</f>
        <v/>
      </c>
      <c r="D307" s="70">
        <f>IF(H307=0,wdct(TRIM(C307)),0)</f>
        <v>0</v>
      </c>
      <c r="E307" s="70">
        <f>COUNTIFS('Error Log'!$A:$A,$A307,'Error Log'!$J:$J,E$1)</f>
        <v>0</v>
      </c>
      <c r="F307" s="70">
        <f>COUNTIFS('Error Log'!$A:$A,$A307,'Error Log'!$J:$J,F$1)</f>
        <v>0</v>
      </c>
      <c r="G307" s="70">
        <f>COUNTIFS('Error Log'!$A:$A,$A307,'Error Log'!$J:$J,G$1)</f>
        <v>0</v>
      </c>
      <c r="H307" s="70">
        <f>COUNTIFS('Error Log'!$A:$A,$A307,'Error Log'!$F:$F,"Source")</f>
        <v>0</v>
      </c>
      <c r="I307" s="70">
        <f>COUNTIFS('Error Log'!$A:$A,$A307,'Error Log'!$F:$F,"Target")</f>
        <v>0</v>
      </c>
      <c r="J307" s="71">
        <f t="shared" si="4"/>
        <v>0</v>
      </c>
    </row>
    <row r="308" spans="1:10">
      <c r="A308" s="123"/>
      <c r="B308" s="70" t="str">
        <f>IF(ISBLANK(A308),"",INDEX('Error Log'!$A:$J,MATCH('Scores per segment'!$A308,'Error Log'!$A:$A,0),MATCH('Scores per segment'!B$1,'Error Log'!$A$1:$J$1,0)))</f>
        <v/>
      </c>
      <c r="C308" s="70" t="str">
        <f>IF(ISBLANK(A308),"",INDEX('Error Log'!$A:$J,MATCH('Scores per segment'!$A308,'Error Log'!$A:$A,0),MATCH('Scores per segment'!C$1,'Error Log'!$A$1:$J$1,0)))</f>
        <v/>
      </c>
      <c r="D308" s="70">
        <f>IF(H308=0,wdct(TRIM(C308)),0)</f>
        <v>0</v>
      </c>
      <c r="E308" s="70">
        <f>COUNTIFS('Error Log'!$A:$A,$A308,'Error Log'!$J:$J,E$1)</f>
        <v>0</v>
      </c>
      <c r="F308" s="70">
        <f>COUNTIFS('Error Log'!$A:$A,$A308,'Error Log'!$J:$J,F$1)</f>
        <v>0</v>
      </c>
      <c r="G308" s="70">
        <f>COUNTIFS('Error Log'!$A:$A,$A308,'Error Log'!$J:$J,G$1)</f>
        <v>0</v>
      </c>
      <c r="H308" s="70">
        <f>COUNTIFS('Error Log'!$A:$A,$A308,'Error Log'!$F:$F,"Source")</f>
        <v>0</v>
      </c>
      <c r="I308" s="70">
        <f>COUNTIFS('Error Log'!$A:$A,$A308,'Error Log'!$F:$F,"Target")</f>
        <v>0</v>
      </c>
      <c r="J308" s="71">
        <f t="shared" si="4"/>
        <v>0</v>
      </c>
    </row>
    <row r="309" spans="1:10">
      <c r="A309" s="123"/>
      <c r="B309" s="70" t="str">
        <f>IF(ISBLANK(A309),"",INDEX('Error Log'!$A:$J,MATCH('Scores per segment'!$A309,'Error Log'!$A:$A,0),MATCH('Scores per segment'!B$1,'Error Log'!$A$1:$J$1,0)))</f>
        <v/>
      </c>
      <c r="C309" s="70" t="str">
        <f>IF(ISBLANK(A309),"",INDEX('Error Log'!$A:$J,MATCH('Scores per segment'!$A309,'Error Log'!$A:$A,0),MATCH('Scores per segment'!C$1,'Error Log'!$A$1:$J$1,0)))</f>
        <v/>
      </c>
      <c r="D309" s="70">
        <f>IF(H309=0,wdct(TRIM(C309)),0)</f>
        <v>0</v>
      </c>
      <c r="E309" s="70">
        <f>COUNTIFS('Error Log'!$A:$A,$A309,'Error Log'!$J:$J,E$1)</f>
        <v>0</v>
      </c>
      <c r="F309" s="70">
        <f>COUNTIFS('Error Log'!$A:$A,$A309,'Error Log'!$J:$J,F$1)</f>
        <v>0</v>
      </c>
      <c r="G309" s="70">
        <f>COUNTIFS('Error Log'!$A:$A,$A309,'Error Log'!$J:$J,G$1)</f>
        <v>0</v>
      </c>
      <c r="H309" s="70">
        <f>COUNTIFS('Error Log'!$A:$A,$A309,'Error Log'!$F:$F,"Source")</f>
        <v>0</v>
      </c>
      <c r="I309" s="70">
        <f>COUNTIFS('Error Log'!$A:$A,$A309,'Error Log'!$F:$F,"Target")</f>
        <v>0</v>
      </c>
      <c r="J309" s="71">
        <f t="shared" si="4"/>
        <v>0</v>
      </c>
    </row>
    <row r="310" spans="1:10">
      <c r="A310" s="123"/>
      <c r="B310" s="70" t="str">
        <f>IF(ISBLANK(A310),"",INDEX('Error Log'!$A:$J,MATCH('Scores per segment'!$A310,'Error Log'!$A:$A,0),MATCH('Scores per segment'!B$1,'Error Log'!$A$1:$J$1,0)))</f>
        <v/>
      </c>
      <c r="C310" s="70" t="str">
        <f>IF(ISBLANK(A310),"",INDEX('Error Log'!$A:$J,MATCH('Scores per segment'!$A310,'Error Log'!$A:$A,0),MATCH('Scores per segment'!C$1,'Error Log'!$A$1:$J$1,0)))</f>
        <v/>
      </c>
      <c r="D310" s="70">
        <f>IF(H310=0,wdct(TRIM(C310)),0)</f>
        <v>0</v>
      </c>
      <c r="E310" s="70">
        <f>COUNTIFS('Error Log'!$A:$A,$A310,'Error Log'!$J:$J,E$1)</f>
        <v>0</v>
      </c>
      <c r="F310" s="70">
        <f>COUNTIFS('Error Log'!$A:$A,$A310,'Error Log'!$J:$J,F$1)</f>
        <v>0</v>
      </c>
      <c r="G310" s="70">
        <f>COUNTIFS('Error Log'!$A:$A,$A310,'Error Log'!$J:$J,G$1)</f>
        <v>0</v>
      </c>
      <c r="H310" s="70">
        <f>COUNTIFS('Error Log'!$A:$A,$A310,'Error Log'!$F:$F,"Source")</f>
        <v>0</v>
      </c>
      <c r="I310" s="70">
        <f>COUNTIFS('Error Log'!$A:$A,$A310,'Error Log'!$F:$F,"Target")</f>
        <v>0</v>
      </c>
      <c r="J310" s="71">
        <f t="shared" si="4"/>
        <v>0</v>
      </c>
    </row>
    <row r="311" spans="1:10">
      <c r="A311" s="123"/>
      <c r="B311" s="70" t="str">
        <f>IF(ISBLANK(A311),"",INDEX('Error Log'!$A:$J,MATCH('Scores per segment'!$A311,'Error Log'!$A:$A,0),MATCH('Scores per segment'!B$1,'Error Log'!$A$1:$J$1,0)))</f>
        <v/>
      </c>
      <c r="C311" s="70" t="str">
        <f>IF(ISBLANK(A311),"",INDEX('Error Log'!$A:$J,MATCH('Scores per segment'!$A311,'Error Log'!$A:$A,0),MATCH('Scores per segment'!C$1,'Error Log'!$A$1:$J$1,0)))</f>
        <v/>
      </c>
      <c r="D311" s="70">
        <f>IF(H311=0,wdct(TRIM(C311)),0)</f>
        <v>0</v>
      </c>
      <c r="E311" s="70">
        <f>COUNTIFS('Error Log'!$A:$A,$A311,'Error Log'!$J:$J,E$1)</f>
        <v>0</v>
      </c>
      <c r="F311" s="70">
        <f>COUNTIFS('Error Log'!$A:$A,$A311,'Error Log'!$J:$J,F$1)</f>
        <v>0</v>
      </c>
      <c r="G311" s="70">
        <f>COUNTIFS('Error Log'!$A:$A,$A311,'Error Log'!$J:$J,G$1)</f>
        <v>0</v>
      </c>
      <c r="H311" s="70">
        <f>COUNTIFS('Error Log'!$A:$A,$A311,'Error Log'!$F:$F,"Source")</f>
        <v>0</v>
      </c>
      <c r="I311" s="70">
        <f>COUNTIFS('Error Log'!$A:$A,$A311,'Error Log'!$F:$F,"Target")</f>
        <v>0</v>
      </c>
      <c r="J311" s="71">
        <f t="shared" si="4"/>
        <v>0</v>
      </c>
    </row>
    <row r="312" spans="1:10">
      <c r="A312" s="123"/>
      <c r="B312" s="70" t="str">
        <f>IF(ISBLANK(A312),"",INDEX('Error Log'!$A:$J,MATCH('Scores per segment'!$A312,'Error Log'!$A:$A,0),MATCH('Scores per segment'!B$1,'Error Log'!$A$1:$J$1,0)))</f>
        <v/>
      </c>
      <c r="C312" s="70" t="str">
        <f>IF(ISBLANK(A312),"",INDEX('Error Log'!$A:$J,MATCH('Scores per segment'!$A312,'Error Log'!$A:$A,0),MATCH('Scores per segment'!C$1,'Error Log'!$A$1:$J$1,0)))</f>
        <v/>
      </c>
      <c r="D312" s="70">
        <f>IF(H312=0,wdct(TRIM(C312)),0)</f>
        <v>0</v>
      </c>
      <c r="E312" s="70">
        <f>COUNTIFS('Error Log'!$A:$A,$A312,'Error Log'!$J:$J,E$1)</f>
        <v>0</v>
      </c>
      <c r="F312" s="70">
        <f>COUNTIFS('Error Log'!$A:$A,$A312,'Error Log'!$J:$J,F$1)</f>
        <v>0</v>
      </c>
      <c r="G312" s="70">
        <f>COUNTIFS('Error Log'!$A:$A,$A312,'Error Log'!$J:$J,G$1)</f>
        <v>0</v>
      </c>
      <c r="H312" s="70">
        <f>COUNTIFS('Error Log'!$A:$A,$A312,'Error Log'!$F:$F,"Source")</f>
        <v>0</v>
      </c>
      <c r="I312" s="70">
        <f>COUNTIFS('Error Log'!$A:$A,$A312,'Error Log'!$F:$F,"Target")</f>
        <v>0</v>
      </c>
      <c r="J312" s="71">
        <f t="shared" si="4"/>
        <v>0</v>
      </c>
    </row>
    <row r="313" spans="1:10">
      <c r="A313" s="123"/>
      <c r="B313" s="70" t="str">
        <f>IF(ISBLANK(A313),"",INDEX('Error Log'!$A:$J,MATCH('Scores per segment'!$A313,'Error Log'!$A:$A,0),MATCH('Scores per segment'!B$1,'Error Log'!$A$1:$J$1,0)))</f>
        <v/>
      </c>
      <c r="C313" s="70" t="str">
        <f>IF(ISBLANK(A313),"",INDEX('Error Log'!$A:$J,MATCH('Scores per segment'!$A313,'Error Log'!$A:$A,0),MATCH('Scores per segment'!C$1,'Error Log'!$A$1:$J$1,0)))</f>
        <v/>
      </c>
      <c r="D313" s="70">
        <f>IF(H313=0,wdct(TRIM(C313)),0)</f>
        <v>0</v>
      </c>
      <c r="E313" s="70">
        <f>COUNTIFS('Error Log'!$A:$A,$A313,'Error Log'!$J:$J,E$1)</f>
        <v>0</v>
      </c>
      <c r="F313" s="70">
        <f>COUNTIFS('Error Log'!$A:$A,$A313,'Error Log'!$J:$J,F$1)</f>
        <v>0</v>
      </c>
      <c r="G313" s="70">
        <f>COUNTIFS('Error Log'!$A:$A,$A313,'Error Log'!$J:$J,G$1)</f>
        <v>0</v>
      </c>
      <c r="H313" s="70">
        <f>COUNTIFS('Error Log'!$A:$A,$A313,'Error Log'!$F:$F,"Source")</f>
        <v>0</v>
      </c>
      <c r="I313" s="70">
        <f>COUNTIFS('Error Log'!$A:$A,$A313,'Error Log'!$F:$F,"Target")</f>
        <v>0</v>
      </c>
      <c r="J313" s="71">
        <f t="shared" si="4"/>
        <v>0</v>
      </c>
    </row>
    <row r="314" spans="1:10">
      <c r="A314" s="123"/>
      <c r="B314" s="70" t="str">
        <f>IF(ISBLANK(A314),"",INDEX('Error Log'!$A:$J,MATCH('Scores per segment'!$A314,'Error Log'!$A:$A,0),MATCH('Scores per segment'!B$1,'Error Log'!$A$1:$J$1,0)))</f>
        <v/>
      </c>
      <c r="C314" s="70" t="str">
        <f>IF(ISBLANK(A314),"",INDEX('Error Log'!$A:$J,MATCH('Scores per segment'!$A314,'Error Log'!$A:$A,0),MATCH('Scores per segment'!C$1,'Error Log'!$A$1:$J$1,0)))</f>
        <v/>
      </c>
      <c r="D314" s="70">
        <f>IF(H314=0,wdct(TRIM(C314)),0)</f>
        <v>0</v>
      </c>
      <c r="E314" s="70">
        <f>COUNTIFS('Error Log'!$A:$A,$A314,'Error Log'!$J:$J,E$1)</f>
        <v>0</v>
      </c>
      <c r="F314" s="70">
        <f>COUNTIFS('Error Log'!$A:$A,$A314,'Error Log'!$J:$J,F$1)</f>
        <v>0</v>
      </c>
      <c r="G314" s="70">
        <f>COUNTIFS('Error Log'!$A:$A,$A314,'Error Log'!$J:$J,G$1)</f>
        <v>0</v>
      </c>
      <c r="H314" s="70">
        <f>COUNTIFS('Error Log'!$A:$A,$A314,'Error Log'!$F:$F,"Source")</f>
        <v>0</v>
      </c>
      <c r="I314" s="70">
        <f>COUNTIFS('Error Log'!$A:$A,$A314,'Error Log'!$F:$F,"Target")</f>
        <v>0</v>
      </c>
      <c r="J314" s="71">
        <f t="shared" si="4"/>
        <v>0</v>
      </c>
    </row>
    <row r="315" spans="1:10">
      <c r="A315" s="123"/>
      <c r="B315" s="70" t="str">
        <f>IF(ISBLANK(A315),"",INDEX('Error Log'!$A:$J,MATCH('Scores per segment'!$A315,'Error Log'!$A:$A,0),MATCH('Scores per segment'!B$1,'Error Log'!$A$1:$J$1,0)))</f>
        <v/>
      </c>
      <c r="C315" s="70" t="str">
        <f>IF(ISBLANK(A315),"",INDEX('Error Log'!$A:$J,MATCH('Scores per segment'!$A315,'Error Log'!$A:$A,0),MATCH('Scores per segment'!C$1,'Error Log'!$A$1:$J$1,0)))</f>
        <v/>
      </c>
      <c r="D315" s="70">
        <f>IF(H315=0,wdct(TRIM(C315)),0)</f>
        <v>0</v>
      </c>
      <c r="E315" s="70">
        <f>COUNTIFS('Error Log'!$A:$A,$A315,'Error Log'!$J:$J,E$1)</f>
        <v>0</v>
      </c>
      <c r="F315" s="70">
        <f>COUNTIFS('Error Log'!$A:$A,$A315,'Error Log'!$J:$J,F$1)</f>
        <v>0</v>
      </c>
      <c r="G315" s="70">
        <f>COUNTIFS('Error Log'!$A:$A,$A315,'Error Log'!$J:$J,G$1)</f>
        <v>0</v>
      </c>
      <c r="H315" s="70">
        <f>COUNTIFS('Error Log'!$A:$A,$A315,'Error Log'!$F:$F,"Source")</f>
        <v>0</v>
      </c>
      <c r="I315" s="70">
        <f>COUNTIFS('Error Log'!$A:$A,$A315,'Error Log'!$F:$F,"Target")</f>
        <v>0</v>
      </c>
      <c r="J315" s="71">
        <f t="shared" si="4"/>
        <v>0</v>
      </c>
    </row>
    <row r="316" spans="1:10">
      <c r="A316" s="123"/>
      <c r="B316" s="70" t="str">
        <f>IF(ISBLANK(A316),"",INDEX('Error Log'!$A:$J,MATCH('Scores per segment'!$A316,'Error Log'!$A:$A,0),MATCH('Scores per segment'!B$1,'Error Log'!$A$1:$J$1,0)))</f>
        <v/>
      </c>
      <c r="C316" s="70" t="str">
        <f>IF(ISBLANK(A316),"",INDEX('Error Log'!$A:$J,MATCH('Scores per segment'!$A316,'Error Log'!$A:$A,0),MATCH('Scores per segment'!C$1,'Error Log'!$A$1:$J$1,0)))</f>
        <v/>
      </c>
      <c r="D316" s="70">
        <f>IF(H316=0,wdct(TRIM(C316)),0)</f>
        <v>0</v>
      </c>
      <c r="E316" s="70">
        <f>COUNTIFS('Error Log'!$A:$A,$A316,'Error Log'!$J:$J,E$1)</f>
        <v>0</v>
      </c>
      <c r="F316" s="70">
        <f>COUNTIFS('Error Log'!$A:$A,$A316,'Error Log'!$J:$J,F$1)</f>
        <v>0</v>
      </c>
      <c r="G316" s="70">
        <f>COUNTIFS('Error Log'!$A:$A,$A316,'Error Log'!$J:$J,G$1)</f>
        <v>0</v>
      </c>
      <c r="H316" s="70">
        <f>COUNTIFS('Error Log'!$A:$A,$A316,'Error Log'!$F:$F,"Source")</f>
        <v>0</v>
      </c>
      <c r="I316" s="70">
        <f>COUNTIFS('Error Log'!$A:$A,$A316,'Error Log'!$F:$F,"Target")</f>
        <v>0</v>
      </c>
      <c r="J316" s="71">
        <f t="shared" si="4"/>
        <v>0</v>
      </c>
    </row>
    <row r="317" spans="1:10">
      <c r="A317" s="123"/>
      <c r="B317" s="70" t="str">
        <f>IF(ISBLANK(A317),"",INDEX('Error Log'!$A:$J,MATCH('Scores per segment'!$A317,'Error Log'!$A:$A,0),MATCH('Scores per segment'!B$1,'Error Log'!$A$1:$J$1,0)))</f>
        <v/>
      </c>
      <c r="C317" s="70" t="str">
        <f>IF(ISBLANK(A317),"",INDEX('Error Log'!$A:$J,MATCH('Scores per segment'!$A317,'Error Log'!$A:$A,0),MATCH('Scores per segment'!C$1,'Error Log'!$A$1:$J$1,0)))</f>
        <v/>
      </c>
      <c r="D317" s="70">
        <f>IF(H317=0,wdct(TRIM(C317)),0)</f>
        <v>0</v>
      </c>
      <c r="E317" s="70">
        <f>COUNTIFS('Error Log'!$A:$A,$A317,'Error Log'!$J:$J,E$1)</f>
        <v>0</v>
      </c>
      <c r="F317" s="70">
        <f>COUNTIFS('Error Log'!$A:$A,$A317,'Error Log'!$J:$J,F$1)</f>
        <v>0</v>
      </c>
      <c r="G317" s="70">
        <f>COUNTIFS('Error Log'!$A:$A,$A317,'Error Log'!$J:$J,G$1)</f>
        <v>0</v>
      </c>
      <c r="H317" s="70">
        <f>COUNTIFS('Error Log'!$A:$A,$A317,'Error Log'!$F:$F,"Source")</f>
        <v>0</v>
      </c>
      <c r="I317" s="70">
        <f>COUNTIFS('Error Log'!$A:$A,$A317,'Error Log'!$F:$F,"Target")</f>
        <v>0</v>
      </c>
      <c r="J317" s="71">
        <f t="shared" si="4"/>
        <v>0</v>
      </c>
    </row>
    <row r="318" spans="1:10">
      <c r="A318" s="123"/>
      <c r="B318" s="70" t="str">
        <f>IF(ISBLANK(A318),"",INDEX('Error Log'!$A:$J,MATCH('Scores per segment'!$A318,'Error Log'!$A:$A,0),MATCH('Scores per segment'!B$1,'Error Log'!$A$1:$J$1,0)))</f>
        <v/>
      </c>
      <c r="C318" s="70" t="str">
        <f>IF(ISBLANK(A318),"",INDEX('Error Log'!$A:$J,MATCH('Scores per segment'!$A318,'Error Log'!$A:$A,0),MATCH('Scores per segment'!C$1,'Error Log'!$A$1:$J$1,0)))</f>
        <v/>
      </c>
      <c r="D318" s="70">
        <f>IF(H318=0,wdct(TRIM(C318)),0)</f>
        <v>0</v>
      </c>
      <c r="E318" s="70">
        <f>COUNTIFS('Error Log'!$A:$A,$A318,'Error Log'!$J:$J,E$1)</f>
        <v>0</v>
      </c>
      <c r="F318" s="70">
        <f>COUNTIFS('Error Log'!$A:$A,$A318,'Error Log'!$J:$J,F$1)</f>
        <v>0</v>
      </c>
      <c r="G318" s="70">
        <f>COUNTIFS('Error Log'!$A:$A,$A318,'Error Log'!$J:$J,G$1)</f>
        <v>0</v>
      </c>
      <c r="H318" s="70">
        <f>COUNTIFS('Error Log'!$A:$A,$A318,'Error Log'!$F:$F,"Source")</f>
        <v>0</v>
      </c>
      <c r="I318" s="70">
        <f>COUNTIFS('Error Log'!$A:$A,$A318,'Error Log'!$F:$F,"Target")</f>
        <v>0</v>
      </c>
      <c r="J318" s="71">
        <f t="shared" si="4"/>
        <v>0</v>
      </c>
    </row>
    <row r="319" spans="1:10">
      <c r="A319" s="123"/>
      <c r="B319" s="70" t="str">
        <f>IF(ISBLANK(A319),"",INDEX('Error Log'!$A:$J,MATCH('Scores per segment'!$A319,'Error Log'!$A:$A,0),MATCH('Scores per segment'!B$1,'Error Log'!$A$1:$J$1,0)))</f>
        <v/>
      </c>
      <c r="C319" s="70" t="str">
        <f>IF(ISBLANK(A319),"",INDEX('Error Log'!$A:$J,MATCH('Scores per segment'!$A319,'Error Log'!$A:$A,0),MATCH('Scores per segment'!C$1,'Error Log'!$A$1:$J$1,0)))</f>
        <v/>
      </c>
      <c r="D319" s="70">
        <f>IF(H319=0,wdct(TRIM(C319)),0)</f>
        <v>0</v>
      </c>
      <c r="E319" s="70">
        <f>COUNTIFS('Error Log'!$A:$A,$A319,'Error Log'!$J:$J,E$1)</f>
        <v>0</v>
      </c>
      <c r="F319" s="70">
        <f>COUNTIFS('Error Log'!$A:$A,$A319,'Error Log'!$J:$J,F$1)</f>
        <v>0</v>
      </c>
      <c r="G319" s="70">
        <f>COUNTIFS('Error Log'!$A:$A,$A319,'Error Log'!$J:$J,G$1)</f>
        <v>0</v>
      </c>
      <c r="H319" s="70">
        <f>COUNTIFS('Error Log'!$A:$A,$A319,'Error Log'!$F:$F,"Source")</f>
        <v>0</v>
      </c>
      <c r="I319" s="70">
        <f>COUNTIFS('Error Log'!$A:$A,$A319,'Error Log'!$F:$F,"Target")</f>
        <v>0</v>
      </c>
      <c r="J319" s="71">
        <f t="shared" si="4"/>
        <v>0</v>
      </c>
    </row>
    <row r="320" spans="1:10">
      <c r="A320" s="123"/>
      <c r="B320" s="70" t="str">
        <f>IF(ISBLANK(A320),"",INDEX('Error Log'!$A:$J,MATCH('Scores per segment'!$A320,'Error Log'!$A:$A,0),MATCH('Scores per segment'!B$1,'Error Log'!$A$1:$J$1,0)))</f>
        <v/>
      </c>
      <c r="C320" s="70" t="str">
        <f>IF(ISBLANK(A320),"",INDEX('Error Log'!$A:$J,MATCH('Scores per segment'!$A320,'Error Log'!$A:$A,0),MATCH('Scores per segment'!C$1,'Error Log'!$A$1:$J$1,0)))</f>
        <v/>
      </c>
      <c r="D320" s="70">
        <f>IF(H320=0,wdct(TRIM(C320)),0)</f>
        <v>0</v>
      </c>
      <c r="E320" s="70">
        <f>COUNTIFS('Error Log'!$A:$A,$A320,'Error Log'!$J:$J,E$1)</f>
        <v>0</v>
      </c>
      <c r="F320" s="70">
        <f>COUNTIFS('Error Log'!$A:$A,$A320,'Error Log'!$J:$J,F$1)</f>
        <v>0</v>
      </c>
      <c r="G320" s="70">
        <f>COUNTIFS('Error Log'!$A:$A,$A320,'Error Log'!$J:$J,G$1)</f>
        <v>0</v>
      </c>
      <c r="H320" s="70">
        <f>COUNTIFS('Error Log'!$A:$A,$A320,'Error Log'!$F:$F,"Source")</f>
        <v>0</v>
      </c>
      <c r="I320" s="70">
        <f>COUNTIFS('Error Log'!$A:$A,$A320,'Error Log'!$F:$F,"Target")</f>
        <v>0</v>
      </c>
      <c r="J320" s="71">
        <f t="shared" si="4"/>
        <v>0</v>
      </c>
    </row>
    <row r="321" spans="1:10">
      <c r="A321" s="123"/>
      <c r="B321" s="70" t="str">
        <f>IF(ISBLANK(A321),"",INDEX('Error Log'!$A:$J,MATCH('Scores per segment'!$A321,'Error Log'!$A:$A,0),MATCH('Scores per segment'!B$1,'Error Log'!$A$1:$J$1,0)))</f>
        <v/>
      </c>
      <c r="C321" s="70" t="str">
        <f>IF(ISBLANK(A321),"",INDEX('Error Log'!$A:$J,MATCH('Scores per segment'!$A321,'Error Log'!$A:$A,0),MATCH('Scores per segment'!C$1,'Error Log'!$A$1:$J$1,0)))</f>
        <v/>
      </c>
      <c r="D321" s="70">
        <f>IF(H321=0,wdct(TRIM(C321)),0)</f>
        <v>0</v>
      </c>
      <c r="E321" s="70">
        <f>COUNTIFS('Error Log'!$A:$A,$A321,'Error Log'!$J:$J,E$1)</f>
        <v>0</v>
      </c>
      <c r="F321" s="70">
        <f>COUNTIFS('Error Log'!$A:$A,$A321,'Error Log'!$J:$J,F$1)</f>
        <v>0</v>
      </c>
      <c r="G321" s="70">
        <f>COUNTIFS('Error Log'!$A:$A,$A321,'Error Log'!$J:$J,G$1)</f>
        <v>0</v>
      </c>
      <c r="H321" s="70">
        <f>COUNTIFS('Error Log'!$A:$A,$A321,'Error Log'!$F:$F,"Source")</f>
        <v>0</v>
      </c>
      <c r="I321" s="70">
        <f>COUNTIFS('Error Log'!$A:$A,$A321,'Error Log'!$F:$F,"Target")</f>
        <v>0</v>
      </c>
      <c r="J321" s="71">
        <f t="shared" si="4"/>
        <v>0</v>
      </c>
    </row>
    <row r="322" spans="1:10">
      <c r="A322" s="123"/>
      <c r="B322" s="70" t="str">
        <f>IF(ISBLANK(A322),"",INDEX('Error Log'!$A:$J,MATCH('Scores per segment'!$A322,'Error Log'!$A:$A,0),MATCH('Scores per segment'!B$1,'Error Log'!$A$1:$J$1,0)))</f>
        <v/>
      </c>
      <c r="C322" s="70" t="str">
        <f>IF(ISBLANK(A322),"",INDEX('Error Log'!$A:$J,MATCH('Scores per segment'!$A322,'Error Log'!$A:$A,0),MATCH('Scores per segment'!C$1,'Error Log'!$A$1:$J$1,0)))</f>
        <v/>
      </c>
      <c r="D322" s="70">
        <f>IF(H322=0,wdct(TRIM(C322)),0)</f>
        <v>0</v>
      </c>
      <c r="E322" s="70">
        <f>COUNTIFS('Error Log'!$A:$A,$A322,'Error Log'!$J:$J,E$1)</f>
        <v>0</v>
      </c>
      <c r="F322" s="70">
        <f>COUNTIFS('Error Log'!$A:$A,$A322,'Error Log'!$J:$J,F$1)</f>
        <v>0</v>
      </c>
      <c r="G322" s="70">
        <f>COUNTIFS('Error Log'!$A:$A,$A322,'Error Log'!$J:$J,G$1)</f>
        <v>0</v>
      </c>
      <c r="H322" s="70">
        <f>COUNTIFS('Error Log'!$A:$A,$A322,'Error Log'!$F:$F,"Source")</f>
        <v>0</v>
      </c>
      <c r="I322" s="70">
        <f>COUNTIFS('Error Log'!$A:$A,$A322,'Error Log'!$F:$F,"Target")</f>
        <v>0</v>
      </c>
      <c r="J322" s="71">
        <f t="shared" ref="J322:J385" si="5">IF(I322=0,IFERROR((((1-((E322*10+F322*5+G322*1)/D322))*100)+100)/2,0),-150)</f>
        <v>0</v>
      </c>
    </row>
    <row r="323" spans="1:10">
      <c r="A323" s="123"/>
      <c r="B323" s="70" t="str">
        <f>IF(ISBLANK(A323),"",INDEX('Error Log'!$A:$J,MATCH('Scores per segment'!$A323,'Error Log'!$A:$A,0),MATCH('Scores per segment'!B$1,'Error Log'!$A$1:$J$1,0)))</f>
        <v/>
      </c>
      <c r="C323" s="70" t="str">
        <f>IF(ISBLANK(A323),"",INDEX('Error Log'!$A:$J,MATCH('Scores per segment'!$A323,'Error Log'!$A:$A,0),MATCH('Scores per segment'!C$1,'Error Log'!$A$1:$J$1,0)))</f>
        <v/>
      </c>
      <c r="D323" s="70">
        <f>IF(H323=0,wdct(TRIM(C323)),0)</f>
        <v>0</v>
      </c>
      <c r="E323" s="70">
        <f>COUNTIFS('Error Log'!$A:$A,$A323,'Error Log'!$J:$J,E$1)</f>
        <v>0</v>
      </c>
      <c r="F323" s="70">
        <f>COUNTIFS('Error Log'!$A:$A,$A323,'Error Log'!$J:$J,F$1)</f>
        <v>0</v>
      </c>
      <c r="G323" s="70">
        <f>COUNTIFS('Error Log'!$A:$A,$A323,'Error Log'!$J:$J,G$1)</f>
        <v>0</v>
      </c>
      <c r="H323" s="70">
        <f>COUNTIFS('Error Log'!$A:$A,$A323,'Error Log'!$F:$F,"Source")</f>
        <v>0</v>
      </c>
      <c r="I323" s="70">
        <f>COUNTIFS('Error Log'!$A:$A,$A323,'Error Log'!$F:$F,"Target")</f>
        <v>0</v>
      </c>
      <c r="J323" s="71">
        <f t="shared" si="5"/>
        <v>0</v>
      </c>
    </row>
    <row r="324" spans="1:10">
      <c r="A324" s="123"/>
      <c r="B324" s="70" t="str">
        <f>IF(ISBLANK(A324),"",INDEX('Error Log'!$A:$J,MATCH('Scores per segment'!$A324,'Error Log'!$A:$A,0),MATCH('Scores per segment'!B$1,'Error Log'!$A$1:$J$1,0)))</f>
        <v/>
      </c>
      <c r="C324" s="70" t="str">
        <f>IF(ISBLANK(A324),"",INDEX('Error Log'!$A:$J,MATCH('Scores per segment'!$A324,'Error Log'!$A:$A,0),MATCH('Scores per segment'!C$1,'Error Log'!$A$1:$J$1,0)))</f>
        <v/>
      </c>
      <c r="D324" s="70">
        <f>IF(H324=0,wdct(TRIM(C324)),0)</f>
        <v>0</v>
      </c>
      <c r="E324" s="70">
        <f>COUNTIFS('Error Log'!$A:$A,$A324,'Error Log'!$J:$J,E$1)</f>
        <v>0</v>
      </c>
      <c r="F324" s="70">
        <f>COUNTIFS('Error Log'!$A:$A,$A324,'Error Log'!$J:$J,F$1)</f>
        <v>0</v>
      </c>
      <c r="G324" s="70">
        <f>COUNTIFS('Error Log'!$A:$A,$A324,'Error Log'!$J:$J,G$1)</f>
        <v>0</v>
      </c>
      <c r="H324" s="70">
        <f>COUNTIFS('Error Log'!$A:$A,$A324,'Error Log'!$F:$F,"Source")</f>
        <v>0</v>
      </c>
      <c r="I324" s="70">
        <f>COUNTIFS('Error Log'!$A:$A,$A324,'Error Log'!$F:$F,"Target")</f>
        <v>0</v>
      </c>
      <c r="J324" s="71">
        <f t="shared" si="5"/>
        <v>0</v>
      </c>
    </row>
    <row r="325" spans="1:10">
      <c r="A325" s="123"/>
      <c r="B325" s="70" t="str">
        <f>IF(ISBLANK(A325),"",INDEX('Error Log'!$A:$J,MATCH('Scores per segment'!$A325,'Error Log'!$A:$A,0),MATCH('Scores per segment'!B$1,'Error Log'!$A$1:$J$1,0)))</f>
        <v/>
      </c>
      <c r="C325" s="70" t="str">
        <f>IF(ISBLANK(A325),"",INDEX('Error Log'!$A:$J,MATCH('Scores per segment'!$A325,'Error Log'!$A:$A,0),MATCH('Scores per segment'!C$1,'Error Log'!$A$1:$J$1,0)))</f>
        <v/>
      </c>
      <c r="D325" s="70">
        <f>IF(H325=0,wdct(TRIM(C325)),0)</f>
        <v>0</v>
      </c>
      <c r="E325" s="70">
        <f>COUNTIFS('Error Log'!$A:$A,$A325,'Error Log'!$J:$J,E$1)</f>
        <v>0</v>
      </c>
      <c r="F325" s="70">
        <f>COUNTIFS('Error Log'!$A:$A,$A325,'Error Log'!$J:$J,F$1)</f>
        <v>0</v>
      </c>
      <c r="G325" s="70">
        <f>COUNTIFS('Error Log'!$A:$A,$A325,'Error Log'!$J:$J,G$1)</f>
        <v>0</v>
      </c>
      <c r="H325" s="70">
        <f>COUNTIFS('Error Log'!$A:$A,$A325,'Error Log'!$F:$F,"Source")</f>
        <v>0</v>
      </c>
      <c r="I325" s="70">
        <f>COUNTIFS('Error Log'!$A:$A,$A325,'Error Log'!$F:$F,"Target")</f>
        <v>0</v>
      </c>
      <c r="J325" s="71">
        <f t="shared" si="5"/>
        <v>0</v>
      </c>
    </row>
    <row r="326" spans="1:10">
      <c r="A326" s="123"/>
      <c r="B326" s="70" t="str">
        <f>IF(ISBLANK(A326),"",INDEX('Error Log'!$A:$J,MATCH('Scores per segment'!$A326,'Error Log'!$A:$A,0),MATCH('Scores per segment'!B$1,'Error Log'!$A$1:$J$1,0)))</f>
        <v/>
      </c>
      <c r="C326" s="70" t="str">
        <f>IF(ISBLANK(A326),"",INDEX('Error Log'!$A:$J,MATCH('Scores per segment'!$A326,'Error Log'!$A:$A,0),MATCH('Scores per segment'!C$1,'Error Log'!$A$1:$J$1,0)))</f>
        <v/>
      </c>
      <c r="D326" s="70">
        <f>IF(H326=0,wdct(TRIM(C326)),0)</f>
        <v>0</v>
      </c>
      <c r="E326" s="70">
        <f>COUNTIFS('Error Log'!$A:$A,$A326,'Error Log'!$J:$J,E$1)</f>
        <v>0</v>
      </c>
      <c r="F326" s="70">
        <f>COUNTIFS('Error Log'!$A:$A,$A326,'Error Log'!$J:$J,F$1)</f>
        <v>0</v>
      </c>
      <c r="G326" s="70">
        <f>COUNTIFS('Error Log'!$A:$A,$A326,'Error Log'!$J:$J,G$1)</f>
        <v>0</v>
      </c>
      <c r="H326" s="70">
        <f>COUNTIFS('Error Log'!$A:$A,$A326,'Error Log'!$F:$F,"Source")</f>
        <v>0</v>
      </c>
      <c r="I326" s="70">
        <f>COUNTIFS('Error Log'!$A:$A,$A326,'Error Log'!$F:$F,"Target")</f>
        <v>0</v>
      </c>
      <c r="J326" s="71">
        <f t="shared" si="5"/>
        <v>0</v>
      </c>
    </row>
    <row r="327" spans="1:10">
      <c r="A327" s="123"/>
      <c r="B327" s="70" t="str">
        <f>IF(ISBLANK(A327),"",INDEX('Error Log'!$A:$J,MATCH('Scores per segment'!$A327,'Error Log'!$A:$A,0),MATCH('Scores per segment'!B$1,'Error Log'!$A$1:$J$1,0)))</f>
        <v/>
      </c>
      <c r="C327" s="70" t="str">
        <f>IF(ISBLANK(A327),"",INDEX('Error Log'!$A:$J,MATCH('Scores per segment'!$A327,'Error Log'!$A:$A,0),MATCH('Scores per segment'!C$1,'Error Log'!$A$1:$J$1,0)))</f>
        <v/>
      </c>
      <c r="D327" s="70">
        <f>IF(H327=0,wdct(TRIM(C327)),0)</f>
        <v>0</v>
      </c>
      <c r="E327" s="70">
        <f>COUNTIFS('Error Log'!$A:$A,$A327,'Error Log'!$J:$J,E$1)</f>
        <v>0</v>
      </c>
      <c r="F327" s="70">
        <f>COUNTIFS('Error Log'!$A:$A,$A327,'Error Log'!$J:$J,F$1)</f>
        <v>0</v>
      </c>
      <c r="G327" s="70">
        <f>COUNTIFS('Error Log'!$A:$A,$A327,'Error Log'!$J:$J,G$1)</f>
        <v>0</v>
      </c>
      <c r="H327" s="70">
        <f>COUNTIFS('Error Log'!$A:$A,$A327,'Error Log'!$F:$F,"Source")</f>
        <v>0</v>
      </c>
      <c r="I327" s="70">
        <f>COUNTIFS('Error Log'!$A:$A,$A327,'Error Log'!$F:$F,"Target")</f>
        <v>0</v>
      </c>
      <c r="J327" s="71">
        <f t="shared" si="5"/>
        <v>0</v>
      </c>
    </row>
    <row r="328" spans="1:10">
      <c r="A328" s="123"/>
      <c r="B328" s="70" t="str">
        <f>IF(ISBLANK(A328),"",INDEX('Error Log'!$A:$J,MATCH('Scores per segment'!$A328,'Error Log'!$A:$A,0),MATCH('Scores per segment'!B$1,'Error Log'!$A$1:$J$1,0)))</f>
        <v/>
      </c>
      <c r="C328" s="70" t="str">
        <f>IF(ISBLANK(A328),"",INDEX('Error Log'!$A:$J,MATCH('Scores per segment'!$A328,'Error Log'!$A:$A,0),MATCH('Scores per segment'!C$1,'Error Log'!$A$1:$J$1,0)))</f>
        <v/>
      </c>
      <c r="D328" s="70">
        <f>IF(H328=0,wdct(TRIM(C328)),0)</f>
        <v>0</v>
      </c>
      <c r="E328" s="70">
        <f>COUNTIFS('Error Log'!$A:$A,$A328,'Error Log'!$J:$J,E$1)</f>
        <v>0</v>
      </c>
      <c r="F328" s="70">
        <f>COUNTIFS('Error Log'!$A:$A,$A328,'Error Log'!$J:$J,F$1)</f>
        <v>0</v>
      </c>
      <c r="G328" s="70">
        <f>COUNTIFS('Error Log'!$A:$A,$A328,'Error Log'!$J:$J,G$1)</f>
        <v>0</v>
      </c>
      <c r="H328" s="70">
        <f>COUNTIFS('Error Log'!$A:$A,$A328,'Error Log'!$F:$F,"Source")</f>
        <v>0</v>
      </c>
      <c r="I328" s="70">
        <f>COUNTIFS('Error Log'!$A:$A,$A328,'Error Log'!$F:$F,"Target")</f>
        <v>0</v>
      </c>
      <c r="J328" s="71">
        <f t="shared" si="5"/>
        <v>0</v>
      </c>
    </row>
    <row r="329" spans="1:10">
      <c r="A329" s="123"/>
      <c r="B329" s="70" t="str">
        <f>IF(ISBLANK(A329),"",INDEX('Error Log'!$A:$J,MATCH('Scores per segment'!$A329,'Error Log'!$A:$A,0),MATCH('Scores per segment'!B$1,'Error Log'!$A$1:$J$1,0)))</f>
        <v/>
      </c>
      <c r="C329" s="70" t="str">
        <f>IF(ISBLANK(A329),"",INDEX('Error Log'!$A:$J,MATCH('Scores per segment'!$A329,'Error Log'!$A:$A,0),MATCH('Scores per segment'!C$1,'Error Log'!$A$1:$J$1,0)))</f>
        <v/>
      </c>
      <c r="D329" s="70">
        <f>IF(H329=0,wdct(TRIM(C329)),0)</f>
        <v>0</v>
      </c>
      <c r="E329" s="70">
        <f>COUNTIFS('Error Log'!$A:$A,$A329,'Error Log'!$J:$J,E$1)</f>
        <v>0</v>
      </c>
      <c r="F329" s="70">
        <f>COUNTIFS('Error Log'!$A:$A,$A329,'Error Log'!$J:$J,F$1)</f>
        <v>0</v>
      </c>
      <c r="G329" s="70">
        <f>COUNTIFS('Error Log'!$A:$A,$A329,'Error Log'!$J:$J,G$1)</f>
        <v>0</v>
      </c>
      <c r="H329" s="70">
        <f>COUNTIFS('Error Log'!$A:$A,$A329,'Error Log'!$F:$F,"Source")</f>
        <v>0</v>
      </c>
      <c r="I329" s="70">
        <f>COUNTIFS('Error Log'!$A:$A,$A329,'Error Log'!$F:$F,"Target")</f>
        <v>0</v>
      </c>
      <c r="J329" s="71">
        <f t="shared" si="5"/>
        <v>0</v>
      </c>
    </row>
    <row r="330" spans="1:10">
      <c r="A330" s="123"/>
      <c r="B330" s="70" t="str">
        <f>IF(ISBLANK(A330),"",INDEX('Error Log'!$A:$J,MATCH('Scores per segment'!$A330,'Error Log'!$A:$A,0),MATCH('Scores per segment'!B$1,'Error Log'!$A$1:$J$1,0)))</f>
        <v/>
      </c>
      <c r="C330" s="70" t="str">
        <f>IF(ISBLANK(A330),"",INDEX('Error Log'!$A:$J,MATCH('Scores per segment'!$A330,'Error Log'!$A:$A,0),MATCH('Scores per segment'!C$1,'Error Log'!$A$1:$J$1,0)))</f>
        <v/>
      </c>
      <c r="D330" s="70">
        <f>IF(H330=0,wdct(TRIM(C330)),0)</f>
        <v>0</v>
      </c>
      <c r="E330" s="70">
        <f>COUNTIFS('Error Log'!$A:$A,$A330,'Error Log'!$J:$J,E$1)</f>
        <v>0</v>
      </c>
      <c r="F330" s="70">
        <f>COUNTIFS('Error Log'!$A:$A,$A330,'Error Log'!$J:$J,F$1)</f>
        <v>0</v>
      </c>
      <c r="G330" s="70">
        <f>COUNTIFS('Error Log'!$A:$A,$A330,'Error Log'!$J:$J,G$1)</f>
        <v>0</v>
      </c>
      <c r="H330" s="70">
        <f>COUNTIFS('Error Log'!$A:$A,$A330,'Error Log'!$F:$F,"Source")</f>
        <v>0</v>
      </c>
      <c r="I330" s="70">
        <f>COUNTIFS('Error Log'!$A:$A,$A330,'Error Log'!$F:$F,"Target")</f>
        <v>0</v>
      </c>
      <c r="J330" s="71">
        <f t="shared" si="5"/>
        <v>0</v>
      </c>
    </row>
    <row r="331" spans="1:10">
      <c r="A331" s="123"/>
      <c r="B331" s="70" t="str">
        <f>IF(ISBLANK(A331),"",INDEX('Error Log'!$A:$J,MATCH('Scores per segment'!$A331,'Error Log'!$A:$A,0),MATCH('Scores per segment'!B$1,'Error Log'!$A$1:$J$1,0)))</f>
        <v/>
      </c>
      <c r="C331" s="70" t="str">
        <f>IF(ISBLANK(A331),"",INDEX('Error Log'!$A:$J,MATCH('Scores per segment'!$A331,'Error Log'!$A:$A,0),MATCH('Scores per segment'!C$1,'Error Log'!$A$1:$J$1,0)))</f>
        <v/>
      </c>
      <c r="D331" s="70">
        <f>IF(H331=0,wdct(TRIM(C331)),0)</f>
        <v>0</v>
      </c>
      <c r="E331" s="70">
        <f>COUNTIFS('Error Log'!$A:$A,$A331,'Error Log'!$J:$J,E$1)</f>
        <v>0</v>
      </c>
      <c r="F331" s="70">
        <f>COUNTIFS('Error Log'!$A:$A,$A331,'Error Log'!$J:$J,F$1)</f>
        <v>0</v>
      </c>
      <c r="G331" s="70">
        <f>COUNTIFS('Error Log'!$A:$A,$A331,'Error Log'!$J:$J,G$1)</f>
        <v>0</v>
      </c>
      <c r="H331" s="70">
        <f>COUNTIFS('Error Log'!$A:$A,$A331,'Error Log'!$F:$F,"Source")</f>
        <v>0</v>
      </c>
      <c r="I331" s="70">
        <f>COUNTIFS('Error Log'!$A:$A,$A331,'Error Log'!$F:$F,"Target")</f>
        <v>0</v>
      </c>
      <c r="J331" s="71">
        <f t="shared" si="5"/>
        <v>0</v>
      </c>
    </row>
    <row r="332" spans="1:10">
      <c r="A332" s="123"/>
      <c r="B332" s="70" t="str">
        <f>IF(ISBLANK(A332),"",INDEX('Error Log'!$A:$J,MATCH('Scores per segment'!$A332,'Error Log'!$A:$A,0),MATCH('Scores per segment'!B$1,'Error Log'!$A$1:$J$1,0)))</f>
        <v/>
      </c>
      <c r="C332" s="70" t="str">
        <f>IF(ISBLANK(A332),"",INDEX('Error Log'!$A:$J,MATCH('Scores per segment'!$A332,'Error Log'!$A:$A,0),MATCH('Scores per segment'!C$1,'Error Log'!$A$1:$J$1,0)))</f>
        <v/>
      </c>
      <c r="D332" s="70">
        <f>IF(H332=0,wdct(TRIM(C332)),0)</f>
        <v>0</v>
      </c>
      <c r="E332" s="70">
        <f>COUNTIFS('Error Log'!$A:$A,$A332,'Error Log'!$J:$J,E$1)</f>
        <v>0</v>
      </c>
      <c r="F332" s="70">
        <f>COUNTIFS('Error Log'!$A:$A,$A332,'Error Log'!$J:$J,F$1)</f>
        <v>0</v>
      </c>
      <c r="G332" s="70">
        <f>COUNTIFS('Error Log'!$A:$A,$A332,'Error Log'!$J:$J,G$1)</f>
        <v>0</v>
      </c>
      <c r="H332" s="70">
        <f>COUNTIFS('Error Log'!$A:$A,$A332,'Error Log'!$F:$F,"Source")</f>
        <v>0</v>
      </c>
      <c r="I332" s="70">
        <f>COUNTIFS('Error Log'!$A:$A,$A332,'Error Log'!$F:$F,"Target")</f>
        <v>0</v>
      </c>
      <c r="J332" s="71">
        <f t="shared" si="5"/>
        <v>0</v>
      </c>
    </row>
    <row r="333" spans="1:10">
      <c r="A333" s="123"/>
      <c r="B333" s="70" t="str">
        <f>IF(ISBLANK(A333),"",INDEX('Error Log'!$A:$J,MATCH('Scores per segment'!$A333,'Error Log'!$A:$A,0),MATCH('Scores per segment'!B$1,'Error Log'!$A$1:$J$1,0)))</f>
        <v/>
      </c>
      <c r="C333" s="70" t="str">
        <f>IF(ISBLANK(A333),"",INDEX('Error Log'!$A:$J,MATCH('Scores per segment'!$A333,'Error Log'!$A:$A,0),MATCH('Scores per segment'!C$1,'Error Log'!$A$1:$J$1,0)))</f>
        <v/>
      </c>
      <c r="D333" s="70">
        <f>IF(H333=0,wdct(TRIM(C333)),0)</f>
        <v>0</v>
      </c>
      <c r="E333" s="70">
        <f>COUNTIFS('Error Log'!$A:$A,$A333,'Error Log'!$J:$J,E$1)</f>
        <v>0</v>
      </c>
      <c r="F333" s="70">
        <f>COUNTIFS('Error Log'!$A:$A,$A333,'Error Log'!$J:$J,F$1)</f>
        <v>0</v>
      </c>
      <c r="G333" s="70">
        <f>COUNTIFS('Error Log'!$A:$A,$A333,'Error Log'!$J:$J,G$1)</f>
        <v>0</v>
      </c>
      <c r="H333" s="70">
        <f>COUNTIFS('Error Log'!$A:$A,$A333,'Error Log'!$F:$F,"Source")</f>
        <v>0</v>
      </c>
      <c r="I333" s="70">
        <f>COUNTIFS('Error Log'!$A:$A,$A333,'Error Log'!$F:$F,"Target")</f>
        <v>0</v>
      </c>
      <c r="J333" s="71">
        <f t="shared" si="5"/>
        <v>0</v>
      </c>
    </row>
    <row r="334" spans="1:10">
      <c r="A334" s="123"/>
      <c r="B334" s="70" t="str">
        <f>IF(ISBLANK(A334),"",INDEX('Error Log'!$A:$J,MATCH('Scores per segment'!$A334,'Error Log'!$A:$A,0),MATCH('Scores per segment'!B$1,'Error Log'!$A$1:$J$1,0)))</f>
        <v/>
      </c>
      <c r="C334" s="70" t="str">
        <f>IF(ISBLANK(A334),"",INDEX('Error Log'!$A:$J,MATCH('Scores per segment'!$A334,'Error Log'!$A:$A,0),MATCH('Scores per segment'!C$1,'Error Log'!$A$1:$J$1,0)))</f>
        <v/>
      </c>
      <c r="D334" s="70">
        <f>IF(H334=0,wdct(TRIM(C334)),0)</f>
        <v>0</v>
      </c>
      <c r="E334" s="70">
        <f>COUNTIFS('Error Log'!$A:$A,$A334,'Error Log'!$J:$J,E$1)</f>
        <v>0</v>
      </c>
      <c r="F334" s="70">
        <f>COUNTIFS('Error Log'!$A:$A,$A334,'Error Log'!$J:$J,F$1)</f>
        <v>0</v>
      </c>
      <c r="G334" s="70">
        <f>COUNTIFS('Error Log'!$A:$A,$A334,'Error Log'!$J:$J,G$1)</f>
        <v>0</v>
      </c>
      <c r="H334" s="70">
        <f>COUNTIFS('Error Log'!$A:$A,$A334,'Error Log'!$F:$F,"Source")</f>
        <v>0</v>
      </c>
      <c r="I334" s="70">
        <f>COUNTIFS('Error Log'!$A:$A,$A334,'Error Log'!$F:$F,"Target")</f>
        <v>0</v>
      </c>
      <c r="J334" s="71">
        <f t="shared" si="5"/>
        <v>0</v>
      </c>
    </row>
    <row r="335" spans="1:10">
      <c r="A335" s="123"/>
      <c r="B335" s="70" t="str">
        <f>IF(ISBLANK(A335),"",INDEX('Error Log'!$A:$J,MATCH('Scores per segment'!$A335,'Error Log'!$A:$A,0),MATCH('Scores per segment'!B$1,'Error Log'!$A$1:$J$1,0)))</f>
        <v/>
      </c>
      <c r="C335" s="70" t="str">
        <f>IF(ISBLANK(A335),"",INDEX('Error Log'!$A:$J,MATCH('Scores per segment'!$A335,'Error Log'!$A:$A,0),MATCH('Scores per segment'!C$1,'Error Log'!$A$1:$J$1,0)))</f>
        <v/>
      </c>
      <c r="D335" s="70">
        <f>IF(H335=0,wdct(TRIM(C335)),0)</f>
        <v>0</v>
      </c>
      <c r="E335" s="70">
        <f>COUNTIFS('Error Log'!$A:$A,$A335,'Error Log'!$J:$J,E$1)</f>
        <v>0</v>
      </c>
      <c r="F335" s="70">
        <f>COUNTIFS('Error Log'!$A:$A,$A335,'Error Log'!$J:$J,F$1)</f>
        <v>0</v>
      </c>
      <c r="G335" s="70">
        <f>COUNTIFS('Error Log'!$A:$A,$A335,'Error Log'!$J:$J,G$1)</f>
        <v>0</v>
      </c>
      <c r="H335" s="70">
        <f>COUNTIFS('Error Log'!$A:$A,$A335,'Error Log'!$F:$F,"Source")</f>
        <v>0</v>
      </c>
      <c r="I335" s="70">
        <f>COUNTIFS('Error Log'!$A:$A,$A335,'Error Log'!$F:$F,"Target")</f>
        <v>0</v>
      </c>
      <c r="J335" s="71">
        <f t="shared" si="5"/>
        <v>0</v>
      </c>
    </row>
    <row r="336" spans="1:10">
      <c r="A336" s="123"/>
      <c r="B336" s="70" t="str">
        <f>IF(ISBLANK(A336),"",INDEX('Error Log'!$A:$J,MATCH('Scores per segment'!$A336,'Error Log'!$A:$A,0),MATCH('Scores per segment'!B$1,'Error Log'!$A$1:$J$1,0)))</f>
        <v/>
      </c>
      <c r="C336" s="70" t="str">
        <f>IF(ISBLANK(A336),"",INDEX('Error Log'!$A:$J,MATCH('Scores per segment'!$A336,'Error Log'!$A:$A,0),MATCH('Scores per segment'!C$1,'Error Log'!$A$1:$J$1,0)))</f>
        <v/>
      </c>
      <c r="D336" s="70">
        <f>IF(H336=0,wdct(TRIM(C336)),0)</f>
        <v>0</v>
      </c>
      <c r="E336" s="70">
        <f>COUNTIFS('Error Log'!$A:$A,$A336,'Error Log'!$J:$J,E$1)</f>
        <v>0</v>
      </c>
      <c r="F336" s="70">
        <f>COUNTIFS('Error Log'!$A:$A,$A336,'Error Log'!$J:$J,F$1)</f>
        <v>0</v>
      </c>
      <c r="G336" s="70">
        <f>COUNTIFS('Error Log'!$A:$A,$A336,'Error Log'!$J:$J,G$1)</f>
        <v>0</v>
      </c>
      <c r="H336" s="70">
        <f>COUNTIFS('Error Log'!$A:$A,$A336,'Error Log'!$F:$F,"Source")</f>
        <v>0</v>
      </c>
      <c r="I336" s="70">
        <f>COUNTIFS('Error Log'!$A:$A,$A336,'Error Log'!$F:$F,"Target")</f>
        <v>0</v>
      </c>
      <c r="J336" s="71">
        <f t="shared" si="5"/>
        <v>0</v>
      </c>
    </row>
    <row r="337" spans="1:10">
      <c r="A337" s="123"/>
      <c r="B337" s="70" t="str">
        <f>IF(ISBLANK(A337),"",INDEX('Error Log'!$A:$J,MATCH('Scores per segment'!$A337,'Error Log'!$A:$A,0),MATCH('Scores per segment'!B$1,'Error Log'!$A$1:$J$1,0)))</f>
        <v/>
      </c>
      <c r="C337" s="70" t="str">
        <f>IF(ISBLANK(A337),"",INDEX('Error Log'!$A:$J,MATCH('Scores per segment'!$A337,'Error Log'!$A:$A,0),MATCH('Scores per segment'!C$1,'Error Log'!$A$1:$J$1,0)))</f>
        <v/>
      </c>
      <c r="D337" s="70">
        <f>IF(H337=0,wdct(TRIM(C337)),0)</f>
        <v>0</v>
      </c>
      <c r="E337" s="70">
        <f>COUNTIFS('Error Log'!$A:$A,$A337,'Error Log'!$J:$J,E$1)</f>
        <v>0</v>
      </c>
      <c r="F337" s="70">
        <f>COUNTIFS('Error Log'!$A:$A,$A337,'Error Log'!$J:$J,F$1)</f>
        <v>0</v>
      </c>
      <c r="G337" s="70">
        <f>COUNTIFS('Error Log'!$A:$A,$A337,'Error Log'!$J:$J,G$1)</f>
        <v>0</v>
      </c>
      <c r="H337" s="70">
        <f>COUNTIFS('Error Log'!$A:$A,$A337,'Error Log'!$F:$F,"Source")</f>
        <v>0</v>
      </c>
      <c r="I337" s="70">
        <f>COUNTIFS('Error Log'!$A:$A,$A337,'Error Log'!$F:$F,"Target")</f>
        <v>0</v>
      </c>
      <c r="J337" s="71">
        <f t="shared" si="5"/>
        <v>0</v>
      </c>
    </row>
    <row r="338" spans="1:10">
      <c r="A338" s="123"/>
      <c r="B338" s="70" t="str">
        <f>IF(ISBLANK(A338),"",INDEX('Error Log'!$A:$J,MATCH('Scores per segment'!$A338,'Error Log'!$A:$A,0),MATCH('Scores per segment'!B$1,'Error Log'!$A$1:$J$1,0)))</f>
        <v/>
      </c>
      <c r="C338" s="70" t="str">
        <f>IF(ISBLANK(A338),"",INDEX('Error Log'!$A:$J,MATCH('Scores per segment'!$A338,'Error Log'!$A:$A,0),MATCH('Scores per segment'!C$1,'Error Log'!$A$1:$J$1,0)))</f>
        <v/>
      </c>
      <c r="D338" s="70">
        <f>IF(H338=0,wdct(TRIM(C338)),0)</f>
        <v>0</v>
      </c>
      <c r="E338" s="70">
        <f>COUNTIFS('Error Log'!$A:$A,$A338,'Error Log'!$J:$J,E$1)</f>
        <v>0</v>
      </c>
      <c r="F338" s="70">
        <f>COUNTIFS('Error Log'!$A:$A,$A338,'Error Log'!$J:$J,F$1)</f>
        <v>0</v>
      </c>
      <c r="G338" s="70">
        <f>COUNTIFS('Error Log'!$A:$A,$A338,'Error Log'!$J:$J,G$1)</f>
        <v>0</v>
      </c>
      <c r="H338" s="70">
        <f>COUNTIFS('Error Log'!$A:$A,$A338,'Error Log'!$F:$F,"Source")</f>
        <v>0</v>
      </c>
      <c r="I338" s="70">
        <f>COUNTIFS('Error Log'!$A:$A,$A338,'Error Log'!$F:$F,"Target")</f>
        <v>0</v>
      </c>
      <c r="J338" s="71">
        <f t="shared" si="5"/>
        <v>0</v>
      </c>
    </row>
    <row r="339" spans="1:10">
      <c r="A339" s="123"/>
      <c r="B339" s="70" t="str">
        <f>IF(ISBLANK(A339),"",INDEX('Error Log'!$A:$J,MATCH('Scores per segment'!$A339,'Error Log'!$A:$A,0),MATCH('Scores per segment'!B$1,'Error Log'!$A$1:$J$1,0)))</f>
        <v/>
      </c>
      <c r="C339" s="70" t="str">
        <f>IF(ISBLANK(A339),"",INDEX('Error Log'!$A:$J,MATCH('Scores per segment'!$A339,'Error Log'!$A:$A,0),MATCH('Scores per segment'!C$1,'Error Log'!$A$1:$J$1,0)))</f>
        <v/>
      </c>
      <c r="D339" s="70">
        <f>IF(H339=0,wdct(TRIM(C339)),0)</f>
        <v>0</v>
      </c>
      <c r="E339" s="70">
        <f>COUNTIFS('Error Log'!$A:$A,$A339,'Error Log'!$J:$J,E$1)</f>
        <v>0</v>
      </c>
      <c r="F339" s="70">
        <f>COUNTIFS('Error Log'!$A:$A,$A339,'Error Log'!$J:$J,F$1)</f>
        <v>0</v>
      </c>
      <c r="G339" s="70">
        <f>COUNTIFS('Error Log'!$A:$A,$A339,'Error Log'!$J:$J,G$1)</f>
        <v>0</v>
      </c>
      <c r="H339" s="70">
        <f>COUNTIFS('Error Log'!$A:$A,$A339,'Error Log'!$F:$F,"Source")</f>
        <v>0</v>
      </c>
      <c r="I339" s="70">
        <f>COUNTIFS('Error Log'!$A:$A,$A339,'Error Log'!$F:$F,"Target")</f>
        <v>0</v>
      </c>
      <c r="J339" s="71">
        <f t="shared" si="5"/>
        <v>0</v>
      </c>
    </row>
    <row r="340" spans="1:10">
      <c r="A340" s="123"/>
      <c r="B340" s="70" t="str">
        <f>IF(ISBLANK(A340),"",INDEX('Error Log'!$A:$J,MATCH('Scores per segment'!$A340,'Error Log'!$A:$A,0),MATCH('Scores per segment'!B$1,'Error Log'!$A$1:$J$1,0)))</f>
        <v/>
      </c>
      <c r="C340" s="70" t="str">
        <f>IF(ISBLANK(A340),"",INDEX('Error Log'!$A:$J,MATCH('Scores per segment'!$A340,'Error Log'!$A:$A,0),MATCH('Scores per segment'!C$1,'Error Log'!$A$1:$J$1,0)))</f>
        <v/>
      </c>
      <c r="D340" s="70">
        <f>IF(H340=0,wdct(TRIM(C340)),0)</f>
        <v>0</v>
      </c>
      <c r="E340" s="70">
        <f>COUNTIFS('Error Log'!$A:$A,$A340,'Error Log'!$J:$J,E$1)</f>
        <v>0</v>
      </c>
      <c r="F340" s="70">
        <f>COUNTIFS('Error Log'!$A:$A,$A340,'Error Log'!$J:$J,F$1)</f>
        <v>0</v>
      </c>
      <c r="G340" s="70">
        <f>COUNTIFS('Error Log'!$A:$A,$A340,'Error Log'!$J:$J,G$1)</f>
        <v>0</v>
      </c>
      <c r="H340" s="70">
        <f>COUNTIFS('Error Log'!$A:$A,$A340,'Error Log'!$F:$F,"Source")</f>
        <v>0</v>
      </c>
      <c r="I340" s="70">
        <f>COUNTIFS('Error Log'!$A:$A,$A340,'Error Log'!$F:$F,"Target")</f>
        <v>0</v>
      </c>
      <c r="J340" s="71">
        <f t="shared" si="5"/>
        <v>0</v>
      </c>
    </row>
    <row r="341" spans="1:10">
      <c r="A341" s="123"/>
      <c r="B341" s="70" t="str">
        <f>IF(ISBLANK(A341),"",INDEX('Error Log'!$A:$J,MATCH('Scores per segment'!$A341,'Error Log'!$A:$A,0),MATCH('Scores per segment'!B$1,'Error Log'!$A$1:$J$1,0)))</f>
        <v/>
      </c>
      <c r="C341" s="70" t="str">
        <f>IF(ISBLANK(A341),"",INDEX('Error Log'!$A:$J,MATCH('Scores per segment'!$A341,'Error Log'!$A:$A,0),MATCH('Scores per segment'!C$1,'Error Log'!$A$1:$J$1,0)))</f>
        <v/>
      </c>
      <c r="D341" s="70">
        <f>IF(H341=0,wdct(TRIM(C341)),0)</f>
        <v>0</v>
      </c>
      <c r="E341" s="70">
        <f>COUNTIFS('Error Log'!$A:$A,$A341,'Error Log'!$J:$J,E$1)</f>
        <v>0</v>
      </c>
      <c r="F341" s="70">
        <f>COUNTIFS('Error Log'!$A:$A,$A341,'Error Log'!$J:$J,F$1)</f>
        <v>0</v>
      </c>
      <c r="G341" s="70">
        <f>COUNTIFS('Error Log'!$A:$A,$A341,'Error Log'!$J:$J,G$1)</f>
        <v>0</v>
      </c>
      <c r="H341" s="70">
        <f>COUNTIFS('Error Log'!$A:$A,$A341,'Error Log'!$F:$F,"Source")</f>
        <v>0</v>
      </c>
      <c r="I341" s="70">
        <f>COUNTIFS('Error Log'!$A:$A,$A341,'Error Log'!$F:$F,"Target")</f>
        <v>0</v>
      </c>
      <c r="J341" s="71">
        <f t="shared" si="5"/>
        <v>0</v>
      </c>
    </row>
    <row r="342" spans="1:10">
      <c r="A342" s="123"/>
      <c r="B342" s="70" t="str">
        <f>IF(ISBLANK(A342),"",INDEX('Error Log'!$A:$J,MATCH('Scores per segment'!$A342,'Error Log'!$A:$A,0),MATCH('Scores per segment'!B$1,'Error Log'!$A$1:$J$1,0)))</f>
        <v/>
      </c>
      <c r="C342" s="70" t="str">
        <f>IF(ISBLANK(A342),"",INDEX('Error Log'!$A:$J,MATCH('Scores per segment'!$A342,'Error Log'!$A:$A,0),MATCH('Scores per segment'!C$1,'Error Log'!$A$1:$J$1,0)))</f>
        <v/>
      </c>
      <c r="D342" s="70">
        <f>IF(H342=0,wdct(TRIM(C342)),0)</f>
        <v>0</v>
      </c>
      <c r="E342" s="70">
        <f>COUNTIFS('Error Log'!$A:$A,$A342,'Error Log'!$J:$J,E$1)</f>
        <v>0</v>
      </c>
      <c r="F342" s="70">
        <f>COUNTIFS('Error Log'!$A:$A,$A342,'Error Log'!$J:$J,F$1)</f>
        <v>0</v>
      </c>
      <c r="G342" s="70">
        <f>COUNTIFS('Error Log'!$A:$A,$A342,'Error Log'!$J:$J,G$1)</f>
        <v>0</v>
      </c>
      <c r="H342" s="70">
        <f>COUNTIFS('Error Log'!$A:$A,$A342,'Error Log'!$F:$F,"Source")</f>
        <v>0</v>
      </c>
      <c r="I342" s="70">
        <f>COUNTIFS('Error Log'!$A:$A,$A342,'Error Log'!$F:$F,"Target")</f>
        <v>0</v>
      </c>
      <c r="J342" s="71">
        <f t="shared" si="5"/>
        <v>0</v>
      </c>
    </row>
    <row r="343" spans="1:10">
      <c r="A343" s="123"/>
      <c r="B343" s="70" t="str">
        <f>IF(ISBLANK(A343),"",INDEX('Error Log'!$A:$J,MATCH('Scores per segment'!$A343,'Error Log'!$A:$A,0),MATCH('Scores per segment'!B$1,'Error Log'!$A$1:$J$1,0)))</f>
        <v/>
      </c>
      <c r="C343" s="70" t="str">
        <f>IF(ISBLANK(A343),"",INDEX('Error Log'!$A:$J,MATCH('Scores per segment'!$A343,'Error Log'!$A:$A,0),MATCH('Scores per segment'!C$1,'Error Log'!$A$1:$J$1,0)))</f>
        <v/>
      </c>
      <c r="D343" s="70">
        <f>IF(H343=0,wdct(TRIM(C343)),0)</f>
        <v>0</v>
      </c>
      <c r="E343" s="70">
        <f>COUNTIFS('Error Log'!$A:$A,$A343,'Error Log'!$J:$J,E$1)</f>
        <v>0</v>
      </c>
      <c r="F343" s="70">
        <f>COUNTIFS('Error Log'!$A:$A,$A343,'Error Log'!$J:$J,F$1)</f>
        <v>0</v>
      </c>
      <c r="G343" s="70">
        <f>COUNTIFS('Error Log'!$A:$A,$A343,'Error Log'!$J:$J,G$1)</f>
        <v>0</v>
      </c>
      <c r="H343" s="70">
        <f>COUNTIFS('Error Log'!$A:$A,$A343,'Error Log'!$F:$F,"Source")</f>
        <v>0</v>
      </c>
      <c r="I343" s="70">
        <f>COUNTIFS('Error Log'!$A:$A,$A343,'Error Log'!$F:$F,"Target")</f>
        <v>0</v>
      </c>
      <c r="J343" s="71">
        <f t="shared" si="5"/>
        <v>0</v>
      </c>
    </row>
    <row r="344" spans="1:10">
      <c r="A344" s="123"/>
      <c r="B344" s="70" t="str">
        <f>IF(ISBLANK(A344),"",INDEX('Error Log'!$A:$J,MATCH('Scores per segment'!$A344,'Error Log'!$A:$A,0),MATCH('Scores per segment'!B$1,'Error Log'!$A$1:$J$1,0)))</f>
        <v/>
      </c>
      <c r="C344" s="70" t="str">
        <f>IF(ISBLANK(A344),"",INDEX('Error Log'!$A:$J,MATCH('Scores per segment'!$A344,'Error Log'!$A:$A,0),MATCH('Scores per segment'!C$1,'Error Log'!$A$1:$J$1,0)))</f>
        <v/>
      </c>
      <c r="D344" s="70">
        <f>IF(H344=0,wdct(TRIM(C344)),0)</f>
        <v>0</v>
      </c>
      <c r="E344" s="70">
        <f>COUNTIFS('Error Log'!$A:$A,$A344,'Error Log'!$J:$J,E$1)</f>
        <v>0</v>
      </c>
      <c r="F344" s="70">
        <f>COUNTIFS('Error Log'!$A:$A,$A344,'Error Log'!$J:$J,F$1)</f>
        <v>0</v>
      </c>
      <c r="G344" s="70">
        <f>COUNTIFS('Error Log'!$A:$A,$A344,'Error Log'!$J:$J,G$1)</f>
        <v>0</v>
      </c>
      <c r="H344" s="70">
        <f>COUNTIFS('Error Log'!$A:$A,$A344,'Error Log'!$F:$F,"Source")</f>
        <v>0</v>
      </c>
      <c r="I344" s="70">
        <f>COUNTIFS('Error Log'!$A:$A,$A344,'Error Log'!$F:$F,"Target")</f>
        <v>0</v>
      </c>
      <c r="J344" s="71">
        <f t="shared" si="5"/>
        <v>0</v>
      </c>
    </row>
    <row r="345" spans="1:10">
      <c r="A345" s="123"/>
      <c r="B345" s="70" t="str">
        <f>IF(ISBLANK(A345),"",INDEX('Error Log'!$A:$J,MATCH('Scores per segment'!$A345,'Error Log'!$A:$A,0),MATCH('Scores per segment'!B$1,'Error Log'!$A$1:$J$1,0)))</f>
        <v/>
      </c>
      <c r="C345" s="70" t="str">
        <f>IF(ISBLANK(A345),"",INDEX('Error Log'!$A:$J,MATCH('Scores per segment'!$A345,'Error Log'!$A:$A,0),MATCH('Scores per segment'!C$1,'Error Log'!$A$1:$J$1,0)))</f>
        <v/>
      </c>
      <c r="D345" s="70">
        <f>IF(H345=0,wdct(TRIM(C345)),0)</f>
        <v>0</v>
      </c>
      <c r="E345" s="70">
        <f>COUNTIFS('Error Log'!$A:$A,$A345,'Error Log'!$J:$J,E$1)</f>
        <v>0</v>
      </c>
      <c r="F345" s="70">
        <f>COUNTIFS('Error Log'!$A:$A,$A345,'Error Log'!$J:$J,F$1)</f>
        <v>0</v>
      </c>
      <c r="G345" s="70">
        <f>COUNTIFS('Error Log'!$A:$A,$A345,'Error Log'!$J:$J,G$1)</f>
        <v>0</v>
      </c>
      <c r="H345" s="70">
        <f>COUNTIFS('Error Log'!$A:$A,$A345,'Error Log'!$F:$F,"Source")</f>
        <v>0</v>
      </c>
      <c r="I345" s="70">
        <f>COUNTIFS('Error Log'!$A:$A,$A345,'Error Log'!$F:$F,"Target")</f>
        <v>0</v>
      </c>
      <c r="J345" s="71">
        <f t="shared" si="5"/>
        <v>0</v>
      </c>
    </row>
    <row r="346" spans="1:10">
      <c r="A346" s="123"/>
      <c r="B346" s="70" t="str">
        <f>IF(ISBLANK(A346),"",INDEX('Error Log'!$A:$J,MATCH('Scores per segment'!$A346,'Error Log'!$A:$A,0),MATCH('Scores per segment'!B$1,'Error Log'!$A$1:$J$1,0)))</f>
        <v/>
      </c>
      <c r="C346" s="70" t="str">
        <f>IF(ISBLANK(A346),"",INDEX('Error Log'!$A:$J,MATCH('Scores per segment'!$A346,'Error Log'!$A:$A,0),MATCH('Scores per segment'!C$1,'Error Log'!$A$1:$J$1,0)))</f>
        <v/>
      </c>
      <c r="D346" s="70">
        <f>IF(H346=0,wdct(TRIM(C346)),0)</f>
        <v>0</v>
      </c>
      <c r="E346" s="70">
        <f>COUNTIFS('Error Log'!$A:$A,$A346,'Error Log'!$J:$J,E$1)</f>
        <v>0</v>
      </c>
      <c r="F346" s="70">
        <f>COUNTIFS('Error Log'!$A:$A,$A346,'Error Log'!$J:$J,F$1)</f>
        <v>0</v>
      </c>
      <c r="G346" s="70">
        <f>COUNTIFS('Error Log'!$A:$A,$A346,'Error Log'!$J:$J,G$1)</f>
        <v>0</v>
      </c>
      <c r="H346" s="70">
        <f>COUNTIFS('Error Log'!$A:$A,$A346,'Error Log'!$F:$F,"Source")</f>
        <v>0</v>
      </c>
      <c r="I346" s="70">
        <f>COUNTIFS('Error Log'!$A:$A,$A346,'Error Log'!$F:$F,"Target")</f>
        <v>0</v>
      </c>
      <c r="J346" s="71">
        <f t="shared" si="5"/>
        <v>0</v>
      </c>
    </row>
    <row r="347" spans="1:10">
      <c r="A347" s="123"/>
      <c r="B347" s="70" t="str">
        <f>IF(ISBLANK(A347),"",INDEX('Error Log'!$A:$J,MATCH('Scores per segment'!$A347,'Error Log'!$A:$A,0),MATCH('Scores per segment'!B$1,'Error Log'!$A$1:$J$1,0)))</f>
        <v/>
      </c>
      <c r="C347" s="70" t="str">
        <f>IF(ISBLANK(A347),"",INDEX('Error Log'!$A:$J,MATCH('Scores per segment'!$A347,'Error Log'!$A:$A,0),MATCH('Scores per segment'!C$1,'Error Log'!$A$1:$J$1,0)))</f>
        <v/>
      </c>
      <c r="D347" s="70">
        <f>IF(H347=0,wdct(TRIM(C347)),0)</f>
        <v>0</v>
      </c>
      <c r="E347" s="70">
        <f>COUNTIFS('Error Log'!$A:$A,$A347,'Error Log'!$J:$J,E$1)</f>
        <v>0</v>
      </c>
      <c r="F347" s="70">
        <f>COUNTIFS('Error Log'!$A:$A,$A347,'Error Log'!$J:$J,F$1)</f>
        <v>0</v>
      </c>
      <c r="G347" s="70">
        <f>COUNTIFS('Error Log'!$A:$A,$A347,'Error Log'!$J:$J,G$1)</f>
        <v>0</v>
      </c>
      <c r="H347" s="70">
        <f>COUNTIFS('Error Log'!$A:$A,$A347,'Error Log'!$F:$F,"Source")</f>
        <v>0</v>
      </c>
      <c r="I347" s="70">
        <f>COUNTIFS('Error Log'!$A:$A,$A347,'Error Log'!$F:$F,"Target")</f>
        <v>0</v>
      </c>
      <c r="J347" s="71">
        <f t="shared" si="5"/>
        <v>0</v>
      </c>
    </row>
    <row r="348" spans="1:10">
      <c r="A348" s="123"/>
      <c r="B348" s="70" t="str">
        <f>IF(ISBLANK(A348),"",INDEX('Error Log'!$A:$J,MATCH('Scores per segment'!$A348,'Error Log'!$A:$A,0),MATCH('Scores per segment'!B$1,'Error Log'!$A$1:$J$1,0)))</f>
        <v/>
      </c>
      <c r="C348" s="70" t="str">
        <f>IF(ISBLANK(A348),"",INDEX('Error Log'!$A:$J,MATCH('Scores per segment'!$A348,'Error Log'!$A:$A,0),MATCH('Scores per segment'!C$1,'Error Log'!$A$1:$J$1,0)))</f>
        <v/>
      </c>
      <c r="D348" s="70">
        <f>IF(H348=0,wdct(TRIM(C348)),0)</f>
        <v>0</v>
      </c>
      <c r="E348" s="70">
        <f>COUNTIFS('Error Log'!$A:$A,$A348,'Error Log'!$J:$J,E$1)</f>
        <v>0</v>
      </c>
      <c r="F348" s="70">
        <f>COUNTIFS('Error Log'!$A:$A,$A348,'Error Log'!$J:$J,F$1)</f>
        <v>0</v>
      </c>
      <c r="G348" s="70">
        <f>COUNTIFS('Error Log'!$A:$A,$A348,'Error Log'!$J:$J,G$1)</f>
        <v>0</v>
      </c>
      <c r="H348" s="70">
        <f>COUNTIFS('Error Log'!$A:$A,$A348,'Error Log'!$F:$F,"Source")</f>
        <v>0</v>
      </c>
      <c r="I348" s="70">
        <f>COUNTIFS('Error Log'!$A:$A,$A348,'Error Log'!$F:$F,"Target")</f>
        <v>0</v>
      </c>
      <c r="J348" s="71">
        <f t="shared" si="5"/>
        <v>0</v>
      </c>
    </row>
    <row r="349" spans="1:10">
      <c r="A349" s="123"/>
      <c r="B349" s="70" t="str">
        <f>IF(ISBLANK(A349),"",INDEX('Error Log'!$A:$J,MATCH('Scores per segment'!$A349,'Error Log'!$A:$A,0),MATCH('Scores per segment'!B$1,'Error Log'!$A$1:$J$1,0)))</f>
        <v/>
      </c>
      <c r="C349" s="70" t="str">
        <f>IF(ISBLANK(A349),"",INDEX('Error Log'!$A:$J,MATCH('Scores per segment'!$A349,'Error Log'!$A:$A,0),MATCH('Scores per segment'!C$1,'Error Log'!$A$1:$J$1,0)))</f>
        <v/>
      </c>
      <c r="D349" s="70">
        <f>IF(H349=0,wdct(TRIM(C349)),0)</f>
        <v>0</v>
      </c>
      <c r="E349" s="70">
        <f>COUNTIFS('Error Log'!$A:$A,$A349,'Error Log'!$J:$J,E$1)</f>
        <v>0</v>
      </c>
      <c r="F349" s="70">
        <f>COUNTIFS('Error Log'!$A:$A,$A349,'Error Log'!$J:$J,F$1)</f>
        <v>0</v>
      </c>
      <c r="G349" s="70">
        <f>COUNTIFS('Error Log'!$A:$A,$A349,'Error Log'!$J:$J,G$1)</f>
        <v>0</v>
      </c>
      <c r="H349" s="70">
        <f>COUNTIFS('Error Log'!$A:$A,$A349,'Error Log'!$F:$F,"Source")</f>
        <v>0</v>
      </c>
      <c r="I349" s="70">
        <f>COUNTIFS('Error Log'!$A:$A,$A349,'Error Log'!$F:$F,"Target")</f>
        <v>0</v>
      </c>
      <c r="J349" s="71">
        <f t="shared" si="5"/>
        <v>0</v>
      </c>
    </row>
    <row r="350" spans="1:10">
      <c r="A350" s="123"/>
      <c r="B350" s="70" t="str">
        <f>IF(ISBLANK(A350),"",INDEX('Error Log'!$A:$J,MATCH('Scores per segment'!$A350,'Error Log'!$A:$A,0),MATCH('Scores per segment'!B$1,'Error Log'!$A$1:$J$1,0)))</f>
        <v/>
      </c>
      <c r="C350" s="70" t="str">
        <f>IF(ISBLANK(A350),"",INDEX('Error Log'!$A:$J,MATCH('Scores per segment'!$A350,'Error Log'!$A:$A,0),MATCH('Scores per segment'!C$1,'Error Log'!$A$1:$J$1,0)))</f>
        <v/>
      </c>
      <c r="D350" s="70">
        <f>IF(H350=0,wdct(TRIM(C350)),0)</f>
        <v>0</v>
      </c>
      <c r="E350" s="70">
        <f>COUNTIFS('Error Log'!$A:$A,$A350,'Error Log'!$J:$J,E$1)</f>
        <v>0</v>
      </c>
      <c r="F350" s="70">
        <f>COUNTIFS('Error Log'!$A:$A,$A350,'Error Log'!$J:$J,F$1)</f>
        <v>0</v>
      </c>
      <c r="G350" s="70">
        <f>COUNTIFS('Error Log'!$A:$A,$A350,'Error Log'!$J:$J,G$1)</f>
        <v>0</v>
      </c>
      <c r="H350" s="70">
        <f>COUNTIFS('Error Log'!$A:$A,$A350,'Error Log'!$F:$F,"Source")</f>
        <v>0</v>
      </c>
      <c r="I350" s="70">
        <f>COUNTIFS('Error Log'!$A:$A,$A350,'Error Log'!$F:$F,"Target")</f>
        <v>0</v>
      </c>
      <c r="J350" s="71">
        <f t="shared" si="5"/>
        <v>0</v>
      </c>
    </row>
    <row r="351" spans="1:10">
      <c r="A351" s="123"/>
      <c r="B351" s="70" t="str">
        <f>IF(ISBLANK(A351),"",INDEX('Error Log'!$A:$J,MATCH('Scores per segment'!$A351,'Error Log'!$A:$A,0),MATCH('Scores per segment'!B$1,'Error Log'!$A$1:$J$1,0)))</f>
        <v/>
      </c>
      <c r="C351" s="70" t="str">
        <f>IF(ISBLANK(A351),"",INDEX('Error Log'!$A:$J,MATCH('Scores per segment'!$A351,'Error Log'!$A:$A,0),MATCH('Scores per segment'!C$1,'Error Log'!$A$1:$J$1,0)))</f>
        <v/>
      </c>
      <c r="D351" s="70">
        <f>IF(H351=0,wdct(TRIM(C351)),0)</f>
        <v>0</v>
      </c>
      <c r="E351" s="70">
        <f>COUNTIFS('Error Log'!$A:$A,$A351,'Error Log'!$J:$J,E$1)</f>
        <v>0</v>
      </c>
      <c r="F351" s="70">
        <f>COUNTIFS('Error Log'!$A:$A,$A351,'Error Log'!$J:$J,F$1)</f>
        <v>0</v>
      </c>
      <c r="G351" s="70">
        <f>COUNTIFS('Error Log'!$A:$A,$A351,'Error Log'!$J:$J,G$1)</f>
        <v>0</v>
      </c>
      <c r="H351" s="70">
        <f>COUNTIFS('Error Log'!$A:$A,$A351,'Error Log'!$F:$F,"Source")</f>
        <v>0</v>
      </c>
      <c r="I351" s="70">
        <f>COUNTIFS('Error Log'!$A:$A,$A351,'Error Log'!$F:$F,"Target")</f>
        <v>0</v>
      </c>
      <c r="J351" s="71">
        <f t="shared" si="5"/>
        <v>0</v>
      </c>
    </row>
    <row r="352" spans="1:10">
      <c r="A352" s="123"/>
      <c r="B352" s="70" t="str">
        <f>IF(ISBLANK(A352),"",INDEX('Error Log'!$A:$J,MATCH('Scores per segment'!$A352,'Error Log'!$A:$A,0),MATCH('Scores per segment'!B$1,'Error Log'!$A$1:$J$1,0)))</f>
        <v/>
      </c>
      <c r="C352" s="70" t="str">
        <f>IF(ISBLANK(A352),"",INDEX('Error Log'!$A:$J,MATCH('Scores per segment'!$A352,'Error Log'!$A:$A,0),MATCH('Scores per segment'!C$1,'Error Log'!$A$1:$J$1,0)))</f>
        <v/>
      </c>
      <c r="D352" s="70">
        <f>IF(H352=0,wdct(TRIM(C352)),0)</f>
        <v>0</v>
      </c>
      <c r="E352" s="70">
        <f>COUNTIFS('Error Log'!$A:$A,$A352,'Error Log'!$J:$J,E$1)</f>
        <v>0</v>
      </c>
      <c r="F352" s="70">
        <f>COUNTIFS('Error Log'!$A:$A,$A352,'Error Log'!$J:$J,F$1)</f>
        <v>0</v>
      </c>
      <c r="G352" s="70">
        <f>COUNTIFS('Error Log'!$A:$A,$A352,'Error Log'!$J:$J,G$1)</f>
        <v>0</v>
      </c>
      <c r="H352" s="70">
        <f>COUNTIFS('Error Log'!$A:$A,$A352,'Error Log'!$F:$F,"Source")</f>
        <v>0</v>
      </c>
      <c r="I352" s="70">
        <f>COUNTIFS('Error Log'!$A:$A,$A352,'Error Log'!$F:$F,"Target")</f>
        <v>0</v>
      </c>
      <c r="J352" s="71">
        <f t="shared" si="5"/>
        <v>0</v>
      </c>
    </row>
    <row r="353" spans="1:10">
      <c r="A353" s="123"/>
      <c r="B353" s="70" t="str">
        <f>IF(ISBLANK(A353),"",INDEX('Error Log'!$A:$J,MATCH('Scores per segment'!$A353,'Error Log'!$A:$A,0),MATCH('Scores per segment'!B$1,'Error Log'!$A$1:$J$1,0)))</f>
        <v/>
      </c>
      <c r="C353" s="70" t="str">
        <f>IF(ISBLANK(A353),"",INDEX('Error Log'!$A:$J,MATCH('Scores per segment'!$A353,'Error Log'!$A:$A,0),MATCH('Scores per segment'!C$1,'Error Log'!$A$1:$J$1,0)))</f>
        <v/>
      </c>
      <c r="D353" s="70">
        <f>IF(H353=0,wdct(TRIM(C353)),0)</f>
        <v>0</v>
      </c>
      <c r="E353" s="70">
        <f>COUNTIFS('Error Log'!$A:$A,$A353,'Error Log'!$J:$J,E$1)</f>
        <v>0</v>
      </c>
      <c r="F353" s="70">
        <f>COUNTIFS('Error Log'!$A:$A,$A353,'Error Log'!$J:$J,F$1)</f>
        <v>0</v>
      </c>
      <c r="G353" s="70">
        <f>COUNTIFS('Error Log'!$A:$A,$A353,'Error Log'!$J:$J,G$1)</f>
        <v>0</v>
      </c>
      <c r="H353" s="70">
        <f>COUNTIFS('Error Log'!$A:$A,$A353,'Error Log'!$F:$F,"Source")</f>
        <v>0</v>
      </c>
      <c r="I353" s="70">
        <f>COUNTIFS('Error Log'!$A:$A,$A353,'Error Log'!$F:$F,"Target")</f>
        <v>0</v>
      </c>
      <c r="J353" s="71">
        <f t="shared" si="5"/>
        <v>0</v>
      </c>
    </row>
    <row r="354" spans="1:10">
      <c r="A354" s="123"/>
      <c r="B354" s="70" t="str">
        <f>IF(ISBLANK(A354),"",INDEX('Error Log'!$A:$J,MATCH('Scores per segment'!$A354,'Error Log'!$A:$A,0),MATCH('Scores per segment'!B$1,'Error Log'!$A$1:$J$1,0)))</f>
        <v/>
      </c>
      <c r="C354" s="70" t="str">
        <f>IF(ISBLANK(A354),"",INDEX('Error Log'!$A:$J,MATCH('Scores per segment'!$A354,'Error Log'!$A:$A,0),MATCH('Scores per segment'!C$1,'Error Log'!$A$1:$J$1,0)))</f>
        <v/>
      </c>
      <c r="D354" s="70">
        <f>IF(H354=0,wdct(TRIM(C354)),0)</f>
        <v>0</v>
      </c>
      <c r="E354" s="70">
        <f>COUNTIFS('Error Log'!$A:$A,$A354,'Error Log'!$J:$J,E$1)</f>
        <v>0</v>
      </c>
      <c r="F354" s="70">
        <f>COUNTIFS('Error Log'!$A:$A,$A354,'Error Log'!$J:$J,F$1)</f>
        <v>0</v>
      </c>
      <c r="G354" s="70">
        <f>COUNTIFS('Error Log'!$A:$A,$A354,'Error Log'!$J:$J,G$1)</f>
        <v>0</v>
      </c>
      <c r="H354" s="70">
        <f>COUNTIFS('Error Log'!$A:$A,$A354,'Error Log'!$F:$F,"Source")</f>
        <v>0</v>
      </c>
      <c r="I354" s="70">
        <f>COUNTIFS('Error Log'!$A:$A,$A354,'Error Log'!$F:$F,"Target")</f>
        <v>0</v>
      </c>
      <c r="J354" s="71">
        <f t="shared" si="5"/>
        <v>0</v>
      </c>
    </row>
    <row r="355" spans="1:10">
      <c r="A355" s="123"/>
      <c r="B355" s="70" t="str">
        <f>IF(ISBLANK(A355),"",INDEX('Error Log'!$A:$J,MATCH('Scores per segment'!$A355,'Error Log'!$A:$A,0),MATCH('Scores per segment'!B$1,'Error Log'!$A$1:$J$1,0)))</f>
        <v/>
      </c>
      <c r="C355" s="70" t="str">
        <f>IF(ISBLANK(A355),"",INDEX('Error Log'!$A:$J,MATCH('Scores per segment'!$A355,'Error Log'!$A:$A,0),MATCH('Scores per segment'!C$1,'Error Log'!$A$1:$J$1,0)))</f>
        <v/>
      </c>
      <c r="D355" s="70">
        <f>IF(H355=0,wdct(TRIM(C355)),0)</f>
        <v>0</v>
      </c>
      <c r="E355" s="70">
        <f>COUNTIFS('Error Log'!$A:$A,$A355,'Error Log'!$J:$J,E$1)</f>
        <v>0</v>
      </c>
      <c r="F355" s="70">
        <f>COUNTIFS('Error Log'!$A:$A,$A355,'Error Log'!$J:$J,F$1)</f>
        <v>0</v>
      </c>
      <c r="G355" s="70">
        <f>COUNTIFS('Error Log'!$A:$A,$A355,'Error Log'!$J:$J,G$1)</f>
        <v>0</v>
      </c>
      <c r="H355" s="70">
        <f>COUNTIFS('Error Log'!$A:$A,$A355,'Error Log'!$F:$F,"Source")</f>
        <v>0</v>
      </c>
      <c r="I355" s="70">
        <f>COUNTIFS('Error Log'!$A:$A,$A355,'Error Log'!$F:$F,"Target")</f>
        <v>0</v>
      </c>
      <c r="J355" s="71">
        <f t="shared" si="5"/>
        <v>0</v>
      </c>
    </row>
    <row r="356" spans="1:10">
      <c r="A356" s="123"/>
      <c r="B356" s="70" t="str">
        <f>IF(ISBLANK(A356),"",INDEX('Error Log'!$A:$J,MATCH('Scores per segment'!$A356,'Error Log'!$A:$A,0),MATCH('Scores per segment'!B$1,'Error Log'!$A$1:$J$1,0)))</f>
        <v/>
      </c>
      <c r="C356" s="70" t="str">
        <f>IF(ISBLANK(A356),"",INDEX('Error Log'!$A:$J,MATCH('Scores per segment'!$A356,'Error Log'!$A:$A,0),MATCH('Scores per segment'!C$1,'Error Log'!$A$1:$J$1,0)))</f>
        <v/>
      </c>
      <c r="D356" s="70">
        <f>IF(H356=0,wdct(TRIM(C356)),0)</f>
        <v>0</v>
      </c>
      <c r="E356" s="70">
        <f>COUNTIFS('Error Log'!$A:$A,$A356,'Error Log'!$J:$J,E$1)</f>
        <v>0</v>
      </c>
      <c r="F356" s="70">
        <f>COUNTIFS('Error Log'!$A:$A,$A356,'Error Log'!$J:$J,F$1)</f>
        <v>0</v>
      </c>
      <c r="G356" s="70">
        <f>COUNTIFS('Error Log'!$A:$A,$A356,'Error Log'!$J:$J,G$1)</f>
        <v>0</v>
      </c>
      <c r="H356" s="70">
        <f>COUNTIFS('Error Log'!$A:$A,$A356,'Error Log'!$F:$F,"Source")</f>
        <v>0</v>
      </c>
      <c r="I356" s="70">
        <f>COUNTIFS('Error Log'!$A:$A,$A356,'Error Log'!$F:$F,"Target")</f>
        <v>0</v>
      </c>
      <c r="J356" s="71">
        <f t="shared" si="5"/>
        <v>0</v>
      </c>
    </row>
    <row r="357" spans="1:10">
      <c r="A357" s="123"/>
      <c r="B357" s="70" t="str">
        <f>IF(ISBLANK(A357),"",INDEX('Error Log'!$A:$J,MATCH('Scores per segment'!$A357,'Error Log'!$A:$A,0),MATCH('Scores per segment'!B$1,'Error Log'!$A$1:$J$1,0)))</f>
        <v/>
      </c>
      <c r="C357" s="70" t="str">
        <f>IF(ISBLANK(A357),"",INDEX('Error Log'!$A:$J,MATCH('Scores per segment'!$A357,'Error Log'!$A:$A,0),MATCH('Scores per segment'!C$1,'Error Log'!$A$1:$J$1,0)))</f>
        <v/>
      </c>
      <c r="D357" s="70">
        <f>IF(H357=0,wdct(TRIM(C357)),0)</f>
        <v>0</v>
      </c>
      <c r="E357" s="70">
        <f>COUNTIFS('Error Log'!$A:$A,$A357,'Error Log'!$J:$J,E$1)</f>
        <v>0</v>
      </c>
      <c r="F357" s="70">
        <f>COUNTIFS('Error Log'!$A:$A,$A357,'Error Log'!$J:$J,F$1)</f>
        <v>0</v>
      </c>
      <c r="G357" s="70">
        <f>COUNTIFS('Error Log'!$A:$A,$A357,'Error Log'!$J:$J,G$1)</f>
        <v>0</v>
      </c>
      <c r="H357" s="70">
        <f>COUNTIFS('Error Log'!$A:$A,$A357,'Error Log'!$F:$F,"Source")</f>
        <v>0</v>
      </c>
      <c r="I357" s="70">
        <f>COUNTIFS('Error Log'!$A:$A,$A357,'Error Log'!$F:$F,"Target")</f>
        <v>0</v>
      </c>
      <c r="J357" s="71">
        <f t="shared" si="5"/>
        <v>0</v>
      </c>
    </row>
    <row r="358" spans="1:10">
      <c r="A358" s="123"/>
      <c r="B358" s="70" t="str">
        <f>IF(ISBLANK(A358),"",INDEX('Error Log'!$A:$J,MATCH('Scores per segment'!$A358,'Error Log'!$A:$A,0),MATCH('Scores per segment'!B$1,'Error Log'!$A$1:$J$1,0)))</f>
        <v/>
      </c>
      <c r="C358" s="70" t="str">
        <f>IF(ISBLANK(A358),"",INDEX('Error Log'!$A:$J,MATCH('Scores per segment'!$A358,'Error Log'!$A:$A,0),MATCH('Scores per segment'!C$1,'Error Log'!$A$1:$J$1,0)))</f>
        <v/>
      </c>
      <c r="D358" s="70">
        <f>IF(H358=0,wdct(TRIM(C358)),0)</f>
        <v>0</v>
      </c>
      <c r="E358" s="70">
        <f>COUNTIFS('Error Log'!$A:$A,$A358,'Error Log'!$J:$J,E$1)</f>
        <v>0</v>
      </c>
      <c r="F358" s="70">
        <f>COUNTIFS('Error Log'!$A:$A,$A358,'Error Log'!$J:$J,F$1)</f>
        <v>0</v>
      </c>
      <c r="G358" s="70">
        <f>COUNTIFS('Error Log'!$A:$A,$A358,'Error Log'!$J:$J,G$1)</f>
        <v>0</v>
      </c>
      <c r="H358" s="70">
        <f>COUNTIFS('Error Log'!$A:$A,$A358,'Error Log'!$F:$F,"Source")</f>
        <v>0</v>
      </c>
      <c r="I358" s="70">
        <f>COUNTIFS('Error Log'!$A:$A,$A358,'Error Log'!$F:$F,"Target")</f>
        <v>0</v>
      </c>
      <c r="J358" s="71">
        <f t="shared" si="5"/>
        <v>0</v>
      </c>
    </row>
    <row r="359" spans="1:10">
      <c r="A359" s="123"/>
      <c r="B359" s="70" t="str">
        <f>IF(ISBLANK(A359),"",INDEX('Error Log'!$A:$J,MATCH('Scores per segment'!$A359,'Error Log'!$A:$A,0),MATCH('Scores per segment'!B$1,'Error Log'!$A$1:$J$1,0)))</f>
        <v/>
      </c>
      <c r="C359" s="70" t="str">
        <f>IF(ISBLANK(A359),"",INDEX('Error Log'!$A:$J,MATCH('Scores per segment'!$A359,'Error Log'!$A:$A,0),MATCH('Scores per segment'!C$1,'Error Log'!$A$1:$J$1,0)))</f>
        <v/>
      </c>
      <c r="D359" s="70">
        <f>IF(H359=0,wdct(TRIM(C359)),0)</f>
        <v>0</v>
      </c>
      <c r="E359" s="70">
        <f>COUNTIFS('Error Log'!$A:$A,$A359,'Error Log'!$J:$J,E$1)</f>
        <v>0</v>
      </c>
      <c r="F359" s="70">
        <f>COUNTIFS('Error Log'!$A:$A,$A359,'Error Log'!$J:$J,F$1)</f>
        <v>0</v>
      </c>
      <c r="G359" s="70">
        <f>COUNTIFS('Error Log'!$A:$A,$A359,'Error Log'!$J:$J,G$1)</f>
        <v>0</v>
      </c>
      <c r="H359" s="70">
        <f>COUNTIFS('Error Log'!$A:$A,$A359,'Error Log'!$F:$F,"Source")</f>
        <v>0</v>
      </c>
      <c r="I359" s="70">
        <f>COUNTIFS('Error Log'!$A:$A,$A359,'Error Log'!$F:$F,"Target")</f>
        <v>0</v>
      </c>
      <c r="J359" s="71">
        <f t="shared" si="5"/>
        <v>0</v>
      </c>
    </row>
    <row r="360" spans="1:10">
      <c r="A360" s="123"/>
      <c r="B360" s="70" t="str">
        <f>IF(ISBLANK(A360),"",INDEX('Error Log'!$A:$J,MATCH('Scores per segment'!$A360,'Error Log'!$A:$A,0),MATCH('Scores per segment'!B$1,'Error Log'!$A$1:$J$1,0)))</f>
        <v/>
      </c>
      <c r="C360" s="70" t="str">
        <f>IF(ISBLANK(A360),"",INDEX('Error Log'!$A:$J,MATCH('Scores per segment'!$A360,'Error Log'!$A:$A,0),MATCH('Scores per segment'!C$1,'Error Log'!$A$1:$J$1,0)))</f>
        <v/>
      </c>
      <c r="D360" s="70">
        <f>IF(H360=0,wdct(TRIM(C360)),0)</f>
        <v>0</v>
      </c>
      <c r="E360" s="70">
        <f>COUNTIFS('Error Log'!$A:$A,$A360,'Error Log'!$J:$J,E$1)</f>
        <v>0</v>
      </c>
      <c r="F360" s="70">
        <f>COUNTIFS('Error Log'!$A:$A,$A360,'Error Log'!$J:$J,F$1)</f>
        <v>0</v>
      </c>
      <c r="G360" s="70">
        <f>COUNTIFS('Error Log'!$A:$A,$A360,'Error Log'!$J:$J,G$1)</f>
        <v>0</v>
      </c>
      <c r="H360" s="70">
        <f>COUNTIFS('Error Log'!$A:$A,$A360,'Error Log'!$F:$F,"Source")</f>
        <v>0</v>
      </c>
      <c r="I360" s="70">
        <f>COUNTIFS('Error Log'!$A:$A,$A360,'Error Log'!$F:$F,"Target")</f>
        <v>0</v>
      </c>
      <c r="J360" s="71">
        <f t="shared" si="5"/>
        <v>0</v>
      </c>
    </row>
    <row r="361" spans="1:10">
      <c r="A361" s="123"/>
      <c r="B361" s="70" t="str">
        <f>IF(ISBLANK(A361),"",INDEX('Error Log'!$A:$J,MATCH('Scores per segment'!$A361,'Error Log'!$A:$A,0),MATCH('Scores per segment'!B$1,'Error Log'!$A$1:$J$1,0)))</f>
        <v/>
      </c>
      <c r="C361" s="70" t="str">
        <f>IF(ISBLANK(A361),"",INDEX('Error Log'!$A:$J,MATCH('Scores per segment'!$A361,'Error Log'!$A:$A,0),MATCH('Scores per segment'!C$1,'Error Log'!$A$1:$J$1,0)))</f>
        <v/>
      </c>
      <c r="D361" s="70">
        <f>IF(H361=0,wdct(TRIM(C361)),0)</f>
        <v>0</v>
      </c>
      <c r="E361" s="70">
        <f>COUNTIFS('Error Log'!$A:$A,$A361,'Error Log'!$J:$J,E$1)</f>
        <v>0</v>
      </c>
      <c r="F361" s="70">
        <f>COUNTIFS('Error Log'!$A:$A,$A361,'Error Log'!$J:$J,F$1)</f>
        <v>0</v>
      </c>
      <c r="G361" s="70">
        <f>COUNTIFS('Error Log'!$A:$A,$A361,'Error Log'!$J:$J,G$1)</f>
        <v>0</v>
      </c>
      <c r="H361" s="70">
        <f>COUNTIFS('Error Log'!$A:$A,$A361,'Error Log'!$F:$F,"Source")</f>
        <v>0</v>
      </c>
      <c r="I361" s="70">
        <f>COUNTIFS('Error Log'!$A:$A,$A361,'Error Log'!$F:$F,"Target")</f>
        <v>0</v>
      </c>
      <c r="J361" s="71">
        <f t="shared" si="5"/>
        <v>0</v>
      </c>
    </row>
    <row r="362" spans="1:10">
      <c r="A362" s="123"/>
      <c r="B362" s="70" t="str">
        <f>IF(ISBLANK(A362),"",INDEX('Error Log'!$A:$J,MATCH('Scores per segment'!$A362,'Error Log'!$A:$A,0),MATCH('Scores per segment'!B$1,'Error Log'!$A$1:$J$1,0)))</f>
        <v/>
      </c>
      <c r="C362" s="70" t="str">
        <f>IF(ISBLANK(A362),"",INDEX('Error Log'!$A:$J,MATCH('Scores per segment'!$A362,'Error Log'!$A:$A,0),MATCH('Scores per segment'!C$1,'Error Log'!$A$1:$J$1,0)))</f>
        <v/>
      </c>
      <c r="D362" s="70">
        <f>IF(H362=0,wdct(TRIM(C362)),0)</f>
        <v>0</v>
      </c>
      <c r="E362" s="70">
        <f>COUNTIFS('Error Log'!$A:$A,$A362,'Error Log'!$J:$J,E$1)</f>
        <v>0</v>
      </c>
      <c r="F362" s="70">
        <f>COUNTIFS('Error Log'!$A:$A,$A362,'Error Log'!$J:$J,F$1)</f>
        <v>0</v>
      </c>
      <c r="G362" s="70">
        <f>COUNTIFS('Error Log'!$A:$A,$A362,'Error Log'!$J:$J,G$1)</f>
        <v>0</v>
      </c>
      <c r="H362" s="70">
        <f>COUNTIFS('Error Log'!$A:$A,$A362,'Error Log'!$F:$F,"Source")</f>
        <v>0</v>
      </c>
      <c r="I362" s="70">
        <f>COUNTIFS('Error Log'!$A:$A,$A362,'Error Log'!$F:$F,"Target")</f>
        <v>0</v>
      </c>
      <c r="J362" s="71">
        <f t="shared" si="5"/>
        <v>0</v>
      </c>
    </row>
    <row r="363" spans="1:10">
      <c r="A363" s="123"/>
      <c r="B363" s="70" t="str">
        <f>IF(ISBLANK(A363),"",INDEX('Error Log'!$A:$J,MATCH('Scores per segment'!$A363,'Error Log'!$A:$A,0),MATCH('Scores per segment'!B$1,'Error Log'!$A$1:$J$1,0)))</f>
        <v/>
      </c>
      <c r="C363" s="70" t="str">
        <f>IF(ISBLANK(A363),"",INDEX('Error Log'!$A:$J,MATCH('Scores per segment'!$A363,'Error Log'!$A:$A,0),MATCH('Scores per segment'!C$1,'Error Log'!$A$1:$J$1,0)))</f>
        <v/>
      </c>
      <c r="D363" s="70">
        <f>IF(H363=0,wdct(TRIM(C363)),0)</f>
        <v>0</v>
      </c>
      <c r="E363" s="70">
        <f>COUNTIFS('Error Log'!$A:$A,$A363,'Error Log'!$J:$J,E$1)</f>
        <v>0</v>
      </c>
      <c r="F363" s="70">
        <f>COUNTIFS('Error Log'!$A:$A,$A363,'Error Log'!$J:$J,F$1)</f>
        <v>0</v>
      </c>
      <c r="G363" s="70">
        <f>COUNTIFS('Error Log'!$A:$A,$A363,'Error Log'!$J:$J,G$1)</f>
        <v>0</v>
      </c>
      <c r="H363" s="70">
        <f>COUNTIFS('Error Log'!$A:$A,$A363,'Error Log'!$F:$F,"Source")</f>
        <v>0</v>
      </c>
      <c r="I363" s="70">
        <f>COUNTIFS('Error Log'!$A:$A,$A363,'Error Log'!$F:$F,"Target")</f>
        <v>0</v>
      </c>
      <c r="J363" s="71">
        <f t="shared" si="5"/>
        <v>0</v>
      </c>
    </row>
    <row r="364" spans="1:10">
      <c r="A364" s="123"/>
      <c r="B364" s="70" t="str">
        <f>IF(ISBLANK(A364),"",INDEX('Error Log'!$A:$J,MATCH('Scores per segment'!$A364,'Error Log'!$A:$A,0),MATCH('Scores per segment'!B$1,'Error Log'!$A$1:$J$1,0)))</f>
        <v/>
      </c>
      <c r="C364" s="70" t="str">
        <f>IF(ISBLANK(A364),"",INDEX('Error Log'!$A:$J,MATCH('Scores per segment'!$A364,'Error Log'!$A:$A,0),MATCH('Scores per segment'!C$1,'Error Log'!$A$1:$J$1,0)))</f>
        <v/>
      </c>
      <c r="D364" s="70">
        <f>IF(H364=0,wdct(TRIM(C364)),0)</f>
        <v>0</v>
      </c>
      <c r="E364" s="70">
        <f>COUNTIFS('Error Log'!$A:$A,$A364,'Error Log'!$J:$J,E$1)</f>
        <v>0</v>
      </c>
      <c r="F364" s="70">
        <f>COUNTIFS('Error Log'!$A:$A,$A364,'Error Log'!$J:$J,F$1)</f>
        <v>0</v>
      </c>
      <c r="G364" s="70">
        <f>COUNTIFS('Error Log'!$A:$A,$A364,'Error Log'!$J:$J,G$1)</f>
        <v>0</v>
      </c>
      <c r="H364" s="70">
        <f>COUNTIFS('Error Log'!$A:$A,$A364,'Error Log'!$F:$F,"Source")</f>
        <v>0</v>
      </c>
      <c r="I364" s="70">
        <f>COUNTIFS('Error Log'!$A:$A,$A364,'Error Log'!$F:$F,"Target")</f>
        <v>0</v>
      </c>
      <c r="J364" s="71">
        <f t="shared" si="5"/>
        <v>0</v>
      </c>
    </row>
    <row r="365" spans="1:10">
      <c r="A365" s="123"/>
      <c r="B365" s="70" t="str">
        <f>IF(ISBLANK(A365),"",INDEX('Error Log'!$A:$J,MATCH('Scores per segment'!$A365,'Error Log'!$A:$A,0),MATCH('Scores per segment'!B$1,'Error Log'!$A$1:$J$1,0)))</f>
        <v/>
      </c>
      <c r="C365" s="70" t="str">
        <f>IF(ISBLANK(A365),"",INDEX('Error Log'!$A:$J,MATCH('Scores per segment'!$A365,'Error Log'!$A:$A,0),MATCH('Scores per segment'!C$1,'Error Log'!$A$1:$J$1,0)))</f>
        <v/>
      </c>
      <c r="D365" s="70">
        <f>IF(H365=0,wdct(TRIM(C365)),0)</f>
        <v>0</v>
      </c>
      <c r="E365" s="70">
        <f>COUNTIFS('Error Log'!$A:$A,$A365,'Error Log'!$J:$J,E$1)</f>
        <v>0</v>
      </c>
      <c r="F365" s="70">
        <f>COUNTIFS('Error Log'!$A:$A,$A365,'Error Log'!$J:$J,F$1)</f>
        <v>0</v>
      </c>
      <c r="G365" s="70">
        <f>COUNTIFS('Error Log'!$A:$A,$A365,'Error Log'!$J:$J,G$1)</f>
        <v>0</v>
      </c>
      <c r="H365" s="70">
        <f>COUNTIFS('Error Log'!$A:$A,$A365,'Error Log'!$F:$F,"Source")</f>
        <v>0</v>
      </c>
      <c r="I365" s="70">
        <f>COUNTIFS('Error Log'!$A:$A,$A365,'Error Log'!$F:$F,"Target")</f>
        <v>0</v>
      </c>
      <c r="J365" s="71">
        <f t="shared" si="5"/>
        <v>0</v>
      </c>
    </row>
    <row r="366" spans="1:10">
      <c r="A366" s="123"/>
      <c r="B366" s="70" t="str">
        <f>IF(ISBLANK(A366),"",INDEX('Error Log'!$A:$J,MATCH('Scores per segment'!$A366,'Error Log'!$A:$A,0),MATCH('Scores per segment'!B$1,'Error Log'!$A$1:$J$1,0)))</f>
        <v/>
      </c>
      <c r="C366" s="70" t="str">
        <f>IF(ISBLANK(A366),"",INDEX('Error Log'!$A:$J,MATCH('Scores per segment'!$A366,'Error Log'!$A:$A,0),MATCH('Scores per segment'!C$1,'Error Log'!$A$1:$J$1,0)))</f>
        <v/>
      </c>
      <c r="D366" s="70">
        <f>IF(H366=0,wdct(TRIM(C366)),0)</f>
        <v>0</v>
      </c>
      <c r="E366" s="70">
        <f>COUNTIFS('Error Log'!$A:$A,$A366,'Error Log'!$J:$J,E$1)</f>
        <v>0</v>
      </c>
      <c r="F366" s="70">
        <f>COUNTIFS('Error Log'!$A:$A,$A366,'Error Log'!$J:$J,F$1)</f>
        <v>0</v>
      </c>
      <c r="G366" s="70">
        <f>COUNTIFS('Error Log'!$A:$A,$A366,'Error Log'!$J:$J,G$1)</f>
        <v>0</v>
      </c>
      <c r="H366" s="70">
        <f>COUNTIFS('Error Log'!$A:$A,$A366,'Error Log'!$F:$F,"Source")</f>
        <v>0</v>
      </c>
      <c r="I366" s="70">
        <f>COUNTIFS('Error Log'!$A:$A,$A366,'Error Log'!$F:$F,"Target")</f>
        <v>0</v>
      </c>
      <c r="J366" s="71">
        <f t="shared" si="5"/>
        <v>0</v>
      </c>
    </row>
    <row r="367" spans="1:10">
      <c r="A367" s="123"/>
      <c r="B367" s="70" t="str">
        <f>IF(ISBLANK(A367),"",INDEX('Error Log'!$A:$J,MATCH('Scores per segment'!$A367,'Error Log'!$A:$A,0),MATCH('Scores per segment'!B$1,'Error Log'!$A$1:$J$1,0)))</f>
        <v/>
      </c>
      <c r="C367" s="70" t="str">
        <f>IF(ISBLANK(A367),"",INDEX('Error Log'!$A:$J,MATCH('Scores per segment'!$A367,'Error Log'!$A:$A,0),MATCH('Scores per segment'!C$1,'Error Log'!$A$1:$J$1,0)))</f>
        <v/>
      </c>
      <c r="D367" s="70">
        <f>IF(H367=0,wdct(TRIM(C367)),0)</f>
        <v>0</v>
      </c>
      <c r="E367" s="70">
        <f>COUNTIFS('Error Log'!$A:$A,$A367,'Error Log'!$J:$J,E$1)</f>
        <v>0</v>
      </c>
      <c r="F367" s="70">
        <f>COUNTIFS('Error Log'!$A:$A,$A367,'Error Log'!$J:$J,F$1)</f>
        <v>0</v>
      </c>
      <c r="G367" s="70">
        <f>COUNTIFS('Error Log'!$A:$A,$A367,'Error Log'!$J:$J,G$1)</f>
        <v>0</v>
      </c>
      <c r="H367" s="70">
        <f>COUNTIFS('Error Log'!$A:$A,$A367,'Error Log'!$F:$F,"Source")</f>
        <v>0</v>
      </c>
      <c r="I367" s="70">
        <f>COUNTIFS('Error Log'!$A:$A,$A367,'Error Log'!$F:$F,"Target")</f>
        <v>0</v>
      </c>
      <c r="J367" s="71">
        <f t="shared" si="5"/>
        <v>0</v>
      </c>
    </row>
    <row r="368" spans="1:10">
      <c r="A368" s="123"/>
      <c r="B368" s="70" t="str">
        <f>IF(ISBLANK(A368),"",INDEX('Error Log'!$A:$J,MATCH('Scores per segment'!$A368,'Error Log'!$A:$A,0),MATCH('Scores per segment'!B$1,'Error Log'!$A$1:$J$1,0)))</f>
        <v/>
      </c>
      <c r="C368" s="70" t="str">
        <f>IF(ISBLANK(A368),"",INDEX('Error Log'!$A:$J,MATCH('Scores per segment'!$A368,'Error Log'!$A:$A,0),MATCH('Scores per segment'!C$1,'Error Log'!$A$1:$J$1,0)))</f>
        <v/>
      </c>
      <c r="D368" s="70">
        <f>IF(H368=0,wdct(TRIM(C368)),0)</f>
        <v>0</v>
      </c>
      <c r="E368" s="70">
        <f>COUNTIFS('Error Log'!$A:$A,$A368,'Error Log'!$J:$J,E$1)</f>
        <v>0</v>
      </c>
      <c r="F368" s="70">
        <f>COUNTIFS('Error Log'!$A:$A,$A368,'Error Log'!$J:$J,F$1)</f>
        <v>0</v>
      </c>
      <c r="G368" s="70">
        <f>COUNTIFS('Error Log'!$A:$A,$A368,'Error Log'!$J:$J,G$1)</f>
        <v>0</v>
      </c>
      <c r="H368" s="70">
        <f>COUNTIFS('Error Log'!$A:$A,$A368,'Error Log'!$F:$F,"Source")</f>
        <v>0</v>
      </c>
      <c r="I368" s="70">
        <f>COUNTIFS('Error Log'!$A:$A,$A368,'Error Log'!$F:$F,"Target")</f>
        <v>0</v>
      </c>
      <c r="J368" s="71">
        <f t="shared" si="5"/>
        <v>0</v>
      </c>
    </row>
    <row r="369" spans="1:10">
      <c r="A369" s="123"/>
      <c r="B369" s="70" t="str">
        <f>IF(ISBLANK(A369),"",INDEX('Error Log'!$A:$J,MATCH('Scores per segment'!$A369,'Error Log'!$A:$A,0),MATCH('Scores per segment'!B$1,'Error Log'!$A$1:$J$1,0)))</f>
        <v/>
      </c>
      <c r="C369" s="70" t="str">
        <f>IF(ISBLANK(A369),"",INDEX('Error Log'!$A:$J,MATCH('Scores per segment'!$A369,'Error Log'!$A:$A,0),MATCH('Scores per segment'!C$1,'Error Log'!$A$1:$J$1,0)))</f>
        <v/>
      </c>
      <c r="D369" s="70">
        <f>IF(H369=0,wdct(TRIM(C369)),0)</f>
        <v>0</v>
      </c>
      <c r="E369" s="70">
        <f>COUNTIFS('Error Log'!$A:$A,$A369,'Error Log'!$J:$J,E$1)</f>
        <v>0</v>
      </c>
      <c r="F369" s="70">
        <f>COUNTIFS('Error Log'!$A:$A,$A369,'Error Log'!$J:$J,F$1)</f>
        <v>0</v>
      </c>
      <c r="G369" s="70">
        <f>COUNTIFS('Error Log'!$A:$A,$A369,'Error Log'!$J:$J,G$1)</f>
        <v>0</v>
      </c>
      <c r="H369" s="70">
        <f>COUNTIFS('Error Log'!$A:$A,$A369,'Error Log'!$F:$F,"Source")</f>
        <v>0</v>
      </c>
      <c r="I369" s="70">
        <f>COUNTIFS('Error Log'!$A:$A,$A369,'Error Log'!$F:$F,"Target")</f>
        <v>0</v>
      </c>
      <c r="J369" s="71">
        <f t="shared" si="5"/>
        <v>0</v>
      </c>
    </row>
    <row r="370" spans="1:10">
      <c r="A370" s="123"/>
      <c r="B370" s="70" t="str">
        <f>IF(ISBLANK(A370),"",INDEX('Error Log'!$A:$J,MATCH('Scores per segment'!$A370,'Error Log'!$A:$A,0),MATCH('Scores per segment'!B$1,'Error Log'!$A$1:$J$1,0)))</f>
        <v/>
      </c>
      <c r="C370" s="70" t="str">
        <f>IF(ISBLANK(A370),"",INDEX('Error Log'!$A:$J,MATCH('Scores per segment'!$A370,'Error Log'!$A:$A,0),MATCH('Scores per segment'!C$1,'Error Log'!$A$1:$J$1,0)))</f>
        <v/>
      </c>
      <c r="D370" s="70">
        <f>IF(H370=0,wdct(TRIM(C370)),0)</f>
        <v>0</v>
      </c>
      <c r="E370" s="70">
        <f>COUNTIFS('Error Log'!$A:$A,$A370,'Error Log'!$J:$J,E$1)</f>
        <v>0</v>
      </c>
      <c r="F370" s="70">
        <f>COUNTIFS('Error Log'!$A:$A,$A370,'Error Log'!$J:$J,F$1)</f>
        <v>0</v>
      </c>
      <c r="G370" s="70">
        <f>COUNTIFS('Error Log'!$A:$A,$A370,'Error Log'!$J:$J,G$1)</f>
        <v>0</v>
      </c>
      <c r="H370" s="70">
        <f>COUNTIFS('Error Log'!$A:$A,$A370,'Error Log'!$F:$F,"Source")</f>
        <v>0</v>
      </c>
      <c r="I370" s="70">
        <f>COUNTIFS('Error Log'!$A:$A,$A370,'Error Log'!$F:$F,"Target")</f>
        <v>0</v>
      </c>
      <c r="J370" s="71">
        <f t="shared" si="5"/>
        <v>0</v>
      </c>
    </row>
    <row r="371" spans="1:10">
      <c r="A371" s="123"/>
      <c r="B371" s="70" t="str">
        <f>IF(ISBLANK(A371),"",INDEX('Error Log'!$A:$J,MATCH('Scores per segment'!$A371,'Error Log'!$A:$A,0),MATCH('Scores per segment'!B$1,'Error Log'!$A$1:$J$1,0)))</f>
        <v/>
      </c>
      <c r="C371" s="70" t="str">
        <f>IF(ISBLANK(A371),"",INDEX('Error Log'!$A:$J,MATCH('Scores per segment'!$A371,'Error Log'!$A:$A,0),MATCH('Scores per segment'!C$1,'Error Log'!$A$1:$J$1,0)))</f>
        <v/>
      </c>
      <c r="D371" s="70">
        <f>IF(H371=0,wdct(TRIM(C371)),0)</f>
        <v>0</v>
      </c>
      <c r="E371" s="70">
        <f>COUNTIFS('Error Log'!$A:$A,$A371,'Error Log'!$J:$J,E$1)</f>
        <v>0</v>
      </c>
      <c r="F371" s="70">
        <f>COUNTIFS('Error Log'!$A:$A,$A371,'Error Log'!$J:$J,F$1)</f>
        <v>0</v>
      </c>
      <c r="G371" s="70">
        <f>COUNTIFS('Error Log'!$A:$A,$A371,'Error Log'!$J:$J,G$1)</f>
        <v>0</v>
      </c>
      <c r="H371" s="70">
        <f>COUNTIFS('Error Log'!$A:$A,$A371,'Error Log'!$F:$F,"Source")</f>
        <v>0</v>
      </c>
      <c r="I371" s="70">
        <f>COUNTIFS('Error Log'!$A:$A,$A371,'Error Log'!$F:$F,"Target")</f>
        <v>0</v>
      </c>
      <c r="J371" s="71">
        <f t="shared" si="5"/>
        <v>0</v>
      </c>
    </row>
    <row r="372" spans="1:10">
      <c r="A372" s="123"/>
      <c r="B372" s="70" t="str">
        <f>IF(ISBLANK(A372),"",INDEX('Error Log'!$A:$J,MATCH('Scores per segment'!$A372,'Error Log'!$A:$A,0),MATCH('Scores per segment'!B$1,'Error Log'!$A$1:$J$1,0)))</f>
        <v/>
      </c>
      <c r="C372" s="70" t="str">
        <f>IF(ISBLANK(A372),"",INDEX('Error Log'!$A:$J,MATCH('Scores per segment'!$A372,'Error Log'!$A:$A,0),MATCH('Scores per segment'!C$1,'Error Log'!$A$1:$J$1,0)))</f>
        <v/>
      </c>
      <c r="D372" s="70">
        <f>IF(H372=0,wdct(TRIM(C372)),0)</f>
        <v>0</v>
      </c>
      <c r="E372" s="70">
        <f>COUNTIFS('Error Log'!$A:$A,$A372,'Error Log'!$J:$J,E$1)</f>
        <v>0</v>
      </c>
      <c r="F372" s="70">
        <f>COUNTIFS('Error Log'!$A:$A,$A372,'Error Log'!$J:$J,F$1)</f>
        <v>0</v>
      </c>
      <c r="G372" s="70">
        <f>COUNTIFS('Error Log'!$A:$A,$A372,'Error Log'!$J:$J,G$1)</f>
        <v>0</v>
      </c>
      <c r="H372" s="70">
        <f>COUNTIFS('Error Log'!$A:$A,$A372,'Error Log'!$F:$F,"Source")</f>
        <v>0</v>
      </c>
      <c r="I372" s="70">
        <f>COUNTIFS('Error Log'!$A:$A,$A372,'Error Log'!$F:$F,"Target")</f>
        <v>0</v>
      </c>
      <c r="J372" s="71">
        <f t="shared" si="5"/>
        <v>0</v>
      </c>
    </row>
    <row r="373" spans="1:10">
      <c r="A373" s="123"/>
      <c r="B373" s="70" t="str">
        <f>IF(ISBLANK(A373),"",INDEX('Error Log'!$A:$J,MATCH('Scores per segment'!$A373,'Error Log'!$A:$A,0),MATCH('Scores per segment'!B$1,'Error Log'!$A$1:$J$1,0)))</f>
        <v/>
      </c>
      <c r="C373" s="70" t="str">
        <f>IF(ISBLANK(A373),"",INDEX('Error Log'!$A:$J,MATCH('Scores per segment'!$A373,'Error Log'!$A:$A,0),MATCH('Scores per segment'!C$1,'Error Log'!$A$1:$J$1,0)))</f>
        <v/>
      </c>
      <c r="D373" s="70">
        <f>IF(H373=0,wdct(TRIM(C373)),0)</f>
        <v>0</v>
      </c>
      <c r="E373" s="70">
        <f>COUNTIFS('Error Log'!$A:$A,$A373,'Error Log'!$J:$J,E$1)</f>
        <v>0</v>
      </c>
      <c r="F373" s="70">
        <f>COUNTIFS('Error Log'!$A:$A,$A373,'Error Log'!$J:$J,F$1)</f>
        <v>0</v>
      </c>
      <c r="G373" s="70">
        <f>COUNTIFS('Error Log'!$A:$A,$A373,'Error Log'!$J:$J,G$1)</f>
        <v>0</v>
      </c>
      <c r="H373" s="70">
        <f>COUNTIFS('Error Log'!$A:$A,$A373,'Error Log'!$F:$F,"Source")</f>
        <v>0</v>
      </c>
      <c r="I373" s="70">
        <f>COUNTIFS('Error Log'!$A:$A,$A373,'Error Log'!$F:$F,"Target")</f>
        <v>0</v>
      </c>
      <c r="J373" s="71">
        <f t="shared" si="5"/>
        <v>0</v>
      </c>
    </row>
    <row r="374" spans="1:10">
      <c r="A374" s="123"/>
      <c r="B374" s="70" t="str">
        <f>IF(ISBLANK(A374),"",INDEX('Error Log'!$A:$J,MATCH('Scores per segment'!$A374,'Error Log'!$A:$A,0),MATCH('Scores per segment'!B$1,'Error Log'!$A$1:$J$1,0)))</f>
        <v/>
      </c>
      <c r="C374" s="70" t="str">
        <f>IF(ISBLANK(A374),"",INDEX('Error Log'!$A:$J,MATCH('Scores per segment'!$A374,'Error Log'!$A:$A,0),MATCH('Scores per segment'!C$1,'Error Log'!$A$1:$J$1,0)))</f>
        <v/>
      </c>
      <c r="D374" s="70">
        <f>IF(H374=0,wdct(TRIM(C374)),0)</f>
        <v>0</v>
      </c>
      <c r="E374" s="70">
        <f>COUNTIFS('Error Log'!$A:$A,$A374,'Error Log'!$J:$J,E$1)</f>
        <v>0</v>
      </c>
      <c r="F374" s="70">
        <f>COUNTIFS('Error Log'!$A:$A,$A374,'Error Log'!$J:$J,F$1)</f>
        <v>0</v>
      </c>
      <c r="G374" s="70">
        <f>COUNTIFS('Error Log'!$A:$A,$A374,'Error Log'!$J:$J,G$1)</f>
        <v>0</v>
      </c>
      <c r="H374" s="70">
        <f>COUNTIFS('Error Log'!$A:$A,$A374,'Error Log'!$F:$F,"Source")</f>
        <v>0</v>
      </c>
      <c r="I374" s="70">
        <f>COUNTIFS('Error Log'!$A:$A,$A374,'Error Log'!$F:$F,"Target")</f>
        <v>0</v>
      </c>
      <c r="J374" s="71">
        <f t="shared" si="5"/>
        <v>0</v>
      </c>
    </row>
    <row r="375" spans="1:10">
      <c r="A375" s="123"/>
      <c r="B375" s="70" t="str">
        <f>IF(ISBLANK(A375),"",INDEX('Error Log'!$A:$J,MATCH('Scores per segment'!$A375,'Error Log'!$A:$A,0),MATCH('Scores per segment'!B$1,'Error Log'!$A$1:$J$1,0)))</f>
        <v/>
      </c>
      <c r="C375" s="70" t="str">
        <f>IF(ISBLANK(A375),"",INDEX('Error Log'!$A:$J,MATCH('Scores per segment'!$A375,'Error Log'!$A:$A,0),MATCH('Scores per segment'!C$1,'Error Log'!$A$1:$J$1,0)))</f>
        <v/>
      </c>
      <c r="D375" s="70">
        <f>IF(H375=0,wdct(TRIM(C375)),0)</f>
        <v>0</v>
      </c>
      <c r="E375" s="70">
        <f>COUNTIFS('Error Log'!$A:$A,$A375,'Error Log'!$J:$J,E$1)</f>
        <v>0</v>
      </c>
      <c r="F375" s="70">
        <f>COUNTIFS('Error Log'!$A:$A,$A375,'Error Log'!$J:$J,F$1)</f>
        <v>0</v>
      </c>
      <c r="G375" s="70">
        <f>COUNTIFS('Error Log'!$A:$A,$A375,'Error Log'!$J:$J,G$1)</f>
        <v>0</v>
      </c>
      <c r="H375" s="70">
        <f>COUNTIFS('Error Log'!$A:$A,$A375,'Error Log'!$F:$F,"Source")</f>
        <v>0</v>
      </c>
      <c r="I375" s="70">
        <f>COUNTIFS('Error Log'!$A:$A,$A375,'Error Log'!$F:$F,"Target")</f>
        <v>0</v>
      </c>
      <c r="J375" s="71">
        <f t="shared" si="5"/>
        <v>0</v>
      </c>
    </row>
    <row r="376" spans="1:10">
      <c r="A376" s="123"/>
      <c r="B376" s="70" t="str">
        <f>IF(ISBLANK(A376),"",INDEX('Error Log'!$A:$J,MATCH('Scores per segment'!$A376,'Error Log'!$A:$A,0),MATCH('Scores per segment'!B$1,'Error Log'!$A$1:$J$1,0)))</f>
        <v/>
      </c>
      <c r="C376" s="70" t="str">
        <f>IF(ISBLANK(A376),"",INDEX('Error Log'!$A:$J,MATCH('Scores per segment'!$A376,'Error Log'!$A:$A,0),MATCH('Scores per segment'!C$1,'Error Log'!$A$1:$J$1,0)))</f>
        <v/>
      </c>
      <c r="D376" s="70">
        <f>IF(H376=0,wdct(TRIM(C376)),0)</f>
        <v>0</v>
      </c>
      <c r="E376" s="70">
        <f>COUNTIFS('Error Log'!$A:$A,$A376,'Error Log'!$J:$J,E$1)</f>
        <v>0</v>
      </c>
      <c r="F376" s="70">
        <f>COUNTIFS('Error Log'!$A:$A,$A376,'Error Log'!$J:$J,F$1)</f>
        <v>0</v>
      </c>
      <c r="G376" s="70">
        <f>COUNTIFS('Error Log'!$A:$A,$A376,'Error Log'!$J:$J,G$1)</f>
        <v>0</v>
      </c>
      <c r="H376" s="70">
        <f>COUNTIFS('Error Log'!$A:$A,$A376,'Error Log'!$F:$F,"Source")</f>
        <v>0</v>
      </c>
      <c r="I376" s="70">
        <f>COUNTIFS('Error Log'!$A:$A,$A376,'Error Log'!$F:$F,"Target")</f>
        <v>0</v>
      </c>
      <c r="J376" s="71">
        <f t="shared" si="5"/>
        <v>0</v>
      </c>
    </row>
    <row r="377" spans="1:10">
      <c r="A377" s="123"/>
      <c r="B377" s="70" t="str">
        <f>IF(ISBLANK(A377),"",INDEX('Error Log'!$A:$J,MATCH('Scores per segment'!$A377,'Error Log'!$A:$A,0),MATCH('Scores per segment'!B$1,'Error Log'!$A$1:$J$1,0)))</f>
        <v/>
      </c>
      <c r="C377" s="70" t="str">
        <f>IF(ISBLANK(A377),"",INDEX('Error Log'!$A:$J,MATCH('Scores per segment'!$A377,'Error Log'!$A:$A,0),MATCH('Scores per segment'!C$1,'Error Log'!$A$1:$J$1,0)))</f>
        <v/>
      </c>
      <c r="D377" s="70">
        <f>IF(H377=0,wdct(TRIM(C377)),0)</f>
        <v>0</v>
      </c>
      <c r="E377" s="70">
        <f>COUNTIFS('Error Log'!$A:$A,$A377,'Error Log'!$J:$J,E$1)</f>
        <v>0</v>
      </c>
      <c r="F377" s="70">
        <f>COUNTIFS('Error Log'!$A:$A,$A377,'Error Log'!$J:$J,F$1)</f>
        <v>0</v>
      </c>
      <c r="G377" s="70">
        <f>COUNTIFS('Error Log'!$A:$A,$A377,'Error Log'!$J:$J,G$1)</f>
        <v>0</v>
      </c>
      <c r="H377" s="70">
        <f>COUNTIFS('Error Log'!$A:$A,$A377,'Error Log'!$F:$F,"Source")</f>
        <v>0</v>
      </c>
      <c r="I377" s="70">
        <f>COUNTIFS('Error Log'!$A:$A,$A377,'Error Log'!$F:$F,"Target")</f>
        <v>0</v>
      </c>
      <c r="J377" s="71">
        <f t="shared" si="5"/>
        <v>0</v>
      </c>
    </row>
    <row r="378" spans="1:10">
      <c r="A378" s="123"/>
      <c r="B378" s="70" t="str">
        <f>IF(ISBLANK(A378),"",INDEX('Error Log'!$A:$J,MATCH('Scores per segment'!$A378,'Error Log'!$A:$A,0),MATCH('Scores per segment'!B$1,'Error Log'!$A$1:$J$1,0)))</f>
        <v/>
      </c>
      <c r="C378" s="70" t="str">
        <f>IF(ISBLANK(A378),"",INDEX('Error Log'!$A:$J,MATCH('Scores per segment'!$A378,'Error Log'!$A:$A,0),MATCH('Scores per segment'!C$1,'Error Log'!$A$1:$J$1,0)))</f>
        <v/>
      </c>
      <c r="D378" s="70">
        <f>IF(H378=0,wdct(TRIM(C378)),0)</f>
        <v>0</v>
      </c>
      <c r="E378" s="70">
        <f>COUNTIFS('Error Log'!$A:$A,$A378,'Error Log'!$J:$J,E$1)</f>
        <v>0</v>
      </c>
      <c r="F378" s="70">
        <f>COUNTIFS('Error Log'!$A:$A,$A378,'Error Log'!$J:$J,F$1)</f>
        <v>0</v>
      </c>
      <c r="G378" s="70">
        <f>COUNTIFS('Error Log'!$A:$A,$A378,'Error Log'!$J:$J,G$1)</f>
        <v>0</v>
      </c>
      <c r="H378" s="70">
        <f>COUNTIFS('Error Log'!$A:$A,$A378,'Error Log'!$F:$F,"Source")</f>
        <v>0</v>
      </c>
      <c r="I378" s="70">
        <f>COUNTIFS('Error Log'!$A:$A,$A378,'Error Log'!$F:$F,"Target")</f>
        <v>0</v>
      </c>
      <c r="J378" s="71">
        <f t="shared" si="5"/>
        <v>0</v>
      </c>
    </row>
    <row r="379" spans="1:10">
      <c r="A379" s="123"/>
      <c r="B379" s="70" t="str">
        <f>IF(ISBLANK(A379),"",INDEX('Error Log'!$A:$J,MATCH('Scores per segment'!$A379,'Error Log'!$A:$A,0),MATCH('Scores per segment'!B$1,'Error Log'!$A$1:$J$1,0)))</f>
        <v/>
      </c>
      <c r="C379" s="70" t="str">
        <f>IF(ISBLANK(A379),"",INDEX('Error Log'!$A:$J,MATCH('Scores per segment'!$A379,'Error Log'!$A:$A,0),MATCH('Scores per segment'!C$1,'Error Log'!$A$1:$J$1,0)))</f>
        <v/>
      </c>
      <c r="D379" s="70">
        <f>IF(H379=0,wdct(TRIM(C379)),0)</f>
        <v>0</v>
      </c>
      <c r="E379" s="70">
        <f>COUNTIFS('Error Log'!$A:$A,$A379,'Error Log'!$J:$J,E$1)</f>
        <v>0</v>
      </c>
      <c r="F379" s="70">
        <f>COUNTIFS('Error Log'!$A:$A,$A379,'Error Log'!$J:$J,F$1)</f>
        <v>0</v>
      </c>
      <c r="G379" s="70">
        <f>COUNTIFS('Error Log'!$A:$A,$A379,'Error Log'!$J:$J,G$1)</f>
        <v>0</v>
      </c>
      <c r="H379" s="70">
        <f>COUNTIFS('Error Log'!$A:$A,$A379,'Error Log'!$F:$F,"Source")</f>
        <v>0</v>
      </c>
      <c r="I379" s="70">
        <f>COUNTIFS('Error Log'!$A:$A,$A379,'Error Log'!$F:$F,"Target")</f>
        <v>0</v>
      </c>
      <c r="J379" s="71">
        <f t="shared" si="5"/>
        <v>0</v>
      </c>
    </row>
    <row r="380" spans="1:10">
      <c r="A380" s="123"/>
      <c r="B380" s="70" t="str">
        <f>IF(ISBLANK(A380),"",INDEX('Error Log'!$A:$J,MATCH('Scores per segment'!$A380,'Error Log'!$A:$A,0),MATCH('Scores per segment'!B$1,'Error Log'!$A$1:$J$1,0)))</f>
        <v/>
      </c>
      <c r="C380" s="70" t="str">
        <f>IF(ISBLANK(A380),"",INDEX('Error Log'!$A:$J,MATCH('Scores per segment'!$A380,'Error Log'!$A:$A,0),MATCH('Scores per segment'!C$1,'Error Log'!$A$1:$J$1,0)))</f>
        <v/>
      </c>
      <c r="D380" s="70">
        <f>IF(H380=0,wdct(TRIM(C380)),0)</f>
        <v>0</v>
      </c>
      <c r="E380" s="70">
        <f>COUNTIFS('Error Log'!$A:$A,$A380,'Error Log'!$J:$J,E$1)</f>
        <v>0</v>
      </c>
      <c r="F380" s="70">
        <f>COUNTIFS('Error Log'!$A:$A,$A380,'Error Log'!$J:$J,F$1)</f>
        <v>0</v>
      </c>
      <c r="G380" s="70">
        <f>COUNTIFS('Error Log'!$A:$A,$A380,'Error Log'!$J:$J,G$1)</f>
        <v>0</v>
      </c>
      <c r="H380" s="70">
        <f>COUNTIFS('Error Log'!$A:$A,$A380,'Error Log'!$F:$F,"Source")</f>
        <v>0</v>
      </c>
      <c r="I380" s="70">
        <f>COUNTIFS('Error Log'!$A:$A,$A380,'Error Log'!$F:$F,"Target")</f>
        <v>0</v>
      </c>
      <c r="J380" s="71">
        <f t="shared" si="5"/>
        <v>0</v>
      </c>
    </row>
    <row r="381" spans="1:10">
      <c r="A381" s="123"/>
      <c r="B381" s="70" t="str">
        <f>IF(ISBLANK(A381),"",INDEX('Error Log'!$A:$J,MATCH('Scores per segment'!$A381,'Error Log'!$A:$A,0),MATCH('Scores per segment'!B$1,'Error Log'!$A$1:$J$1,0)))</f>
        <v/>
      </c>
      <c r="C381" s="70" t="str">
        <f>IF(ISBLANK(A381),"",INDEX('Error Log'!$A:$J,MATCH('Scores per segment'!$A381,'Error Log'!$A:$A,0),MATCH('Scores per segment'!C$1,'Error Log'!$A$1:$J$1,0)))</f>
        <v/>
      </c>
      <c r="D381" s="70">
        <f>IF(H381=0,wdct(TRIM(C381)),0)</f>
        <v>0</v>
      </c>
      <c r="E381" s="70">
        <f>COUNTIFS('Error Log'!$A:$A,$A381,'Error Log'!$J:$J,E$1)</f>
        <v>0</v>
      </c>
      <c r="F381" s="70">
        <f>COUNTIFS('Error Log'!$A:$A,$A381,'Error Log'!$J:$J,F$1)</f>
        <v>0</v>
      </c>
      <c r="G381" s="70">
        <f>COUNTIFS('Error Log'!$A:$A,$A381,'Error Log'!$J:$J,G$1)</f>
        <v>0</v>
      </c>
      <c r="H381" s="70">
        <f>COUNTIFS('Error Log'!$A:$A,$A381,'Error Log'!$F:$F,"Source")</f>
        <v>0</v>
      </c>
      <c r="I381" s="70">
        <f>COUNTIFS('Error Log'!$A:$A,$A381,'Error Log'!$F:$F,"Target")</f>
        <v>0</v>
      </c>
      <c r="J381" s="71">
        <f t="shared" si="5"/>
        <v>0</v>
      </c>
    </row>
    <row r="382" spans="1:10">
      <c r="A382" s="123"/>
      <c r="B382" s="70" t="str">
        <f>IF(ISBLANK(A382),"",INDEX('Error Log'!$A:$J,MATCH('Scores per segment'!$A382,'Error Log'!$A:$A,0),MATCH('Scores per segment'!B$1,'Error Log'!$A$1:$J$1,0)))</f>
        <v/>
      </c>
      <c r="C382" s="70" t="str">
        <f>IF(ISBLANK(A382),"",INDEX('Error Log'!$A:$J,MATCH('Scores per segment'!$A382,'Error Log'!$A:$A,0),MATCH('Scores per segment'!C$1,'Error Log'!$A$1:$J$1,0)))</f>
        <v/>
      </c>
      <c r="D382" s="70">
        <f>IF(H382=0,wdct(TRIM(C382)),0)</f>
        <v>0</v>
      </c>
      <c r="E382" s="70">
        <f>COUNTIFS('Error Log'!$A:$A,$A382,'Error Log'!$J:$J,E$1)</f>
        <v>0</v>
      </c>
      <c r="F382" s="70">
        <f>COUNTIFS('Error Log'!$A:$A,$A382,'Error Log'!$J:$J,F$1)</f>
        <v>0</v>
      </c>
      <c r="G382" s="70">
        <f>COUNTIFS('Error Log'!$A:$A,$A382,'Error Log'!$J:$J,G$1)</f>
        <v>0</v>
      </c>
      <c r="H382" s="70">
        <f>COUNTIFS('Error Log'!$A:$A,$A382,'Error Log'!$F:$F,"Source")</f>
        <v>0</v>
      </c>
      <c r="I382" s="70">
        <f>COUNTIFS('Error Log'!$A:$A,$A382,'Error Log'!$F:$F,"Target")</f>
        <v>0</v>
      </c>
      <c r="J382" s="71">
        <f t="shared" si="5"/>
        <v>0</v>
      </c>
    </row>
    <row r="383" spans="1:10">
      <c r="A383" s="123"/>
      <c r="B383" s="70" t="str">
        <f>IF(ISBLANK(A383),"",INDEX('Error Log'!$A:$J,MATCH('Scores per segment'!$A383,'Error Log'!$A:$A,0),MATCH('Scores per segment'!B$1,'Error Log'!$A$1:$J$1,0)))</f>
        <v/>
      </c>
      <c r="C383" s="70" t="str">
        <f>IF(ISBLANK(A383),"",INDEX('Error Log'!$A:$J,MATCH('Scores per segment'!$A383,'Error Log'!$A:$A,0),MATCH('Scores per segment'!C$1,'Error Log'!$A$1:$J$1,0)))</f>
        <v/>
      </c>
      <c r="D383" s="70">
        <f>IF(H383=0,wdct(TRIM(C383)),0)</f>
        <v>0</v>
      </c>
      <c r="E383" s="70">
        <f>COUNTIFS('Error Log'!$A:$A,$A383,'Error Log'!$J:$J,E$1)</f>
        <v>0</v>
      </c>
      <c r="F383" s="70">
        <f>COUNTIFS('Error Log'!$A:$A,$A383,'Error Log'!$J:$J,F$1)</f>
        <v>0</v>
      </c>
      <c r="G383" s="70">
        <f>COUNTIFS('Error Log'!$A:$A,$A383,'Error Log'!$J:$J,G$1)</f>
        <v>0</v>
      </c>
      <c r="H383" s="70">
        <f>COUNTIFS('Error Log'!$A:$A,$A383,'Error Log'!$F:$F,"Source")</f>
        <v>0</v>
      </c>
      <c r="I383" s="70">
        <f>COUNTIFS('Error Log'!$A:$A,$A383,'Error Log'!$F:$F,"Target")</f>
        <v>0</v>
      </c>
      <c r="J383" s="71">
        <f t="shared" si="5"/>
        <v>0</v>
      </c>
    </row>
    <row r="384" spans="1:10">
      <c r="A384" s="123"/>
      <c r="B384" s="70" t="str">
        <f>IF(ISBLANK(A384),"",INDEX('Error Log'!$A:$J,MATCH('Scores per segment'!$A384,'Error Log'!$A:$A,0),MATCH('Scores per segment'!B$1,'Error Log'!$A$1:$J$1,0)))</f>
        <v/>
      </c>
      <c r="C384" s="70" t="str">
        <f>IF(ISBLANK(A384),"",INDEX('Error Log'!$A:$J,MATCH('Scores per segment'!$A384,'Error Log'!$A:$A,0),MATCH('Scores per segment'!C$1,'Error Log'!$A$1:$J$1,0)))</f>
        <v/>
      </c>
      <c r="D384" s="70">
        <f>IF(H384=0,wdct(TRIM(C384)),0)</f>
        <v>0</v>
      </c>
      <c r="E384" s="70">
        <f>COUNTIFS('Error Log'!$A:$A,$A384,'Error Log'!$J:$J,E$1)</f>
        <v>0</v>
      </c>
      <c r="F384" s="70">
        <f>COUNTIFS('Error Log'!$A:$A,$A384,'Error Log'!$J:$J,F$1)</f>
        <v>0</v>
      </c>
      <c r="G384" s="70">
        <f>COUNTIFS('Error Log'!$A:$A,$A384,'Error Log'!$J:$J,G$1)</f>
        <v>0</v>
      </c>
      <c r="H384" s="70">
        <f>COUNTIFS('Error Log'!$A:$A,$A384,'Error Log'!$F:$F,"Source")</f>
        <v>0</v>
      </c>
      <c r="I384" s="70">
        <f>COUNTIFS('Error Log'!$A:$A,$A384,'Error Log'!$F:$F,"Target")</f>
        <v>0</v>
      </c>
      <c r="J384" s="71">
        <f t="shared" si="5"/>
        <v>0</v>
      </c>
    </row>
    <row r="385" spans="1:10">
      <c r="A385" s="123"/>
      <c r="B385" s="70" t="str">
        <f>IF(ISBLANK(A385),"",INDEX('Error Log'!$A:$J,MATCH('Scores per segment'!$A385,'Error Log'!$A:$A,0),MATCH('Scores per segment'!B$1,'Error Log'!$A$1:$J$1,0)))</f>
        <v/>
      </c>
      <c r="C385" s="70" t="str">
        <f>IF(ISBLANK(A385),"",INDEX('Error Log'!$A:$J,MATCH('Scores per segment'!$A385,'Error Log'!$A:$A,0),MATCH('Scores per segment'!C$1,'Error Log'!$A$1:$J$1,0)))</f>
        <v/>
      </c>
      <c r="D385" s="70">
        <f>IF(H385=0,wdct(TRIM(C385)),0)</f>
        <v>0</v>
      </c>
      <c r="E385" s="70">
        <f>COUNTIFS('Error Log'!$A:$A,$A385,'Error Log'!$J:$J,E$1)</f>
        <v>0</v>
      </c>
      <c r="F385" s="70">
        <f>COUNTIFS('Error Log'!$A:$A,$A385,'Error Log'!$J:$J,F$1)</f>
        <v>0</v>
      </c>
      <c r="G385" s="70">
        <f>COUNTIFS('Error Log'!$A:$A,$A385,'Error Log'!$J:$J,G$1)</f>
        <v>0</v>
      </c>
      <c r="H385" s="70">
        <f>COUNTIFS('Error Log'!$A:$A,$A385,'Error Log'!$F:$F,"Source")</f>
        <v>0</v>
      </c>
      <c r="I385" s="70">
        <f>COUNTIFS('Error Log'!$A:$A,$A385,'Error Log'!$F:$F,"Target")</f>
        <v>0</v>
      </c>
      <c r="J385" s="71">
        <f t="shared" si="5"/>
        <v>0</v>
      </c>
    </row>
    <row r="386" spans="1:10">
      <c r="A386" s="123"/>
      <c r="B386" s="70" t="str">
        <f>IF(ISBLANK(A386),"",INDEX('Error Log'!$A:$J,MATCH('Scores per segment'!$A386,'Error Log'!$A:$A,0),MATCH('Scores per segment'!B$1,'Error Log'!$A$1:$J$1,0)))</f>
        <v/>
      </c>
      <c r="C386" s="70" t="str">
        <f>IF(ISBLANK(A386),"",INDEX('Error Log'!$A:$J,MATCH('Scores per segment'!$A386,'Error Log'!$A:$A,0),MATCH('Scores per segment'!C$1,'Error Log'!$A$1:$J$1,0)))</f>
        <v/>
      </c>
      <c r="D386" s="70">
        <f>IF(H386=0,wdct(TRIM(C386)),0)</f>
        <v>0</v>
      </c>
      <c r="E386" s="70">
        <f>COUNTIFS('Error Log'!$A:$A,$A386,'Error Log'!$J:$J,E$1)</f>
        <v>0</v>
      </c>
      <c r="F386" s="70">
        <f>COUNTIFS('Error Log'!$A:$A,$A386,'Error Log'!$J:$J,F$1)</f>
        <v>0</v>
      </c>
      <c r="G386" s="70">
        <f>COUNTIFS('Error Log'!$A:$A,$A386,'Error Log'!$J:$J,G$1)</f>
        <v>0</v>
      </c>
      <c r="H386" s="70">
        <f>COUNTIFS('Error Log'!$A:$A,$A386,'Error Log'!$F:$F,"Source")</f>
        <v>0</v>
      </c>
      <c r="I386" s="70">
        <f>COUNTIFS('Error Log'!$A:$A,$A386,'Error Log'!$F:$F,"Target")</f>
        <v>0</v>
      </c>
      <c r="J386" s="71">
        <f t="shared" ref="J386:J449" si="6">IF(I386=0,IFERROR((((1-((E386*10+F386*5+G386*1)/D386))*100)+100)/2,0),-150)</f>
        <v>0</v>
      </c>
    </row>
    <row r="387" spans="1:10">
      <c r="A387" s="123"/>
      <c r="B387" s="70" t="str">
        <f>IF(ISBLANK(A387),"",INDEX('Error Log'!$A:$J,MATCH('Scores per segment'!$A387,'Error Log'!$A:$A,0),MATCH('Scores per segment'!B$1,'Error Log'!$A$1:$J$1,0)))</f>
        <v/>
      </c>
      <c r="C387" s="70" t="str">
        <f>IF(ISBLANK(A387),"",INDEX('Error Log'!$A:$J,MATCH('Scores per segment'!$A387,'Error Log'!$A:$A,0),MATCH('Scores per segment'!C$1,'Error Log'!$A$1:$J$1,0)))</f>
        <v/>
      </c>
      <c r="D387" s="70">
        <f>IF(H387=0,wdct(TRIM(C387)),0)</f>
        <v>0</v>
      </c>
      <c r="E387" s="70">
        <f>COUNTIFS('Error Log'!$A:$A,$A387,'Error Log'!$J:$J,E$1)</f>
        <v>0</v>
      </c>
      <c r="F387" s="70">
        <f>COUNTIFS('Error Log'!$A:$A,$A387,'Error Log'!$J:$J,F$1)</f>
        <v>0</v>
      </c>
      <c r="G387" s="70">
        <f>COUNTIFS('Error Log'!$A:$A,$A387,'Error Log'!$J:$J,G$1)</f>
        <v>0</v>
      </c>
      <c r="H387" s="70">
        <f>COUNTIFS('Error Log'!$A:$A,$A387,'Error Log'!$F:$F,"Source")</f>
        <v>0</v>
      </c>
      <c r="I387" s="70">
        <f>COUNTIFS('Error Log'!$A:$A,$A387,'Error Log'!$F:$F,"Target")</f>
        <v>0</v>
      </c>
      <c r="J387" s="71">
        <f t="shared" si="6"/>
        <v>0</v>
      </c>
    </row>
    <row r="388" spans="1:10">
      <c r="A388" s="123"/>
      <c r="B388" s="70" t="str">
        <f>IF(ISBLANK(A388),"",INDEX('Error Log'!$A:$J,MATCH('Scores per segment'!$A388,'Error Log'!$A:$A,0),MATCH('Scores per segment'!B$1,'Error Log'!$A$1:$J$1,0)))</f>
        <v/>
      </c>
      <c r="C388" s="70" t="str">
        <f>IF(ISBLANK(A388),"",INDEX('Error Log'!$A:$J,MATCH('Scores per segment'!$A388,'Error Log'!$A:$A,0),MATCH('Scores per segment'!C$1,'Error Log'!$A$1:$J$1,0)))</f>
        <v/>
      </c>
      <c r="D388" s="70">
        <f>IF(H388=0,wdct(TRIM(C388)),0)</f>
        <v>0</v>
      </c>
      <c r="E388" s="70">
        <f>COUNTIFS('Error Log'!$A:$A,$A388,'Error Log'!$J:$J,E$1)</f>
        <v>0</v>
      </c>
      <c r="F388" s="70">
        <f>COUNTIFS('Error Log'!$A:$A,$A388,'Error Log'!$J:$J,F$1)</f>
        <v>0</v>
      </c>
      <c r="G388" s="70">
        <f>COUNTIFS('Error Log'!$A:$A,$A388,'Error Log'!$J:$J,G$1)</f>
        <v>0</v>
      </c>
      <c r="H388" s="70">
        <f>COUNTIFS('Error Log'!$A:$A,$A388,'Error Log'!$F:$F,"Source")</f>
        <v>0</v>
      </c>
      <c r="I388" s="70">
        <f>COUNTIFS('Error Log'!$A:$A,$A388,'Error Log'!$F:$F,"Target")</f>
        <v>0</v>
      </c>
      <c r="J388" s="71">
        <f t="shared" si="6"/>
        <v>0</v>
      </c>
    </row>
    <row r="389" spans="1:10">
      <c r="A389" s="123"/>
      <c r="B389" s="70" t="str">
        <f>IF(ISBLANK(A389),"",INDEX('Error Log'!$A:$J,MATCH('Scores per segment'!$A389,'Error Log'!$A:$A,0),MATCH('Scores per segment'!B$1,'Error Log'!$A$1:$J$1,0)))</f>
        <v/>
      </c>
      <c r="C389" s="70" t="str">
        <f>IF(ISBLANK(A389),"",INDEX('Error Log'!$A:$J,MATCH('Scores per segment'!$A389,'Error Log'!$A:$A,0),MATCH('Scores per segment'!C$1,'Error Log'!$A$1:$J$1,0)))</f>
        <v/>
      </c>
      <c r="D389" s="70">
        <f>IF(H389=0,wdct(TRIM(C389)),0)</f>
        <v>0</v>
      </c>
      <c r="E389" s="70">
        <f>COUNTIFS('Error Log'!$A:$A,$A389,'Error Log'!$J:$J,E$1)</f>
        <v>0</v>
      </c>
      <c r="F389" s="70">
        <f>COUNTIFS('Error Log'!$A:$A,$A389,'Error Log'!$J:$J,F$1)</f>
        <v>0</v>
      </c>
      <c r="G389" s="70">
        <f>COUNTIFS('Error Log'!$A:$A,$A389,'Error Log'!$J:$J,G$1)</f>
        <v>0</v>
      </c>
      <c r="H389" s="70">
        <f>COUNTIFS('Error Log'!$A:$A,$A389,'Error Log'!$F:$F,"Source")</f>
        <v>0</v>
      </c>
      <c r="I389" s="70">
        <f>COUNTIFS('Error Log'!$A:$A,$A389,'Error Log'!$F:$F,"Target")</f>
        <v>0</v>
      </c>
      <c r="J389" s="71">
        <f t="shared" si="6"/>
        <v>0</v>
      </c>
    </row>
    <row r="390" spans="1:10">
      <c r="A390" s="123"/>
      <c r="B390" s="70" t="str">
        <f>IF(ISBLANK(A390),"",INDEX('Error Log'!$A:$J,MATCH('Scores per segment'!$A390,'Error Log'!$A:$A,0),MATCH('Scores per segment'!B$1,'Error Log'!$A$1:$J$1,0)))</f>
        <v/>
      </c>
      <c r="C390" s="70" t="str">
        <f>IF(ISBLANK(A390),"",INDEX('Error Log'!$A:$J,MATCH('Scores per segment'!$A390,'Error Log'!$A:$A,0),MATCH('Scores per segment'!C$1,'Error Log'!$A$1:$J$1,0)))</f>
        <v/>
      </c>
      <c r="D390" s="70">
        <f>IF(H390=0,wdct(TRIM(C390)),0)</f>
        <v>0</v>
      </c>
      <c r="E390" s="70">
        <f>COUNTIFS('Error Log'!$A:$A,$A390,'Error Log'!$J:$J,E$1)</f>
        <v>0</v>
      </c>
      <c r="F390" s="70">
        <f>COUNTIFS('Error Log'!$A:$A,$A390,'Error Log'!$J:$J,F$1)</f>
        <v>0</v>
      </c>
      <c r="G390" s="70">
        <f>COUNTIFS('Error Log'!$A:$A,$A390,'Error Log'!$J:$J,G$1)</f>
        <v>0</v>
      </c>
      <c r="H390" s="70">
        <f>COUNTIFS('Error Log'!$A:$A,$A390,'Error Log'!$F:$F,"Source")</f>
        <v>0</v>
      </c>
      <c r="I390" s="70">
        <f>COUNTIFS('Error Log'!$A:$A,$A390,'Error Log'!$F:$F,"Target")</f>
        <v>0</v>
      </c>
      <c r="J390" s="71">
        <f t="shared" si="6"/>
        <v>0</v>
      </c>
    </row>
    <row r="391" spans="1:10">
      <c r="A391" s="123"/>
      <c r="B391" s="70" t="str">
        <f>IF(ISBLANK(A391),"",INDEX('Error Log'!$A:$J,MATCH('Scores per segment'!$A391,'Error Log'!$A:$A,0),MATCH('Scores per segment'!B$1,'Error Log'!$A$1:$J$1,0)))</f>
        <v/>
      </c>
      <c r="C391" s="70" t="str">
        <f>IF(ISBLANK(A391),"",INDEX('Error Log'!$A:$J,MATCH('Scores per segment'!$A391,'Error Log'!$A:$A,0),MATCH('Scores per segment'!C$1,'Error Log'!$A$1:$J$1,0)))</f>
        <v/>
      </c>
      <c r="D391" s="70">
        <f>IF(H391=0,wdct(TRIM(C391)),0)</f>
        <v>0</v>
      </c>
      <c r="E391" s="70">
        <f>COUNTIFS('Error Log'!$A:$A,$A391,'Error Log'!$J:$J,E$1)</f>
        <v>0</v>
      </c>
      <c r="F391" s="70">
        <f>COUNTIFS('Error Log'!$A:$A,$A391,'Error Log'!$J:$J,F$1)</f>
        <v>0</v>
      </c>
      <c r="G391" s="70">
        <f>COUNTIFS('Error Log'!$A:$A,$A391,'Error Log'!$J:$J,G$1)</f>
        <v>0</v>
      </c>
      <c r="H391" s="70">
        <f>COUNTIFS('Error Log'!$A:$A,$A391,'Error Log'!$F:$F,"Source")</f>
        <v>0</v>
      </c>
      <c r="I391" s="70">
        <f>COUNTIFS('Error Log'!$A:$A,$A391,'Error Log'!$F:$F,"Target")</f>
        <v>0</v>
      </c>
      <c r="J391" s="71">
        <f t="shared" si="6"/>
        <v>0</v>
      </c>
    </row>
    <row r="392" spans="1:10">
      <c r="A392" s="123"/>
      <c r="B392" s="70" t="str">
        <f>IF(ISBLANK(A392),"",INDEX('Error Log'!$A:$J,MATCH('Scores per segment'!$A392,'Error Log'!$A:$A,0),MATCH('Scores per segment'!B$1,'Error Log'!$A$1:$J$1,0)))</f>
        <v/>
      </c>
      <c r="C392" s="70" t="str">
        <f>IF(ISBLANK(A392),"",INDEX('Error Log'!$A:$J,MATCH('Scores per segment'!$A392,'Error Log'!$A:$A,0),MATCH('Scores per segment'!C$1,'Error Log'!$A$1:$J$1,0)))</f>
        <v/>
      </c>
      <c r="D392" s="70">
        <f>IF(H392=0,wdct(TRIM(C392)),0)</f>
        <v>0</v>
      </c>
      <c r="E392" s="70">
        <f>COUNTIFS('Error Log'!$A:$A,$A392,'Error Log'!$J:$J,E$1)</f>
        <v>0</v>
      </c>
      <c r="F392" s="70">
        <f>COUNTIFS('Error Log'!$A:$A,$A392,'Error Log'!$J:$J,F$1)</f>
        <v>0</v>
      </c>
      <c r="G392" s="70">
        <f>COUNTIFS('Error Log'!$A:$A,$A392,'Error Log'!$J:$J,G$1)</f>
        <v>0</v>
      </c>
      <c r="H392" s="70">
        <f>COUNTIFS('Error Log'!$A:$A,$A392,'Error Log'!$F:$F,"Source")</f>
        <v>0</v>
      </c>
      <c r="I392" s="70">
        <f>COUNTIFS('Error Log'!$A:$A,$A392,'Error Log'!$F:$F,"Target")</f>
        <v>0</v>
      </c>
      <c r="J392" s="71">
        <f t="shared" si="6"/>
        <v>0</v>
      </c>
    </row>
    <row r="393" spans="1:10">
      <c r="A393" s="123"/>
      <c r="B393" s="70" t="str">
        <f>IF(ISBLANK(A393),"",INDEX('Error Log'!$A:$J,MATCH('Scores per segment'!$A393,'Error Log'!$A:$A,0),MATCH('Scores per segment'!B$1,'Error Log'!$A$1:$J$1,0)))</f>
        <v/>
      </c>
      <c r="C393" s="70" t="str">
        <f>IF(ISBLANK(A393),"",INDEX('Error Log'!$A:$J,MATCH('Scores per segment'!$A393,'Error Log'!$A:$A,0),MATCH('Scores per segment'!C$1,'Error Log'!$A$1:$J$1,0)))</f>
        <v/>
      </c>
      <c r="D393" s="70">
        <f>IF(H393=0,wdct(TRIM(C393)),0)</f>
        <v>0</v>
      </c>
      <c r="E393" s="70">
        <f>COUNTIFS('Error Log'!$A:$A,$A393,'Error Log'!$J:$J,E$1)</f>
        <v>0</v>
      </c>
      <c r="F393" s="70">
        <f>COUNTIFS('Error Log'!$A:$A,$A393,'Error Log'!$J:$J,F$1)</f>
        <v>0</v>
      </c>
      <c r="G393" s="70">
        <f>COUNTIFS('Error Log'!$A:$A,$A393,'Error Log'!$J:$J,G$1)</f>
        <v>0</v>
      </c>
      <c r="H393" s="70">
        <f>COUNTIFS('Error Log'!$A:$A,$A393,'Error Log'!$F:$F,"Source")</f>
        <v>0</v>
      </c>
      <c r="I393" s="70">
        <f>COUNTIFS('Error Log'!$A:$A,$A393,'Error Log'!$F:$F,"Target")</f>
        <v>0</v>
      </c>
      <c r="J393" s="71">
        <f t="shared" si="6"/>
        <v>0</v>
      </c>
    </row>
    <row r="394" spans="1:10">
      <c r="A394" s="123"/>
      <c r="B394" s="70" t="str">
        <f>IF(ISBLANK(A394),"",INDEX('Error Log'!$A:$J,MATCH('Scores per segment'!$A394,'Error Log'!$A:$A,0),MATCH('Scores per segment'!B$1,'Error Log'!$A$1:$J$1,0)))</f>
        <v/>
      </c>
      <c r="C394" s="70" t="str">
        <f>IF(ISBLANK(A394),"",INDEX('Error Log'!$A:$J,MATCH('Scores per segment'!$A394,'Error Log'!$A:$A,0),MATCH('Scores per segment'!C$1,'Error Log'!$A$1:$J$1,0)))</f>
        <v/>
      </c>
      <c r="D394" s="70">
        <f>IF(H394=0,wdct(TRIM(C394)),0)</f>
        <v>0</v>
      </c>
      <c r="E394" s="70">
        <f>COUNTIFS('Error Log'!$A:$A,$A394,'Error Log'!$J:$J,E$1)</f>
        <v>0</v>
      </c>
      <c r="F394" s="70">
        <f>COUNTIFS('Error Log'!$A:$A,$A394,'Error Log'!$J:$J,F$1)</f>
        <v>0</v>
      </c>
      <c r="G394" s="70">
        <f>COUNTIFS('Error Log'!$A:$A,$A394,'Error Log'!$J:$J,G$1)</f>
        <v>0</v>
      </c>
      <c r="H394" s="70">
        <f>COUNTIFS('Error Log'!$A:$A,$A394,'Error Log'!$F:$F,"Source")</f>
        <v>0</v>
      </c>
      <c r="I394" s="70">
        <f>COUNTIFS('Error Log'!$A:$A,$A394,'Error Log'!$F:$F,"Target")</f>
        <v>0</v>
      </c>
      <c r="J394" s="71">
        <f t="shared" si="6"/>
        <v>0</v>
      </c>
    </row>
    <row r="395" spans="1:10">
      <c r="A395" s="123"/>
      <c r="B395" s="70" t="str">
        <f>IF(ISBLANK(A395),"",INDEX('Error Log'!$A:$J,MATCH('Scores per segment'!$A395,'Error Log'!$A:$A,0),MATCH('Scores per segment'!B$1,'Error Log'!$A$1:$J$1,0)))</f>
        <v/>
      </c>
      <c r="C395" s="70" t="str">
        <f>IF(ISBLANK(A395),"",INDEX('Error Log'!$A:$J,MATCH('Scores per segment'!$A395,'Error Log'!$A:$A,0),MATCH('Scores per segment'!C$1,'Error Log'!$A$1:$J$1,0)))</f>
        <v/>
      </c>
      <c r="D395" s="70">
        <f>IF(H395=0,wdct(TRIM(C395)),0)</f>
        <v>0</v>
      </c>
      <c r="E395" s="70">
        <f>COUNTIFS('Error Log'!$A:$A,$A395,'Error Log'!$J:$J,E$1)</f>
        <v>0</v>
      </c>
      <c r="F395" s="70">
        <f>COUNTIFS('Error Log'!$A:$A,$A395,'Error Log'!$J:$J,F$1)</f>
        <v>0</v>
      </c>
      <c r="G395" s="70">
        <f>COUNTIFS('Error Log'!$A:$A,$A395,'Error Log'!$J:$J,G$1)</f>
        <v>0</v>
      </c>
      <c r="H395" s="70">
        <f>COUNTIFS('Error Log'!$A:$A,$A395,'Error Log'!$F:$F,"Source")</f>
        <v>0</v>
      </c>
      <c r="I395" s="70">
        <f>COUNTIFS('Error Log'!$A:$A,$A395,'Error Log'!$F:$F,"Target")</f>
        <v>0</v>
      </c>
      <c r="J395" s="71">
        <f t="shared" si="6"/>
        <v>0</v>
      </c>
    </row>
    <row r="396" spans="1:10">
      <c r="A396" s="123"/>
      <c r="B396" s="70" t="str">
        <f>IF(ISBLANK(A396),"",INDEX('Error Log'!$A:$J,MATCH('Scores per segment'!$A396,'Error Log'!$A:$A,0),MATCH('Scores per segment'!B$1,'Error Log'!$A$1:$J$1,0)))</f>
        <v/>
      </c>
      <c r="C396" s="70" t="str">
        <f>IF(ISBLANK(A396),"",INDEX('Error Log'!$A:$J,MATCH('Scores per segment'!$A396,'Error Log'!$A:$A,0),MATCH('Scores per segment'!C$1,'Error Log'!$A$1:$J$1,0)))</f>
        <v/>
      </c>
      <c r="D396" s="70">
        <f>IF(H396=0,wdct(TRIM(C396)),0)</f>
        <v>0</v>
      </c>
      <c r="E396" s="70">
        <f>COUNTIFS('Error Log'!$A:$A,$A396,'Error Log'!$J:$J,E$1)</f>
        <v>0</v>
      </c>
      <c r="F396" s="70">
        <f>COUNTIFS('Error Log'!$A:$A,$A396,'Error Log'!$J:$J,F$1)</f>
        <v>0</v>
      </c>
      <c r="G396" s="70">
        <f>COUNTIFS('Error Log'!$A:$A,$A396,'Error Log'!$J:$J,G$1)</f>
        <v>0</v>
      </c>
      <c r="H396" s="70">
        <f>COUNTIFS('Error Log'!$A:$A,$A396,'Error Log'!$F:$F,"Source")</f>
        <v>0</v>
      </c>
      <c r="I396" s="70">
        <f>COUNTIFS('Error Log'!$A:$A,$A396,'Error Log'!$F:$F,"Target")</f>
        <v>0</v>
      </c>
      <c r="J396" s="71">
        <f t="shared" si="6"/>
        <v>0</v>
      </c>
    </row>
    <row r="397" spans="1:10">
      <c r="A397" s="123"/>
      <c r="B397" s="70" t="str">
        <f>IF(ISBLANK(A397),"",INDEX('Error Log'!$A:$J,MATCH('Scores per segment'!$A397,'Error Log'!$A:$A,0),MATCH('Scores per segment'!B$1,'Error Log'!$A$1:$J$1,0)))</f>
        <v/>
      </c>
      <c r="C397" s="70" t="str">
        <f>IF(ISBLANK(A397),"",INDEX('Error Log'!$A:$J,MATCH('Scores per segment'!$A397,'Error Log'!$A:$A,0),MATCH('Scores per segment'!C$1,'Error Log'!$A$1:$J$1,0)))</f>
        <v/>
      </c>
      <c r="D397" s="70">
        <f>IF(H397=0,wdct(TRIM(C397)),0)</f>
        <v>0</v>
      </c>
      <c r="E397" s="70">
        <f>COUNTIFS('Error Log'!$A:$A,$A397,'Error Log'!$J:$J,E$1)</f>
        <v>0</v>
      </c>
      <c r="F397" s="70">
        <f>COUNTIFS('Error Log'!$A:$A,$A397,'Error Log'!$J:$J,F$1)</f>
        <v>0</v>
      </c>
      <c r="G397" s="70">
        <f>COUNTIFS('Error Log'!$A:$A,$A397,'Error Log'!$J:$J,G$1)</f>
        <v>0</v>
      </c>
      <c r="H397" s="70">
        <f>COUNTIFS('Error Log'!$A:$A,$A397,'Error Log'!$F:$F,"Source")</f>
        <v>0</v>
      </c>
      <c r="I397" s="70">
        <f>COUNTIFS('Error Log'!$A:$A,$A397,'Error Log'!$F:$F,"Target")</f>
        <v>0</v>
      </c>
      <c r="J397" s="71">
        <f t="shared" si="6"/>
        <v>0</v>
      </c>
    </row>
    <row r="398" spans="1:10">
      <c r="A398" s="123"/>
      <c r="B398" s="70" t="str">
        <f>IF(ISBLANK(A398),"",INDEX('Error Log'!$A:$J,MATCH('Scores per segment'!$A398,'Error Log'!$A:$A,0),MATCH('Scores per segment'!B$1,'Error Log'!$A$1:$J$1,0)))</f>
        <v/>
      </c>
      <c r="C398" s="70" t="str">
        <f>IF(ISBLANK(A398),"",INDEX('Error Log'!$A:$J,MATCH('Scores per segment'!$A398,'Error Log'!$A:$A,0),MATCH('Scores per segment'!C$1,'Error Log'!$A$1:$J$1,0)))</f>
        <v/>
      </c>
      <c r="D398" s="70">
        <f>IF(H398=0,wdct(TRIM(C398)),0)</f>
        <v>0</v>
      </c>
      <c r="E398" s="70">
        <f>COUNTIFS('Error Log'!$A:$A,$A398,'Error Log'!$J:$J,E$1)</f>
        <v>0</v>
      </c>
      <c r="F398" s="70">
        <f>COUNTIFS('Error Log'!$A:$A,$A398,'Error Log'!$J:$J,F$1)</f>
        <v>0</v>
      </c>
      <c r="G398" s="70">
        <f>COUNTIFS('Error Log'!$A:$A,$A398,'Error Log'!$J:$J,G$1)</f>
        <v>0</v>
      </c>
      <c r="H398" s="70">
        <f>COUNTIFS('Error Log'!$A:$A,$A398,'Error Log'!$F:$F,"Source")</f>
        <v>0</v>
      </c>
      <c r="I398" s="70">
        <f>COUNTIFS('Error Log'!$A:$A,$A398,'Error Log'!$F:$F,"Target")</f>
        <v>0</v>
      </c>
      <c r="J398" s="71">
        <f t="shared" si="6"/>
        <v>0</v>
      </c>
    </row>
    <row r="399" spans="1:10">
      <c r="A399" s="123"/>
      <c r="B399" s="70" t="str">
        <f>IF(ISBLANK(A399),"",INDEX('Error Log'!$A:$J,MATCH('Scores per segment'!$A399,'Error Log'!$A:$A,0),MATCH('Scores per segment'!B$1,'Error Log'!$A$1:$J$1,0)))</f>
        <v/>
      </c>
      <c r="C399" s="70" t="str">
        <f>IF(ISBLANK(A399),"",INDEX('Error Log'!$A:$J,MATCH('Scores per segment'!$A399,'Error Log'!$A:$A,0),MATCH('Scores per segment'!C$1,'Error Log'!$A$1:$J$1,0)))</f>
        <v/>
      </c>
      <c r="D399" s="70">
        <f>IF(H399=0,wdct(TRIM(C399)),0)</f>
        <v>0</v>
      </c>
      <c r="E399" s="70">
        <f>COUNTIFS('Error Log'!$A:$A,$A399,'Error Log'!$J:$J,E$1)</f>
        <v>0</v>
      </c>
      <c r="F399" s="70">
        <f>COUNTIFS('Error Log'!$A:$A,$A399,'Error Log'!$J:$J,F$1)</f>
        <v>0</v>
      </c>
      <c r="G399" s="70">
        <f>COUNTIFS('Error Log'!$A:$A,$A399,'Error Log'!$J:$J,G$1)</f>
        <v>0</v>
      </c>
      <c r="H399" s="70">
        <f>COUNTIFS('Error Log'!$A:$A,$A399,'Error Log'!$F:$F,"Source")</f>
        <v>0</v>
      </c>
      <c r="I399" s="70">
        <f>COUNTIFS('Error Log'!$A:$A,$A399,'Error Log'!$F:$F,"Target")</f>
        <v>0</v>
      </c>
      <c r="J399" s="71">
        <f t="shared" si="6"/>
        <v>0</v>
      </c>
    </row>
    <row r="400" spans="1:10">
      <c r="A400" s="123"/>
      <c r="B400" s="70" t="str">
        <f>IF(ISBLANK(A400),"",INDEX('Error Log'!$A:$J,MATCH('Scores per segment'!$A400,'Error Log'!$A:$A,0),MATCH('Scores per segment'!B$1,'Error Log'!$A$1:$J$1,0)))</f>
        <v/>
      </c>
      <c r="C400" s="70" t="str">
        <f>IF(ISBLANK(A400),"",INDEX('Error Log'!$A:$J,MATCH('Scores per segment'!$A400,'Error Log'!$A:$A,0),MATCH('Scores per segment'!C$1,'Error Log'!$A$1:$J$1,0)))</f>
        <v/>
      </c>
      <c r="D400" s="70">
        <f>IF(H400=0,wdct(TRIM(C400)),0)</f>
        <v>0</v>
      </c>
      <c r="E400" s="70">
        <f>COUNTIFS('Error Log'!$A:$A,$A400,'Error Log'!$J:$J,E$1)</f>
        <v>0</v>
      </c>
      <c r="F400" s="70">
        <f>COUNTIFS('Error Log'!$A:$A,$A400,'Error Log'!$J:$J,F$1)</f>
        <v>0</v>
      </c>
      <c r="G400" s="70">
        <f>COUNTIFS('Error Log'!$A:$A,$A400,'Error Log'!$J:$J,G$1)</f>
        <v>0</v>
      </c>
      <c r="H400" s="70">
        <f>COUNTIFS('Error Log'!$A:$A,$A400,'Error Log'!$F:$F,"Source")</f>
        <v>0</v>
      </c>
      <c r="I400" s="70">
        <f>COUNTIFS('Error Log'!$A:$A,$A400,'Error Log'!$F:$F,"Target")</f>
        <v>0</v>
      </c>
      <c r="J400" s="71">
        <f t="shared" si="6"/>
        <v>0</v>
      </c>
    </row>
    <row r="401" spans="1:10">
      <c r="A401" s="123"/>
      <c r="B401" s="70" t="str">
        <f>IF(ISBLANK(A401),"",INDEX('Error Log'!$A:$J,MATCH('Scores per segment'!$A401,'Error Log'!$A:$A,0),MATCH('Scores per segment'!B$1,'Error Log'!$A$1:$J$1,0)))</f>
        <v/>
      </c>
      <c r="C401" s="70" t="str">
        <f>IF(ISBLANK(A401),"",INDEX('Error Log'!$A:$J,MATCH('Scores per segment'!$A401,'Error Log'!$A:$A,0),MATCH('Scores per segment'!C$1,'Error Log'!$A$1:$J$1,0)))</f>
        <v/>
      </c>
      <c r="D401" s="70">
        <f>IF(H401=0,wdct(TRIM(C401)),0)</f>
        <v>0</v>
      </c>
      <c r="E401" s="70">
        <f>COUNTIFS('Error Log'!$A:$A,$A401,'Error Log'!$J:$J,E$1)</f>
        <v>0</v>
      </c>
      <c r="F401" s="70">
        <f>COUNTIFS('Error Log'!$A:$A,$A401,'Error Log'!$J:$J,F$1)</f>
        <v>0</v>
      </c>
      <c r="G401" s="70">
        <f>COUNTIFS('Error Log'!$A:$A,$A401,'Error Log'!$J:$J,G$1)</f>
        <v>0</v>
      </c>
      <c r="H401" s="70">
        <f>COUNTIFS('Error Log'!$A:$A,$A401,'Error Log'!$F:$F,"Source")</f>
        <v>0</v>
      </c>
      <c r="I401" s="70">
        <f>COUNTIFS('Error Log'!$A:$A,$A401,'Error Log'!$F:$F,"Target")</f>
        <v>0</v>
      </c>
      <c r="J401" s="71">
        <f t="shared" si="6"/>
        <v>0</v>
      </c>
    </row>
    <row r="402" spans="1:10">
      <c r="A402" s="123"/>
      <c r="B402" s="70" t="str">
        <f>IF(ISBLANK(A402),"",INDEX('Error Log'!$A:$J,MATCH('Scores per segment'!$A402,'Error Log'!$A:$A,0),MATCH('Scores per segment'!B$1,'Error Log'!$A$1:$J$1,0)))</f>
        <v/>
      </c>
      <c r="C402" s="70" t="str">
        <f>IF(ISBLANK(A402),"",INDEX('Error Log'!$A:$J,MATCH('Scores per segment'!$A402,'Error Log'!$A:$A,0),MATCH('Scores per segment'!C$1,'Error Log'!$A$1:$J$1,0)))</f>
        <v/>
      </c>
      <c r="D402" s="70">
        <f>IF(H402=0,wdct(TRIM(C402)),0)</f>
        <v>0</v>
      </c>
      <c r="E402" s="70">
        <f>COUNTIFS('Error Log'!$A:$A,$A402,'Error Log'!$J:$J,E$1)</f>
        <v>0</v>
      </c>
      <c r="F402" s="70">
        <f>COUNTIFS('Error Log'!$A:$A,$A402,'Error Log'!$J:$J,F$1)</f>
        <v>0</v>
      </c>
      <c r="G402" s="70">
        <f>COUNTIFS('Error Log'!$A:$A,$A402,'Error Log'!$J:$J,G$1)</f>
        <v>0</v>
      </c>
      <c r="H402" s="70">
        <f>COUNTIFS('Error Log'!$A:$A,$A402,'Error Log'!$F:$F,"Source")</f>
        <v>0</v>
      </c>
      <c r="I402" s="70">
        <f>COUNTIFS('Error Log'!$A:$A,$A402,'Error Log'!$F:$F,"Target")</f>
        <v>0</v>
      </c>
      <c r="J402" s="71">
        <f t="shared" si="6"/>
        <v>0</v>
      </c>
    </row>
    <row r="403" spans="1:10">
      <c r="A403" s="123"/>
      <c r="B403" s="70" t="str">
        <f>IF(ISBLANK(A403),"",INDEX('Error Log'!$A:$J,MATCH('Scores per segment'!$A403,'Error Log'!$A:$A,0),MATCH('Scores per segment'!B$1,'Error Log'!$A$1:$J$1,0)))</f>
        <v/>
      </c>
      <c r="C403" s="70" t="str">
        <f>IF(ISBLANK(A403),"",INDEX('Error Log'!$A:$J,MATCH('Scores per segment'!$A403,'Error Log'!$A:$A,0),MATCH('Scores per segment'!C$1,'Error Log'!$A$1:$J$1,0)))</f>
        <v/>
      </c>
      <c r="D403" s="70">
        <f>IF(H403=0,wdct(TRIM(C403)),0)</f>
        <v>0</v>
      </c>
      <c r="E403" s="70">
        <f>COUNTIFS('Error Log'!$A:$A,$A403,'Error Log'!$J:$J,E$1)</f>
        <v>0</v>
      </c>
      <c r="F403" s="70">
        <f>COUNTIFS('Error Log'!$A:$A,$A403,'Error Log'!$J:$J,F$1)</f>
        <v>0</v>
      </c>
      <c r="G403" s="70">
        <f>COUNTIFS('Error Log'!$A:$A,$A403,'Error Log'!$J:$J,G$1)</f>
        <v>0</v>
      </c>
      <c r="H403" s="70">
        <f>COUNTIFS('Error Log'!$A:$A,$A403,'Error Log'!$F:$F,"Source")</f>
        <v>0</v>
      </c>
      <c r="I403" s="70">
        <f>COUNTIFS('Error Log'!$A:$A,$A403,'Error Log'!$F:$F,"Target")</f>
        <v>0</v>
      </c>
      <c r="J403" s="71">
        <f t="shared" si="6"/>
        <v>0</v>
      </c>
    </row>
    <row r="404" spans="1:10">
      <c r="A404" s="123"/>
      <c r="B404" s="70" t="str">
        <f>IF(ISBLANK(A404),"",INDEX('Error Log'!$A:$J,MATCH('Scores per segment'!$A404,'Error Log'!$A:$A,0),MATCH('Scores per segment'!B$1,'Error Log'!$A$1:$J$1,0)))</f>
        <v/>
      </c>
      <c r="C404" s="70" t="str">
        <f>IF(ISBLANK(A404),"",INDEX('Error Log'!$A:$J,MATCH('Scores per segment'!$A404,'Error Log'!$A:$A,0),MATCH('Scores per segment'!C$1,'Error Log'!$A$1:$J$1,0)))</f>
        <v/>
      </c>
      <c r="D404" s="70">
        <f>IF(H404=0,wdct(TRIM(C404)),0)</f>
        <v>0</v>
      </c>
      <c r="E404" s="70">
        <f>COUNTIFS('Error Log'!$A:$A,$A404,'Error Log'!$J:$J,E$1)</f>
        <v>0</v>
      </c>
      <c r="F404" s="70">
        <f>COUNTIFS('Error Log'!$A:$A,$A404,'Error Log'!$J:$J,F$1)</f>
        <v>0</v>
      </c>
      <c r="G404" s="70">
        <f>COUNTIFS('Error Log'!$A:$A,$A404,'Error Log'!$J:$J,G$1)</f>
        <v>0</v>
      </c>
      <c r="H404" s="70">
        <f>COUNTIFS('Error Log'!$A:$A,$A404,'Error Log'!$F:$F,"Source")</f>
        <v>0</v>
      </c>
      <c r="I404" s="70">
        <f>COUNTIFS('Error Log'!$A:$A,$A404,'Error Log'!$F:$F,"Target")</f>
        <v>0</v>
      </c>
      <c r="J404" s="71">
        <f t="shared" si="6"/>
        <v>0</v>
      </c>
    </row>
    <row r="405" spans="1:10">
      <c r="A405" s="123"/>
      <c r="B405" s="70" t="str">
        <f>IF(ISBLANK(A405),"",INDEX('Error Log'!$A:$J,MATCH('Scores per segment'!$A405,'Error Log'!$A:$A,0),MATCH('Scores per segment'!B$1,'Error Log'!$A$1:$J$1,0)))</f>
        <v/>
      </c>
      <c r="C405" s="70" t="str">
        <f>IF(ISBLANK(A405),"",INDEX('Error Log'!$A:$J,MATCH('Scores per segment'!$A405,'Error Log'!$A:$A,0),MATCH('Scores per segment'!C$1,'Error Log'!$A$1:$J$1,0)))</f>
        <v/>
      </c>
      <c r="D405" s="70">
        <f>IF(H405=0,wdct(TRIM(C405)),0)</f>
        <v>0</v>
      </c>
      <c r="E405" s="70">
        <f>COUNTIFS('Error Log'!$A:$A,$A405,'Error Log'!$J:$J,E$1)</f>
        <v>0</v>
      </c>
      <c r="F405" s="70">
        <f>COUNTIFS('Error Log'!$A:$A,$A405,'Error Log'!$J:$J,F$1)</f>
        <v>0</v>
      </c>
      <c r="G405" s="70">
        <f>COUNTIFS('Error Log'!$A:$A,$A405,'Error Log'!$J:$J,G$1)</f>
        <v>0</v>
      </c>
      <c r="H405" s="70">
        <f>COUNTIFS('Error Log'!$A:$A,$A405,'Error Log'!$F:$F,"Source")</f>
        <v>0</v>
      </c>
      <c r="I405" s="70">
        <f>COUNTIFS('Error Log'!$A:$A,$A405,'Error Log'!$F:$F,"Target")</f>
        <v>0</v>
      </c>
      <c r="J405" s="71">
        <f t="shared" si="6"/>
        <v>0</v>
      </c>
    </row>
    <row r="406" spans="1:10">
      <c r="A406" s="123"/>
      <c r="B406" s="70" t="str">
        <f>IF(ISBLANK(A406),"",INDEX('Error Log'!$A:$J,MATCH('Scores per segment'!$A406,'Error Log'!$A:$A,0),MATCH('Scores per segment'!B$1,'Error Log'!$A$1:$J$1,0)))</f>
        <v/>
      </c>
      <c r="C406" s="70" t="str">
        <f>IF(ISBLANK(A406),"",INDEX('Error Log'!$A:$J,MATCH('Scores per segment'!$A406,'Error Log'!$A:$A,0),MATCH('Scores per segment'!C$1,'Error Log'!$A$1:$J$1,0)))</f>
        <v/>
      </c>
      <c r="D406" s="70">
        <f>IF(H406=0,wdct(TRIM(C406)),0)</f>
        <v>0</v>
      </c>
      <c r="E406" s="70">
        <f>COUNTIFS('Error Log'!$A:$A,$A406,'Error Log'!$J:$J,E$1)</f>
        <v>0</v>
      </c>
      <c r="F406" s="70">
        <f>COUNTIFS('Error Log'!$A:$A,$A406,'Error Log'!$J:$J,F$1)</f>
        <v>0</v>
      </c>
      <c r="G406" s="70">
        <f>COUNTIFS('Error Log'!$A:$A,$A406,'Error Log'!$J:$J,G$1)</f>
        <v>0</v>
      </c>
      <c r="H406" s="70">
        <f>COUNTIFS('Error Log'!$A:$A,$A406,'Error Log'!$F:$F,"Source")</f>
        <v>0</v>
      </c>
      <c r="I406" s="70">
        <f>COUNTIFS('Error Log'!$A:$A,$A406,'Error Log'!$F:$F,"Target")</f>
        <v>0</v>
      </c>
      <c r="J406" s="71">
        <f t="shared" si="6"/>
        <v>0</v>
      </c>
    </row>
    <row r="407" spans="1:10">
      <c r="A407" s="123"/>
      <c r="B407" s="70" t="str">
        <f>IF(ISBLANK(A407),"",INDEX('Error Log'!$A:$J,MATCH('Scores per segment'!$A407,'Error Log'!$A:$A,0),MATCH('Scores per segment'!B$1,'Error Log'!$A$1:$J$1,0)))</f>
        <v/>
      </c>
      <c r="C407" s="70" t="str">
        <f>IF(ISBLANK(A407),"",INDEX('Error Log'!$A:$J,MATCH('Scores per segment'!$A407,'Error Log'!$A:$A,0),MATCH('Scores per segment'!C$1,'Error Log'!$A$1:$J$1,0)))</f>
        <v/>
      </c>
      <c r="D407" s="70">
        <f>IF(H407=0,wdct(TRIM(C407)),0)</f>
        <v>0</v>
      </c>
      <c r="E407" s="70">
        <f>COUNTIFS('Error Log'!$A:$A,$A407,'Error Log'!$J:$J,E$1)</f>
        <v>0</v>
      </c>
      <c r="F407" s="70">
        <f>COUNTIFS('Error Log'!$A:$A,$A407,'Error Log'!$J:$J,F$1)</f>
        <v>0</v>
      </c>
      <c r="G407" s="70">
        <f>COUNTIFS('Error Log'!$A:$A,$A407,'Error Log'!$J:$J,G$1)</f>
        <v>0</v>
      </c>
      <c r="H407" s="70">
        <f>COUNTIFS('Error Log'!$A:$A,$A407,'Error Log'!$F:$F,"Source")</f>
        <v>0</v>
      </c>
      <c r="I407" s="70">
        <f>COUNTIFS('Error Log'!$A:$A,$A407,'Error Log'!$F:$F,"Target")</f>
        <v>0</v>
      </c>
      <c r="J407" s="71">
        <f t="shared" si="6"/>
        <v>0</v>
      </c>
    </row>
    <row r="408" spans="1:10">
      <c r="A408" s="123"/>
      <c r="B408" s="70" t="str">
        <f>IF(ISBLANK(A408),"",INDEX('Error Log'!$A:$J,MATCH('Scores per segment'!$A408,'Error Log'!$A:$A,0),MATCH('Scores per segment'!B$1,'Error Log'!$A$1:$J$1,0)))</f>
        <v/>
      </c>
      <c r="C408" s="70" t="str">
        <f>IF(ISBLANK(A408),"",INDEX('Error Log'!$A:$J,MATCH('Scores per segment'!$A408,'Error Log'!$A:$A,0),MATCH('Scores per segment'!C$1,'Error Log'!$A$1:$J$1,0)))</f>
        <v/>
      </c>
      <c r="D408" s="70">
        <f>IF(H408=0,wdct(TRIM(C408)),0)</f>
        <v>0</v>
      </c>
      <c r="E408" s="70">
        <f>COUNTIFS('Error Log'!$A:$A,$A408,'Error Log'!$J:$J,E$1)</f>
        <v>0</v>
      </c>
      <c r="F408" s="70">
        <f>COUNTIFS('Error Log'!$A:$A,$A408,'Error Log'!$J:$J,F$1)</f>
        <v>0</v>
      </c>
      <c r="G408" s="70">
        <f>COUNTIFS('Error Log'!$A:$A,$A408,'Error Log'!$J:$J,G$1)</f>
        <v>0</v>
      </c>
      <c r="H408" s="70">
        <f>COUNTIFS('Error Log'!$A:$A,$A408,'Error Log'!$F:$F,"Source")</f>
        <v>0</v>
      </c>
      <c r="I408" s="70">
        <f>COUNTIFS('Error Log'!$A:$A,$A408,'Error Log'!$F:$F,"Target")</f>
        <v>0</v>
      </c>
      <c r="J408" s="71">
        <f t="shared" si="6"/>
        <v>0</v>
      </c>
    </row>
    <row r="409" spans="1:10">
      <c r="A409" s="123"/>
      <c r="B409" s="70" t="str">
        <f>IF(ISBLANK(A409),"",INDEX('Error Log'!$A:$J,MATCH('Scores per segment'!$A409,'Error Log'!$A:$A,0),MATCH('Scores per segment'!B$1,'Error Log'!$A$1:$J$1,0)))</f>
        <v/>
      </c>
      <c r="C409" s="70" t="str">
        <f>IF(ISBLANK(A409),"",INDEX('Error Log'!$A:$J,MATCH('Scores per segment'!$A409,'Error Log'!$A:$A,0),MATCH('Scores per segment'!C$1,'Error Log'!$A$1:$J$1,0)))</f>
        <v/>
      </c>
      <c r="D409" s="70">
        <f>IF(H409=0,wdct(TRIM(C409)),0)</f>
        <v>0</v>
      </c>
      <c r="E409" s="70">
        <f>COUNTIFS('Error Log'!$A:$A,$A409,'Error Log'!$J:$J,E$1)</f>
        <v>0</v>
      </c>
      <c r="F409" s="70">
        <f>COUNTIFS('Error Log'!$A:$A,$A409,'Error Log'!$J:$J,F$1)</f>
        <v>0</v>
      </c>
      <c r="G409" s="70">
        <f>COUNTIFS('Error Log'!$A:$A,$A409,'Error Log'!$J:$J,G$1)</f>
        <v>0</v>
      </c>
      <c r="H409" s="70">
        <f>COUNTIFS('Error Log'!$A:$A,$A409,'Error Log'!$F:$F,"Source")</f>
        <v>0</v>
      </c>
      <c r="I409" s="70">
        <f>COUNTIFS('Error Log'!$A:$A,$A409,'Error Log'!$F:$F,"Target")</f>
        <v>0</v>
      </c>
      <c r="J409" s="71">
        <f t="shared" si="6"/>
        <v>0</v>
      </c>
    </row>
    <row r="410" spans="1:10">
      <c r="A410" s="123"/>
      <c r="B410" s="70" t="str">
        <f>IF(ISBLANK(A410),"",INDEX('Error Log'!$A:$J,MATCH('Scores per segment'!$A410,'Error Log'!$A:$A,0),MATCH('Scores per segment'!B$1,'Error Log'!$A$1:$J$1,0)))</f>
        <v/>
      </c>
      <c r="C410" s="70" t="str">
        <f>IF(ISBLANK(A410),"",INDEX('Error Log'!$A:$J,MATCH('Scores per segment'!$A410,'Error Log'!$A:$A,0),MATCH('Scores per segment'!C$1,'Error Log'!$A$1:$J$1,0)))</f>
        <v/>
      </c>
      <c r="D410" s="70">
        <f>IF(H410=0,wdct(TRIM(C410)),0)</f>
        <v>0</v>
      </c>
      <c r="E410" s="70">
        <f>COUNTIFS('Error Log'!$A:$A,$A410,'Error Log'!$J:$J,E$1)</f>
        <v>0</v>
      </c>
      <c r="F410" s="70">
        <f>COUNTIFS('Error Log'!$A:$A,$A410,'Error Log'!$J:$J,F$1)</f>
        <v>0</v>
      </c>
      <c r="G410" s="70">
        <f>COUNTIFS('Error Log'!$A:$A,$A410,'Error Log'!$J:$J,G$1)</f>
        <v>0</v>
      </c>
      <c r="H410" s="70">
        <f>COUNTIFS('Error Log'!$A:$A,$A410,'Error Log'!$F:$F,"Source")</f>
        <v>0</v>
      </c>
      <c r="I410" s="70">
        <f>COUNTIFS('Error Log'!$A:$A,$A410,'Error Log'!$F:$F,"Target")</f>
        <v>0</v>
      </c>
      <c r="J410" s="71">
        <f t="shared" si="6"/>
        <v>0</v>
      </c>
    </row>
    <row r="411" spans="1:10">
      <c r="A411" s="123"/>
      <c r="B411" s="70" t="str">
        <f>IF(ISBLANK(A411),"",INDEX('Error Log'!$A:$J,MATCH('Scores per segment'!$A411,'Error Log'!$A:$A,0),MATCH('Scores per segment'!B$1,'Error Log'!$A$1:$J$1,0)))</f>
        <v/>
      </c>
      <c r="C411" s="70" t="str">
        <f>IF(ISBLANK(A411),"",INDEX('Error Log'!$A:$J,MATCH('Scores per segment'!$A411,'Error Log'!$A:$A,0),MATCH('Scores per segment'!C$1,'Error Log'!$A$1:$J$1,0)))</f>
        <v/>
      </c>
      <c r="D411" s="70">
        <f>IF(H411=0,wdct(TRIM(C411)),0)</f>
        <v>0</v>
      </c>
      <c r="E411" s="70">
        <f>COUNTIFS('Error Log'!$A:$A,$A411,'Error Log'!$J:$J,E$1)</f>
        <v>0</v>
      </c>
      <c r="F411" s="70">
        <f>COUNTIFS('Error Log'!$A:$A,$A411,'Error Log'!$J:$J,F$1)</f>
        <v>0</v>
      </c>
      <c r="G411" s="70">
        <f>COUNTIFS('Error Log'!$A:$A,$A411,'Error Log'!$J:$J,G$1)</f>
        <v>0</v>
      </c>
      <c r="H411" s="70">
        <f>COUNTIFS('Error Log'!$A:$A,$A411,'Error Log'!$F:$F,"Source")</f>
        <v>0</v>
      </c>
      <c r="I411" s="70">
        <f>COUNTIFS('Error Log'!$A:$A,$A411,'Error Log'!$F:$F,"Target")</f>
        <v>0</v>
      </c>
      <c r="J411" s="71">
        <f t="shared" si="6"/>
        <v>0</v>
      </c>
    </row>
    <row r="412" spans="1:10">
      <c r="A412" s="123"/>
      <c r="B412" s="70" t="str">
        <f>IF(ISBLANK(A412),"",INDEX('Error Log'!$A:$J,MATCH('Scores per segment'!$A412,'Error Log'!$A:$A,0),MATCH('Scores per segment'!B$1,'Error Log'!$A$1:$J$1,0)))</f>
        <v/>
      </c>
      <c r="C412" s="70" t="str">
        <f>IF(ISBLANK(A412),"",INDEX('Error Log'!$A:$J,MATCH('Scores per segment'!$A412,'Error Log'!$A:$A,0),MATCH('Scores per segment'!C$1,'Error Log'!$A$1:$J$1,0)))</f>
        <v/>
      </c>
      <c r="D412" s="70">
        <f>IF(H412=0,wdct(TRIM(C412)),0)</f>
        <v>0</v>
      </c>
      <c r="E412" s="70">
        <f>COUNTIFS('Error Log'!$A:$A,$A412,'Error Log'!$J:$J,E$1)</f>
        <v>0</v>
      </c>
      <c r="F412" s="70">
        <f>COUNTIFS('Error Log'!$A:$A,$A412,'Error Log'!$J:$J,F$1)</f>
        <v>0</v>
      </c>
      <c r="G412" s="70">
        <f>COUNTIFS('Error Log'!$A:$A,$A412,'Error Log'!$J:$J,G$1)</f>
        <v>0</v>
      </c>
      <c r="H412" s="70">
        <f>COUNTIFS('Error Log'!$A:$A,$A412,'Error Log'!$F:$F,"Source")</f>
        <v>0</v>
      </c>
      <c r="I412" s="70">
        <f>COUNTIFS('Error Log'!$A:$A,$A412,'Error Log'!$F:$F,"Target")</f>
        <v>0</v>
      </c>
      <c r="J412" s="71">
        <f t="shared" si="6"/>
        <v>0</v>
      </c>
    </row>
    <row r="413" spans="1:10">
      <c r="A413" s="123"/>
      <c r="B413" s="70" t="str">
        <f>IF(ISBLANK(A413),"",INDEX('Error Log'!$A:$J,MATCH('Scores per segment'!$A413,'Error Log'!$A:$A,0),MATCH('Scores per segment'!B$1,'Error Log'!$A$1:$J$1,0)))</f>
        <v/>
      </c>
      <c r="C413" s="70" t="str">
        <f>IF(ISBLANK(A413),"",INDEX('Error Log'!$A:$J,MATCH('Scores per segment'!$A413,'Error Log'!$A:$A,0),MATCH('Scores per segment'!C$1,'Error Log'!$A$1:$J$1,0)))</f>
        <v/>
      </c>
      <c r="D413" s="70">
        <f>IF(H413=0,wdct(TRIM(C413)),0)</f>
        <v>0</v>
      </c>
      <c r="E413" s="70">
        <f>COUNTIFS('Error Log'!$A:$A,$A413,'Error Log'!$J:$J,E$1)</f>
        <v>0</v>
      </c>
      <c r="F413" s="70">
        <f>COUNTIFS('Error Log'!$A:$A,$A413,'Error Log'!$J:$J,F$1)</f>
        <v>0</v>
      </c>
      <c r="G413" s="70">
        <f>COUNTIFS('Error Log'!$A:$A,$A413,'Error Log'!$J:$J,G$1)</f>
        <v>0</v>
      </c>
      <c r="H413" s="70">
        <f>COUNTIFS('Error Log'!$A:$A,$A413,'Error Log'!$F:$F,"Source")</f>
        <v>0</v>
      </c>
      <c r="I413" s="70">
        <f>COUNTIFS('Error Log'!$A:$A,$A413,'Error Log'!$F:$F,"Target")</f>
        <v>0</v>
      </c>
      <c r="J413" s="71">
        <f t="shared" si="6"/>
        <v>0</v>
      </c>
    </row>
    <row r="414" spans="1:10">
      <c r="A414" s="123"/>
      <c r="B414" s="70" t="str">
        <f>IF(ISBLANK(A414),"",INDEX('Error Log'!$A:$J,MATCH('Scores per segment'!$A414,'Error Log'!$A:$A,0),MATCH('Scores per segment'!B$1,'Error Log'!$A$1:$J$1,0)))</f>
        <v/>
      </c>
      <c r="C414" s="70" t="str">
        <f>IF(ISBLANK(A414),"",INDEX('Error Log'!$A:$J,MATCH('Scores per segment'!$A414,'Error Log'!$A:$A,0),MATCH('Scores per segment'!C$1,'Error Log'!$A$1:$J$1,0)))</f>
        <v/>
      </c>
      <c r="D414" s="70">
        <f>IF(H414=0,wdct(TRIM(C414)),0)</f>
        <v>0</v>
      </c>
      <c r="E414" s="70">
        <f>COUNTIFS('Error Log'!$A:$A,$A414,'Error Log'!$J:$J,E$1)</f>
        <v>0</v>
      </c>
      <c r="F414" s="70">
        <f>COUNTIFS('Error Log'!$A:$A,$A414,'Error Log'!$J:$J,F$1)</f>
        <v>0</v>
      </c>
      <c r="G414" s="70">
        <f>COUNTIFS('Error Log'!$A:$A,$A414,'Error Log'!$J:$J,G$1)</f>
        <v>0</v>
      </c>
      <c r="H414" s="70">
        <f>COUNTIFS('Error Log'!$A:$A,$A414,'Error Log'!$F:$F,"Source")</f>
        <v>0</v>
      </c>
      <c r="I414" s="70">
        <f>COUNTIFS('Error Log'!$A:$A,$A414,'Error Log'!$F:$F,"Target")</f>
        <v>0</v>
      </c>
      <c r="J414" s="71">
        <f t="shared" si="6"/>
        <v>0</v>
      </c>
    </row>
    <row r="415" spans="1:10">
      <c r="A415" s="123"/>
      <c r="B415" s="70" t="str">
        <f>IF(ISBLANK(A415),"",INDEX('Error Log'!$A:$J,MATCH('Scores per segment'!$A415,'Error Log'!$A:$A,0),MATCH('Scores per segment'!B$1,'Error Log'!$A$1:$J$1,0)))</f>
        <v/>
      </c>
      <c r="C415" s="70" t="str">
        <f>IF(ISBLANK(A415),"",INDEX('Error Log'!$A:$J,MATCH('Scores per segment'!$A415,'Error Log'!$A:$A,0),MATCH('Scores per segment'!C$1,'Error Log'!$A$1:$J$1,0)))</f>
        <v/>
      </c>
      <c r="D415" s="70">
        <f>IF(H415=0,wdct(TRIM(C415)),0)</f>
        <v>0</v>
      </c>
      <c r="E415" s="70">
        <f>COUNTIFS('Error Log'!$A:$A,$A415,'Error Log'!$J:$J,E$1)</f>
        <v>0</v>
      </c>
      <c r="F415" s="70">
        <f>COUNTIFS('Error Log'!$A:$A,$A415,'Error Log'!$J:$J,F$1)</f>
        <v>0</v>
      </c>
      <c r="G415" s="70">
        <f>COUNTIFS('Error Log'!$A:$A,$A415,'Error Log'!$J:$J,G$1)</f>
        <v>0</v>
      </c>
      <c r="H415" s="70">
        <f>COUNTIFS('Error Log'!$A:$A,$A415,'Error Log'!$F:$F,"Source")</f>
        <v>0</v>
      </c>
      <c r="I415" s="70">
        <f>COUNTIFS('Error Log'!$A:$A,$A415,'Error Log'!$F:$F,"Target")</f>
        <v>0</v>
      </c>
      <c r="J415" s="71">
        <f t="shared" si="6"/>
        <v>0</v>
      </c>
    </row>
    <row r="416" spans="1:10">
      <c r="A416" s="123"/>
      <c r="B416" s="70" t="str">
        <f>IF(ISBLANK(A416),"",INDEX('Error Log'!$A:$J,MATCH('Scores per segment'!$A416,'Error Log'!$A:$A,0),MATCH('Scores per segment'!B$1,'Error Log'!$A$1:$J$1,0)))</f>
        <v/>
      </c>
      <c r="C416" s="70" t="str">
        <f>IF(ISBLANK(A416),"",INDEX('Error Log'!$A:$J,MATCH('Scores per segment'!$A416,'Error Log'!$A:$A,0),MATCH('Scores per segment'!C$1,'Error Log'!$A$1:$J$1,0)))</f>
        <v/>
      </c>
      <c r="D416" s="70">
        <f>IF(H416=0,wdct(TRIM(C416)),0)</f>
        <v>0</v>
      </c>
      <c r="E416" s="70">
        <f>COUNTIFS('Error Log'!$A:$A,$A416,'Error Log'!$J:$J,E$1)</f>
        <v>0</v>
      </c>
      <c r="F416" s="70">
        <f>COUNTIFS('Error Log'!$A:$A,$A416,'Error Log'!$J:$J,F$1)</f>
        <v>0</v>
      </c>
      <c r="G416" s="70">
        <f>COUNTIFS('Error Log'!$A:$A,$A416,'Error Log'!$J:$J,G$1)</f>
        <v>0</v>
      </c>
      <c r="H416" s="70">
        <f>COUNTIFS('Error Log'!$A:$A,$A416,'Error Log'!$F:$F,"Source")</f>
        <v>0</v>
      </c>
      <c r="I416" s="70">
        <f>COUNTIFS('Error Log'!$A:$A,$A416,'Error Log'!$F:$F,"Target")</f>
        <v>0</v>
      </c>
      <c r="J416" s="71">
        <f t="shared" si="6"/>
        <v>0</v>
      </c>
    </row>
    <row r="417" spans="1:10">
      <c r="A417" s="123"/>
      <c r="B417" s="70" t="str">
        <f>IF(ISBLANK(A417),"",INDEX('Error Log'!$A:$J,MATCH('Scores per segment'!$A417,'Error Log'!$A:$A,0),MATCH('Scores per segment'!B$1,'Error Log'!$A$1:$J$1,0)))</f>
        <v/>
      </c>
      <c r="C417" s="70" t="str">
        <f>IF(ISBLANK(A417),"",INDEX('Error Log'!$A:$J,MATCH('Scores per segment'!$A417,'Error Log'!$A:$A,0),MATCH('Scores per segment'!C$1,'Error Log'!$A$1:$J$1,0)))</f>
        <v/>
      </c>
      <c r="D417" s="70">
        <f>IF(H417=0,wdct(TRIM(C417)),0)</f>
        <v>0</v>
      </c>
      <c r="E417" s="70">
        <f>COUNTIFS('Error Log'!$A:$A,$A417,'Error Log'!$J:$J,E$1)</f>
        <v>0</v>
      </c>
      <c r="F417" s="70">
        <f>COUNTIFS('Error Log'!$A:$A,$A417,'Error Log'!$J:$J,F$1)</f>
        <v>0</v>
      </c>
      <c r="G417" s="70">
        <f>COUNTIFS('Error Log'!$A:$A,$A417,'Error Log'!$J:$J,G$1)</f>
        <v>0</v>
      </c>
      <c r="H417" s="70">
        <f>COUNTIFS('Error Log'!$A:$A,$A417,'Error Log'!$F:$F,"Source")</f>
        <v>0</v>
      </c>
      <c r="I417" s="70">
        <f>COUNTIFS('Error Log'!$A:$A,$A417,'Error Log'!$F:$F,"Target")</f>
        <v>0</v>
      </c>
      <c r="J417" s="71">
        <f t="shared" si="6"/>
        <v>0</v>
      </c>
    </row>
    <row r="418" spans="1:10">
      <c r="A418" s="123"/>
      <c r="B418" s="70" t="str">
        <f>IF(ISBLANK(A418),"",INDEX('Error Log'!$A:$J,MATCH('Scores per segment'!$A418,'Error Log'!$A:$A,0),MATCH('Scores per segment'!B$1,'Error Log'!$A$1:$J$1,0)))</f>
        <v/>
      </c>
      <c r="C418" s="70" t="str">
        <f>IF(ISBLANK(A418),"",INDEX('Error Log'!$A:$J,MATCH('Scores per segment'!$A418,'Error Log'!$A:$A,0),MATCH('Scores per segment'!C$1,'Error Log'!$A$1:$J$1,0)))</f>
        <v/>
      </c>
      <c r="D418" s="70">
        <f>IF(H418=0,wdct(TRIM(C418)),0)</f>
        <v>0</v>
      </c>
      <c r="E418" s="70">
        <f>COUNTIFS('Error Log'!$A:$A,$A418,'Error Log'!$J:$J,E$1)</f>
        <v>0</v>
      </c>
      <c r="F418" s="70">
        <f>COUNTIFS('Error Log'!$A:$A,$A418,'Error Log'!$J:$J,F$1)</f>
        <v>0</v>
      </c>
      <c r="G418" s="70">
        <f>COUNTIFS('Error Log'!$A:$A,$A418,'Error Log'!$J:$J,G$1)</f>
        <v>0</v>
      </c>
      <c r="H418" s="70">
        <f>COUNTIFS('Error Log'!$A:$A,$A418,'Error Log'!$F:$F,"Source")</f>
        <v>0</v>
      </c>
      <c r="I418" s="70">
        <f>COUNTIFS('Error Log'!$A:$A,$A418,'Error Log'!$F:$F,"Target")</f>
        <v>0</v>
      </c>
      <c r="J418" s="71">
        <f t="shared" si="6"/>
        <v>0</v>
      </c>
    </row>
    <row r="419" spans="1:10">
      <c r="A419" s="123"/>
      <c r="B419" s="70" t="str">
        <f>IF(ISBLANK(A419),"",INDEX('Error Log'!$A:$J,MATCH('Scores per segment'!$A419,'Error Log'!$A:$A,0),MATCH('Scores per segment'!B$1,'Error Log'!$A$1:$J$1,0)))</f>
        <v/>
      </c>
      <c r="C419" s="70" t="str">
        <f>IF(ISBLANK(A419),"",INDEX('Error Log'!$A:$J,MATCH('Scores per segment'!$A419,'Error Log'!$A:$A,0),MATCH('Scores per segment'!C$1,'Error Log'!$A$1:$J$1,0)))</f>
        <v/>
      </c>
      <c r="D419" s="70">
        <f>IF(H419=0,wdct(TRIM(C419)),0)</f>
        <v>0</v>
      </c>
      <c r="E419" s="70">
        <f>COUNTIFS('Error Log'!$A:$A,$A419,'Error Log'!$J:$J,E$1)</f>
        <v>0</v>
      </c>
      <c r="F419" s="70">
        <f>COUNTIFS('Error Log'!$A:$A,$A419,'Error Log'!$J:$J,F$1)</f>
        <v>0</v>
      </c>
      <c r="G419" s="70">
        <f>COUNTIFS('Error Log'!$A:$A,$A419,'Error Log'!$J:$J,G$1)</f>
        <v>0</v>
      </c>
      <c r="H419" s="70">
        <f>COUNTIFS('Error Log'!$A:$A,$A419,'Error Log'!$F:$F,"Source")</f>
        <v>0</v>
      </c>
      <c r="I419" s="70">
        <f>COUNTIFS('Error Log'!$A:$A,$A419,'Error Log'!$F:$F,"Target")</f>
        <v>0</v>
      </c>
      <c r="J419" s="71">
        <f t="shared" si="6"/>
        <v>0</v>
      </c>
    </row>
    <row r="420" spans="1:10">
      <c r="A420" s="123"/>
      <c r="B420" s="70" t="str">
        <f>IF(ISBLANK(A420),"",INDEX('Error Log'!$A:$J,MATCH('Scores per segment'!$A420,'Error Log'!$A:$A,0),MATCH('Scores per segment'!B$1,'Error Log'!$A$1:$J$1,0)))</f>
        <v/>
      </c>
      <c r="C420" s="70" t="str">
        <f>IF(ISBLANK(A420),"",INDEX('Error Log'!$A:$J,MATCH('Scores per segment'!$A420,'Error Log'!$A:$A,0),MATCH('Scores per segment'!C$1,'Error Log'!$A$1:$J$1,0)))</f>
        <v/>
      </c>
      <c r="D420" s="70">
        <f>IF(H420=0,wdct(TRIM(C420)),0)</f>
        <v>0</v>
      </c>
      <c r="E420" s="70">
        <f>COUNTIFS('Error Log'!$A:$A,$A420,'Error Log'!$J:$J,E$1)</f>
        <v>0</v>
      </c>
      <c r="F420" s="70">
        <f>COUNTIFS('Error Log'!$A:$A,$A420,'Error Log'!$J:$J,F$1)</f>
        <v>0</v>
      </c>
      <c r="G420" s="70">
        <f>COUNTIFS('Error Log'!$A:$A,$A420,'Error Log'!$J:$J,G$1)</f>
        <v>0</v>
      </c>
      <c r="H420" s="70">
        <f>COUNTIFS('Error Log'!$A:$A,$A420,'Error Log'!$F:$F,"Source")</f>
        <v>0</v>
      </c>
      <c r="I420" s="70">
        <f>COUNTIFS('Error Log'!$A:$A,$A420,'Error Log'!$F:$F,"Target")</f>
        <v>0</v>
      </c>
      <c r="J420" s="71">
        <f t="shared" si="6"/>
        <v>0</v>
      </c>
    </row>
    <row r="421" spans="1:10">
      <c r="A421" s="123"/>
      <c r="B421" s="70" t="str">
        <f>IF(ISBLANK(A421),"",INDEX('Error Log'!$A:$J,MATCH('Scores per segment'!$A421,'Error Log'!$A:$A,0),MATCH('Scores per segment'!B$1,'Error Log'!$A$1:$J$1,0)))</f>
        <v/>
      </c>
      <c r="C421" s="70" t="str">
        <f>IF(ISBLANK(A421),"",INDEX('Error Log'!$A:$J,MATCH('Scores per segment'!$A421,'Error Log'!$A:$A,0),MATCH('Scores per segment'!C$1,'Error Log'!$A$1:$J$1,0)))</f>
        <v/>
      </c>
      <c r="D421" s="70">
        <f>IF(H421=0,wdct(TRIM(C421)),0)</f>
        <v>0</v>
      </c>
      <c r="E421" s="70">
        <f>COUNTIFS('Error Log'!$A:$A,$A421,'Error Log'!$J:$J,E$1)</f>
        <v>0</v>
      </c>
      <c r="F421" s="70">
        <f>COUNTIFS('Error Log'!$A:$A,$A421,'Error Log'!$J:$J,F$1)</f>
        <v>0</v>
      </c>
      <c r="G421" s="70">
        <f>COUNTIFS('Error Log'!$A:$A,$A421,'Error Log'!$J:$J,G$1)</f>
        <v>0</v>
      </c>
      <c r="H421" s="70">
        <f>COUNTIFS('Error Log'!$A:$A,$A421,'Error Log'!$F:$F,"Source")</f>
        <v>0</v>
      </c>
      <c r="I421" s="70">
        <f>COUNTIFS('Error Log'!$A:$A,$A421,'Error Log'!$F:$F,"Target")</f>
        <v>0</v>
      </c>
      <c r="J421" s="71">
        <f t="shared" si="6"/>
        <v>0</v>
      </c>
    </row>
    <row r="422" spans="1:10">
      <c r="A422" s="123"/>
      <c r="B422" s="70" t="str">
        <f>IF(ISBLANK(A422),"",INDEX('Error Log'!$A:$J,MATCH('Scores per segment'!$A422,'Error Log'!$A:$A,0),MATCH('Scores per segment'!B$1,'Error Log'!$A$1:$J$1,0)))</f>
        <v/>
      </c>
      <c r="C422" s="70" t="str">
        <f>IF(ISBLANK(A422),"",INDEX('Error Log'!$A:$J,MATCH('Scores per segment'!$A422,'Error Log'!$A:$A,0),MATCH('Scores per segment'!C$1,'Error Log'!$A$1:$J$1,0)))</f>
        <v/>
      </c>
      <c r="D422" s="70">
        <f>IF(H422=0,wdct(TRIM(C422)),0)</f>
        <v>0</v>
      </c>
      <c r="E422" s="70">
        <f>COUNTIFS('Error Log'!$A:$A,$A422,'Error Log'!$J:$J,E$1)</f>
        <v>0</v>
      </c>
      <c r="F422" s="70">
        <f>COUNTIFS('Error Log'!$A:$A,$A422,'Error Log'!$J:$J,F$1)</f>
        <v>0</v>
      </c>
      <c r="G422" s="70">
        <f>COUNTIFS('Error Log'!$A:$A,$A422,'Error Log'!$J:$J,G$1)</f>
        <v>0</v>
      </c>
      <c r="H422" s="70">
        <f>COUNTIFS('Error Log'!$A:$A,$A422,'Error Log'!$F:$F,"Source")</f>
        <v>0</v>
      </c>
      <c r="I422" s="70">
        <f>COUNTIFS('Error Log'!$A:$A,$A422,'Error Log'!$F:$F,"Target")</f>
        <v>0</v>
      </c>
      <c r="J422" s="71">
        <f t="shared" si="6"/>
        <v>0</v>
      </c>
    </row>
    <row r="423" spans="1:10">
      <c r="A423" s="123"/>
      <c r="B423" s="70" t="str">
        <f>IF(ISBLANK(A423),"",INDEX('Error Log'!$A:$J,MATCH('Scores per segment'!$A423,'Error Log'!$A:$A,0),MATCH('Scores per segment'!B$1,'Error Log'!$A$1:$J$1,0)))</f>
        <v/>
      </c>
      <c r="C423" s="70" t="str">
        <f>IF(ISBLANK(A423),"",INDEX('Error Log'!$A:$J,MATCH('Scores per segment'!$A423,'Error Log'!$A:$A,0),MATCH('Scores per segment'!C$1,'Error Log'!$A$1:$J$1,0)))</f>
        <v/>
      </c>
      <c r="D423" s="70">
        <f>IF(H423=0,wdct(TRIM(C423)),0)</f>
        <v>0</v>
      </c>
      <c r="E423" s="70">
        <f>COUNTIFS('Error Log'!$A:$A,$A423,'Error Log'!$J:$J,E$1)</f>
        <v>0</v>
      </c>
      <c r="F423" s="70">
        <f>COUNTIFS('Error Log'!$A:$A,$A423,'Error Log'!$J:$J,F$1)</f>
        <v>0</v>
      </c>
      <c r="G423" s="70">
        <f>COUNTIFS('Error Log'!$A:$A,$A423,'Error Log'!$J:$J,G$1)</f>
        <v>0</v>
      </c>
      <c r="H423" s="70">
        <f>COUNTIFS('Error Log'!$A:$A,$A423,'Error Log'!$F:$F,"Source")</f>
        <v>0</v>
      </c>
      <c r="I423" s="70">
        <f>COUNTIFS('Error Log'!$A:$A,$A423,'Error Log'!$F:$F,"Target")</f>
        <v>0</v>
      </c>
      <c r="J423" s="71">
        <f t="shared" si="6"/>
        <v>0</v>
      </c>
    </row>
    <row r="424" spans="1:10">
      <c r="A424" s="123"/>
      <c r="B424" s="70" t="str">
        <f>IF(ISBLANK(A424),"",INDEX('Error Log'!$A:$J,MATCH('Scores per segment'!$A424,'Error Log'!$A:$A,0),MATCH('Scores per segment'!B$1,'Error Log'!$A$1:$J$1,0)))</f>
        <v/>
      </c>
      <c r="C424" s="70" t="str">
        <f>IF(ISBLANK(A424),"",INDEX('Error Log'!$A:$J,MATCH('Scores per segment'!$A424,'Error Log'!$A:$A,0),MATCH('Scores per segment'!C$1,'Error Log'!$A$1:$J$1,0)))</f>
        <v/>
      </c>
      <c r="D424" s="70">
        <f>IF(H424=0,wdct(TRIM(C424)),0)</f>
        <v>0</v>
      </c>
      <c r="E424" s="70">
        <f>COUNTIFS('Error Log'!$A:$A,$A424,'Error Log'!$J:$J,E$1)</f>
        <v>0</v>
      </c>
      <c r="F424" s="70">
        <f>COUNTIFS('Error Log'!$A:$A,$A424,'Error Log'!$J:$J,F$1)</f>
        <v>0</v>
      </c>
      <c r="G424" s="70">
        <f>COUNTIFS('Error Log'!$A:$A,$A424,'Error Log'!$J:$J,G$1)</f>
        <v>0</v>
      </c>
      <c r="H424" s="70">
        <f>COUNTIFS('Error Log'!$A:$A,$A424,'Error Log'!$F:$F,"Source")</f>
        <v>0</v>
      </c>
      <c r="I424" s="70">
        <f>COUNTIFS('Error Log'!$A:$A,$A424,'Error Log'!$F:$F,"Target")</f>
        <v>0</v>
      </c>
      <c r="J424" s="71">
        <f t="shared" si="6"/>
        <v>0</v>
      </c>
    </row>
    <row r="425" spans="1:10">
      <c r="A425" s="123"/>
      <c r="B425" s="70" t="str">
        <f>IF(ISBLANK(A425),"",INDEX('Error Log'!$A:$J,MATCH('Scores per segment'!$A425,'Error Log'!$A:$A,0),MATCH('Scores per segment'!B$1,'Error Log'!$A$1:$J$1,0)))</f>
        <v/>
      </c>
      <c r="C425" s="70" t="str">
        <f>IF(ISBLANK(A425),"",INDEX('Error Log'!$A:$J,MATCH('Scores per segment'!$A425,'Error Log'!$A:$A,0),MATCH('Scores per segment'!C$1,'Error Log'!$A$1:$J$1,0)))</f>
        <v/>
      </c>
      <c r="D425" s="70">
        <f>IF(H425=0,wdct(TRIM(C425)),0)</f>
        <v>0</v>
      </c>
      <c r="E425" s="70">
        <f>COUNTIFS('Error Log'!$A:$A,$A425,'Error Log'!$J:$J,E$1)</f>
        <v>0</v>
      </c>
      <c r="F425" s="70">
        <f>COUNTIFS('Error Log'!$A:$A,$A425,'Error Log'!$J:$J,F$1)</f>
        <v>0</v>
      </c>
      <c r="G425" s="70">
        <f>COUNTIFS('Error Log'!$A:$A,$A425,'Error Log'!$J:$J,G$1)</f>
        <v>0</v>
      </c>
      <c r="H425" s="70">
        <f>COUNTIFS('Error Log'!$A:$A,$A425,'Error Log'!$F:$F,"Source")</f>
        <v>0</v>
      </c>
      <c r="I425" s="70">
        <f>COUNTIFS('Error Log'!$A:$A,$A425,'Error Log'!$F:$F,"Target")</f>
        <v>0</v>
      </c>
      <c r="J425" s="71">
        <f t="shared" si="6"/>
        <v>0</v>
      </c>
    </row>
    <row r="426" spans="1:10">
      <c r="A426" s="123"/>
      <c r="B426" s="70" t="str">
        <f>IF(ISBLANK(A426),"",INDEX('Error Log'!$A:$J,MATCH('Scores per segment'!$A426,'Error Log'!$A:$A,0),MATCH('Scores per segment'!B$1,'Error Log'!$A$1:$J$1,0)))</f>
        <v/>
      </c>
      <c r="C426" s="70" t="str">
        <f>IF(ISBLANK(A426),"",INDEX('Error Log'!$A:$J,MATCH('Scores per segment'!$A426,'Error Log'!$A:$A,0),MATCH('Scores per segment'!C$1,'Error Log'!$A$1:$J$1,0)))</f>
        <v/>
      </c>
      <c r="D426" s="70">
        <f>IF(H426=0,wdct(TRIM(C426)),0)</f>
        <v>0</v>
      </c>
      <c r="E426" s="70">
        <f>COUNTIFS('Error Log'!$A:$A,$A426,'Error Log'!$J:$J,E$1)</f>
        <v>0</v>
      </c>
      <c r="F426" s="70">
        <f>COUNTIFS('Error Log'!$A:$A,$A426,'Error Log'!$J:$J,F$1)</f>
        <v>0</v>
      </c>
      <c r="G426" s="70">
        <f>COUNTIFS('Error Log'!$A:$A,$A426,'Error Log'!$J:$J,G$1)</f>
        <v>0</v>
      </c>
      <c r="H426" s="70">
        <f>COUNTIFS('Error Log'!$A:$A,$A426,'Error Log'!$F:$F,"Source")</f>
        <v>0</v>
      </c>
      <c r="I426" s="70">
        <f>COUNTIFS('Error Log'!$A:$A,$A426,'Error Log'!$F:$F,"Target")</f>
        <v>0</v>
      </c>
      <c r="J426" s="71">
        <f t="shared" si="6"/>
        <v>0</v>
      </c>
    </row>
    <row r="427" spans="1:10">
      <c r="A427" s="123"/>
      <c r="B427" s="70" t="str">
        <f>IF(ISBLANK(A427),"",INDEX('Error Log'!$A:$J,MATCH('Scores per segment'!$A427,'Error Log'!$A:$A,0),MATCH('Scores per segment'!B$1,'Error Log'!$A$1:$J$1,0)))</f>
        <v/>
      </c>
      <c r="C427" s="70" t="str">
        <f>IF(ISBLANK(A427),"",INDEX('Error Log'!$A:$J,MATCH('Scores per segment'!$A427,'Error Log'!$A:$A,0),MATCH('Scores per segment'!C$1,'Error Log'!$A$1:$J$1,0)))</f>
        <v/>
      </c>
      <c r="D427" s="70">
        <f>IF(H427=0,wdct(TRIM(C427)),0)</f>
        <v>0</v>
      </c>
      <c r="E427" s="70">
        <f>COUNTIFS('Error Log'!$A:$A,$A427,'Error Log'!$J:$J,E$1)</f>
        <v>0</v>
      </c>
      <c r="F427" s="70">
        <f>COUNTIFS('Error Log'!$A:$A,$A427,'Error Log'!$J:$J,F$1)</f>
        <v>0</v>
      </c>
      <c r="G427" s="70">
        <f>COUNTIFS('Error Log'!$A:$A,$A427,'Error Log'!$J:$J,G$1)</f>
        <v>0</v>
      </c>
      <c r="H427" s="70">
        <f>COUNTIFS('Error Log'!$A:$A,$A427,'Error Log'!$F:$F,"Source")</f>
        <v>0</v>
      </c>
      <c r="I427" s="70">
        <f>COUNTIFS('Error Log'!$A:$A,$A427,'Error Log'!$F:$F,"Target")</f>
        <v>0</v>
      </c>
      <c r="J427" s="71">
        <f t="shared" si="6"/>
        <v>0</v>
      </c>
    </row>
    <row r="428" spans="1:10">
      <c r="A428" s="123"/>
      <c r="B428" s="70" t="str">
        <f>IF(ISBLANK(A428),"",INDEX('Error Log'!$A:$J,MATCH('Scores per segment'!$A428,'Error Log'!$A:$A,0),MATCH('Scores per segment'!B$1,'Error Log'!$A$1:$J$1,0)))</f>
        <v/>
      </c>
      <c r="C428" s="70" t="str">
        <f>IF(ISBLANK(A428),"",INDEX('Error Log'!$A:$J,MATCH('Scores per segment'!$A428,'Error Log'!$A:$A,0),MATCH('Scores per segment'!C$1,'Error Log'!$A$1:$J$1,0)))</f>
        <v/>
      </c>
      <c r="D428" s="70">
        <f>IF(H428=0,wdct(TRIM(C428)),0)</f>
        <v>0</v>
      </c>
      <c r="E428" s="70">
        <f>COUNTIFS('Error Log'!$A:$A,$A428,'Error Log'!$J:$J,E$1)</f>
        <v>0</v>
      </c>
      <c r="F428" s="70">
        <f>COUNTIFS('Error Log'!$A:$A,$A428,'Error Log'!$J:$J,F$1)</f>
        <v>0</v>
      </c>
      <c r="G428" s="70">
        <f>COUNTIFS('Error Log'!$A:$A,$A428,'Error Log'!$J:$J,G$1)</f>
        <v>0</v>
      </c>
      <c r="H428" s="70">
        <f>COUNTIFS('Error Log'!$A:$A,$A428,'Error Log'!$F:$F,"Source")</f>
        <v>0</v>
      </c>
      <c r="I428" s="70">
        <f>COUNTIFS('Error Log'!$A:$A,$A428,'Error Log'!$F:$F,"Target")</f>
        <v>0</v>
      </c>
      <c r="J428" s="71">
        <f t="shared" si="6"/>
        <v>0</v>
      </c>
    </row>
    <row r="429" spans="1:10">
      <c r="A429" s="123"/>
      <c r="B429" s="70" t="str">
        <f>IF(ISBLANK(A429),"",INDEX('Error Log'!$A:$J,MATCH('Scores per segment'!$A429,'Error Log'!$A:$A,0),MATCH('Scores per segment'!B$1,'Error Log'!$A$1:$J$1,0)))</f>
        <v/>
      </c>
      <c r="C429" s="70" t="str">
        <f>IF(ISBLANK(A429),"",INDEX('Error Log'!$A:$J,MATCH('Scores per segment'!$A429,'Error Log'!$A:$A,0),MATCH('Scores per segment'!C$1,'Error Log'!$A$1:$J$1,0)))</f>
        <v/>
      </c>
      <c r="D429" s="70">
        <f>IF(H429=0,wdct(TRIM(C429)),0)</f>
        <v>0</v>
      </c>
      <c r="E429" s="70">
        <f>COUNTIFS('Error Log'!$A:$A,$A429,'Error Log'!$J:$J,E$1)</f>
        <v>0</v>
      </c>
      <c r="F429" s="70">
        <f>COUNTIFS('Error Log'!$A:$A,$A429,'Error Log'!$J:$J,F$1)</f>
        <v>0</v>
      </c>
      <c r="G429" s="70">
        <f>COUNTIFS('Error Log'!$A:$A,$A429,'Error Log'!$J:$J,G$1)</f>
        <v>0</v>
      </c>
      <c r="H429" s="70">
        <f>COUNTIFS('Error Log'!$A:$A,$A429,'Error Log'!$F:$F,"Source")</f>
        <v>0</v>
      </c>
      <c r="I429" s="70">
        <f>COUNTIFS('Error Log'!$A:$A,$A429,'Error Log'!$F:$F,"Target")</f>
        <v>0</v>
      </c>
      <c r="J429" s="71">
        <f t="shared" si="6"/>
        <v>0</v>
      </c>
    </row>
    <row r="430" spans="1:10">
      <c r="A430" s="123"/>
      <c r="B430" s="70" t="str">
        <f>IF(ISBLANK(A430),"",INDEX('Error Log'!$A:$J,MATCH('Scores per segment'!$A430,'Error Log'!$A:$A,0),MATCH('Scores per segment'!B$1,'Error Log'!$A$1:$J$1,0)))</f>
        <v/>
      </c>
      <c r="C430" s="70" t="str">
        <f>IF(ISBLANK(A430),"",INDEX('Error Log'!$A:$J,MATCH('Scores per segment'!$A430,'Error Log'!$A:$A,0),MATCH('Scores per segment'!C$1,'Error Log'!$A$1:$J$1,0)))</f>
        <v/>
      </c>
      <c r="D430" s="70">
        <f>IF(H430=0,wdct(TRIM(C430)),0)</f>
        <v>0</v>
      </c>
      <c r="E430" s="70">
        <f>COUNTIFS('Error Log'!$A:$A,$A430,'Error Log'!$J:$J,E$1)</f>
        <v>0</v>
      </c>
      <c r="F430" s="70">
        <f>COUNTIFS('Error Log'!$A:$A,$A430,'Error Log'!$J:$J,F$1)</f>
        <v>0</v>
      </c>
      <c r="G430" s="70">
        <f>COUNTIFS('Error Log'!$A:$A,$A430,'Error Log'!$J:$J,G$1)</f>
        <v>0</v>
      </c>
      <c r="H430" s="70">
        <f>COUNTIFS('Error Log'!$A:$A,$A430,'Error Log'!$F:$F,"Source")</f>
        <v>0</v>
      </c>
      <c r="I430" s="70">
        <f>COUNTIFS('Error Log'!$A:$A,$A430,'Error Log'!$F:$F,"Target")</f>
        <v>0</v>
      </c>
      <c r="J430" s="71">
        <f t="shared" si="6"/>
        <v>0</v>
      </c>
    </row>
    <row r="431" spans="1:10">
      <c r="A431" s="123"/>
      <c r="B431" s="70" t="str">
        <f>IF(ISBLANK(A431),"",INDEX('Error Log'!$A:$J,MATCH('Scores per segment'!$A431,'Error Log'!$A:$A,0),MATCH('Scores per segment'!B$1,'Error Log'!$A$1:$J$1,0)))</f>
        <v/>
      </c>
      <c r="C431" s="70" t="str">
        <f>IF(ISBLANK(A431),"",INDEX('Error Log'!$A:$J,MATCH('Scores per segment'!$A431,'Error Log'!$A:$A,0),MATCH('Scores per segment'!C$1,'Error Log'!$A$1:$J$1,0)))</f>
        <v/>
      </c>
      <c r="D431" s="70">
        <f>IF(H431=0,wdct(TRIM(C431)),0)</f>
        <v>0</v>
      </c>
      <c r="E431" s="70">
        <f>COUNTIFS('Error Log'!$A:$A,$A431,'Error Log'!$J:$J,E$1)</f>
        <v>0</v>
      </c>
      <c r="F431" s="70">
        <f>COUNTIFS('Error Log'!$A:$A,$A431,'Error Log'!$J:$J,F$1)</f>
        <v>0</v>
      </c>
      <c r="G431" s="70">
        <f>COUNTIFS('Error Log'!$A:$A,$A431,'Error Log'!$J:$J,G$1)</f>
        <v>0</v>
      </c>
      <c r="H431" s="70">
        <f>COUNTIFS('Error Log'!$A:$A,$A431,'Error Log'!$F:$F,"Source")</f>
        <v>0</v>
      </c>
      <c r="I431" s="70">
        <f>COUNTIFS('Error Log'!$A:$A,$A431,'Error Log'!$F:$F,"Target")</f>
        <v>0</v>
      </c>
      <c r="J431" s="71">
        <f t="shared" si="6"/>
        <v>0</v>
      </c>
    </row>
    <row r="432" spans="1:10">
      <c r="A432" s="123"/>
      <c r="B432" s="70" t="str">
        <f>IF(ISBLANK(A432),"",INDEX('Error Log'!$A:$J,MATCH('Scores per segment'!$A432,'Error Log'!$A:$A,0),MATCH('Scores per segment'!B$1,'Error Log'!$A$1:$J$1,0)))</f>
        <v/>
      </c>
      <c r="C432" s="70" t="str">
        <f>IF(ISBLANK(A432),"",INDEX('Error Log'!$A:$J,MATCH('Scores per segment'!$A432,'Error Log'!$A:$A,0),MATCH('Scores per segment'!C$1,'Error Log'!$A$1:$J$1,0)))</f>
        <v/>
      </c>
      <c r="D432" s="70">
        <f>IF(H432=0,wdct(TRIM(C432)),0)</f>
        <v>0</v>
      </c>
      <c r="E432" s="70">
        <f>COUNTIFS('Error Log'!$A:$A,$A432,'Error Log'!$J:$J,E$1)</f>
        <v>0</v>
      </c>
      <c r="F432" s="70">
        <f>COUNTIFS('Error Log'!$A:$A,$A432,'Error Log'!$J:$J,F$1)</f>
        <v>0</v>
      </c>
      <c r="G432" s="70">
        <f>COUNTIFS('Error Log'!$A:$A,$A432,'Error Log'!$J:$J,G$1)</f>
        <v>0</v>
      </c>
      <c r="H432" s="70">
        <f>COUNTIFS('Error Log'!$A:$A,$A432,'Error Log'!$F:$F,"Source")</f>
        <v>0</v>
      </c>
      <c r="I432" s="70">
        <f>COUNTIFS('Error Log'!$A:$A,$A432,'Error Log'!$F:$F,"Target")</f>
        <v>0</v>
      </c>
      <c r="J432" s="71">
        <f t="shared" si="6"/>
        <v>0</v>
      </c>
    </row>
    <row r="433" spans="1:10">
      <c r="A433" s="123"/>
      <c r="B433" s="70" t="str">
        <f>IF(ISBLANK(A433),"",INDEX('Error Log'!$A:$J,MATCH('Scores per segment'!$A433,'Error Log'!$A:$A,0),MATCH('Scores per segment'!B$1,'Error Log'!$A$1:$J$1,0)))</f>
        <v/>
      </c>
      <c r="C433" s="70" t="str">
        <f>IF(ISBLANK(A433),"",INDEX('Error Log'!$A:$J,MATCH('Scores per segment'!$A433,'Error Log'!$A:$A,0),MATCH('Scores per segment'!C$1,'Error Log'!$A$1:$J$1,0)))</f>
        <v/>
      </c>
      <c r="D433" s="70">
        <f>IF(H433=0,wdct(TRIM(C433)),0)</f>
        <v>0</v>
      </c>
      <c r="E433" s="70">
        <f>COUNTIFS('Error Log'!$A:$A,$A433,'Error Log'!$J:$J,E$1)</f>
        <v>0</v>
      </c>
      <c r="F433" s="70">
        <f>COUNTIFS('Error Log'!$A:$A,$A433,'Error Log'!$J:$J,F$1)</f>
        <v>0</v>
      </c>
      <c r="G433" s="70">
        <f>COUNTIFS('Error Log'!$A:$A,$A433,'Error Log'!$J:$J,G$1)</f>
        <v>0</v>
      </c>
      <c r="H433" s="70">
        <f>COUNTIFS('Error Log'!$A:$A,$A433,'Error Log'!$F:$F,"Source")</f>
        <v>0</v>
      </c>
      <c r="I433" s="70">
        <f>COUNTIFS('Error Log'!$A:$A,$A433,'Error Log'!$F:$F,"Target")</f>
        <v>0</v>
      </c>
      <c r="J433" s="71">
        <f t="shared" si="6"/>
        <v>0</v>
      </c>
    </row>
    <row r="434" spans="1:10">
      <c r="A434" s="123"/>
      <c r="B434" s="70" t="str">
        <f>IF(ISBLANK(A434),"",INDEX('Error Log'!$A:$J,MATCH('Scores per segment'!$A434,'Error Log'!$A:$A,0),MATCH('Scores per segment'!B$1,'Error Log'!$A$1:$J$1,0)))</f>
        <v/>
      </c>
      <c r="C434" s="70" t="str">
        <f>IF(ISBLANK(A434),"",INDEX('Error Log'!$A:$J,MATCH('Scores per segment'!$A434,'Error Log'!$A:$A,0),MATCH('Scores per segment'!C$1,'Error Log'!$A$1:$J$1,0)))</f>
        <v/>
      </c>
      <c r="D434" s="70">
        <f>IF(H434=0,wdct(TRIM(C434)),0)</f>
        <v>0</v>
      </c>
      <c r="E434" s="70">
        <f>COUNTIFS('Error Log'!$A:$A,$A434,'Error Log'!$J:$J,E$1)</f>
        <v>0</v>
      </c>
      <c r="F434" s="70">
        <f>COUNTIFS('Error Log'!$A:$A,$A434,'Error Log'!$J:$J,F$1)</f>
        <v>0</v>
      </c>
      <c r="G434" s="70">
        <f>COUNTIFS('Error Log'!$A:$A,$A434,'Error Log'!$J:$J,G$1)</f>
        <v>0</v>
      </c>
      <c r="H434" s="70">
        <f>COUNTIFS('Error Log'!$A:$A,$A434,'Error Log'!$F:$F,"Source")</f>
        <v>0</v>
      </c>
      <c r="I434" s="70">
        <f>COUNTIFS('Error Log'!$A:$A,$A434,'Error Log'!$F:$F,"Target")</f>
        <v>0</v>
      </c>
      <c r="J434" s="71">
        <f t="shared" si="6"/>
        <v>0</v>
      </c>
    </row>
    <row r="435" spans="1:10">
      <c r="A435" s="123"/>
      <c r="B435" s="70" t="str">
        <f>IF(ISBLANK(A435),"",INDEX('Error Log'!$A:$J,MATCH('Scores per segment'!$A435,'Error Log'!$A:$A,0),MATCH('Scores per segment'!B$1,'Error Log'!$A$1:$J$1,0)))</f>
        <v/>
      </c>
      <c r="C435" s="70" t="str">
        <f>IF(ISBLANK(A435),"",INDEX('Error Log'!$A:$J,MATCH('Scores per segment'!$A435,'Error Log'!$A:$A,0),MATCH('Scores per segment'!C$1,'Error Log'!$A$1:$J$1,0)))</f>
        <v/>
      </c>
      <c r="D435" s="70">
        <f>IF(H435=0,wdct(TRIM(C435)),0)</f>
        <v>0</v>
      </c>
      <c r="E435" s="70">
        <f>COUNTIFS('Error Log'!$A:$A,$A435,'Error Log'!$J:$J,E$1)</f>
        <v>0</v>
      </c>
      <c r="F435" s="70">
        <f>COUNTIFS('Error Log'!$A:$A,$A435,'Error Log'!$J:$J,F$1)</f>
        <v>0</v>
      </c>
      <c r="G435" s="70">
        <f>COUNTIFS('Error Log'!$A:$A,$A435,'Error Log'!$J:$J,G$1)</f>
        <v>0</v>
      </c>
      <c r="H435" s="70">
        <f>COUNTIFS('Error Log'!$A:$A,$A435,'Error Log'!$F:$F,"Source")</f>
        <v>0</v>
      </c>
      <c r="I435" s="70">
        <f>COUNTIFS('Error Log'!$A:$A,$A435,'Error Log'!$F:$F,"Target")</f>
        <v>0</v>
      </c>
      <c r="J435" s="71">
        <f t="shared" si="6"/>
        <v>0</v>
      </c>
    </row>
    <row r="436" spans="1:10">
      <c r="A436" s="123"/>
      <c r="B436" s="70" t="str">
        <f>IF(ISBLANK(A436),"",INDEX('Error Log'!$A:$J,MATCH('Scores per segment'!$A436,'Error Log'!$A:$A,0),MATCH('Scores per segment'!B$1,'Error Log'!$A$1:$J$1,0)))</f>
        <v/>
      </c>
      <c r="C436" s="70" t="str">
        <f>IF(ISBLANK(A436),"",INDEX('Error Log'!$A:$J,MATCH('Scores per segment'!$A436,'Error Log'!$A:$A,0),MATCH('Scores per segment'!C$1,'Error Log'!$A$1:$J$1,0)))</f>
        <v/>
      </c>
      <c r="D436" s="70">
        <f>IF(H436=0,wdct(TRIM(C436)),0)</f>
        <v>0</v>
      </c>
      <c r="E436" s="70">
        <f>COUNTIFS('Error Log'!$A:$A,$A436,'Error Log'!$J:$J,E$1)</f>
        <v>0</v>
      </c>
      <c r="F436" s="70">
        <f>COUNTIFS('Error Log'!$A:$A,$A436,'Error Log'!$J:$J,F$1)</f>
        <v>0</v>
      </c>
      <c r="G436" s="70">
        <f>COUNTIFS('Error Log'!$A:$A,$A436,'Error Log'!$J:$J,G$1)</f>
        <v>0</v>
      </c>
      <c r="H436" s="70">
        <f>COUNTIFS('Error Log'!$A:$A,$A436,'Error Log'!$F:$F,"Source")</f>
        <v>0</v>
      </c>
      <c r="I436" s="70">
        <f>COUNTIFS('Error Log'!$A:$A,$A436,'Error Log'!$F:$F,"Target")</f>
        <v>0</v>
      </c>
      <c r="J436" s="71">
        <f t="shared" si="6"/>
        <v>0</v>
      </c>
    </row>
    <row r="437" spans="1:10">
      <c r="A437" s="123"/>
      <c r="B437" s="70" t="str">
        <f>IF(ISBLANK(A437),"",INDEX('Error Log'!$A:$J,MATCH('Scores per segment'!$A437,'Error Log'!$A:$A,0),MATCH('Scores per segment'!B$1,'Error Log'!$A$1:$J$1,0)))</f>
        <v/>
      </c>
      <c r="C437" s="70" t="str">
        <f>IF(ISBLANK(A437),"",INDEX('Error Log'!$A:$J,MATCH('Scores per segment'!$A437,'Error Log'!$A:$A,0),MATCH('Scores per segment'!C$1,'Error Log'!$A$1:$J$1,0)))</f>
        <v/>
      </c>
      <c r="D437" s="70">
        <f>IF(H437=0,wdct(TRIM(C437)),0)</f>
        <v>0</v>
      </c>
      <c r="E437" s="70">
        <f>COUNTIFS('Error Log'!$A:$A,$A437,'Error Log'!$J:$J,E$1)</f>
        <v>0</v>
      </c>
      <c r="F437" s="70">
        <f>COUNTIFS('Error Log'!$A:$A,$A437,'Error Log'!$J:$J,F$1)</f>
        <v>0</v>
      </c>
      <c r="G437" s="70">
        <f>COUNTIFS('Error Log'!$A:$A,$A437,'Error Log'!$J:$J,G$1)</f>
        <v>0</v>
      </c>
      <c r="H437" s="70">
        <f>COUNTIFS('Error Log'!$A:$A,$A437,'Error Log'!$F:$F,"Source")</f>
        <v>0</v>
      </c>
      <c r="I437" s="70">
        <f>COUNTIFS('Error Log'!$A:$A,$A437,'Error Log'!$F:$F,"Target")</f>
        <v>0</v>
      </c>
      <c r="J437" s="71">
        <f t="shared" si="6"/>
        <v>0</v>
      </c>
    </row>
    <row r="438" spans="1:10">
      <c r="A438" s="123"/>
      <c r="B438" s="70" t="str">
        <f>IF(ISBLANK(A438),"",INDEX('Error Log'!$A:$J,MATCH('Scores per segment'!$A438,'Error Log'!$A:$A,0),MATCH('Scores per segment'!B$1,'Error Log'!$A$1:$J$1,0)))</f>
        <v/>
      </c>
      <c r="C438" s="70" t="str">
        <f>IF(ISBLANK(A438),"",INDEX('Error Log'!$A:$J,MATCH('Scores per segment'!$A438,'Error Log'!$A:$A,0),MATCH('Scores per segment'!C$1,'Error Log'!$A$1:$J$1,0)))</f>
        <v/>
      </c>
      <c r="D438" s="70">
        <f>IF(H438=0,wdct(TRIM(C438)),0)</f>
        <v>0</v>
      </c>
      <c r="E438" s="70">
        <f>COUNTIFS('Error Log'!$A:$A,$A438,'Error Log'!$J:$J,E$1)</f>
        <v>0</v>
      </c>
      <c r="F438" s="70">
        <f>COUNTIFS('Error Log'!$A:$A,$A438,'Error Log'!$J:$J,F$1)</f>
        <v>0</v>
      </c>
      <c r="G438" s="70">
        <f>COUNTIFS('Error Log'!$A:$A,$A438,'Error Log'!$J:$J,G$1)</f>
        <v>0</v>
      </c>
      <c r="H438" s="70">
        <f>COUNTIFS('Error Log'!$A:$A,$A438,'Error Log'!$F:$F,"Source")</f>
        <v>0</v>
      </c>
      <c r="I438" s="70">
        <f>COUNTIFS('Error Log'!$A:$A,$A438,'Error Log'!$F:$F,"Target")</f>
        <v>0</v>
      </c>
      <c r="J438" s="71">
        <f t="shared" si="6"/>
        <v>0</v>
      </c>
    </row>
    <row r="439" spans="1:10">
      <c r="A439" s="123"/>
      <c r="B439" s="70" t="str">
        <f>IF(ISBLANK(A439),"",INDEX('Error Log'!$A:$J,MATCH('Scores per segment'!$A439,'Error Log'!$A:$A,0),MATCH('Scores per segment'!B$1,'Error Log'!$A$1:$J$1,0)))</f>
        <v/>
      </c>
      <c r="C439" s="70" t="str">
        <f>IF(ISBLANK(A439),"",INDEX('Error Log'!$A:$J,MATCH('Scores per segment'!$A439,'Error Log'!$A:$A,0),MATCH('Scores per segment'!C$1,'Error Log'!$A$1:$J$1,0)))</f>
        <v/>
      </c>
      <c r="D439" s="70">
        <f>IF(H439=0,wdct(TRIM(C439)),0)</f>
        <v>0</v>
      </c>
      <c r="E439" s="70">
        <f>COUNTIFS('Error Log'!$A:$A,$A439,'Error Log'!$J:$J,E$1)</f>
        <v>0</v>
      </c>
      <c r="F439" s="70">
        <f>COUNTIFS('Error Log'!$A:$A,$A439,'Error Log'!$J:$J,F$1)</f>
        <v>0</v>
      </c>
      <c r="G439" s="70">
        <f>COUNTIFS('Error Log'!$A:$A,$A439,'Error Log'!$J:$J,G$1)</f>
        <v>0</v>
      </c>
      <c r="H439" s="70">
        <f>COUNTIFS('Error Log'!$A:$A,$A439,'Error Log'!$F:$F,"Source")</f>
        <v>0</v>
      </c>
      <c r="I439" s="70">
        <f>COUNTIFS('Error Log'!$A:$A,$A439,'Error Log'!$F:$F,"Target")</f>
        <v>0</v>
      </c>
      <c r="J439" s="71">
        <f t="shared" si="6"/>
        <v>0</v>
      </c>
    </row>
    <row r="440" spans="1:10">
      <c r="A440" s="123"/>
      <c r="B440" s="70" t="str">
        <f>IF(ISBLANK(A440),"",INDEX('Error Log'!$A:$J,MATCH('Scores per segment'!$A440,'Error Log'!$A:$A,0),MATCH('Scores per segment'!B$1,'Error Log'!$A$1:$J$1,0)))</f>
        <v/>
      </c>
      <c r="C440" s="70" t="str">
        <f>IF(ISBLANK(A440),"",INDEX('Error Log'!$A:$J,MATCH('Scores per segment'!$A440,'Error Log'!$A:$A,0),MATCH('Scores per segment'!C$1,'Error Log'!$A$1:$J$1,0)))</f>
        <v/>
      </c>
      <c r="D440" s="70">
        <f>IF(H440=0,wdct(TRIM(C440)),0)</f>
        <v>0</v>
      </c>
      <c r="E440" s="70">
        <f>COUNTIFS('Error Log'!$A:$A,$A440,'Error Log'!$J:$J,E$1)</f>
        <v>0</v>
      </c>
      <c r="F440" s="70">
        <f>COUNTIFS('Error Log'!$A:$A,$A440,'Error Log'!$J:$J,F$1)</f>
        <v>0</v>
      </c>
      <c r="G440" s="70">
        <f>COUNTIFS('Error Log'!$A:$A,$A440,'Error Log'!$J:$J,G$1)</f>
        <v>0</v>
      </c>
      <c r="H440" s="70">
        <f>COUNTIFS('Error Log'!$A:$A,$A440,'Error Log'!$F:$F,"Source")</f>
        <v>0</v>
      </c>
      <c r="I440" s="70">
        <f>COUNTIFS('Error Log'!$A:$A,$A440,'Error Log'!$F:$F,"Target")</f>
        <v>0</v>
      </c>
      <c r="J440" s="71">
        <f t="shared" si="6"/>
        <v>0</v>
      </c>
    </row>
    <row r="441" spans="1:10">
      <c r="A441" s="123"/>
      <c r="B441" s="70" t="str">
        <f>IF(ISBLANK(A441),"",INDEX('Error Log'!$A:$J,MATCH('Scores per segment'!$A441,'Error Log'!$A:$A,0),MATCH('Scores per segment'!B$1,'Error Log'!$A$1:$J$1,0)))</f>
        <v/>
      </c>
      <c r="C441" s="70" t="str">
        <f>IF(ISBLANK(A441),"",INDEX('Error Log'!$A:$J,MATCH('Scores per segment'!$A441,'Error Log'!$A:$A,0),MATCH('Scores per segment'!C$1,'Error Log'!$A$1:$J$1,0)))</f>
        <v/>
      </c>
      <c r="D441" s="70">
        <f>IF(H441=0,wdct(TRIM(C441)),0)</f>
        <v>0</v>
      </c>
      <c r="E441" s="70">
        <f>COUNTIFS('Error Log'!$A:$A,$A441,'Error Log'!$J:$J,E$1)</f>
        <v>0</v>
      </c>
      <c r="F441" s="70">
        <f>COUNTIFS('Error Log'!$A:$A,$A441,'Error Log'!$J:$J,F$1)</f>
        <v>0</v>
      </c>
      <c r="G441" s="70">
        <f>COUNTIFS('Error Log'!$A:$A,$A441,'Error Log'!$J:$J,G$1)</f>
        <v>0</v>
      </c>
      <c r="H441" s="70">
        <f>COUNTIFS('Error Log'!$A:$A,$A441,'Error Log'!$F:$F,"Source")</f>
        <v>0</v>
      </c>
      <c r="I441" s="70">
        <f>COUNTIFS('Error Log'!$A:$A,$A441,'Error Log'!$F:$F,"Target")</f>
        <v>0</v>
      </c>
      <c r="J441" s="71">
        <f t="shared" si="6"/>
        <v>0</v>
      </c>
    </row>
    <row r="442" spans="1:10">
      <c r="A442" s="123"/>
      <c r="B442" s="70" t="str">
        <f>IF(ISBLANK(A442),"",INDEX('Error Log'!$A:$J,MATCH('Scores per segment'!$A442,'Error Log'!$A:$A,0),MATCH('Scores per segment'!B$1,'Error Log'!$A$1:$J$1,0)))</f>
        <v/>
      </c>
      <c r="C442" s="70" t="str">
        <f>IF(ISBLANK(A442),"",INDEX('Error Log'!$A:$J,MATCH('Scores per segment'!$A442,'Error Log'!$A:$A,0),MATCH('Scores per segment'!C$1,'Error Log'!$A$1:$J$1,0)))</f>
        <v/>
      </c>
      <c r="D442" s="70">
        <f>IF(H442=0,wdct(TRIM(C442)),0)</f>
        <v>0</v>
      </c>
      <c r="E442" s="70">
        <f>COUNTIFS('Error Log'!$A:$A,$A442,'Error Log'!$J:$J,E$1)</f>
        <v>0</v>
      </c>
      <c r="F442" s="70">
        <f>COUNTIFS('Error Log'!$A:$A,$A442,'Error Log'!$J:$J,F$1)</f>
        <v>0</v>
      </c>
      <c r="G442" s="70">
        <f>COUNTIFS('Error Log'!$A:$A,$A442,'Error Log'!$J:$J,G$1)</f>
        <v>0</v>
      </c>
      <c r="H442" s="70">
        <f>COUNTIFS('Error Log'!$A:$A,$A442,'Error Log'!$F:$F,"Source")</f>
        <v>0</v>
      </c>
      <c r="I442" s="70">
        <f>COUNTIFS('Error Log'!$A:$A,$A442,'Error Log'!$F:$F,"Target")</f>
        <v>0</v>
      </c>
      <c r="J442" s="71">
        <f t="shared" si="6"/>
        <v>0</v>
      </c>
    </row>
    <row r="443" spans="1:10">
      <c r="A443" s="123"/>
      <c r="B443" s="70" t="str">
        <f>IF(ISBLANK(A443),"",INDEX('Error Log'!$A:$J,MATCH('Scores per segment'!$A443,'Error Log'!$A:$A,0),MATCH('Scores per segment'!B$1,'Error Log'!$A$1:$J$1,0)))</f>
        <v/>
      </c>
      <c r="C443" s="70" t="str">
        <f>IF(ISBLANK(A443),"",INDEX('Error Log'!$A:$J,MATCH('Scores per segment'!$A443,'Error Log'!$A:$A,0),MATCH('Scores per segment'!C$1,'Error Log'!$A$1:$J$1,0)))</f>
        <v/>
      </c>
      <c r="D443" s="70">
        <f>IF(H443=0,wdct(TRIM(C443)),0)</f>
        <v>0</v>
      </c>
      <c r="E443" s="70">
        <f>COUNTIFS('Error Log'!$A:$A,$A443,'Error Log'!$J:$J,E$1)</f>
        <v>0</v>
      </c>
      <c r="F443" s="70">
        <f>COUNTIFS('Error Log'!$A:$A,$A443,'Error Log'!$J:$J,F$1)</f>
        <v>0</v>
      </c>
      <c r="G443" s="70">
        <f>COUNTIFS('Error Log'!$A:$A,$A443,'Error Log'!$J:$J,G$1)</f>
        <v>0</v>
      </c>
      <c r="H443" s="70">
        <f>COUNTIFS('Error Log'!$A:$A,$A443,'Error Log'!$F:$F,"Source")</f>
        <v>0</v>
      </c>
      <c r="I443" s="70">
        <f>COUNTIFS('Error Log'!$A:$A,$A443,'Error Log'!$F:$F,"Target")</f>
        <v>0</v>
      </c>
      <c r="J443" s="71">
        <f t="shared" si="6"/>
        <v>0</v>
      </c>
    </row>
    <row r="444" spans="1:10">
      <c r="A444" s="123"/>
      <c r="B444" s="70" t="str">
        <f>IF(ISBLANK(A444),"",INDEX('Error Log'!$A:$J,MATCH('Scores per segment'!$A444,'Error Log'!$A:$A,0),MATCH('Scores per segment'!B$1,'Error Log'!$A$1:$J$1,0)))</f>
        <v/>
      </c>
      <c r="C444" s="70" t="str">
        <f>IF(ISBLANK(A444),"",INDEX('Error Log'!$A:$J,MATCH('Scores per segment'!$A444,'Error Log'!$A:$A,0),MATCH('Scores per segment'!C$1,'Error Log'!$A$1:$J$1,0)))</f>
        <v/>
      </c>
      <c r="D444" s="70">
        <f>IF(H444=0,wdct(TRIM(C444)),0)</f>
        <v>0</v>
      </c>
      <c r="E444" s="70">
        <f>COUNTIFS('Error Log'!$A:$A,$A444,'Error Log'!$J:$J,E$1)</f>
        <v>0</v>
      </c>
      <c r="F444" s="70">
        <f>COUNTIFS('Error Log'!$A:$A,$A444,'Error Log'!$J:$J,F$1)</f>
        <v>0</v>
      </c>
      <c r="G444" s="70">
        <f>COUNTIFS('Error Log'!$A:$A,$A444,'Error Log'!$J:$J,G$1)</f>
        <v>0</v>
      </c>
      <c r="H444" s="70">
        <f>COUNTIFS('Error Log'!$A:$A,$A444,'Error Log'!$F:$F,"Source")</f>
        <v>0</v>
      </c>
      <c r="I444" s="70">
        <f>COUNTIFS('Error Log'!$A:$A,$A444,'Error Log'!$F:$F,"Target")</f>
        <v>0</v>
      </c>
      <c r="J444" s="71">
        <f t="shared" si="6"/>
        <v>0</v>
      </c>
    </row>
    <row r="445" spans="1:10">
      <c r="A445" s="123"/>
      <c r="B445" s="70" t="str">
        <f>IF(ISBLANK(A445),"",INDEX('Error Log'!$A:$J,MATCH('Scores per segment'!$A445,'Error Log'!$A:$A,0),MATCH('Scores per segment'!B$1,'Error Log'!$A$1:$J$1,0)))</f>
        <v/>
      </c>
      <c r="C445" s="70" t="str">
        <f>IF(ISBLANK(A445),"",INDEX('Error Log'!$A:$J,MATCH('Scores per segment'!$A445,'Error Log'!$A:$A,0),MATCH('Scores per segment'!C$1,'Error Log'!$A$1:$J$1,0)))</f>
        <v/>
      </c>
      <c r="D445" s="70">
        <f>IF(H445=0,wdct(TRIM(C445)),0)</f>
        <v>0</v>
      </c>
      <c r="E445" s="70">
        <f>COUNTIFS('Error Log'!$A:$A,$A445,'Error Log'!$J:$J,E$1)</f>
        <v>0</v>
      </c>
      <c r="F445" s="70">
        <f>COUNTIFS('Error Log'!$A:$A,$A445,'Error Log'!$J:$J,F$1)</f>
        <v>0</v>
      </c>
      <c r="G445" s="70">
        <f>COUNTIFS('Error Log'!$A:$A,$A445,'Error Log'!$J:$J,G$1)</f>
        <v>0</v>
      </c>
      <c r="H445" s="70">
        <f>COUNTIFS('Error Log'!$A:$A,$A445,'Error Log'!$F:$F,"Source")</f>
        <v>0</v>
      </c>
      <c r="I445" s="70">
        <f>COUNTIFS('Error Log'!$A:$A,$A445,'Error Log'!$F:$F,"Target")</f>
        <v>0</v>
      </c>
      <c r="J445" s="71">
        <f t="shared" si="6"/>
        <v>0</v>
      </c>
    </row>
    <row r="446" spans="1:10">
      <c r="A446" s="123"/>
      <c r="B446" s="70" t="str">
        <f>IF(ISBLANK(A446),"",INDEX('Error Log'!$A:$J,MATCH('Scores per segment'!$A446,'Error Log'!$A:$A,0),MATCH('Scores per segment'!B$1,'Error Log'!$A$1:$J$1,0)))</f>
        <v/>
      </c>
      <c r="C446" s="70" t="str">
        <f>IF(ISBLANK(A446),"",INDEX('Error Log'!$A:$J,MATCH('Scores per segment'!$A446,'Error Log'!$A:$A,0),MATCH('Scores per segment'!C$1,'Error Log'!$A$1:$J$1,0)))</f>
        <v/>
      </c>
      <c r="D446" s="70">
        <f>IF(H446=0,wdct(TRIM(C446)),0)</f>
        <v>0</v>
      </c>
      <c r="E446" s="70">
        <f>COUNTIFS('Error Log'!$A:$A,$A446,'Error Log'!$J:$J,E$1)</f>
        <v>0</v>
      </c>
      <c r="F446" s="70">
        <f>COUNTIFS('Error Log'!$A:$A,$A446,'Error Log'!$J:$J,F$1)</f>
        <v>0</v>
      </c>
      <c r="G446" s="70">
        <f>COUNTIFS('Error Log'!$A:$A,$A446,'Error Log'!$J:$J,G$1)</f>
        <v>0</v>
      </c>
      <c r="H446" s="70">
        <f>COUNTIFS('Error Log'!$A:$A,$A446,'Error Log'!$F:$F,"Source")</f>
        <v>0</v>
      </c>
      <c r="I446" s="70">
        <f>COUNTIFS('Error Log'!$A:$A,$A446,'Error Log'!$F:$F,"Target")</f>
        <v>0</v>
      </c>
      <c r="J446" s="71">
        <f t="shared" si="6"/>
        <v>0</v>
      </c>
    </row>
    <row r="447" spans="1:10">
      <c r="A447" s="123"/>
      <c r="B447" s="70" t="str">
        <f>IF(ISBLANK(A447),"",INDEX('Error Log'!$A:$J,MATCH('Scores per segment'!$A447,'Error Log'!$A:$A,0),MATCH('Scores per segment'!B$1,'Error Log'!$A$1:$J$1,0)))</f>
        <v/>
      </c>
      <c r="C447" s="70" t="str">
        <f>IF(ISBLANK(A447),"",INDEX('Error Log'!$A:$J,MATCH('Scores per segment'!$A447,'Error Log'!$A:$A,0),MATCH('Scores per segment'!C$1,'Error Log'!$A$1:$J$1,0)))</f>
        <v/>
      </c>
      <c r="D447" s="70">
        <f>IF(H447=0,wdct(TRIM(C447)),0)</f>
        <v>0</v>
      </c>
      <c r="E447" s="70">
        <f>COUNTIFS('Error Log'!$A:$A,$A447,'Error Log'!$J:$J,E$1)</f>
        <v>0</v>
      </c>
      <c r="F447" s="70">
        <f>COUNTIFS('Error Log'!$A:$A,$A447,'Error Log'!$J:$J,F$1)</f>
        <v>0</v>
      </c>
      <c r="G447" s="70">
        <f>COUNTIFS('Error Log'!$A:$A,$A447,'Error Log'!$J:$J,G$1)</f>
        <v>0</v>
      </c>
      <c r="H447" s="70">
        <f>COUNTIFS('Error Log'!$A:$A,$A447,'Error Log'!$F:$F,"Source")</f>
        <v>0</v>
      </c>
      <c r="I447" s="70">
        <f>COUNTIFS('Error Log'!$A:$A,$A447,'Error Log'!$F:$F,"Target")</f>
        <v>0</v>
      </c>
      <c r="J447" s="71">
        <f t="shared" si="6"/>
        <v>0</v>
      </c>
    </row>
    <row r="448" spans="1:10">
      <c r="A448" s="123"/>
      <c r="B448" s="70" t="str">
        <f>IF(ISBLANK(A448),"",INDEX('Error Log'!$A:$J,MATCH('Scores per segment'!$A448,'Error Log'!$A:$A,0),MATCH('Scores per segment'!B$1,'Error Log'!$A$1:$J$1,0)))</f>
        <v/>
      </c>
      <c r="C448" s="70" t="str">
        <f>IF(ISBLANK(A448),"",INDEX('Error Log'!$A:$J,MATCH('Scores per segment'!$A448,'Error Log'!$A:$A,0),MATCH('Scores per segment'!C$1,'Error Log'!$A$1:$J$1,0)))</f>
        <v/>
      </c>
      <c r="D448" s="70">
        <f>IF(H448=0,wdct(TRIM(C448)),0)</f>
        <v>0</v>
      </c>
      <c r="E448" s="70">
        <f>COUNTIFS('Error Log'!$A:$A,$A448,'Error Log'!$J:$J,E$1)</f>
        <v>0</v>
      </c>
      <c r="F448" s="70">
        <f>COUNTIFS('Error Log'!$A:$A,$A448,'Error Log'!$J:$J,F$1)</f>
        <v>0</v>
      </c>
      <c r="G448" s="70">
        <f>COUNTIFS('Error Log'!$A:$A,$A448,'Error Log'!$J:$J,G$1)</f>
        <v>0</v>
      </c>
      <c r="H448" s="70">
        <f>COUNTIFS('Error Log'!$A:$A,$A448,'Error Log'!$F:$F,"Source")</f>
        <v>0</v>
      </c>
      <c r="I448" s="70">
        <f>COUNTIFS('Error Log'!$A:$A,$A448,'Error Log'!$F:$F,"Target")</f>
        <v>0</v>
      </c>
      <c r="J448" s="71">
        <f t="shared" si="6"/>
        <v>0</v>
      </c>
    </row>
    <row r="449" spans="1:10">
      <c r="A449" s="123"/>
      <c r="B449" s="70" t="str">
        <f>IF(ISBLANK(A449),"",INDEX('Error Log'!$A:$J,MATCH('Scores per segment'!$A449,'Error Log'!$A:$A,0),MATCH('Scores per segment'!B$1,'Error Log'!$A$1:$J$1,0)))</f>
        <v/>
      </c>
      <c r="C449" s="70" t="str">
        <f>IF(ISBLANK(A449),"",INDEX('Error Log'!$A:$J,MATCH('Scores per segment'!$A449,'Error Log'!$A:$A,0),MATCH('Scores per segment'!C$1,'Error Log'!$A$1:$J$1,0)))</f>
        <v/>
      </c>
      <c r="D449" s="70">
        <f>IF(H449=0,wdct(TRIM(C449)),0)</f>
        <v>0</v>
      </c>
      <c r="E449" s="70">
        <f>COUNTIFS('Error Log'!$A:$A,$A449,'Error Log'!$J:$J,E$1)</f>
        <v>0</v>
      </c>
      <c r="F449" s="70">
        <f>COUNTIFS('Error Log'!$A:$A,$A449,'Error Log'!$J:$J,F$1)</f>
        <v>0</v>
      </c>
      <c r="G449" s="70">
        <f>COUNTIFS('Error Log'!$A:$A,$A449,'Error Log'!$J:$J,G$1)</f>
        <v>0</v>
      </c>
      <c r="H449" s="70">
        <f>COUNTIFS('Error Log'!$A:$A,$A449,'Error Log'!$F:$F,"Source")</f>
        <v>0</v>
      </c>
      <c r="I449" s="70">
        <f>COUNTIFS('Error Log'!$A:$A,$A449,'Error Log'!$F:$F,"Target")</f>
        <v>0</v>
      </c>
      <c r="J449" s="71">
        <f t="shared" si="6"/>
        <v>0</v>
      </c>
    </row>
    <row r="450" spans="1:10">
      <c r="A450" s="123"/>
      <c r="B450" s="70" t="str">
        <f>IF(ISBLANK(A450),"",INDEX('Error Log'!$A:$J,MATCH('Scores per segment'!$A450,'Error Log'!$A:$A,0),MATCH('Scores per segment'!B$1,'Error Log'!$A$1:$J$1,0)))</f>
        <v/>
      </c>
      <c r="C450" s="70" t="str">
        <f>IF(ISBLANK(A450),"",INDEX('Error Log'!$A:$J,MATCH('Scores per segment'!$A450,'Error Log'!$A:$A,0),MATCH('Scores per segment'!C$1,'Error Log'!$A$1:$J$1,0)))</f>
        <v/>
      </c>
      <c r="D450" s="70">
        <f>IF(H450=0,wdct(TRIM(C450)),0)</f>
        <v>0</v>
      </c>
      <c r="E450" s="70">
        <f>COUNTIFS('Error Log'!$A:$A,$A450,'Error Log'!$J:$J,E$1)</f>
        <v>0</v>
      </c>
      <c r="F450" s="70">
        <f>COUNTIFS('Error Log'!$A:$A,$A450,'Error Log'!$J:$J,F$1)</f>
        <v>0</v>
      </c>
      <c r="G450" s="70">
        <f>COUNTIFS('Error Log'!$A:$A,$A450,'Error Log'!$J:$J,G$1)</f>
        <v>0</v>
      </c>
      <c r="H450" s="70">
        <f>COUNTIFS('Error Log'!$A:$A,$A450,'Error Log'!$F:$F,"Source")</f>
        <v>0</v>
      </c>
      <c r="I450" s="70">
        <f>COUNTIFS('Error Log'!$A:$A,$A450,'Error Log'!$F:$F,"Target")</f>
        <v>0</v>
      </c>
      <c r="J450" s="71">
        <f t="shared" ref="J450:J501" si="7">IF(I450=0,IFERROR((((1-((E450*10+F450*5+G450*1)/D450))*100)+100)/2,0),-150)</f>
        <v>0</v>
      </c>
    </row>
    <row r="451" spans="1:10">
      <c r="A451" s="123"/>
      <c r="B451" s="70" t="str">
        <f>IF(ISBLANK(A451),"",INDEX('Error Log'!$A:$J,MATCH('Scores per segment'!$A451,'Error Log'!$A:$A,0),MATCH('Scores per segment'!B$1,'Error Log'!$A$1:$J$1,0)))</f>
        <v/>
      </c>
      <c r="C451" s="70" t="str">
        <f>IF(ISBLANK(A451),"",INDEX('Error Log'!$A:$J,MATCH('Scores per segment'!$A451,'Error Log'!$A:$A,0),MATCH('Scores per segment'!C$1,'Error Log'!$A$1:$J$1,0)))</f>
        <v/>
      </c>
      <c r="D451" s="70">
        <f>IF(H451=0,wdct(TRIM(C451)),0)</f>
        <v>0</v>
      </c>
      <c r="E451" s="70">
        <f>COUNTIFS('Error Log'!$A:$A,$A451,'Error Log'!$J:$J,E$1)</f>
        <v>0</v>
      </c>
      <c r="F451" s="70">
        <f>COUNTIFS('Error Log'!$A:$A,$A451,'Error Log'!$J:$J,F$1)</f>
        <v>0</v>
      </c>
      <c r="G451" s="70">
        <f>COUNTIFS('Error Log'!$A:$A,$A451,'Error Log'!$J:$J,G$1)</f>
        <v>0</v>
      </c>
      <c r="H451" s="70">
        <f>COUNTIFS('Error Log'!$A:$A,$A451,'Error Log'!$F:$F,"Source")</f>
        <v>0</v>
      </c>
      <c r="I451" s="70">
        <f>COUNTIFS('Error Log'!$A:$A,$A451,'Error Log'!$F:$F,"Target")</f>
        <v>0</v>
      </c>
      <c r="J451" s="71">
        <f t="shared" si="7"/>
        <v>0</v>
      </c>
    </row>
    <row r="452" spans="1:10">
      <c r="A452" s="123"/>
      <c r="B452" s="70" t="str">
        <f>IF(ISBLANK(A452),"",INDEX('Error Log'!$A:$J,MATCH('Scores per segment'!$A452,'Error Log'!$A:$A,0),MATCH('Scores per segment'!B$1,'Error Log'!$A$1:$J$1,0)))</f>
        <v/>
      </c>
      <c r="C452" s="70" t="str">
        <f>IF(ISBLANK(A452),"",INDEX('Error Log'!$A:$J,MATCH('Scores per segment'!$A452,'Error Log'!$A:$A,0),MATCH('Scores per segment'!C$1,'Error Log'!$A$1:$J$1,0)))</f>
        <v/>
      </c>
      <c r="D452" s="70">
        <f>IF(H452=0,wdct(TRIM(C452)),0)</f>
        <v>0</v>
      </c>
      <c r="E452" s="70">
        <f>COUNTIFS('Error Log'!$A:$A,$A452,'Error Log'!$J:$J,E$1)</f>
        <v>0</v>
      </c>
      <c r="F452" s="70">
        <f>COUNTIFS('Error Log'!$A:$A,$A452,'Error Log'!$J:$J,F$1)</f>
        <v>0</v>
      </c>
      <c r="G452" s="70">
        <f>COUNTIFS('Error Log'!$A:$A,$A452,'Error Log'!$J:$J,G$1)</f>
        <v>0</v>
      </c>
      <c r="H452" s="70">
        <f>COUNTIFS('Error Log'!$A:$A,$A452,'Error Log'!$F:$F,"Source")</f>
        <v>0</v>
      </c>
      <c r="I452" s="70">
        <f>COUNTIFS('Error Log'!$A:$A,$A452,'Error Log'!$F:$F,"Target")</f>
        <v>0</v>
      </c>
      <c r="J452" s="71">
        <f t="shared" si="7"/>
        <v>0</v>
      </c>
    </row>
    <row r="453" spans="1:10">
      <c r="A453" s="123"/>
      <c r="B453" s="70" t="str">
        <f>IF(ISBLANK(A453),"",INDEX('Error Log'!$A:$J,MATCH('Scores per segment'!$A453,'Error Log'!$A:$A,0),MATCH('Scores per segment'!B$1,'Error Log'!$A$1:$J$1,0)))</f>
        <v/>
      </c>
      <c r="C453" s="70" t="str">
        <f>IF(ISBLANK(A453),"",INDEX('Error Log'!$A:$J,MATCH('Scores per segment'!$A453,'Error Log'!$A:$A,0),MATCH('Scores per segment'!C$1,'Error Log'!$A$1:$J$1,0)))</f>
        <v/>
      </c>
      <c r="D453" s="70">
        <f>IF(H453=0,wdct(TRIM(C453)),0)</f>
        <v>0</v>
      </c>
      <c r="E453" s="70">
        <f>COUNTIFS('Error Log'!$A:$A,$A453,'Error Log'!$J:$J,E$1)</f>
        <v>0</v>
      </c>
      <c r="F453" s="70">
        <f>COUNTIFS('Error Log'!$A:$A,$A453,'Error Log'!$J:$J,F$1)</f>
        <v>0</v>
      </c>
      <c r="G453" s="70">
        <f>COUNTIFS('Error Log'!$A:$A,$A453,'Error Log'!$J:$J,G$1)</f>
        <v>0</v>
      </c>
      <c r="H453" s="70">
        <f>COUNTIFS('Error Log'!$A:$A,$A453,'Error Log'!$F:$F,"Source")</f>
        <v>0</v>
      </c>
      <c r="I453" s="70">
        <f>COUNTIFS('Error Log'!$A:$A,$A453,'Error Log'!$F:$F,"Target")</f>
        <v>0</v>
      </c>
      <c r="J453" s="71">
        <f t="shared" si="7"/>
        <v>0</v>
      </c>
    </row>
    <row r="454" spans="1:10">
      <c r="A454" s="123"/>
      <c r="B454" s="70" t="str">
        <f>IF(ISBLANK(A454),"",INDEX('Error Log'!$A:$J,MATCH('Scores per segment'!$A454,'Error Log'!$A:$A,0),MATCH('Scores per segment'!B$1,'Error Log'!$A$1:$J$1,0)))</f>
        <v/>
      </c>
      <c r="C454" s="70" t="str">
        <f>IF(ISBLANK(A454),"",INDEX('Error Log'!$A:$J,MATCH('Scores per segment'!$A454,'Error Log'!$A:$A,0),MATCH('Scores per segment'!C$1,'Error Log'!$A$1:$J$1,0)))</f>
        <v/>
      </c>
      <c r="D454" s="70">
        <f>IF(H454=0,wdct(TRIM(C454)),0)</f>
        <v>0</v>
      </c>
      <c r="E454" s="70">
        <f>COUNTIFS('Error Log'!$A:$A,$A454,'Error Log'!$J:$J,E$1)</f>
        <v>0</v>
      </c>
      <c r="F454" s="70">
        <f>COUNTIFS('Error Log'!$A:$A,$A454,'Error Log'!$J:$J,F$1)</f>
        <v>0</v>
      </c>
      <c r="G454" s="70">
        <f>COUNTIFS('Error Log'!$A:$A,$A454,'Error Log'!$J:$J,G$1)</f>
        <v>0</v>
      </c>
      <c r="H454" s="70">
        <f>COUNTIFS('Error Log'!$A:$A,$A454,'Error Log'!$F:$F,"Source")</f>
        <v>0</v>
      </c>
      <c r="I454" s="70">
        <f>COUNTIFS('Error Log'!$A:$A,$A454,'Error Log'!$F:$F,"Target")</f>
        <v>0</v>
      </c>
      <c r="J454" s="71">
        <f t="shared" si="7"/>
        <v>0</v>
      </c>
    </row>
    <row r="455" spans="1:10">
      <c r="A455" s="123"/>
      <c r="B455" s="70" t="str">
        <f>IF(ISBLANK(A455),"",INDEX('Error Log'!$A:$J,MATCH('Scores per segment'!$A455,'Error Log'!$A:$A,0),MATCH('Scores per segment'!B$1,'Error Log'!$A$1:$J$1,0)))</f>
        <v/>
      </c>
      <c r="C455" s="70" t="str">
        <f>IF(ISBLANK(A455),"",INDEX('Error Log'!$A:$J,MATCH('Scores per segment'!$A455,'Error Log'!$A:$A,0),MATCH('Scores per segment'!C$1,'Error Log'!$A$1:$J$1,0)))</f>
        <v/>
      </c>
      <c r="D455" s="70">
        <f>IF(H455=0,wdct(TRIM(C455)),0)</f>
        <v>0</v>
      </c>
      <c r="E455" s="70">
        <f>COUNTIFS('Error Log'!$A:$A,$A455,'Error Log'!$J:$J,E$1)</f>
        <v>0</v>
      </c>
      <c r="F455" s="70">
        <f>COUNTIFS('Error Log'!$A:$A,$A455,'Error Log'!$J:$J,F$1)</f>
        <v>0</v>
      </c>
      <c r="G455" s="70">
        <f>COUNTIFS('Error Log'!$A:$A,$A455,'Error Log'!$J:$J,G$1)</f>
        <v>0</v>
      </c>
      <c r="H455" s="70">
        <f>COUNTIFS('Error Log'!$A:$A,$A455,'Error Log'!$F:$F,"Source")</f>
        <v>0</v>
      </c>
      <c r="I455" s="70">
        <f>COUNTIFS('Error Log'!$A:$A,$A455,'Error Log'!$F:$F,"Target")</f>
        <v>0</v>
      </c>
      <c r="J455" s="71">
        <f t="shared" si="7"/>
        <v>0</v>
      </c>
    </row>
    <row r="456" spans="1:10">
      <c r="A456" s="123"/>
      <c r="B456" s="70" t="str">
        <f>IF(ISBLANK(A456),"",INDEX('Error Log'!$A:$J,MATCH('Scores per segment'!$A456,'Error Log'!$A:$A,0),MATCH('Scores per segment'!B$1,'Error Log'!$A$1:$J$1,0)))</f>
        <v/>
      </c>
      <c r="C456" s="70" t="str">
        <f>IF(ISBLANK(A456),"",INDEX('Error Log'!$A:$J,MATCH('Scores per segment'!$A456,'Error Log'!$A:$A,0),MATCH('Scores per segment'!C$1,'Error Log'!$A$1:$J$1,0)))</f>
        <v/>
      </c>
      <c r="D456" s="70">
        <f>IF(H456=0,wdct(TRIM(C456)),0)</f>
        <v>0</v>
      </c>
      <c r="E456" s="70">
        <f>COUNTIFS('Error Log'!$A:$A,$A456,'Error Log'!$J:$J,E$1)</f>
        <v>0</v>
      </c>
      <c r="F456" s="70">
        <f>COUNTIFS('Error Log'!$A:$A,$A456,'Error Log'!$J:$J,F$1)</f>
        <v>0</v>
      </c>
      <c r="G456" s="70">
        <f>COUNTIFS('Error Log'!$A:$A,$A456,'Error Log'!$J:$J,G$1)</f>
        <v>0</v>
      </c>
      <c r="H456" s="70">
        <f>COUNTIFS('Error Log'!$A:$A,$A456,'Error Log'!$F:$F,"Source")</f>
        <v>0</v>
      </c>
      <c r="I456" s="70">
        <f>COUNTIFS('Error Log'!$A:$A,$A456,'Error Log'!$F:$F,"Target")</f>
        <v>0</v>
      </c>
      <c r="J456" s="71">
        <f t="shared" si="7"/>
        <v>0</v>
      </c>
    </row>
    <row r="457" spans="1:10">
      <c r="A457" s="123"/>
      <c r="B457" s="70" t="str">
        <f>IF(ISBLANK(A457),"",INDEX('Error Log'!$A:$J,MATCH('Scores per segment'!$A457,'Error Log'!$A:$A,0),MATCH('Scores per segment'!B$1,'Error Log'!$A$1:$J$1,0)))</f>
        <v/>
      </c>
      <c r="C457" s="70" t="str">
        <f>IF(ISBLANK(A457),"",INDEX('Error Log'!$A:$J,MATCH('Scores per segment'!$A457,'Error Log'!$A:$A,0),MATCH('Scores per segment'!C$1,'Error Log'!$A$1:$J$1,0)))</f>
        <v/>
      </c>
      <c r="D457" s="70">
        <f>IF(H457=0,wdct(TRIM(C457)),0)</f>
        <v>0</v>
      </c>
      <c r="E457" s="70">
        <f>COUNTIFS('Error Log'!$A:$A,$A457,'Error Log'!$J:$J,E$1)</f>
        <v>0</v>
      </c>
      <c r="F457" s="70">
        <f>COUNTIFS('Error Log'!$A:$A,$A457,'Error Log'!$J:$J,F$1)</f>
        <v>0</v>
      </c>
      <c r="G457" s="70">
        <f>COUNTIFS('Error Log'!$A:$A,$A457,'Error Log'!$J:$J,G$1)</f>
        <v>0</v>
      </c>
      <c r="H457" s="70">
        <f>COUNTIFS('Error Log'!$A:$A,$A457,'Error Log'!$F:$F,"Source")</f>
        <v>0</v>
      </c>
      <c r="I457" s="70">
        <f>COUNTIFS('Error Log'!$A:$A,$A457,'Error Log'!$F:$F,"Target")</f>
        <v>0</v>
      </c>
      <c r="J457" s="71">
        <f t="shared" si="7"/>
        <v>0</v>
      </c>
    </row>
    <row r="458" spans="1:10">
      <c r="A458" s="123"/>
      <c r="B458" s="70" t="str">
        <f>IF(ISBLANK(A458),"",INDEX('Error Log'!$A:$J,MATCH('Scores per segment'!$A458,'Error Log'!$A:$A,0),MATCH('Scores per segment'!B$1,'Error Log'!$A$1:$J$1,0)))</f>
        <v/>
      </c>
      <c r="C458" s="70" t="str">
        <f>IF(ISBLANK(A458),"",INDEX('Error Log'!$A:$J,MATCH('Scores per segment'!$A458,'Error Log'!$A:$A,0),MATCH('Scores per segment'!C$1,'Error Log'!$A$1:$J$1,0)))</f>
        <v/>
      </c>
      <c r="D458" s="70">
        <f>IF(H458=0,wdct(TRIM(C458)),0)</f>
        <v>0</v>
      </c>
      <c r="E458" s="70">
        <f>COUNTIFS('Error Log'!$A:$A,$A458,'Error Log'!$J:$J,E$1)</f>
        <v>0</v>
      </c>
      <c r="F458" s="70">
        <f>COUNTIFS('Error Log'!$A:$A,$A458,'Error Log'!$J:$J,F$1)</f>
        <v>0</v>
      </c>
      <c r="G458" s="70">
        <f>COUNTIFS('Error Log'!$A:$A,$A458,'Error Log'!$J:$J,G$1)</f>
        <v>0</v>
      </c>
      <c r="H458" s="70">
        <f>COUNTIFS('Error Log'!$A:$A,$A458,'Error Log'!$F:$F,"Source")</f>
        <v>0</v>
      </c>
      <c r="I458" s="70">
        <f>COUNTIFS('Error Log'!$A:$A,$A458,'Error Log'!$F:$F,"Target")</f>
        <v>0</v>
      </c>
      <c r="J458" s="71">
        <f t="shared" si="7"/>
        <v>0</v>
      </c>
    </row>
    <row r="459" spans="1:10">
      <c r="A459" s="123"/>
      <c r="B459" s="70" t="str">
        <f>IF(ISBLANK(A459),"",INDEX('Error Log'!$A:$J,MATCH('Scores per segment'!$A459,'Error Log'!$A:$A,0),MATCH('Scores per segment'!B$1,'Error Log'!$A$1:$J$1,0)))</f>
        <v/>
      </c>
      <c r="C459" s="70" t="str">
        <f>IF(ISBLANK(A459),"",INDEX('Error Log'!$A:$J,MATCH('Scores per segment'!$A459,'Error Log'!$A:$A,0),MATCH('Scores per segment'!C$1,'Error Log'!$A$1:$J$1,0)))</f>
        <v/>
      </c>
      <c r="D459" s="70">
        <f>IF(H459=0,wdct(TRIM(C459)),0)</f>
        <v>0</v>
      </c>
      <c r="E459" s="70">
        <f>COUNTIFS('Error Log'!$A:$A,$A459,'Error Log'!$J:$J,E$1)</f>
        <v>0</v>
      </c>
      <c r="F459" s="70">
        <f>COUNTIFS('Error Log'!$A:$A,$A459,'Error Log'!$J:$J,F$1)</f>
        <v>0</v>
      </c>
      <c r="G459" s="70">
        <f>COUNTIFS('Error Log'!$A:$A,$A459,'Error Log'!$J:$J,G$1)</f>
        <v>0</v>
      </c>
      <c r="H459" s="70">
        <f>COUNTIFS('Error Log'!$A:$A,$A459,'Error Log'!$F:$F,"Source")</f>
        <v>0</v>
      </c>
      <c r="I459" s="70">
        <f>COUNTIFS('Error Log'!$A:$A,$A459,'Error Log'!$F:$F,"Target")</f>
        <v>0</v>
      </c>
      <c r="J459" s="71">
        <f t="shared" si="7"/>
        <v>0</v>
      </c>
    </row>
    <row r="460" spans="1:10">
      <c r="A460" s="123"/>
      <c r="B460" s="70" t="str">
        <f>IF(ISBLANK(A460),"",INDEX('Error Log'!$A:$J,MATCH('Scores per segment'!$A460,'Error Log'!$A:$A,0),MATCH('Scores per segment'!B$1,'Error Log'!$A$1:$J$1,0)))</f>
        <v/>
      </c>
      <c r="C460" s="70" t="str">
        <f>IF(ISBLANK(A460),"",INDEX('Error Log'!$A:$J,MATCH('Scores per segment'!$A460,'Error Log'!$A:$A,0),MATCH('Scores per segment'!C$1,'Error Log'!$A$1:$J$1,0)))</f>
        <v/>
      </c>
      <c r="D460" s="70">
        <f>IF(H460=0,wdct(TRIM(C460)),0)</f>
        <v>0</v>
      </c>
      <c r="E460" s="70">
        <f>COUNTIFS('Error Log'!$A:$A,$A460,'Error Log'!$J:$J,E$1)</f>
        <v>0</v>
      </c>
      <c r="F460" s="70">
        <f>COUNTIFS('Error Log'!$A:$A,$A460,'Error Log'!$J:$J,F$1)</f>
        <v>0</v>
      </c>
      <c r="G460" s="70">
        <f>COUNTIFS('Error Log'!$A:$A,$A460,'Error Log'!$J:$J,G$1)</f>
        <v>0</v>
      </c>
      <c r="H460" s="70">
        <f>COUNTIFS('Error Log'!$A:$A,$A460,'Error Log'!$F:$F,"Source")</f>
        <v>0</v>
      </c>
      <c r="I460" s="70">
        <f>COUNTIFS('Error Log'!$A:$A,$A460,'Error Log'!$F:$F,"Target")</f>
        <v>0</v>
      </c>
      <c r="J460" s="71">
        <f t="shared" si="7"/>
        <v>0</v>
      </c>
    </row>
    <row r="461" spans="1:10">
      <c r="A461" s="123"/>
      <c r="B461" s="70" t="str">
        <f>IF(ISBLANK(A461),"",INDEX('Error Log'!$A:$J,MATCH('Scores per segment'!$A461,'Error Log'!$A:$A,0),MATCH('Scores per segment'!B$1,'Error Log'!$A$1:$J$1,0)))</f>
        <v/>
      </c>
      <c r="C461" s="70" t="str">
        <f>IF(ISBLANK(A461),"",INDEX('Error Log'!$A:$J,MATCH('Scores per segment'!$A461,'Error Log'!$A:$A,0),MATCH('Scores per segment'!C$1,'Error Log'!$A$1:$J$1,0)))</f>
        <v/>
      </c>
      <c r="D461" s="70">
        <f>IF(H461=0,wdct(TRIM(C461)),0)</f>
        <v>0</v>
      </c>
      <c r="E461" s="70">
        <f>COUNTIFS('Error Log'!$A:$A,$A461,'Error Log'!$J:$J,E$1)</f>
        <v>0</v>
      </c>
      <c r="F461" s="70">
        <f>COUNTIFS('Error Log'!$A:$A,$A461,'Error Log'!$J:$J,F$1)</f>
        <v>0</v>
      </c>
      <c r="G461" s="70">
        <f>COUNTIFS('Error Log'!$A:$A,$A461,'Error Log'!$J:$J,G$1)</f>
        <v>0</v>
      </c>
      <c r="H461" s="70">
        <f>COUNTIFS('Error Log'!$A:$A,$A461,'Error Log'!$F:$F,"Source")</f>
        <v>0</v>
      </c>
      <c r="I461" s="70">
        <f>COUNTIFS('Error Log'!$A:$A,$A461,'Error Log'!$F:$F,"Target")</f>
        <v>0</v>
      </c>
      <c r="J461" s="71">
        <f t="shared" si="7"/>
        <v>0</v>
      </c>
    </row>
    <row r="462" spans="1:10">
      <c r="A462" s="123"/>
      <c r="B462" s="70" t="str">
        <f>IF(ISBLANK(A462),"",INDEX('Error Log'!$A:$J,MATCH('Scores per segment'!$A462,'Error Log'!$A:$A,0),MATCH('Scores per segment'!B$1,'Error Log'!$A$1:$J$1,0)))</f>
        <v/>
      </c>
      <c r="C462" s="70" t="str">
        <f>IF(ISBLANK(A462),"",INDEX('Error Log'!$A:$J,MATCH('Scores per segment'!$A462,'Error Log'!$A:$A,0),MATCH('Scores per segment'!C$1,'Error Log'!$A$1:$J$1,0)))</f>
        <v/>
      </c>
      <c r="D462" s="70">
        <f>IF(H462=0,wdct(TRIM(C462)),0)</f>
        <v>0</v>
      </c>
      <c r="E462" s="70">
        <f>COUNTIFS('Error Log'!$A:$A,$A462,'Error Log'!$J:$J,E$1)</f>
        <v>0</v>
      </c>
      <c r="F462" s="70">
        <f>COUNTIFS('Error Log'!$A:$A,$A462,'Error Log'!$J:$J,F$1)</f>
        <v>0</v>
      </c>
      <c r="G462" s="70">
        <f>COUNTIFS('Error Log'!$A:$A,$A462,'Error Log'!$J:$J,G$1)</f>
        <v>0</v>
      </c>
      <c r="H462" s="70">
        <f>COUNTIFS('Error Log'!$A:$A,$A462,'Error Log'!$F:$F,"Source")</f>
        <v>0</v>
      </c>
      <c r="I462" s="70">
        <f>COUNTIFS('Error Log'!$A:$A,$A462,'Error Log'!$F:$F,"Target")</f>
        <v>0</v>
      </c>
      <c r="J462" s="71">
        <f t="shared" si="7"/>
        <v>0</v>
      </c>
    </row>
    <row r="463" spans="1:10">
      <c r="A463" s="123"/>
      <c r="B463" s="70" t="str">
        <f>IF(ISBLANK(A463),"",INDEX('Error Log'!$A:$J,MATCH('Scores per segment'!$A463,'Error Log'!$A:$A,0),MATCH('Scores per segment'!B$1,'Error Log'!$A$1:$J$1,0)))</f>
        <v/>
      </c>
      <c r="C463" s="70" t="str">
        <f>IF(ISBLANK(A463),"",INDEX('Error Log'!$A:$J,MATCH('Scores per segment'!$A463,'Error Log'!$A:$A,0),MATCH('Scores per segment'!C$1,'Error Log'!$A$1:$J$1,0)))</f>
        <v/>
      </c>
      <c r="D463" s="70">
        <f>IF(H463=0,wdct(TRIM(C463)),0)</f>
        <v>0</v>
      </c>
      <c r="E463" s="70">
        <f>COUNTIFS('Error Log'!$A:$A,$A463,'Error Log'!$J:$J,E$1)</f>
        <v>0</v>
      </c>
      <c r="F463" s="70">
        <f>COUNTIFS('Error Log'!$A:$A,$A463,'Error Log'!$J:$J,F$1)</f>
        <v>0</v>
      </c>
      <c r="G463" s="70">
        <f>COUNTIFS('Error Log'!$A:$A,$A463,'Error Log'!$J:$J,G$1)</f>
        <v>0</v>
      </c>
      <c r="H463" s="70">
        <f>COUNTIFS('Error Log'!$A:$A,$A463,'Error Log'!$F:$F,"Source")</f>
        <v>0</v>
      </c>
      <c r="I463" s="70">
        <f>COUNTIFS('Error Log'!$A:$A,$A463,'Error Log'!$F:$F,"Target")</f>
        <v>0</v>
      </c>
      <c r="J463" s="71">
        <f t="shared" si="7"/>
        <v>0</v>
      </c>
    </row>
    <row r="464" spans="1:10">
      <c r="A464" s="123"/>
      <c r="B464" s="70" t="str">
        <f>IF(ISBLANK(A464),"",INDEX('Error Log'!$A:$J,MATCH('Scores per segment'!$A464,'Error Log'!$A:$A,0),MATCH('Scores per segment'!B$1,'Error Log'!$A$1:$J$1,0)))</f>
        <v/>
      </c>
      <c r="C464" s="70" t="str">
        <f>IF(ISBLANK(A464),"",INDEX('Error Log'!$A:$J,MATCH('Scores per segment'!$A464,'Error Log'!$A:$A,0),MATCH('Scores per segment'!C$1,'Error Log'!$A$1:$J$1,0)))</f>
        <v/>
      </c>
      <c r="D464" s="70">
        <f>IF(H464=0,wdct(TRIM(C464)),0)</f>
        <v>0</v>
      </c>
      <c r="E464" s="70">
        <f>COUNTIFS('Error Log'!$A:$A,$A464,'Error Log'!$J:$J,E$1)</f>
        <v>0</v>
      </c>
      <c r="F464" s="70">
        <f>COUNTIFS('Error Log'!$A:$A,$A464,'Error Log'!$J:$J,F$1)</f>
        <v>0</v>
      </c>
      <c r="G464" s="70">
        <f>COUNTIFS('Error Log'!$A:$A,$A464,'Error Log'!$J:$J,G$1)</f>
        <v>0</v>
      </c>
      <c r="H464" s="70">
        <f>COUNTIFS('Error Log'!$A:$A,$A464,'Error Log'!$F:$F,"Source")</f>
        <v>0</v>
      </c>
      <c r="I464" s="70">
        <f>COUNTIFS('Error Log'!$A:$A,$A464,'Error Log'!$F:$F,"Target")</f>
        <v>0</v>
      </c>
      <c r="J464" s="71">
        <f t="shared" si="7"/>
        <v>0</v>
      </c>
    </row>
    <row r="465" spans="1:10">
      <c r="A465" s="123"/>
      <c r="B465" s="70" t="str">
        <f>IF(ISBLANK(A465),"",INDEX('Error Log'!$A:$J,MATCH('Scores per segment'!$A465,'Error Log'!$A:$A,0),MATCH('Scores per segment'!B$1,'Error Log'!$A$1:$J$1,0)))</f>
        <v/>
      </c>
      <c r="C465" s="70" t="str">
        <f>IF(ISBLANK(A465),"",INDEX('Error Log'!$A:$J,MATCH('Scores per segment'!$A465,'Error Log'!$A:$A,0),MATCH('Scores per segment'!C$1,'Error Log'!$A$1:$J$1,0)))</f>
        <v/>
      </c>
      <c r="D465" s="70">
        <f>IF(H465=0,wdct(TRIM(C465)),0)</f>
        <v>0</v>
      </c>
      <c r="E465" s="70">
        <f>COUNTIFS('Error Log'!$A:$A,$A465,'Error Log'!$J:$J,E$1)</f>
        <v>0</v>
      </c>
      <c r="F465" s="70">
        <f>COUNTIFS('Error Log'!$A:$A,$A465,'Error Log'!$J:$J,F$1)</f>
        <v>0</v>
      </c>
      <c r="G465" s="70">
        <f>COUNTIFS('Error Log'!$A:$A,$A465,'Error Log'!$J:$J,G$1)</f>
        <v>0</v>
      </c>
      <c r="H465" s="70">
        <f>COUNTIFS('Error Log'!$A:$A,$A465,'Error Log'!$F:$F,"Source")</f>
        <v>0</v>
      </c>
      <c r="I465" s="70">
        <f>COUNTIFS('Error Log'!$A:$A,$A465,'Error Log'!$F:$F,"Target")</f>
        <v>0</v>
      </c>
      <c r="J465" s="71">
        <f t="shared" si="7"/>
        <v>0</v>
      </c>
    </row>
    <row r="466" spans="1:10">
      <c r="A466" s="123"/>
      <c r="B466" s="70" t="str">
        <f>IF(ISBLANK(A466),"",INDEX('Error Log'!$A:$J,MATCH('Scores per segment'!$A466,'Error Log'!$A:$A,0),MATCH('Scores per segment'!B$1,'Error Log'!$A$1:$J$1,0)))</f>
        <v/>
      </c>
      <c r="C466" s="70" t="str">
        <f>IF(ISBLANK(A466),"",INDEX('Error Log'!$A:$J,MATCH('Scores per segment'!$A466,'Error Log'!$A:$A,0),MATCH('Scores per segment'!C$1,'Error Log'!$A$1:$J$1,0)))</f>
        <v/>
      </c>
      <c r="D466" s="70">
        <f>IF(H466=0,wdct(TRIM(C466)),0)</f>
        <v>0</v>
      </c>
      <c r="E466" s="70">
        <f>COUNTIFS('Error Log'!$A:$A,$A466,'Error Log'!$J:$J,E$1)</f>
        <v>0</v>
      </c>
      <c r="F466" s="70">
        <f>COUNTIFS('Error Log'!$A:$A,$A466,'Error Log'!$J:$J,F$1)</f>
        <v>0</v>
      </c>
      <c r="G466" s="70">
        <f>COUNTIFS('Error Log'!$A:$A,$A466,'Error Log'!$J:$J,G$1)</f>
        <v>0</v>
      </c>
      <c r="H466" s="70">
        <f>COUNTIFS('Error Log'!$A:$A,$A466,'Error Log'!$F:$F,"Source")</f>
        <v>0</v>
      </c>
      <c r="I466" s="70">
        <f>COUNTIFS('Error Log'!$A:$A,$A466,'Error Log'!$F:$F,"Target")</f>
        <v>0</v>
      </c>
      <c r="J466" s="71">
        <f t="shared" si="7"/>
        <v>0</v>
      </c>
    </row>
    <row r="467" spans="1:10">
      <c r="A467" s="123"/>
      <c r="B467" s="70" t="str">
        <f>IF(ISBLANK(A467),"",INDEX('Error Log'!$A:$J,MATCH('Scores per segment'!$A467,'Error Log'!$A:$A,0),MATCH('Scores per segment'!B$1,'Error Log'!$A$1:$J$1,0)))</f>
        <v/>
      </c>
      <c r="C467" s="70" t="str">
        <f>IF(ISBLANK(A467),"",INDEX('Error Log'!$A:$J,MATCH('Scores per segment'!$A467,'Error Log'!$A:$A,0),MATCH('Scores per segment'!C$1,'Error Log'!$A$1:$J$1,0)))</f>
        <v/>
      </c>
      <c r="D467" s="70">
        <f>IF(H467=0,wdct(TRIM(C467)),0)</f>
        <v>0</v>
      </c>
      <c r="E467" s="70">
        <f>COUNTIFS('Error Log'!$A:$A,$A467,'Error Log'!$J:$J,E$1)</f>
        <v>0</v>
      </c>
      <c r="F467" s="70">
        <f>COUNTIFS('Error Log'!$A:$A,$A467,'Error Log'!$J:$J,F$1)</f>
        <v>0</v>
      </c>
      <c r="G467" s="70">
        <f>COUNTIFS('Error Log'!$A:$A,$A467,'Error Log'!$J:$J,G$1)</f>
        <v>0</v>
      </c>
      <c r="H467" s="70">
        <f>COUNTIFS('Error Log'!$A:$A,$A467,'Error Log'!$F:$F,"Source")</f>
        <v>0</v>
      </c>
      <c r="I467" s="70">
        <f>COUNTIFS('Error Log'!$A:$A,$A467,'Error Log'!$F:$F,"Target")</f>
        <v>0</v>
      </c>
      <c r="J467" s="71">
        <f t="shared" si="7"/>
        <v>0</v>
      </c>
    </row>
    <row r="468" spans="1:10">
      <c r="A468" s="123"/>
      <c r="B468" s="70" t="str">
        <f>IF(ISBLANK(A468),"",INDEX('Error Log'!$A:$J,MATCH('Scores per segment'!$A468,'Error Log'!$A:$A,0),MATCH('Scores per segment'!B$1,'Error Log'!$A$1:$J$1,0)))</f>
        <v/>
      </c>
      <c r="C468" s="70" t="str">
        <f>IF(ISBLANK(A468),"",INDEX('Error Log'!$A:$J,MATCH('Scores per segment'!$A468,'Error Log'!$A:$A,0),MATCH('Scores per segment'!C$1,'Error Log'!$A$1:$J$1,0)))</f>
        <v/>
      </c>
      <c r="D468" s="70">
        <f>IF(H468=0,wdct(TRIM(C468)),0)</f>
        <v>0</v>
      </c>
      <c r="E468" s="70">
        <f>COUNTIFS('Error Log'!$A:$A,$A468,'Error Log'!$J:$J,E$1)</f>
        <v>0</v>
      </c>
      <c r="F468" s="70">
        <f>COUNTIFS('Error Log'!$A:$A,$A468,'Error Log'!$J:$J,F$1)</f>
        <v>0</v>
      </c>
      <c r="G468" s="70">
        <f>COUNTIFS('Error Log'!$A:$A,$A468,'Error Log'!$J:$J,G$1)</f>
        <v>0</v>
      </c>
      <c r="H468" s="70">
        <f>COUNTIFS('Error Log'!$A:$A,$A468,'Error Log'!$F:$F,"Source")</f>
        <v>0</v>
      </c>
      <c r="I468" s="70">
        <f>COUNTIFS('Error Log'!$A:$A,$A468,'Error Log'!$F:$F,"Target")</f>
        <v>0</v>
      </c>
      <c r="J468" s="71">
        <f t="shared" si="7"/>
        <v>0</v>
      </c>
    </row>
    <row r="469" spans="1:10">
      <c r="A469" s="123"/>
      <c r="B469" s="70" t="str">
        <f>IF(ISBLANK(A469),"",INDEX('Error Log'!$A:$J,MATCH('Scores per segment'!$A469,'Error Log'!$A:$A,0),MATCH('Scores per segment'!B$1,'Error Log'!$A$1:$J$1,0)))</f>
        <v/>
      </c>
      <c r="C469" s="70" t="str">
        <f>IF(ISBLANK(A469),"",INDEX('Error Log'!$A:$J,MATCH('Scores per segment'!$A469,'Error Log'!$A:$A,0),MATCH('Scores per segment'!C$1,'Error Log'!$A$1:$J$1,0)))</f>
        <v/>
      </c>
      <c r="D469" s="70">
        <f>IF(H469=0,wdct(TRIM(C469)),0)</f>
        <v>0</v>
      </c>
      <c r="E469" s="70">
        <f>COUNTIFS('Error Log'!$A:$A,$A469,'Error Log'!$J:$J,E$1)</f>
        <v>0</v>
      </c>
      <c r="F469" s="70">
        <f>COUNTIFS('Error Log'!$A:$A,$A469,'Error Log'!$J:$J,F$1)</f>
        <v>0</v>
      </c>
      <c r="G469" s="70">
        <f>COUNTIFS('Error Log'!$A:$A,$A469,'Error Log'!$J:$J,G$1)</f>
        <v>0</v>
      </c>
      <c r="H469" s="70">
        <f>COUNTIFS('Error Log'!$A:$A,$A469,'Error Log'!$F:$F,"Source")</f>
        <v>0</v>
      </c>
      <c r="I469" s="70">
        <f>COUNTIFS('Error Log'!$A:$A,$A469,'Error Log'!$F:$F,"Target")</f>
        <v>0</v>
      </c>
      <c r="J469" s="71">
        <f t="shared" si="7"/>
        <v>0</v>
      </c>
    </row>
    <row r="470" spans="1:10">
      <c r="A470" s="123"/>
      <c r="B470" s="70" t="str">
        <f>IF(ISBLANK(A470),"",INDEX('Error Log'!$A:$J,MATCH('Scores per segment'!$A470,'Error Log'!$A:$A,0),MATCH('Scores per segment'!B$1,'Error Log'!$A$1:$J$1,0)))</f>
        <v/>
      </c>
      <c r="C470" s="70" t="str">
        <f>IF(ISBLANK(A470),"",INDEX('Error Log'!$A:$J,MATCH('Scores per segment'!$A470,'Error Log'!$A:$A,0),MATCH('Scores per segment'!C$1,'Error Log'!$A$1:$J$1,0)))</f>
        <v/>
      </c>
      <c r="D470" s="70">
        <f>IF(H470=0,wdct(TRIM(C470)),0)</f>
        <v>0</v>
      </c>
      <c r="E470" s="70">
        <f>COUNTIFS('Error Log'!$A:$A,$A470,'Error Log'!$J:$J,E$1)</f>
        <v>0</v>
      </c>
      <c r="F470" s="70">
        <f>COUNTIFS('Error Log'!$A:$A,$A470,'Error Log'!$J:$J,F$1)</f>
        <v>0</v>
      </c>
      <c r="G470" s="70">
        <f>COUNTIFS('Error Log'!$A:$A,$A470,'Error Log'!$J:$J,G$1)</f>
        <v>0</v>
      </c>
      <c r="H470" s="70">
        <f>COUNTIFS('Error Log'!$A:$A,$A470,'Error Log'!$F:$F,"Source")</f>
        <v>0</v>
      </c>
      <c r="I470" s="70">
        <f>COUNTIFS('Error Log'!$A:$A,$A470,'Error Log'!$F:$F,"Target")</f>
        <v>0</v>
      </c>
      <c r="J470" s="71">
        <f t="shared" si="7"/>
        <v>0</v>
      </c>
    </row>
    <row r="471" spans="1:10">
      <c r="A471" s="123"/>
      <c r="B471" s="70" t="str">
        <f>IF(ISBLANK(A471),"",INDEX('Error Log'!$A:$J,MATCH('Scores per segment'!$A471,'Error Log'!$A:$A,0),MATCH('Scores per segment'!B$1,'Error Log'!$A$1:$J$1,0)))</f>
        <v/>
      </c>
      <c r="C471" s="70" t="str">
        <f>IF(ISBLANK(A471),"",INDEX('Error Log'!$A:$J,MATCH('Scores per segment'!$A471,'Error Log'!$A:$A,0),MATCH('Scores per segment'!C$1,'Error Log'!$A$1:$J$1,0)))</f>
        <v/>
      </c>
      <c r="D471" s="70">
        <f>IF(H471=0,wdct(TRIM(C471)),0)</f>
        <v>0</v>
      </c>
      <c r="E471" s="70">
        <f>COUNTIFS('Error Log'!$A:$A,$A471,'Error Log'!$J:$J,E$1)</f>
        <v>0</v>
      </c>
      <c r="F471" s="70">
        <f>COUNTIFS('Error Log'!$A:$A,$A471,'Error Log'!$J:$J,F$1)</f>
        <v>0</v>
      </c>
      <c r="G471" s="70">
        <f>COUNTIFS('Error Log'!$A:$A,$A471,'Error Log'!$J:$J,G$1)</f>
        <v>0</v>
      </c>
      <c r="H471" s="70">
        <f>COUNTIFS('Error Log'!$A:$A,$A471,'Error Log'!$F:$F,"Source")</f>
        <v>0</v>
      </c>
      <c r="I471" s="70">
        <f>COUNTIFS('Error Log'!$A:$A,$A471,'Error Log'!$F:$F,"Target")</f>
        <v>0</v>
      </c>
      <c r="J471" s="71">
        <f t="shared" si="7"/>
        <v>0</v>
      </c>
    </row>
    <row r="472" spans="1:10">
      <c r="A472" s="123"/>
      <c r="B472" s="70" t="str">
        <f>IF(ISBLANK(A472),"",INDEX('Error Log'!$A:$J,MATCH('Scores per segment'!$A472,'Error Log'!$A:$A,0),MATCH('Scores per segment'!B$1,'Error Log'!$A$1:$J$1,0)))</f>
        <v/>
      </c>
      <c r="C472" s="70" t="str">
        <f>IF(ISBLANK(A472),"",INDEX('Error Log'!$A:$J,MATCH('Scores per segment'!$A472,'Error Log'!$A:$A,0),MATCH('Scores per segment'!C$1,'Error Log'!$A$1:$J$1,0)))</f>
        <v/>
      </c>
      <c r="D472" s="70">
        <f>IF(H472=0,wdct(TRIM(C472)),0)</f>
        <v>0</v>
      </c>
      <c r="E472" s="70">
        <f>COUNTIFS('Error Log'!$A:$A,$A472,'Error Log'!$J:$J,E$1)</f>
        <v>0</v>
      </c>
      <c r="F472" s="70">
        <f>COUNTIFS('Error Log'!$A:$A,$A472,'Error Log'!$J:$J,F$1)</f>
        <v>0</v>
      </c>
      <c r="G472" s="70">
        <f>COUNTIFS('Error Log'!$A:$A,$A472,'Error Log'!$J:$J,G$1)</f>
        <v>0</v>
      </c>
      <c r="H472" s="70">
        <f>COUNTIFS('Error Log'!$A:$A,$A472,'Error Log'!$F:$F,"Source")</f>
        <v>0</v>
      </c>
      <c r="I472" s="70">
        <f>COUNTIFS('Error Log'!$A:$A,$A472,'Error Log'!$F:$F,"Target")</f>
        <v>0</v>
      </c>
      <c r="J472" s="71">
        <f t="shared" si="7"/>
        <v>0</v>
      </c>
    </row>
    <row r="473" spans="1:10">
      <c r="A473" s="123"/>
      <c r="B473" s="70" t="str">
        <f>IF(ISBLANK(A473),"",INDEX('Error Log'!$A:$J,MATCH('Scores per segment'!$A473,'Error Log'!$A:$A,0),MATCH('Scores per segment'!B$1,'Error Log'!$A$1:$J$1,0)))</f>
        <v/>
      </c>
      <c r="C473" s="70" t="str">
        <f>IF(ISBLANK(A473),"",INDEX('Error Log'!$A:$J,MATCH('Scores per segment'!$A473,'Error Log'!$A:$A,0),MATCH('Scores per segment'!C$1,'Error Log'!$A$1:$J$1,0)))</f>
        <v/>
      </c>
      <c r="D473" s="70">
        <f>IF(H473=0,wdct(TRIM(C473)),0)</f>
        <v>0</v>
      </c>
      <c r="E473" s="70">
        <f>COUNTIFS('Error Log'!$A:$A,$A473,'Error Log'!$J:$J,E$1)</f>
        <v>0</v>
      </c>
      <c r="F473" s="70">
        <f>COUNTIFS('Error Log'!$A:$A,$A473,'Error Log'!$J:$J,F$1)</f>
        <v>0</v>
      </c>
      <c r="G473" s="70">
        <f>COUNTIFS('Error Log'!$A:$A,$A473,'Error Log'!$J:$J,G$1)</f>
        <v>0</v>
      </c>
      <c r="H473" s="70">
        <f>COUNTIFS('Error Log'!$A:$A,$A473,'Error Log'!$F:$F,"Source")</f>
        <v>0</v>
      </c>
      <c r="I473" s="70">
        <f>COUNTIFS('Error Log'!$A:$A,$A473,'Error Log'!$F:$F,"Target")</f>
        <v>0</v>
      </c>
      <c r="J473" s="71">
        <f t="shared" si="7"/>
        <v>0</v>
      </c>
    </row>
    <row r="474" spans="1:10">
      <c r="A474" s="123"/>
      <c r="B474" s="70" t="str">
        <f>IF(ISBLANK(A474),"",INDEX('Error Log'!$A:$J,MATCH('Scores per segment'!$A474,'Error Log'!$A:$A,0),MATCH('Scores per segment'!B$1,'Error Log'!$A$1:$J$1,0)))</f>
        <v/>
      </c>
      <c r="C474" s="70" t="str">
        <f>IF(ISBLANK(A474),"",INDEX('Error Log'!$A:$J,MATCH('Scores per segment'!$A474,'Error Log'!$A:$A,0),MATCH('Scores per segment'!C$1,'Error Log'!$A$1:$J$1,0)))</f>
        <v/>
      </c>
      <c r="D474" s="70">
        <f>IF(H474=0,wdct(TRIM(C474)),0)</f>
        <v>0</v>
      </c>
      <c r="E474" s="70">
        <f>COUNTIFS('Error Log'!$A:$A,$A474,'Error Log'!$J:$J,E$1)</f>
        <v>0</v>
      </c>
      <c r="F474" s="70">
        <f>COUNTIFS('Error Log'!$A:$A,$A474,'Error Log'!$J:$J,F$1)</f>
        <v>0</v>
      </c>
      <c r="G474" s="70">
        <f>COUNTIFS('Error Log'!$A:$A,$A474,'Error Log'!$J:$J,G$1)</f>
        <v>0</v>
      </c>
      <c r="H474" s="70">
        <f>COUNTIFS('Error Log'!$A:$A,$A474,'Error Log'!$F:$F,"Source")</f>
        <v>0</v>
      </c>
      <c r="I474" s="70">
        <f>COUNTIFS('Error Log'!$A:$A,$A474,'Error Log'!$F:$F,"Target")</f>
        <v>0</v>
      </c>
      <c r="J474" s="71">
        <f t="shared" si="7"/>
        <v>0</v>
      </c>
    </row>
    <row r="475" spans="1:10">
      <c r="A475" s="123"/>
      <c r="B475" s="70" t="str">
        <f>IF(ISBLANK(A475),"",INDEX('Error Log'!$A:$J,MATCH('Scores per segment'!$A475,'Error Log'!$A:$A,0),MATCH('Scores per segment'!B$1,'Error Log'!$A$1:$J$1,0)))</f>
        <v/>
      </c>
      <c r="C475" s="70" t="str">
        <f>IF(ISBLANK(A475),"",INDEX('Error Log'!$A:$J,MATCH('Scores per segment'!$A475,'Error Log'!$A:$A,0),MATCH('Scores per segment'!C$1,'Error Log'!$A$1:$J$1,0)))</f>
        <v/>
      </c>
      <c r="D475" s="70">
        <f>IF(H475=0,wdct(TRIM(C475)),0)</f>
        <v>0</v>
      </c>
      <c r="E475" s="70">
        <f>COUNTIFS('Error Log'!$A:$A,$A475,'Error Log'!$J:$J,E$1)</f>
        <v>0</v>
      </c>
      <c r="F475" s="70">
        <f>COUNTIFS('Error Log'!$A:$A,$A475,'Error Log'!$J:$J,F$1)</f>
        <v>0</v>
      </c>
      <c r="G475" s="70">
        <f>COUNTIFS('Error Log'!$A:$A,$A475,'Error Log'!$J:$J,G$1)</f>
        <v>0</v>
      </c>
      <c r="H475" s="70">
        <f>COUNTIFS('Error Log'!$A:$A,$A475,'Error Log'!$F:$F,"Source")</f>
        <v>0</v>
      </c>
      <c r="I475" s="70">
        <f>COUNTIFS('Error Log'!$A:$A,$A475,'Error Log'!$F:$F,"Target")</f>
        <v>0</v>
      </c>
      <c r="J475" s="71">
        <f t="shared" si="7"/>
        <v>0</v>
      </c>
    </row>
    <row r="476" spans="1:10">
      <c r="A476" s="123"/>
      <c r="B476" s="70" t="str">
        <f>IF(ISBLANK(A476),"",INDEX('Error Log'!$A:$J,MATCH('Scores per segment'!$A476,'Error Log'!$A:$A,0),MATCH('Scores per segment'!B$1,'Error Log'!$A$1:$J$1,0)))</f>
        <v/>
      </c>
      <c r="C476" s="70" t="str">
        <f>IF(ISBLANK(A476),"",INDEX('Error Log'!$A:$J,MATCH('Scores per segment'!$A476,'Error Log'!$A:$A,0),MATCH('Scores per segment'!C$1,'Error Log'!$A$1:$J$1,0)))</f>
        <v/>
      </c>
      <c r="D476" s="70">
        <f>IF(H476=0,wdct(TRIM(C476)),0)</f>
        <v>0</v>
      </c>
      <c r="E476" s="70">
        <f>COUNTIFS('Error Log'!$A:$A,$A476,'Error Log'!$J:$J,E$1)</f>
        <v>0</v>
      </c>
      <c r="F476" s="70">
        <f>COUNTIFS('Error Log'!$A:$A,$A476,'Error Log'!$J:$J,F$1)</f>
        <v>0</v>
      </c>
      <c r="G476" s="70">
        <f>COUNTIFS('Error Log'!$A:$A,$A476,'Error Log'!$J:$J,G$1)</f>
        <v>0</v>
      </c>
      <c r="H476" s="70">
        <f>COUNTIFS('Error Log'!$A:$A,$A476,'Error Log'!$F:$F,"Source")</f>
        <v>0</v>
      </c>
      <c r="I476" s="70">
        <f>COUNTIFS('Error Log'!$A:$A,$A476,'Error Log'!$F:$F,"Target")</f>
        <v>0</v>
      </c>
      <c r="J476" s="71">
        <f t="shared" si="7"/>
        <v>0</v>
      </c>
    </row>
    <row r="477" spans="1:10">
      <c r="A477" s="123"/>
      <c r="B477" s="70" t="str">
        <f>IF(ISBLANK(A477),"",INDEX('Error Log'!$A:$J,MATCH('Scores per segment'!$A477,'Error Log'!$A:$A,0),MATCH('Scores per segment'!B$1,'Error Log'!$A$1:$J$1,0)))</f>
        <v/>
      </c>
      <c r="C477" s="70" t="str">
        <f>IF(ISBLANK(A477),"",INDEX('Error Log'!$A:$J,MATCH('Scores per segment'!$A477,'Error Log'!$A:$A,0),MATCH('Scores per segment'!C$1,'Error Log'!$A$1:$J$1,0)))</f>
        <v/>
      </c>
      <c r="D477" s="70">
        <f>IF(H477=0,wdct(TRIM(C477)),0)</f>
        <v>0</v>
      </c>
      <c r="E477" s="70">
        <f>COUNTIFS('Error Log'!$A:$A,$A477,'Error Log'!$J:$J,E$1)</f>
        <v>0</v>
      </c>
      <c r="F477" s="70">
        <f>COUNTIFS('Error Log'!$A:$A,$A477,'Error Log'!$J:$J,F$1)</f>
        <v>0</v>
      </c>
      <c r="G477" s="70">
        <f>COUNTIFS('Error Log'!$A:$A,$A477,'Error Log'!$J:$J,G$1)</f>
        <v>0</v>
      </c>
      <c r="H477" s="70">
        <f>COUNTIFS('Error Log'!$A:$A,$A477,'Error Log'!$F:$F,"Source")</f>
        <v>0</v>
      </c>
      <c r="I477" s="70">
        <f>COUNTIFS('Error Log'!$A:$A,$A477,'Error Log'!$F:$F,"Target")</f>
        <v>0</v>
      </c>
      <c r="J477" s="71">
        <f t="shared" si="7"/>
        <v>0</v>
      </c>
    </row>
    <row r="478" spans="1:10">
      <c r="A478" s="123"/>
      <c r="B478" s="70" t="str">
        <f>IF(ISBLANK(A478),"",INDEX('Error Log'!$A:$J,MATCH('Scores per segment'!$A478,'Error Log'!$A:$A,0),MATCH('Scores per segment'!B$1,'Error Log'!$A$1:$J$1,0)))</f>
        <v/>
      </c>
      <c r="C478" s="70" t="str">
        <f>IF(ISBLANK(A478),"",INDEX('Error Log'!$A:$J,MATCH('Scores per segment'!$A478,'Error Log'!$A:$A,0),MATCH('Scores per segment'!C$1,'Error Log'!$A$1:$J$1,0)))</f>
        <v/>
      </c>
      <c r="D478" s="70">
        <f>IF(H478=0,wdct(TRIM(C478)),0)</f>
        <v>0</v>
      </c>
      <c r="E478" s="70">
        <f>COUNTIFS('Error Log'!$A:$A,$A478,'Error Log'!$J:$J,E$1)</f>
        <v>0</v>
      </c>
      <c r="F478" s="70">
        <f>COUNTIFS('Error Log'!$A:$A,$A478,'Error Log'!$J:$J,F$1)</f>
        <v>0</v>
      </c>
      <c r="G478" s="70">
        <f>COUNTIFS('Error Log'!$A:$A,$A478,'Error Log'!$J:$J,G$1)</f>
        <v>0</v>
      </c>
      <c r="H478" s="70">
        <f>COUNTIFS('Error Log'!$A:$A,$A478,'Error Log'!$F:$F,"Source")</f>
        <v>0</v>
      </c>
      <c r="I478" s="70">
        <f>COUNTIFS('Error Log'!$A:$A,$A478,'Error Log'!$F:$F,"Target")</f>
        <v>0</v>
      </c>
      <c r="J478" s="71">
        <f t="shared" si="7"/>
        <v>0</v>
      </c>
    </row>
    <row r="479" spans="1:10">
      <c r="A479" s="123"/>
      <c r="B479" s="70" t="str">
        <f>IF(ISBLANK(A479),"",INDEX('Error Log'!$A:$J,MATCH('Scores per segment'!$A479,'Error Log'!$A:$A,0),MATCH('Scores per segment'!B$1,'Error Log'!$A$1:$J$1,0)))</f>
        <v/>
      </c>
      <c r="C479" s="70" t="str">
        <f>IF(ISBLANK(A479),"",INDEX('Error Log'!$A:$J,MATCH('Scores per segment'!$A479,'Error Log'!$A:$A,0),MATCH('Scores per segment'!C$1,'Error Log'!$A$1:$J$1,0)))</f>
        <v/>
      </c>
      <c r="D479" s="70">
        <f>IF(H479=0,wdct(TRIM(C479)),0)</f>
        <v>0</v>
      </c>
      <c r="E479" s="70">
        <f>COUNTIFS('Error Log'!$A:$A,$A479,'Error Log'!$J:$J,E$1)</f>
        <v>0</v>
      </c>
      <c r="F479" s="70">
        <f>COUNTIFS('Error Log'!$A:$A,$A479,'Error Log'!$J:$J,F$1)</f>
        <v>0</v>
      </c>
      <c r="G479" s="70">
        <f>COUNTIFS('Error Log'!$A:$A,$A479,'Error Log'!$J:$J,G$1)</f>
        <v>0</v>
      </c>
      <c r="H479" s="70">
        <f>COUNTIFS('Error Log'!$A:$A,$A479,'Error Log'!$F:$F,"Source")</f>
        <v>0</v>
      </c>
      <c r="I479" s="70">
        <f>COUNTIFS('Error Log'!$A:$A,$A479,'Error Log'!$F:$F,"Target")</f>
        <v>0</v>
      </c>
      <c r="J479" s="71">
        <f t="shared" si="7"/>
        <v>0</v>
      </c>
    </row>
    <row r="480" spans="1:10">
      <c r="A480" s="123"/>
      <c r="B480" s="70" t="str">
        <f>IF(ISBLANK(A480),"",INDEX('Error Log'!$A:$J,MATCH('Scores per segment'!$A480,'Error Log'!$A:$A,0),MATCH('Scores per segment'!B$1,'Error Log'!$A$1:$J$1,0)))</f>
        <v/>
      </c>
      <c r="C480" s="70" t="str">
        <f>IF(ISBLANK(A480),"",INDEX('Error Log'!$A:$J,MATCH('Scores per segment'!$A480,'Error Log'!$A:$A,0),MATCH('Scores per segment'!C$1,'Error Log'!$A$1:$J$1,0)))</f>
        <v/>
      </c>
      <c r="D480" s="70">
        <f>IF(H480=0,wdct(TRIM(C480)),0)</f>
        <v>0</v>
      </c>
      <c r="E480" s="70">
        <f>COUNTIFS('Error Log'!$A:$A,$A480,'Error Log'!$J:$J,E$1)</f>
        <v>0</v>
      </c>
      <c r="F480" s="70">
        <f>COUNTIFS('Error Log'!$A:$A,$A480,'Error Log'!$J:$J,F$1)</f>
        <v>0</v>
      </c>
      <c r="G480" s="70">
        <f>COUNTIFS('Error Log'!$A:$A,$A480,'Error Log'!$J:$J,G$1)</f>
        <v>0</v>
      </c>
      <c r="H480" s="70">
        <f>COUNTIFS('Error Log'!$A:$A,$A480,'Error Log'!$F:$F,"Source")</f>
        <v>0</v>
      </c>
      <c r="I480" s="70">
        <f>COUNTIFS('Error Log'!$A:$A,$A480,'Error Log'!$F:$F,"Target")</f>
        <v>0</v>
      </c>
      <c r="J480" s="71">
        <f t="shared" si="7"/>
        <v>0</v>
      </c>
    </row>
    <row r="481" spans="1:10">
      <c r="A481" s="123"/>
      <c r="B481" s="70" t="str">
        <f>IF(ISBLANK(A481),"",INDEX('Error Log'!$A:$J,MATCH('Scores per segment'!$A481,'Error Log'!$A:$A,0),MATCH('Scores per segment'!B$1,'Error Log'!$A$1:$J$1,0)))</f>
        <v/>
      </c>
      <c r="C481" s="70" t="str">
        <f>IF(ISBLANK(A481),"",INDEX('Error Log'!$A:$J,MATCH('Scores per segment'!$A481,'Error Log'!$A:$A,0),MATCH('Scores per segment'!C$1,'Error Log'!$A$1:$J$1,0)))</f>
        <v/>
      </c>
      <c r="D481" s="70">
        <f>IF(H481=0,wdct(TRIM(C481)),0)</f>
        <v>0</v>
      </c>
      <c r="E481" s="70">
        <f>COUNTIFS('Error Log'!$A:$A,$A481,'Error Log'!$J:$J,E$1)</f>
        <v>0</v>
      </c>
      <c r="F481" s="70">
        <f>COUNTIFS('Error Log'!$A:$A,$A481,'Error Log'!$J:$J,F$1)</f>
        <v>0</v>
      </c>
      <c r="G481" s="70">
        <f>COUNTIFS('Error Log'!$A:$A,$A481,'Error Log'!$J:$J,G$1)</f>
        <v>0</v>
      </c>
      <c r="H481" s="70">
        <f>COUNTIFS('Error Log'!$A:$A,$A481,'Error Log'!$F:$F,"Source")</f>
        <v>0</v>
      </c>
      <c r="I481" s="70">
        <f>COUNTIFS('Error Log'!$A:$A,$A481,'Error Log'!$F:$F,"Target")</f>
        <v>0</v>
      </c>
      <c r="J481" s="71">
        <f t="shared" si="7"/>
        <v>0</v>
      </c>
    </row>
    <row r="482" spans="1:10">
      <c r="A482" s="123"/>
      <c r="B482" s="70" t="str">
        <f>IF(ISBLANK(A482),"",INDEX('Error Log'!$A:$J,MATCH('Scores per segment'!$A482,'Error Log'!$A:$A,0),MATCH('Scores per segment'!B$1,'Error Log'!$A$1:$J$1,0)))</f>
        <v/>
      </c>
      <c r="C482" s="70" t="str">
        <f>IF(ISBLANK(A482),"",INDEX('Error Log'!$A:$J,MATCH('Scores per segment'!$A482,'Error Log'!$A:$A,0),MATCH('Scores per segment'!C$1,'Error Log'!$A$1:$J$1,0)))</f>
        <v/>
      </c>
      <c r="D482" s="70">
        <f>IF(H482=0,wdct(TRIM(C482)),0)</f>
        <v>0</v>
      </c>
      <c r="E482" s="70">
        <f>COUNTIFS('Error Log'!$A:$A,$A482,'Error Log'!$J:$J,E$1)</f>
        <v>0</v>
      </c>
      <c r="F482" s="70">
        <f>COUNTIFS('Error Log'!$A:$A,$A482,'Error Log'!$J:$J,F$1)</f>
        <v>0</v>
      </c>
      <c r="G482" s="70">
        <f>COUNTIFS('Error Log'!$A:$A,$A482,'Error Log'!$J:$J,G$1)</f>
        <v>0</v>
      </c>
      <c r="H482" s="70">
        <f>COUNTIFS('Error Log'!$A:$A,$A482,'Error Log'!$F:$F,"Source")</f>
        <v>0</v>
      </c>
      <c r="I482" s="70">
        <f>COUNTIFS('Error Log'!$A:$A,$A482,'Error Log'!$F:$F,"Target")</f>
        <v>0</v>
      </c>
      <c r="J482" s="71">
        <f t="shared" si="7"/>
        <v>0</v>
      </c>
    </row>
    <row r="483" spans="1:10">
      <c r="A483" s="123"/>
      <c r="B483" s="70" t="str">
        <f>IF(ISBLANK(A483),"",INDEX('Error Log'!$A:$J,MATCH('Scores per segment'!$A483,'Error Log'!$A:$A,0),MATCH('Scores per segment'!B$1,'Error Log'!$A$1:$J$1,0)))</f>
        <v/>
      </c>
      <c r="C483" s="70" t="str">
        <f>IF(ISBLANK(A483),"",INDEX('Error Log'!$A:$J,MATCH('Scores per segment'!$A483,'Error Log'!$A:$A,0),MATCH('Scores per segment'!C$1,'Error Log'!$A$1:$J$1,0)))</f>
        <v/>
      </c>
      <c r="D483" s="70">
        <f>IF(H483=0,wdct(TRIM(C483)),0)</f>
        <v>0</v>
      </c>
      <c r="E483" s="70">
        <f>COUNTIFS('Error Log'!$A:$A,$A483,'Error Log'!$J:$J,E$1)</f>
        <v>0</v>
      </c>
      <c r="F483" s="70">
        <f>COUNTIFS('Error Log'!$A:$A,$A483,'Error Log'!$J:$J,F$1)</f>
        <v>0</v>
      </c>
      <c r="G483" s="70">
        <f>COUNTIFS('Error Log'!$A:$A,$A483,'Error Log'!$J:$J,G$1)</f>
        <v>0</v>
      </c>
      <c r="H483" s="70">
        <f>COUNTIFS('Error Log'!$A:$A,$A483,'Error Log'!$F:$F,"Source")</f>
        <v>0</v>
      </c>
      <c r="I483" s="70">
        <f>COUNTIFS('Error Log'!$A:$A,$A483,'Error Log'!$F:$F,"Target")</f>
        <v>0</v>
      </c>
      <c r="J483" s="71">
        <f t="shared" si="7"/>
        <v>0</v>
      </c>
    </row>
    <row r="484" spans="1:10">
      <c r="A484" s="123"/>
      <c r="B484" s="70" t="str">
        <f>IF(ISBLANK(A484),"",INDEX('Error Log'!$A:$J,MATCH('Scores per segment'!$A484,'Error Log'!$A:$A,0),MATCH('Scores per segment'!B$1,'Error Log'!$A$1:$J$1,0)))</f>
        <v/>
      </c>
      <c r="C484" s="70" t="str">
        <f>IF(ISBLANK(A484),"",INDEX('Error Log'!$A:$J,MATCH('Scores per segment'!$A484,'Error Log'!$A:$A,0),MATCH('Scores per segment'!C$1,'Error Log'!$A$1:$J$1,0)))</f>
        <v/>
      </c>
      <c r="D484" s="70">
        <f>IF(H484=0,wdct(TRIM(C484)),0)</f>
        <v>0</v>
      </c>
      <c r="E484" s="70">
        <f>COUNTIFS('Error Log'!$A:$A,$A484,'Error Log'!$J:$J,E$1)</f>
        <v>0</v>
      </c>
      <c r="F484" s="70">
        <f>COUNTIFS('Error Log'!$A:$A,$A484,'Error Log'!$J:$J,F$1)</f>
        <v>0</v>
      </c>
      <c r="G484" s="70">
        <f>COUNTIFS('Error Log'!$A:$A,$A484,'Error Log'!$J:$J,G$1)</f>
        <v>0</v>
      </c>
      <c r="H484" s="70">
        <f>COUNTIFS('Error Log'!$A:$A,$A484,'Error Log'!$F:$F,"Source")</f>
        <v>0</v>
      </c>
      <c r="I484" s="70">
        <f>COUNTIFS('Error Log'!$A:$A,$A484,'Error Log'!$F:$F,"Target")</f>
        <v>0</v>
      </c>
      <c r="J484" s="71">
        <f t="shared" si="7"/>
        <v>0</v>
      </c>
    </row>
    <row r="485" spans="1:10">
      <c r="A485" s="123"/>
      <c r="B485" s="70" t="str">
        <f>IF(ISBLANK(A485),"",INDEX('Error Log'!$A:$J,MATCH('Scores per segment'!$A485,'Error Log'!$A:$A,0),MATCH('Scores per segment'!B$1,'Error Log'!$A$1:$J$1,0)))</f>
        <v/>
      </c>
      <c r="C485" s="70" t="str">
        <f>IF(ISBLANK(A485),"",INDEX('Error Log'!$A:$J,MATCH('Scores per segment'!$A485,'Error Log'!$A:$A,0),MATCH('Scores per segment'!C$1,'Error Log'!$A$1:$J$1,0)))</f>
        <v/>
      </c>
      <c r="D485" s="70">
        <f>IF(H485=0,wdct(TRIM(C485)),0)</f>
        <v>0</v>
      </c>
      <c r="E485" s="70">
        <f>COUNTIFS('Error Log'!$A:$A,$A485,'Error Log'!$J:$J,E$1)</f>
        <v>0</v>
      </c>
      <c r="F485" s="70">
        <f>COUNTIFS('Error Log'!$A:$A,$A485,'Error Log'!$J:$J,F$1)</f>
        <v>0</v>
      </c>
      <c r="G485" s="70">
        <f>COUNTIFS('Error Log'!$A:$A,$A485,'Error Log'!$J:$J,G$1)</f>
        <v>0</v>
      </c>
      <c r="H485" s="70">
        <f>COUNTIFS('Error Log'!$A:$A,$A485,'Error Log'!$F:$F,"Source")</f>
        <v>0</v>
      </c>
      <c r="I485" s="70">
        <f>COUNTIFS('Error Log'!$A:$A,$A485,'Error Log'!$F:$F,"Target")</f>
        <v>0</v>
      </c>
      <c r="J485" s="71">
        <f t="shared" si="7"/>
        <v>0</v>
      </c>
    </row>
    <row r="486" spans="1:10">
      <c r="A486" s="123"/>
      <c r="B486" s="70" t="str">
        <f>IF(ISBLANK(A486),"",INDEX('Error Log'!$A:$J,MATCH('Scores per segment'!$A486,'Error Log'!$A:$A,0),MATCH('Scores per segment'!B$1,'Error Log'!$A$1:$J$1,0)))</f>
        <v/>
      </c>
      <c r="C486" s="70" t="str">
        <f>IF(ISBLANK(A486),"",INDEX('Error Log'!$A:$J,MATCH('Scores per segment'!$A486,'Error Log'!$A:$A,0),MATCH('Scores per segment'!C$1,'Error Log'!$A$1:$J$1,0)))</f>
        <v/>
      </c>
      <c r="D486" s="70">
        <f>IF(H486=0,wdct(TRIM(C486)),0)</f>
        <v>0</v>
      </c>
      <c r="E486" s="70">
        <f>COUNTIFS('Error Log'!$A:$A,$A486,'Error Log'!$J:$J,E$1)</f>
        <v>0</v>
      </c>
      <c r="F486" s="70">
        <f>COUNTIFS('Error Log'!$A:$A,$A486,'Error Log'!$J:$J,F$1)</f>
        <v>0</v>
      </c>
      <c r="G486" s="70">
        <f>COUNTIFS('Error Log'!$A:$A,$A486,'Error Log'!$J:$J,G$1)</f>
        <v>0</v>
      </c>
      <c r="H486" s="70">
        <f>COUNTIFS('Error Log'!$A:$A,$A486,'Error Log'!$F:$F,"Source")</f>
        <v>0</v>
      </c>
      <c r="I486" s="70">
        <f>COUNTIFS('Error Log'!$A:$A,$A486,'Error Log'!$F:$F,"Target")</f>
        <v>0</v>
      </c>
      <c r="J486" s="71">
        <f t="shared" si="7"/>
        <v>0</v>
      </c>
    </row>
    <row r="487" spans="1:10">
      <c r="A487" s="123"/>
      <c r="B487" s="70" t="str">
        <f>IF(ISBLANK(A487),"",INDEX('Error Log'!$A:$J,MATCH('Scores per segment'!$A487,'Error Log'!$A:$A,0),MATCH('Scores per segment'!B$1,'Error Log'!$A$1:$J$1,0)))</f>
        <v/>
      </c>
      <c r="C487" s="70" t="str">
        <f>IF(ISBLANK(A487),"",INDEX('Error Log'!$A:$J,MATCH('Scores per segment'!$A487,'Error Log'!$A:$A,0),MATCH('Scores per segment'!C$1,'Error Log'!$A$1:$J$1,0)))</f>
        <v/>
      </c>
      <c r="D487" s="70">
        <f>IF(H487=0,wdct(TRIM(C487)),0)</f>
        <v>0</v>
      </c>
      <c r="E487" s="70">
        <f>COUNTIFS('Error Log'!$A:$A,$A487,'Error Log'!$J:$J,E$1)</f>
        <v>0</v>
      </c>
      <c r="F487" s="70">
        <f>COUNTIFS('Error Log'!$A:$A,$A487,'Error Log'!$J:$J,F$1)</f>
        <v>0</v>
      </c>
      <c r="G487" s="70">
        <f>COUNTIFS('Error Log'!$A:$A,$A487,'Error Log'!$J:$J,G$1)</f>
        <v>0</v>
      </c>
      <c r="H487" s="70">
        <f>COUNTIFS('Error Log'!$A:$A,$A487,'Error Log'!$F:$F,"Source")</f>
        <v>0</v>
      </c>
      <c r="I487" s="70">
        <f>COUNTIFS('Error Log'!$A:$A,$A487,'Error Log'!$F:$F,"Target")</f>
        <v>0</v>
      </c>
      <c r="J487" s="71">
        <f t="shared" si="7"/>
        <v>0</v>
      </c>
    </row>
    <row r="488" spans="1:10">
      <c r="A488" s="123"/>
      <c r="B488" s="70" t="str">
        <f>IF(ISBLANK(A488),"",INDEX('Error Log'!$A:$J,MATCH('Scores per segment'!$A488,'Error Log'!$A:$A,0),MATCH('Scores per segment'!B$1,'Error Log'!$A$1:$J$1,0)))</f>
        <v/>
      </c>
      <c r="C488" s="70" t="str">
        <f>IF(ISBLANK(A488),"",INDEX('Error Log'!$A:$J,MATCH('Scores per segment'!$A488,'Error Log'!$A:$A,0),MATCH('Scores per segment'!C$1,'Error Log'!$A$1:$J$1,0)))</f>
        <v/>
      </c>
      <c r="D488" s="70">
        <f>IF(H488=0,wdct(TRIM(C488)),0)</f>
        <v>0</v>
      </c>
      <c r="E488" s="70">
        <f>COUNTIFS('Error Log'!$A:$A,$A488,'Error Log'!$J:$J,E$1)</f>
        <v>0</v>
      </c>
      <c r="F488" s="70">
        <f>COUNTIFS('Error Log'!$A:$A,$A488,'Error Log'!$J:$J,F$1)</f>
        <v>0</v>
      </c>
      <c r="G488" s="70">
        <f>COUNTIFS('Error Log'!$A:$A,$A488,'Error Log'!$J:$J,G$1)</f>
        <v>0</v>
      </c>
      <c r="H488" s="70">
        <f>COUNTIFS('Error Log'!$A:$A,$A488,'Error Log'!$F:$F,"Source")</f>
        <v>0</v>
      </c>
      <c r="I488" s="70">
        <f>COUNTIFS('Error Log'!$A:$A,$A488,'Error Log'!$F:$F,"Target")</f>
        <v>0</v>
      </c>
      <c r="J488" s="71">
        <f t="shared" si="7"/>
        <v>0</v>
      </c>
    </row>
    <row r="489" spans="1:10">
      <c r="A489" s="123"/>
      <c r="B489" s="70" t="str">
        <f>IF(ISBLANK(A489),"",INDEX('Error Log'!$A:$J,MATCH('Scores per segment'!$A489,'Error Log'!$A:$A,0),MATCH('Scores per segment'!B$1,'Error Log'!$A$1:$J$1,0)))</f>
        <v/>
      </c>
      <c r="C489" s="70" t="str">
        <f>IF(ISBLANK(A489),"",INDEX('Error Log'!$A:$J,MATCH('Scores per segment'!$A489,'Error Log'!$A:$A,0),MATCH('Scores per segment'!C$1,'Error Log'!$A$1:$J$1,0)))</f>
        <v/>
      </c>
      <c r="D489" s="70">
        <f>IF(H489=0,wdct(TRIM(C489)),0)</f>
        <v>0</v>
      </c>
      <c r="E489" s="70">
        <f>COUNTIFS('Error Log'!$A:$A,$A489,'Error Log'!$J:$J,E$1)</f>
        <v>0</v>
      </c>
      <c r="F489" s="70">
        <f>COUNTIFS('Error Log'!$A:$A,$A489,'Error Log'!$J:$J,F$1)</f>
        <v>0</v>
      </c>
      <c r="G489" s="70">
        <f>COUNTIFS('Error Log'!$A:$A,$A489,'Error Log'!$J:$J,G$1)</f>
        <v>0</v>
      </c>
      <c r="H489" s="70">
        <f>COUNTIFS('Error Log'!$A:$A,$A489,'Error Log'!$F:$F,"Source")</f>
        <v>0</v>
      </c>
      <c r="I489" s="70">
        <f>COUNTIFS('Error Log'!$A:$A,$A489,'Error Log'!$F:$F,"Target")</f>
        <v>0</v>
      </c>
      <c r="J489" s="71">
        <f t="shared" si="7"/>
        <v>0</v>
      </c>
    </row>
    <row r="490" spans="1:10">
      <c r="A490" s="123"/>
      <c r="B490" s="70" t="str">
        <f>IF(ISBLANK(A490),"",INDEX('Error Log'!$A:$J,MATCH('Scores per segment'!$A490,'Error Log'!$A:$A,0),MATCH('Scores per segment'!B$1,'Error Log'!$A$1:$J$1,0)))</f>
        <v/>
      </c>
      <c r="C490" s="70" t="str">
        <f>IF(ISBLANK(A490),"",INDEX('Error Log'!$A:$J,MATCH('Scores per segment'!$A490,'Error Log'!$A:$A,0),MATCH('Scores per segment'!C$1,'Error Log'!$A$1:$J$1,0)))</f>
        <v/>
      </c>
      <c r="D490" s="70">
        <f>IF(H490=0,wdct(TRIM(C490)),0)</f>
        <v>0</v>
      </c>
      <c r="E490" s="70">
        <f>COUNTIFS('Error Log'!$A:$A,$A490,'Error Log'!$J:$J,E$1)</f>
        <v>0</v>
      </c>
      <c r="F490" s="70">
        <f>COUNTIFS('Error Log'!$A:$A,$A490,'Error Log'!$J:$J,F$1)</f>
        <v>0</v>
      </c>
      <c r="G490" s="70">
        <f>COUNTIFS('Error Log'!$A:$A,$A490,'Error Log'!$J:$J,G$1)</f>
        <v>0</v>
      </c>
      <c r="H490" s="70">
        <f>COUNTIFS('Error Log'!$A:$A,$A490,'Error Log'!$F:$F,"Source")</f>
        <v>0</v>
      </c>
      <c r="I490" s="70">
        <f>COUNTIFS('Error Log'!$A:$A,$A490,'Error Log'!$F:$F,"Target")</f>
        <v>0</v>
      </c>
      <c r="J490" s="71">
        <f t="shared" si="7"/>
        <v>0</v>
      </c>
    </row>
    <row r="491" spans="1:10">
      <c r="A491" s="123"/>
      <c r="B491" s="70" t="str">
        <f>IF(ISBLANK(A491),"",INDEX('Error Log'!$A:$J,MATCH('Scores per segment'!$A491,'Error Log'!$A:$A,0),MATCH('Scores per segment'!B$1,'Error Log'!$A$1:$J$1,0)))</f>
        <v/>
      </c>
      <c r="C491" s="70" t="str">
        <f>IF(ISBLANK(A491),"",INDEX('Error Log'!$A:$J,MATCH('Scores per segment'!$A491,'Error Log'!$A:$A,0),MATCH('Scores per segment'!C$1,'Error Log'!$A$1:$J$1,0)))</f>
        <v/>
      </c>
      <c r="D491" s="70">
        <f>IF(H491=0,wdct(TRIM(C491)),0)</f>
        <v>0</v>
      </c>
      <c r="E491" s="70">
        <f>COUNTIFS('Error Log'!$A:$A,$A491,'Error Log'!$J:$J,E$1)</f>
        <v>0</v>
      </c>
      <c r="F491" s="70">
        <f>COUNTIFS('Error Log'!$A:$A,$A491,'Error Log'!$J:$J,F$1)</f>
        <v>0</v>
      </c>
      <c r="G491" s="70">
        <f>COUNTIFS('Error Log'!$A:$A,$A491,'Error Log'!$J:$J,G$1)</f>
        <v>0</v>
      </c>
      <c r="H491" s="70">
        <f>COUNTIFS('Error Log'!$A:$A,$A491,'Error Log'!$F:$F,"Source")</f>
        <v>0</v>
      </c>
      <c r="I491" s="70">
        <f>COUNTIFS('Error Log'!$A:$A,$A491,'Error Log'!$F:$F,"Target")</f>
        <v>0</v>
      </c>
      <c r="J491" s="71">
        <f t="shared" si="7"/>
        <v>0</v>
      </c>
    </row>
    <row r="492" spans="1:10">
      <c r="A492" s="123"/>
      <c r="B492" s="70" t="str">
        <f>IF(ISBLANK(A492),"",INDEX('Error Log'!$A:$J,MATCH('Scores per segment'!$A492,'Error Log'!$A:$A,0),MATCH('Scores per segment'!B$1,'Error Log'!$A$1:$J$1,0)))</f>
        <v/>
      </c>
      <c r="C492" s="70" t="str">
        <f>IF(ISBLANK(A492),"",INDEX('Error Log'!$A:$J,MATCH('Scores per segment'!$A492,'Error Log'!$A:$A,0),MATCH('Scores per segment'!C$1,'Error Log'!$A$1:$J$1,0)))</f>
        <v/>
      </c>
      <c r="D492" s="70">
        <f>IF(H492=0,wdct(TRIM(C492)),0)</f>
        <v>0</v>
      </c>
      <c r="E492" s="70">
        <f>COUNTIFS('Error Log'!$A:$A,$A492,'Error Log'!$J:$J,E$1)</f>
        <v>0</v>
      </c>
      <c r="F492" s="70">
        <f>COUNTIFS('Error Log'!$A:$A,$A492,'Error Log'!$J:$J,F$1)</f>
        <v>0</v>
      </c>
      <c r="G492" s="70">
        <f>COUNTIFS('Error Log'!$A:$A,$A492,'Error Log'!$J:$J,G$1)</f>
        <v>0</v>
      </c>
      <c r="H492" s="70">
        <f>COUNTIFS('Error Log'!$A:$A,$A492,'Error Log'!$F:$F,"Source")</f>
        <v>0</v>
      </c>
      <c r="I492" s="70">
        <f>COUNTIFS('Error Log'!$A:$A,$A492,'Error Log'!$F:$F,"Target")</f>
        <v>0</v>
      </c>
      <c r="J492" s="71">
        <f t="shared" si="7"/>
        <v>0</v>
      </c>
    </row>
    <row r="493" spans="1:10">
      <c r="A493" s="123"/>
      <c r="B493" s="70" t="str">
        <f>IF(ISBLANK(A493),"",INDEX('Error Log'!$A:$J,MATCH('Scores per segment'!$A493,'Error Log'!$A:$A,0),MATCH('Scores per segment'!B$1,'Error Log'!$A$1:$J$1,0)))</f>
        <v/>
      </c>
      <c r="C493" s="70" t="str">
        <f>IF(ISBLANK(A493),"",INDEX('Error Log'!$A:$J,MATCH('Scores per segment'!$A493,'Error Log'!$A:$A,0),MATCH('Scores per segment'!C$1,'Error Log'!$A$1:$J$1,0)))</f>
        <v/>
      </c>
      <c r="D493" s="70">
        <f>IF(H493=0,wdct(TRIM(C493)),0)</f>
        <v>0</v>
      </c>
      <c r="E493" s="70">
        <f>COUNTIFS('Error Log'!$A:$A,$A493,'Error Log'!$J:$J,E$1)</f>
        <v>0</v>
      </c>
      <c r="F493" s="70">
        <f>COUNTIFS('Error Log'!$A:$A,$A493,'Error Log'!$J:$J,F$1)</f>
        <v>0</v>
      </c>
      <c r="G493" s="70">
        <f>COUNTIFS('Error Log'!$A:$A,$A493,'Error Log'!$J:$J,G$1)</f>
        <v>0</v>
      </c>
      <c r="H493" s="70">
        <f>COUNTIFS('Error Log'!$A:$A,$A493,'Error Log'!$F:$F,"Source")</f>
        <v>0</v>
      </c>
      <c r="I493" s="70">
        <f>COUNTIFS('Error Log'!$A:$A,$A493,'Error Log'!$F:$F,"Target")</f>
        <v>0</v>
      </c>
      <c r="J493" s="71">
        <f t="shared" si="7"/>
        <v>0</v>
      </c>
    </row>
    <row r="494" spans="1:10">
      <c r="A494" s="123"/>
      <c r="B494" s="70" t="str">
        <f>IF(ISBLANK(A494),"",INDEX('Error Log'!$A:$J,MATCH('Scores per segment'!$A494,'Error Log'!$A:$A,0),MATCH('Scores per segment'!B$1,'Error Log'!$A$1:$J$1,0)))</f>
        <v/>
      </c>
      <c r="C494" s="70" t="str">
        <f>IF(ISBLANK(A494),"",INDEX('Error Log'!$A:$J,MATCH('Scores per segment'!$A494,'Error Log'!$A:$A,0),MATCH('Scores per segment'!C$1,'Error Log'!$A$1:$J$1,0)))</f>
        <v/>
      </c>
      <c r="D494" s="70">
        <f>IF(H494=0,wdct(TRIM(C494)),0)</f>
        <v>0</v>
      </c>
      <c r="E494" s="70">
        <f>COUNTIFS('Error Log'!$A:$A,$A494,'Error Log'!$J:$J,E$1)</f>
        <v>0</v>
      </c>
      <c r="F494" s="70">
        <f>COUNTIFS('Error Log'!$A:$A,$A494,'Error Log'!$J:$J,F$1)</f>
        <v>0</v>
      </c>
      <c r="G494" s="70">
        <f>COUNTIFS('Error Log'!$A:$A,$A494,'Error Log'!$J:$J,G$1)</f>
        <v>0</v>
      </c>
      <c r="H494" s="70">
        <f>COUNTIFS('Error Log'!$A:$A,$A494,'Error Log'!$F:$F,"Source")</f>
        <v>0</v>
      </c>
      <c r="I494" s="70">
        <f>COUNTIFS('Error Log'!$A:$A,$A494,'Error Log'!$F:$F,"Target")</f>
        <v>0</v>
      </c>
      <c r="J494" s="71">
        <f t="shared" si="7"/>
        <v>0</v>
      </c>
    </row>
    <row r="495" spans="1:10">
      <c r="A495" s="123"/>
      <c r="B495" s="70" t="str">
        <f>IF(ISBLANK(A495),"",INDEX('Error Log'!$A:$J,MATCH('Scores per segment'!$A495,'Error Log'!$A:$A,0),MATCH('Scores per segment'!B$1,'Error Log'!$A$1:$J$1,0)))</f>
        <v/>
      </c>
      <c r="C495" s="70" t="str">
        <f>IF(ISBLANK(A495),"",INDEX('Error Log'!$A:$J,MATCH('Scores per segment'!$A495,'Error Log'!$A:$A,0),MATCH('Scores per segment'!C$1,'Error Log'!$A$1:$J$1,0)))</f>
        <v/>
      </c>
      <c r="D495" s="70">
        <f>IF(H495=0,wdct(TRIM(C495)),0)</f>
        <v>0</v>
      </c>
      <c r="E495" s="70">
        <f>COUNTIFS('Error Log'!$A:$A,$A495,'Error Log'!$J:$J,E$1)</f>
        <v>0</v>
      </c>
      <c r="F495" s="70">
        <f>COUNTIFS('Error Log'!$A:$A,$A495,'Error Log'!$J:$J,F$1)</f>
        <v>0</v>
      </c>
      <c r="G495" s="70">
        <f>COUNTIFS('Error Log'!$A:$A,$A495,'Error Log'!$J:$J,G$1)</f>
        <v>0</v>
      </c>
      <c r="H495" s="70">
        <f>COUNTIFS('Error Log'!$A:$A,$A495,'Error Log'!$F:$F,"Source")</f>
        <v>0</v>
      </c>
      <c r="I495" s="70">
        <f>COUNTIFS('Error Log'!$A:$A,$A495,'Error Log'!$F:$F,"Target")</f>
        <v>0</v>
      </c>
      <c r="J495" s="71">
        <f t="shared" si="7"/>
        <v>0</v>
      </c>
    </row>
    <row r="496" spans="1:10">
      <c r="A496" s="123"/>
      <c r="B496" s="70" t="str">
        <f>IF(ISBLANK(A496),"",INDEX('Error Log'!$A:$J,MATCH('Scores per segment'!$A496,'Error Log'!$A:$A,0),MATCH('Scores per segment'!B$1,'Error Log'!$A$1:$J$1,0)))</f>
        <v/>
      </c>
      <c r="C496" s="70" t="str">
        <f>IF(ISBLANK(A496),"",INDEX('Error Log'!$A:$J,MATCH('Scores per segment'!$A496,'Error Log'!$A:$A,0),MATCH('Scores per segment'!C$1,'Error Log'!$A$1:$J$1,0)))</f>
        <v/>
      </c>
      <c r="D496" s="70">
        <f>IF(H496=0,wdct(TRIM(C496)),0)</f>
        <v>0</v>
      </c>
      <c r="E496" s="70">
        <f>COUNTIFS('Error Log'!$A:$A,$A496,'Error Log'!$J:$J,E$1)</f>
        <v>0</v>
      </c>
      <c r="F496" s="70">
        <f>COUNTIFS('Error Log'!$A:$A,$A496,'Error Log'!$J:$J,F$1)</f>
        <v>0</v>
      </c>
      <c r="G496" s="70">
        <f>COUNTIFS('Error Log'!$A:$A,$A496,'Error Log'!$J:$J,G$1)</f>
        <v>0</v>
      </c>
      <c r="H496" s="70">
        <f>COUNTIFS('Error Log'!$A:$A,$A496,'Error Log'!$F:$F,"Source")</f>
        <v>0</v>
      </c>
      <c r="I496" s="70">
        <f>COUNTIFS('Error Log'!$A:$A,$A496,'Error Log'!$F:$F,"Target")</f>
        <v>0</v>
      </c>
      <c r="J496" s="71">
        <f t="shared" si="7"/>
        <v>0</v>
      </c>
    </row>
    <row r="497" spans="1:10">
      <c r="A497" s="123"/>
      <c r="B497" s="70" t="str">
        <f>IF(ISBLANK(A497),"",INDEX('Error Log'!$A:$J,MATCH('Scores per segment'!$A497,'Error Log'!$A:$A,0),MATCH('Scores per segment'!B$1,'Error Log'!$A$1:$J$1,0)))</f>
        <v/>
      </c>
      <c r="C497" s="70" t="str">
        <f>IF(ISBLANK(A497),"",INDEX('Error Log'!$A:$J,MATCH('Scores per segment'!$A497,'Error Log'!$A:$A,0),MATCH('Scores per segment'!C$1,'Error Log'!$A$1:$J$1,0)))</f>
        <v/>
      </c>
      <c r="D497" s="70">
        <f>IF(H497=0,wdct(TRIM(C497)),0)</f>
        <v>0</v>
      </c>
      <c r="E497" s="70">
        <f>COUNTIFS('Error Log'!$A:$A,$A497,'Error Log'!$J:$J,E$1)</f>
        <v>0</v>
      </c>
      <c r="F497" s="70">
        <f>COUNTIFS('Error Log'!$A:$A,$A497,'Error Log'!$J:$J,F$1)</f>
        <v>0</v>
      </c>
      <c r="G497" s="70">
        <f>COUNTIFS('Error Log'!$A:$A,$A497,'Error Log'!$J:$J,G$1)</f>
        <v>0</v>
      </c>
      <c r="H497" s="70">
        <f>COUNTIFS('Error Log'!$A:$A,$A497,'Error Log'!$F:$F,"Source")</f>
        <v>0</v>
      </c>
      <c r="I497" s="70">
        <f>COUNTIFS('Error Log'!$A:$A,$A497,'Error Log'!$F:$F,"Target")</f>
        <v>0</v>
      </c>
      <c r="J497" s="71">
        <f t="shared" si="7"/>
        <v>0</v>
      </c>
    </row>
    <row r="498" spans="1:10">
      <c r="A498" s="123"/>
      <c r="B498" s="70" t="str">
        <f>IF(ISBLANK(A498),"",INDEX('Error Log'!$A:$J,MATCH('Scores per segment'!$A498,'Error Log'!$A:$A,0),MATCH('Scores per segment'!B$1,'Error Log'!$A$1:$J$1,0)))</f>
        <v/>
      </c>
      <c r="C498" s="70" t="str">
        <f>IF(ISBLANK(A498),"",INDEX('Error Log'!$A:$J,MATCH('Scores per segment'!$A498,'Error Log'!$A:$A,0),MATCH('Scores per segment'!C$1,'Error Log'!$A$1:$J$1,0)))</f>
        <v/>
      </c>
      <c r="D498" s="70">
        <f>IF(H498=0,wdct(TRIM(C498)),0)</f>
        <v>0</v>
      </c>
      <c r="E498" s="70">
        <f>COUNTIFS('Error Log'!$A:$A,$A498,'Error Log'!$J:$J,E$1)</f>
        <v>0</v>
      </c>
      <c r="F498" s="70">
        <f>COUNTIFS('Error Log'!$A:$A,$A498,'Error Log'!$J:$J,F$1)</f>
        <v>0</v>
      </c>
      <c r="G498" s="70">
        <f>COUNTIFS('Error Log'!$A:$A,$A498,'Error Log'!$J:$J,G$1)</f>
        <v>0</v>
      </c>
      <c r="H498" s="70">
        <f>COUNTIFS('Error Log'!$A:$A,$A498,'Error Log'!$F:$F,"Source")</f>
        <v>0</v>
      </c>
      <c r="I498" s="70">
        <f>COUNTIFS('Error Log'!$A:$A,$A498,'Error Log'!$F:$F,"Target")</f>
        <v>0</v>
      </c>
      <c r="J498" s="71">
        <f t="shared" si="7"/>
        <v>0</v>
      </c>
    </row>
    <row r="499" spans="1:10">
      <c r="A499" s="123"/>
      <c r="B499" s="70" t="str">
        <f>IF(ISBLANK(A499),"",INDEX('Error Log'!$A:$J,MATCH('Scores per segment'!$A499,'Error Log'!$A:$A,0),MATCH('Scores per segment'!B$1,'Error Log'!$A$1:$J$1,0)))</f>
        <v/>
      </c>
      <c r="C499" s="70" t="str">
        <f>IF(ISBLANK(A499),"",INDEX('Error Log'!$A:$J,MATCH('Scores per segment'!$A499,'Error Log'!$A:$A,0),MATCH('Scores per segment'!C$1,'Error Log'!$A$1:$J$1,0)))</f>
        <v/>
      </c>
      <c r="D499" s="70">
        <f>IF(H499=0,wdct(TRIM(C499)),0)</f>
        <v>0</v>
      </c>
      <c r="E499" s="70">
        <f>COUNTIFS('Error Log'!$A:$A,$A499,'Error Log'!$J:$J,E$1)</f>
        <v>0</v>
      </c>
      <c r="F499" s="70">
        <f>COUNTIFS('Error Log'!$A:$A,$A499,'Error Log'!$J:$J,F$1)</f>
        <v>0</v>
      </c>
      <c r="G499" s="70">
        <f>COUNTIFS('Error Log'!$A:$A,$A499,'Error Log'!$J:$J,G$1)</f>
        <v>0</v>
      </c>
      <c r="H499" s="70">
        <f>COUNTIFS('Error Log'!$A:$A,$A499,'Error Log'!$F:$F,"Source")</f>
        <v>0</v>
      </c>
      <c r="I499" s="70">
        <f>COUNTIFS('Error Log'!$A:$A,$A499,'Error Log'!$F:$F,"Target")</f>
        <v>0</v>
      </c>
      <c r="J499" s="71">
        <f t="shared" si="7"/>
        <v>0</v>
      </c>
    </row>
    <row r="500" spans="1:10">
      <c r="A500" s="123"/>
      <c r="B500" s="70" t="str">
        <f>IF(ISBLANK(A500),"",INDEX('Error Log'!$A:$J,MATCH('Scores per segment'!$A500,'Error Log'!$A:$A,0),MATCH('Scores per segment'!B$1,'Error Log'!$A$1:$J$1,0)))</f>
        <v/>
      </c>
      <c r="C500" s="70" t="str">
        <f>IF(ISBLANK(A500),"",INDEX('Error Log'!$A:$J,MATCH('Scores per segment'!$A500,'Error Log'!$A:$A,0),MATCH('Scores per segment'!C$1,'Error Log'!$A$1:$J$1,0)))</f>
        <v/>
      </c>
      <c r="D500" s="70">
        <f>IF(H500=0,wdct(TRIM(C500)),0)</f>
        <v>0</v>
      </c>
      <c r="E500" s="70">
        <f>COUNTIFS('Error Log'!$A:$A,$A500,'Error Log'!$J:$J,E$1)</f>
        <v>0</v>
      </c>
      <c r="F500" s="70">
        <f>COUNTIFS('Error Log'!$A:$A,$A500,'Error Log'!$J:$J,F$1)</f>
        <v>0</v>
      </c>
      <c r="G500" s="70">
        <f>COUNTIFS('Error Log'!$A:$A,$A500,'Error Log'!$J:$J,G$1)</f>
        <v>0</v>
      </c>
      <c r="H500" s="70">
        <f>COUNTIFS('Error Log'!$A:$A,$A500,'Error Log'!$F:$F,"Source")</f>
        <v>0</v>
      </c>
      <c r="I500" s="70">
        <f>COUNTIFS('Error Log'!$A:$A,$A500,'Error Log'!$F:$F,"Target")</f>
        <v>0</v>
      </c>
      <c r="J500" s="71">
        <f t="shared" si="7"/>
        <v>0</v>
      </c>
    </row>
    <row r="501" spans="1:10">
      <c r="A501" s="123"/>
      <c r="B501" s="70" t="str">
        <f>IF(ISBLANK(A501),"",INDEX('Error Log'!$A:$J,MATCH('Scores per segment'!$A501,'Error Log'!$A:$A,0),MATCH('Scores per segment'!B$1,'Error Log'!$A$1:$J$1,0)))</f>
        <v/>
      </c>
      <c r="C501" s="70" t="str">
        <f>IF(ISBLANK(A501),"",INDEX('Error Log'!$A:$J,MATCH('Scores per segment'!$A501,'Error Log'!$A:$A,0),MATCH('Scores per segment'!C$1,'Error Log'!$A$1:$J$1,0)))</f>
        <v/>
      </c>
      <c r="D501" s="70">
        <f>IF(H501=0,wdct(TRIM(C501)),0)</f>
        <v>0</v>
      </c>
      <c r="E501" s="70">
        <f>COUNTIFS('Error Log'!$A:$A,$A501,'Error Log'!$J:$J,E$1)</f>
        <v>0</v>
      </c>
      <c r="F501" s="70">
        <f>COUNTIFS('Error Log'!$A:$A,$A501,'Error Log'!$J:$J,F$1)</f>
        <v>0</v>
      </c>
      <c r="G501" s="70">
        <f>COUNTIFS('Error Log'!$A:$A,$A501,'Error Log'!$J:$J,G$1)</f>
        <v>0</v>
      </c>
      <c r="H501" s="70">
        <f>COUNTIFS('Error Log'!$A:$A,$A501,'Error Log'!$F:$F,"Source")</f>
        <v>0</v>
      </c>
      <c r="I501" s="70">
        <f>COUNTIFS('Error Log'!$A:$A,$A501,'Error Log'!$F:$F,"Target")</f>
        <v>0</v>
      </c>
      <c r="J501" s="71">
        <f t="shared" si="7"/>
        <v>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51"/>
  <sheetViews>
    <sheetView zoomScaleNormal="100" workbookViewId="0">
      <pane ySplit="1" topLeftCell="A2" activePane="bottomLeft" state="frozen"/>
      <selection pane="bottomLeft" activeCell="C54" sqref="C54"/>
    </sheetView>
  </sheetViews>
  <sheetFormatPr defaultColWidth="9" defaultRowHeight="14.4"/>
  <cols>
    <col min="1" max="1" width="21.69921875" style="2" customWidth="1"/>
    <col min="2" max="2" width="30" style="2" customWidth="1"/>
    <col min="3" max="3" width="22.19921875" style="2" bestFit="1" customWidth="1"/>
    <col min="4" max="4" width="21.69921875" style="2" bestFit="1" customWidth="1"/>
    <col min="5" max="5" width="22.19921875" style="2" bestFit="1" customWidth="1"/>
    <col min="6" max="7" width="18.69921875" style="2" bestFit="1" customWidth="1"/>
    <col min="8" max="8" width="16.5" style="2" bestFit="1" customWidth="1"/>
    <col min="9" max="9" width="24.5" style="2" customWidth="1"/>
    <col min="10" max="10" width="13.69921875" style="2" customWidth="1"/>
    <col min="11" max="11" width="12.69921875" style="2" bestFit="1" customWidth="1"/>
    <col min="12" max="12" width="11.5" style="2" bestFit="1" customWidth="1"/>
    <col min="13" max="13" width="14" style="2" bestFit="1" customWidth="1"/>
    <col min="14" max="16384" width="9" style="72"/>
  </cols>
  <sheetData>
    <row r="1" spans="1:14">
      <c r="A1" s="100" t="s">
        <v>50</v>
      </c>
      <c r="B1" s="101"/>
      <c r="C1" s="101"/>
      <c r="D1" s="101"/>
      <c r="E1" s="101"/>
      <c r="F1" s="101"/>
      <c r="G1" s="101"/>
      <c r="H1" s="101"/>
      <c r="I1" s="101"/>
      <c r="J1" s="101"/>
      <c r="K1" s="101"/>
      <c r="L1" s="101"/>
      <c r="M1" s="102"/>
    </row>
    <row r="2" spans="1:14">
      <c r="A2" s="5" t="s">
        <v>31</v>
      </c>
      <c r="B2" s="5" t="s">
        <v>30</v>
      </c>
      <c r="C2" s="5" t="s">
        <v>54</v>
      </c>
      <c r="D2" s="5" t="s">
        <v>55</v>
      </c>
      <c r="E2" s="5" t="s">
        <v>56</v>
      </c>
      <c r="F2" s="5" t="s">
        <v>29</v>
      </c>
      <c r="G2" s="5" t="s">
        <v>27</v>
      </c>
      <c r="H2" s="5" t="s">
        <v>28</v>
      </c>
      <c r="I2" s="5" t="s">
        <v>58</v>
      </c>
      <c r="J2" s="5" t="s">
        <v>57</v>
      </c>
    </row>
    <row r="3" spans="1:14">
      <c r="A3" s="99" t="s">
        <v>21</v>
      </c>
      <c r="B3" s="4" t="s">
        <v>22</v>
      </c>
      <c r="C3" s="3" t="s">
        <v>25</v>
      </c>
      <c r="D3" s="3" t="s">
        <v>25</v>
      </c>
      <c r="E3" s="3" t="s">
        <v>25</v>
      </c>
      <c r="F3" s="3" t="s">
        <v>23</v>
      </c>
      <c r="G3" s="3" t="s">
        <v>23</v>
      </c>
      <c r="H3" s="3" t="s">
        <v>23</v>
      </c>
      <c r="I3" s="3" t="s">
        <v>59</v>
      </c>
      <c r="J3" s="3" t="s">
        <v>23</v>
      </c>
      <c r="N3" s="2"/>
    </row>
    <row r="4" spans="1:14">
      <c r="A4" s="99"/>
      <c r="B4" s="4" t="s">
        <v>7</v>
      </c>
      <c r="C4" s="3" t="s">
        <v>25</v>
      </c>
      <c r="D4" s="3" t="s">
        <v>25</v>
      </c>
      <c r="E4" s="3" t="s">
        <v>25</v>
      </c>
      <c r="F4" s="3" t="s">
        <v>60</v>
      </c>
      <c r="G4" s="3" t="s">
        <v>23</v>
      </c>
      <c r="H4" s="3" t="s">
        <v>23</v>
      </c>
      <c r="I4" s="3" t="s">
        <v>59</v>
      </c>
      <c r="J4" s="3" t="s">
        <v>60</v>
      </c>
      <c r="N4" s="2"/>
    </row>
    <row r="5" spans="1:14">
      <c r="A5" s="99"/>
      <c r="B5" s="4" t="s">
        <v>63</v>
      </c>
      <c r="C5" s="3" t="s">
        <v>25</v>
      </c>
      <c r="D5" s="3" t="s">
        <v>25</v>
      </c>
      <c r="E5" s="3" t="s">
        <v>25</v>
      </c>
      <c r="F5" s="3" t="s">
        <v>60</v>
      </c>
      <c r="G5" s="3" t="s">
        <v>60</v>
      </c>
      <c r="H5" s="3" t="s">
        <v>23</v>
      </c>
      <c r="I5" s="3" t="s">
        <v>59</v>
      </c>
      <c r="J5" s="3" t="s">
        <v>24</v>
      </c>
      <c r="N5" s="2"/>
    </row>
    <row r="6" spans="1:14">
      <c r="A6" s="99"/>
      <c r="B6" s="4" t="s">
        <v>64</v>
      </c>
      <c r="C6" s="3" t="s">
        <v>25</v>
      </c>
      <c r="D6" s="3" t="s">
        <v>25</v>
      </c>
      <c r="E6" s="3" t="s">
        <v>25</v>
      </c>
      <c r="F6" s="3" t="s">
        <v>25</v>
      </c>
      <c r="G6" s="3" t="s">
        <v>25</v>
      </c>
      <c r="H6" s="3" t="s">
        <v>25</v>
      </c>
      <c r="I6" s="3" t="s">
        <v>24</v>
      </c>
      <c r="J6" s="3" t="s">
        <v>24</v>
      </c>
      <c r="N6" s="2"/>
    </row>
    <row r="7" spans="1:14">
      <c r="A7" s="99"/>
      <c r="B7" s="4" t="s">
        <v>45</v>
      </c>
      <c r="C7" s="3" t="s">
        <v>24</v>
      </c>
      <c r="D7" s="3" t="s">
        <v>24</v>
      </c>
      <c r="E7" s="3" t="s">
        <v>25</v>
      </c>
      <c r="F7" s="3" t="s">
        <v>24</v>
      </c>
      <c r="G7" s="3" t="s">
        <v>24</v>
      </c>
      <c r="H7" s="3" t="s">
        <v>61</v>
      </c>
      <c r="I7" s="3" t="s">
        <v>24</v>
      </c>
      <c r="J7" s="3" t="s">
        <v>24</v>
      </c>
      <c r="N7" s="2"/>
    </row>
    <row r="8" spans="1:14">
      <c r="A8" s="99" t="s">
        <v>2</v>
      </c>
      <c r="B8" s="4" t="s">
        <v>65</v>
      </c>
      <c r="C8" s="3" t="s">
        <v>24</v>
      </c>
      <c r="D8" s="3" t="s">
        <v>24</v>
      </c>
      <c r="E8" s="3" t="s">
        <v>23</v>
      </c>
      <c r="F8" s="3" t="s">
        <v>24</v>
      </c>
      <c r="G8" s="3" t="s">
        <v>24</v>
      </c>
      <c r="H8" s="3" t="s">
        <v>23</v>
      </c>
      <c r="I8" s="3" t="s">
        <v>1</v>
      </c>
      <c r="J8" s="3" t="s">
        <v>24</v>
      </c>
      <c r="N8" s="2"/>
    </row>
    <row r="9" spans="1:14">
      <c r="A9" s="99"/>
      <c r="B9" s="4" t="s">
        <v>26</v>
      </c>
      <c r="C9" s="3" t="s">
        <v>23</v>
      </c>
      <c r="D9" s="3" t="s">
        <v>23</v>
      </c>
      <c r="E9" s="3" t="s">
        <v>23</v>
      </c>
      <c r="F9" s="3" t="s">
        <v>23</v>
      </c>
      <c r="G9" s="3" t="s">
        <v>23</v>
      </c>
      <c r="H9" s="3" t="s">
        <v>23</v>
      </c>
      <c r="I9" s="3" t="s">
        <v>59</v>
      </c>
      <c r="J9" s="3" t="s">
        <v>23</v>
      </c>
      <c r="N9" s="2"/>
    </row>
    <row r="10" spans="1:14">
      <c r="A10" s="99"/>
      <c r="B10" s="4" t="s">
        <v>66</v>
      </c>
      <c r="C10" s="3" t="s">
        <v>1</v>
      </c>
      <c r="D10" s="3" t="s">
        <v>1</v>
      </c>
      <c r="E10" s="3" t="s">
        <v>1</v>
      </c>
      <c r="F10" s="3" t="s">
        <v>1</v>
      </c>
      <c r="G10" s="3" t="s">
        <v>1</v>
      </c>
      <c r="H10" s="3" t="s">
        <v>1</v>
      </c>
      <c r="I10" s="3" t="s">
        <v>1</v>
      </c>
      <c r="J10" s="3" t="s">
        <v>24</v>
      </c>
      <c r="N10" s="2"/>
    </row>
    <row r="11" spans="1:14">
      <c r="A11" s="74"/>
      <c r="B11" s="74"/>
      <c r="C11" s="75"/>
      <c r="D11" s="75"/>
      <c r="E11" s="75"/>
      <c r="F11" s="75"/>
      <c r="G11" s="75"/>
      <c r="H11" s="75"/>
      <c r="N11" s="2"/>
    </row>
    <row r="13" spans="1:14">
      <c r="A13" s="9" t="s">
        <v>31</v>
      </c>
      <c r="B13" s="8" t="s">
        <v>21</v>
      </c>
      <c r="C13" s="8" t="s">
        <v>2</v>
      </c>
    </row>
    <row r="14" spans="1:14">
      <c r="A14" s="7" t="s">
        <v>21</v>
      </c>
      <c r="B14" s="10" t="s">
        <v>22</v>
      </c>
      <c r="C14" s="10" t="s">
        <v>65</v>
      </c>
    </row>
    <row r="15" spans="1:14">
      <c r="A15" s="7" t="s">
        <v>2</v>
      </c>
      <c r="B15" s="10" t="s">
        <v>7</v>
      </c>
      <c r="C15" s="10" t="s">
        <v>26</v>
      </c>
    </row>
    <row r="16" spans="1:14">
      <c r="A16" s="7"/>
      <c r="B16" s="10" t="s">
        <v>63</v>
      </c>
      <c r="C16" s="10" t="s">
        <v>66</v>
      </c>
    </row>
    <row r="17" spans="1:5">
      <c r="A17" s="7"/>
      <c r="B17" s="10" t="s">
        <v>64</v>
      </c>
      <c r="C17" s="10"/>
    </row>
    <row r="18" spans="1:5">
      <c r="B18" s="10" t="s">
        <v>45</v>
      </c>
      <c r="C18" s="10"/>
      <c r="D18" s="6"/>
    </row>
    <row r="19" spans="1:5">
      <c r="B19" s="6"/>
      <c r="C19" s="6"/>
      <c r="D19" s="6"/>
    </row>
    <row r="20" spans="1:5">
      <c r="A20" s="6"/>
      <c r="B20" s="6"/>
      <c r="C20" s="6"/>
      <c r="D20" s="6"/>
    </row>
    <row r="21" spans="1:5">
      <c r="A21" s="6"/>
      <c r="B21" s="6"/>
      <c r="D21" s="6"/>
    </row>
    <row r="24" spans="1:5">
      <c r="A24" s="8" t="s">
        <v>21</v>
      </c>
      <c r="B24" s="8" t="s">
        <v>21</v>
      </c>
      <c r="C24" s="8" t="s">
        <v>21</v>
      </c>
      <c r="D24" s="8" t="s">
        <v>21</v>
      </c>
      <c r="E24" s="8" t="s">
        <v>21</v>
      </c>
    </row>
    <row r="25" spans="1:5">
      <c r="A25" s="8" t="s">
        <v>22</v>
      </c>
      <c r="B25" s="8" t="s">
        <v>7</v>
      </c>
      <c r="C25" s="8" t="s">
        <v>63</v>
      </c>
      <c r="D25" s="8" t="s">
        <v>64</v>
      </c>
      <c r="E25" s="8" t="s">
        <v>45</v>
      </c>
    </row>
    <row r="26" spans="1:5">
      <c r="A26" s="11" t="s">
        <v>54</v>
      </c>
      <c r="B26" s="11" t="s">
        <v>54</v>
      </c>
      <c r="C26" s="11" t="s">
        <v>54</v>
      </c>
      <c r="D26" s="11" t="s">
        <v>54</v>
      </c>
      <c r="E26" s="11" t="s">
        <v>56</v>
      </c>
    </row>
    <row r="27" spans="1:5">
      <c r="A27" s="11" t="s">
        <v>55</v>
      </c>
      <c r="B27" s="11" t="s">
        <v>55</v>
      </c>
      <c r="C27" s="11" t="s">
        <v>55</v>
      </c>
      <c r="D27" s="11" t="s">
        <v>55</v>
      </c>
      <c r="E27" s="11" t="s">
        <v>28</v>
      </c>
    </row>
    <row r="28" spans="1:5">
      <c r="A28" s="11" t="s">
        <v>56</v>
      </c>
      <c r="B28" s="11" t="s">
        <v>56</v>
      </c>
      <c r="C28" s="11" t="s">
        <v>56</v>
      </c>
      <c r="D28" s="11" t="s">
        <v>56</v>
      </c>
    </row>
    <row r="29" spans="1:5">
      <c r="A29" s="11" t="s">
        <v>29</v>
      </c>
      <c r="B29" s="11" t="s">
        <v>29</v>
      </c>
      <c r="C29" s="11" t="s">
        <v>29</v>
      </c>
      <c r="D29" s="11" t="s">
        <v>29</v>
      </c>
    </row>
    <row r="30" spans="1:5">
      <c r="A30" s="11" t="s">
        <v>27</v>
      </c>
      <c r="B30" s="11" t="s">
        <v>27</v>
      </c>
      <c r="C30" s="11" t="s">
        <v>27</v>
      </c>
      <c r="D30" s="11" t="s">
        <v>27</v>
      </c>
    </row>
    <row r="31" spans="1:5">
      <c r="A31" s="11" t="s">
        <v>28</v>
      </c>
      <c r="B31" s="11" t="s">
        <v>28</v>
      </c>
      <c r="C31" s="11" t="s">
        <v>28</v>
      </c>
      <c r="D31" s="11" t="s">
        <v>28</v>
      </c>
    </row>
    <row r="32" spans="1:5">
      <c r="A32" s="11" t="s">
        <v>58</v>
      </c>
      <c r="B32" s="11" t="s">
        <v>58</v>
      </c>
      <c r="C32" s="11" t="s">
        <v>58</v>
      </c>
      <c r="D32" s="11"/>
    </row>
    <row r="33" spans="1:13">
      <c r="A33" s="11" t="s">
        <v>57</v>
      </c>
      <c r="B33" s="11" t="s">
        <v>57</v>
      </c>
      <c r="C33" s="72"/>
    </row>
    <row r="34" spans="1:13">
      <c r="A34" s="72"/>
      <c r="B34" s="72"/>
      <c r="C34" s="72"/>
    </row>
    <row r="35" spans="1:13">
      <c r="A35" s="72"/>
      <c r="B35" s="72"/>
      <c r="C35" s="72"/>
    </row>
    <row r="36" spans="1:13">
      <c r="A36" s="72"/>
      <c r="B36" s="72"/>
      <c r="C36" s="76"/>
    </row>
    <row r="37" spans="1:13">
      <c r="A37" s="76"/>
      <c r="E37" s="76"/>
    </row>
    <row r="38" spans="1:13">
      <c r="E38" s="76"/>
    </row>
    <row r="39" spans="1:13">
      <c r="A39" s="8" t="s">
        <v>2</v>
      </c>
      <c r="B39" s="8" t="s">
        <v>2</v>
      </c>
      <c r="C39" s="8" t="s">
        <v>2</v>
      </c>
      <c r="E39" s="76"/>
      <c r="M39" s="72"/>
    </row>
    <row r="40" spans="1:13">
      <c r="A40" s="8" t="s">
        <v>65</v>
      </c>
      <c r="B40" s="8" t="s">
        <v>26</v>
      </c>
      <c r="C40" s="8" t="s">
        <v>67</v>
      </c>
      <c r="E40" s="76"/>
      <c r="M40" s="72"/>
    </row>
    <row r="41" spans="1:13">
      <c r="A41" s="11" t="s">
        <v>56</v>
      </c>
      <c r="B41" s="11" t="s">
        <v>54</v>
      </c>
      <c r="C41" s="11" t="s">
        <v>54</v>
      </c>
      <c r="E41" s="76"/>
      <c r="M41" s="72"/>
    </row>
    <row r="42" spans="1:13">
      <c r="A42" s="11" t="s">
        <v>28</v>
      </c>
      <c r="B42" s="11" t="s">
        <v>55</v>
      </c>
      <c r="C42" s="11" t="s">
        <v>55</v>
      </c>
      <c r="E42" s="76"/>
      <c r="M42" s="72"/>
    </row>
    <row r="43" spans="1:13">
      <c r="A43" s="11" t="s">
        <v>58</v>
      </c>
      <c r="B43" s="11" t="s">
        <v>56</v>
      </c>
      <c r="C43" s="11" t="s">
        <v>56</v>
      </c>
      <c r="E43" s="76"/>
      <c r="M43" s="72"/>
    </row>
    <row r="44" spans="1:13">
      <c r="A44" s="11"/>
      <c r="B44" s="11" t="s">
        <v>29</v>
      </c>
      <c r="C44" s="11" t="s">
        <v>29</v>
      </c>
      <c r="E44" s="76"/>
      <c r="M44" s="72"/>
    </row>
    <row r="45" spans="1:13">
      <c r="A45" s="11"/>
      <c r="B45" s="11" t="s">
        <v>27</v>
      </c>
      <c r="C45" s="11" t="s">
        <v>27</v>
      </c>
      <c r="E45" s="76"/>
      <c r="M45" s="72"/>
    </row>
    <row r="46" spans="1:13">
      <c r="B46" s="11" t="s">
        <v>28</v>
      </c>
      <c r="C46" s="11" t="s">
        <v>28</v>
      </c>
      <c r="E46" s="76"/>
      <c r="M46" s="72"/>
    </row>
    <row r="47" spans="1:13">
      <c r="B47" s="11" t="s">
        <v>58</v>
      </c>
      <c r="E47" s="76"/>
      <c r="M47" s="72"/>
    </row>
    <row r="48" spans="1:13">
      <c r="B48" s="11" t="s">
        <v>57</v>
      </c>
      <c r="E48" s="76"/>
    </row>
    <row r="51" spans="1:1">
      <c r="A51" s="76"/>
    </row>
  </sheetData>
  <mergeCells count="3">
    <mergeCell ref="A8:A10"/>
    <mergeCell ref="A3:A7"/>
    <mergeCell ref="A1:M1"/>
  </mergeCells>
  <phoneticPr fontId="15" type="noConversion"/>
  <pageMargins left="0.7" right="0.7" top="0.75" bottom="0.75" header="0.3" footer="0.3"/>
  <pageSetup paperSize="9" orientation="portrait"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13</vt:i4>
      </vt:variant>
    </vt:vector>
  </HeadingPairs>
  <TitlesOfParts>
    <vt:vector size="17" baseType="lpstr">
      <vt:lpstr>ScoreCard</vt:lpstr>
      <vt:lpstr>Error Log</vt:lpstr>
      <vt:lpstr>Scores per segment</vt:lpstr>
      <vt:lpstr>Severity_Matrix</vt:lpstr>
      <vt:lpstr>Accuracy</vt:lpstr>
      <vt:lpstr>Addition</vt:lpstr>
      <vt:lpstr>Duplication</vt:lpstr>
      <vt:lpstr>Fluency</vt:lpstr>
      <vt:lpstr>Inaccuracy_external</vt:lpstr>
      <vt:lpstr>Inaccuracy_internal</vt:lpstr>
      <vt:lpstr>Inappropriate_Selection_of_Words</vt:lpstr>
      <vt:lpstr>Issue_Type</vt:lpstr>
      <vt:lpstr>Omission</vt:lpstr>
      <vt:lpstr>Positive_Negative_Aspect</vt:lpstr>
      <vt:lpstr>Spelling</vt:lpstr>
      <vt:lpstr>Word_From</vt:lpstr>
      <vt:lpstr>Word_Order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庵 怒</dc:creator>
  <cp:lastModifiedBy>hdd</cp:lastModifiedBy>
  <dcterms:created xsi:type="dcterms:W3CDTF">2016-06-07T12:18:19Z</dcterms:created>
  <dcterms:modified xsi:type="dcterms:W3CDTF">2020-11-27T09:21:14Z</dcterms:modified>
</cp:coreProperties>
</file>