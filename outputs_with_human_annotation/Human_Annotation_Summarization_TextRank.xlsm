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FA7DBA32-B023-45D8-A260-B0AF15C0F99C}" xr6:coauthVersionLast="45" xr6:coauthVersionMax="45" xr10:uidLastSave="{00000000-0000-0000-0000-000000000000}"/>
  <bookViews>
    <workbookView xWindow="384" yWindow="384" windowWidth="21252" windowHeight="11184" tabRatio="868" xr2:uid="{00000000-000D-0000-FFFF-FFFF00000000}"/>
  </bookViews>
  <sheets>
    <sheet name="ScoreCard" sheetId="18" r:id="rId1"/>
    <sheet name="Error Log" sheetId="14" r:id="rId2"/>
    <sheet name="Scores per segment" sheetId="21" r:id="rId3"/>
    <sheet name="Severity_Matrix" sheetId="19" r:id="rId4"/>
  </sheets>
  <functionGroups builtInGroupCount="19"/>
  <definedNames>
    <definedName name="_xlnm._FilterDatabase" localSheetId="1" hidden="1">'Error Log'!$A$1:$L$596</definedName>
    <definedName name="_xlnm._FilterDatabase" localSheetId="2" hidden="1">'Scores per segment'!$A$1:$J$501</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597" i="14" l="1"/>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542" i="14" l="1"/>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425" i="14" l="1"/>
  <c r="J426" i="14"/>
  <c r="J427" i="14"/>
  <c r="J428" i="14"/>
  <c r="J429" i="14"/>
  <c r="J430" i="14"/>
  <c r="J431" i="14"/>
  <c r="J432" i="14"/>
  <c r="J433" i="14"/>
  <c r="J434" i="14"/>
  <c r="J435" i="14"/>
  <c r="J436" i="14"/>
  <c r="J309" i="14" l="1"/>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102" i="14"/>
  <c r="J103" i="14"/>
  <c r="J104" i="14"/>
  <c r="J105" i="14"/>
  <c r="J106" i="14"/>
  <c r="J107" i="14"/>
  <c r="J108" i="14"/>
  <c r="J109" i="14"/>
  <c r="J110" i="14"/>
  <c r="J111" i="14"/>
  <c r="J112" i="14"/>
  <c r="J113" i="14"/>
  <c r="J114" i="14"/>
  <c r="J115" i="14"/>
  <c r="J116" i="14"/>
  <c r="J117" i="14"/>
  <c r="J118" i="14"/>
  <c r="J119" i="14"/>
  <c r="J3" i="14" l="1"/>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2" i="14"/>
  <c r="H31" i="18" l="1"/>
  <c r="I35" i="18" l="1"/>
  <c r="I34" i="18"/>
  <c r="I33" i="18"/>
  <c r="H35" i="18"/>
  <c r="H34" i="18"/>
  <c r="H33" i="18"/>
  <c r="I32" i="18"/>
  <c r="H32" i="18"/>
  <c r="I31" i="18"/>
  <c r="I30" i="18"/>
  <c r="H30" i="18"/>
  <c r="H29" i="18"/>
  <c r="I29" i="18"/>
  <c r="I28" i="18"/>
  <c r="H28" i="18"/>
  <c r="D28" i="18"/>
  <c r="D31" i="18"/>
  <c r="E31" i="18"/>
  <c r="F31" i="18"/>
  <c r="G31" i="18"/>
  <c r="J31" i="18"/>
  <c r="K31" i="18"/>
  <c r="H2" i="21"/>
  <c r="I2" i="21"/>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40" i="2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H152" i="21"/>
  <c r="I152"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H497" i="21"/>
  <c r="I497" i="21"/>
  <c r="H498" i="21"/>
  <c r="I498" i="21"/>
  <c r="H499" i="21"/>
  <c r="I499" i="21"/>
  <c r="H500" i="21"/>
  <c r="I500" i="21"/>
  <c r="H501" i="21"/>
  <c r="I501" i="21"/>
  <c r="L31" i="18" l="1"/>
  <c r="C5" i="21"/>
  <c r="B22" i="21"/>
  <c r="B3" i="21"/>
  <c r="B20" i="21"/>
  <c r="C20" i="21"/>
  <c r="B21" i="21"/>
  <c r="C21" i="21"/>
  <c r="C22" i="21"/>
  <c r="B23" i="21"/>
  <c r="C23" i="21"/>
  <c r="B24" i="21"/>
  <c r="C24" i="21"/>
  <c r="B25" i="21"/>
  <c r="C25" i="21"/>
  <c r="B26" i="21"/>
  <c r="C26" i="21"/>
  <c r="B27" i="21"/>
  <c r="C27" i="21"/>
  <c r="B28" i="21"/>
  <c r="C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497" i="21"/>
  <c r="C497" i="21"/>
  <c r="E497" i="21"/>
  <c r="F497" i="21"/>
  <c r="G497" i="21"/>
  <c r="B498" i="21"/>
  <c r="C498" i="21"/>
  <c r="E498" i="21"/>
  <c r="F498" i="21"/>
  <c r="G498" i="21"/>
  <c r="B499" i="21"/>
  <c r="C499" i="21"/>
  <c r="E499" i="21"/>
  <c r="F499" i="21"/>
  <c r="G499" i="21"/>
  <c r="B500" i="21"/>
  <c r="C500" i="21"/>
  <c r="E500" i="21"/>
  <c r="F500" i="21"/>
  <c r="G500" i="21"/>
  <c r="B501" i="21"/>
  <c r="C501" i="21"/>
  <c r="E501" i="21"/>
  <c r="F501" i="21"/>
  <c r="G501" i="21"/>
  <c r="B8" i="21"/>
  <c r="C10" i="18"/>
  <c r="B2" i="21"/>
  <c r="B4" i="21"/>
  <c r="B5" i="21"/>
  <c r="B6" i="21"/>
  <c r="B7" i="21"/>
  <c r="B9" i="21"/>
  <c r="B10" i="21"/>
  <c r="B11" i="21"/>
  <c r="B12" i="21"/>
  <c r="B13" i="21"/>
  <c r="B14" i="21"/>
  <c r="B15" i="21"/>
  <c r="B16" i="21"/>
  <c r="B17" i="21"/>
  <c r="B18" i="21"/>
  <c r="C2" i="21"/>
  <c r="C3" i="21"/>
  <c r="C4" i="21"/>
  <c r="C6" i="21"/>
  <c r="C7" i="21"/>
  <c r="C8" i="21"/>
  <c r="C9" i="21"/>
  <c r="C10" i="21"/>
  <c r="C11" i="21"/>
  <c r="C12" i="21"/>
  <c r="C13" i="21"/>
  <c r="C14" i="21"/>
  <c r="C15" i="21"/>
  <c r="C16" i="21"/>
  <c r="C17" i="21"/>
  <c r="C18" i="21"/>
  <c r="C19" i="21"/>
  <c r="B19" i="21"/>
  <c r="F25" i="21"/>
  <c r="G25" i="21"/>
  <c r="E25" i="21"/>
  <c r="E28" i="21"/>
  <c r="F28" i="21"/>
  <c r="G28"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8" i="18"/>
  <c r="F18" i="18"/>
  <c r="G2" i="21"/>
  <c r="E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I8" i="18"/>
  <c r="L34" i="18" l="1"/>
  <c r="I10" i="18"/>
  <c r="L29" i="18"/>
  <c r="J36" i="18"/>
  <c r="L32" i="18"/>
  <c r="L35" i="18"/>
  <c r="K36" i="18"/>
  <c r="G36" i="18"/>
  <c r="F36" i="18"/>
  <c r="I36" i="18"/>
  <c r="E36" i="18"/>
  <c r="L30" i="18"/>
  <c r="L33" i="18"/>
  <c r="L28" i="18"/>
  <c r="H36" i="18"/>
  <c r="D36" i="18"/>
  <c r="L36" i="18" l="1"/>
  <c r="F6" i="18" s="1"/>
  <c r="D419" i="21"/>
  <c r="D2" i="21"/>
  <c r="D327" i="21"/>
  <c r="D325" i="21"/>
  <c r="D348" i="21"/>
  <c r="D134" i="21"/>
  <c r="D294" i="21"/>
  <c r="D143" i="21"/>
  <c r="D243" i="21"/>
  <c r="D173" i="21"/>
  <c r="D476" i="21"/>
  <c r="D262" i="21"/>
  <c r="D97" i="21"/>
  <c r="D182" i="21"/>
  <c r="D157" i="21"/>
  <c r="D375" i="21"/>
  <c r="D152" i="21"/>
  <c r="D331" i="21"/>
  <c r="D299" i="21"/>
  <c r="D438" i="21"/>
  <c r="D132" i="21"/>
  <c r="D284" i="21"/>
  <c r="D410" i="21"/>
  <c r="D99" i="21"/>
  <c r="D298" i="21"/>
  <c r="D214" i="21"/>
  <c r="D385" i="21"/>
  <c r="D119" i="21"/>
  <c r="D389" i="21"/>
  <c r="D344" i="21"/>
  <c r="D16" i="21"/>
  <c r="D70" i="21"/>
  <c r="D391" i="21"/>
  <c r="D441" i="21"/>
  <c r="D142" i="21"/>
  <c r="D75" i="21"/>
  <c r="D494" i="21"/>
  <c r="D225" i="21"/>
  <c r="D10" i="21"/>
  <c r="D196" i="21"/>
  <c r="D7" i="21"/>
  <c r="D211" i="21"/>
  <c r="D95" i="21"/>
  <c r="D393" i="21"/>
  <c r="D189" i="21"/>
  <c r="D184" i="21"/>
  <c r="D222" i="21"/>
  <c r="D229" i="21"/>
  <c r="D390" i="21"/>
  <c r="D33" i="21"/>
  <c r="D485" i="21"/>
  <c r="D496" i="21"/>
  <c r="D240" i="21"/>
  <c r="D328" i="21"/>
  <c r="D48" i="21"/>
  <c r="D29" i="21"/>
  <c r="D178" i="21"/>
  <c r="D314" i="21"/>
  <c r="D205" i="21"/>
  <c r="D432" i="21"/>
  <c r="D91" i="21"/>
  <c r="D301" i="21"/>
  <c r="D355" i="21"/>
  <c r="D433" i="21"/>
  <c r="D109" i="21"/>
  <c r="D67" i="21"/>
  <c r="D145" i="21"/>
  <c r="D320" i="21"/>
  <c r="D148" i="21"/>
  <c r="D403" i="21"/>
  <c r="D87" i="21"/>
  <c r="D396" i="21"/>
  <c r="D212" i="21"/>
  <c r="D439" i="21"/>
  <c r="D332" i="21"/>
  <c r="D166" i="21"/>
  <c r="D453" i="21"/>
  <c r="D367" i="21"/>
  <c r="D31" i="21"/>
  <c r="D68" i="21"/>
  <c r="D427" i="21"/>
  <c r="D500" i="21"/>
  <c r="D334" i="21"/>
  <c r="D473" i="21"/>
  <c r="D111" i="21"/>
  <c r="D249" i="21"/>
  <c r="D27" i="21"/>
  <c r="D130" i="21"/>
  <c r="D172" i="21"/>
  <c r="D46" i="21"/>
  <c r="D59" i="21"/>
  <c r="D116" i="21"/>
  <c r="D49" i="21"/>
  <c r="D156" i="21"/>
  <c r="D208" i="21"/>
  <c r="D372" i="21"/>
  <c r="D346" i="21"/>
  <c r="D295" i="21"/>
  <c r="D45" i="21"/>
  <c r="D303" i="21"/>
  <c r="D275" i="21"/>
  <c r="D273" i="21"/>
  <c r="D265" i="21"/>
  <c r="D193" i="21"/>
  <c r="D82" i="21"/>
  <c r="D85" i="21"/>
  <c r="D347" i="21"/>
  <c r="D371" i="21"/>
  <c r="D167" i="21"/>
  <c r="D77" i="21"/>
  <c r="D498" i="21"/>
  <c r="D187" i="21"/>
  <c r="D227" i="21"/>
  <c r="D103" i="21"/>
  <c r="D162" i="21"/>
  <c r="D286" i="21"/>
  <c r="D34" i="21"/>
  <c r="D445" i="21"/>
  <c r="D491" i="21"/>
  <c r="D292" i="21"/>
  <c r="D405" i="21"/>
  <c r="D105" i="21"/>
  <c r="D58" i="21"/>
  <c r="D343" i="21"/>
  <c r="D161" i="21"/>
  <c r="D341" i="21"/>
  <c r="D92" i="21"/>
  <c r="D138" i="21"/>
  <c r="D430" i="21"/>
  <c r="D302" i="21"/>
  <c r="D402" i="21"/>
  <c r="D268" i="21"/>
  <c r="D291" i="21"/>
  <c r="D338" i="21"/>
  <c r="D175" i="21"/>
  <c r="D477" i="21"/>
  <c r="D219" i="21"/>
  <c r="D233" i="21"/>
  <c r="D89" i="21"/>
  <c r="D362" i="21"/>
  <c r="D66" i="21"/>
  <c r="D384" i="21"/>
  <c r="D442" i="21"/>
  <c r="D339" i="21"/>
  <c r="D288" i="21"/>
  <c r="D194" i="21"/>
  <c r="D171" i="21"/>
  <c r="D129" i="21"/>
  <c r="D305" i="21"/>
  <c r="D447" i="21"/>
  <c r="D55" i="21"/>
  <c r="D307" i="21"/>
  <c r="D14" i="21"/>
  <c r="D467" i="21"/>
  <c r="D228" i="21"/>
  <c r="D308" i="21"/>
  <c r="D463" i="21"/>
  <c r="D244" i="21"/>
  <c r="D450" i="21"/>
  <c r="D324" i="21"/>
  <c r="D26" i="21"/>
  <c r="D409" i="21"/>
  <c r="D309" i="21"/>
  <c r="D293" i="21"/>
  <c r="D373" i="21"/>
  <c r="D210" i="21"/>
  <c r="D141" i="21"/>
  <c r="D358" i="21"/>
  <c r="D106" i="21"/>
  <c r="D455" i="21"/>
  <c r="D5" i="21"/>
  <c r="D399" i="21"/>
  <c r="D86" i="21"/>
  <c r="D73" i="21"/>
  <c r="D127" i="21"/>
  <c r="D37" i="21"/>
  <c r="D8" i="21"/>
  <c r="D153" i="21"/>
  <c r="D475" i="21"/>
  <c r="D490" i="21"/>
  <c r="D72" i="21"/>
  <c r="D377" i="21"/>
  <c r="D4" i="21"/>
  <c r="D197" i="21"/>
  <c r="D174" i="21"/>
  <c r="D271" i="21"/>
  <c r="D57" i="21"/>
  <c r="D486" i="21"/>
  <c r="D364" i="21"/>
  <c r="D121" i="21"/>
  <c r="D246" i="21"/>
  <c r="D112" i="21"/>
  <c r="D415" i="21"/>
  <c r="D218" i="21"/>
  <c r="D421" i="21"/>
  <c r="D404" i="21"/>
  <c r="D255" i="21"/>
  <c r="D231" i="21"/>
  <c r="D392" i="21"/>
  <c r="D50" i="21"/>
  <c r="D437" i="21"/>
  <c r="D236" i="21"/>
  <c r="D488" i="21"/>
  <c r="D349" i="21"/>
  <c r="D254" i="21"/>
  <c r="D149" i="21"/>
  <c r="D417" i="21"/>
  <c r="D42" i="21"/>
  <c r="D383" i="21"/>
  <c r="D40" i="21"/>
  <c r="D179" i="21"/>
  <c r="D19" i="21"/>
  <c r="D202" i="21"/>
  <c r="D482" i="21"/>
  <c r="D279" i="21"/>
  <c r="D221" i="21"/>
  <c r="D479" i="21"/>
  <c r="D470" i="21"/>
  <c r="D144" i="21"/>
  <c r="D169" i="21"/>
  <c r="D151" i="21"/>
  <c r="D198" i="21"/>
  <c r="D247" i="21"/>
  <c r="D306" i="21"/>
  <c r="D123" i="21"/>
  <c r="D323" i="21"/>
  <c r="D290" i="21"/>
  <c r="D74" i="21"/>
  <c r="D319" i="21"/>
  <c r="D11" i="21"/>
  <c r="D200" i="21"/>
  <c r="D459" i="21"/>
  <c r="D416" i="21"/>
  <c r="D136" i="21"/>
  <c r="D376" i="21"/>
  <c r="D154" i="21"/>
  <c r="D258" i="21"/>
  <c r="D176" i="21"/>
  <c r="D20" i="21"/>
  <c r="D458" i="21"/>
  <c r="D126" i="21"/>
  <c r="D204" i="21"/>
  <c r="D297" i="21"/>
  <c r="D466" i="21"/>
  <c r="D381" i="21"/>
  <c r="D28" i="21"/>
  <c r="D425" i="21"/>
  <c r="D420" i="21"/>
  <c r="D78" i="21"/>
  <c r="D191" i="21"/>
  <c r="D146" i="21"/>
  <c r="D188" i="21"/>
  <c r="D206" i="21"/>
  <c r="D186" i="21"/>
  <c r="D250" i="21"/>
  <c r="D462" i="21"/>
  <c r="D468" i="21"/>
  <c r="D431" i="21"/>
  <c r="D253" i="21"/>
  <c r="D199" i="21"/>
  <c r="D484" i="21"/>
  <c r="D321" i="21"/>
  <c r="D412" i="21"/>
  <c r="D304" i="21"/>
  <c r="D230" i="21"/>
  <c r="D220" i="21"/>
  <c r="D201" i="21"/>
  <c r="D276" i="21"/>
  <c r="D140" i="21"/>
  <c r="D281" i="21"/>
  <c r="D164" i="21"/>
  <c r="D493" i="21"/>
  <c r="D239" i="21"/>
  <c r="D124" i="21"/>
  <c r="D234" i="21"/>
  <c r="D147" i="21"/>
  <c r="D24" i="21"/>
  <c r="D6" i="21"/>
  <c r="D80" i="21"/>
  <c r="D35" i="21"/>
  <c r="D209" i="21"/>
  <c r="D263" i="21"/>
  <c r="D452" i="21"/>
  <c r="D357" i="21"/>
  <c r="D413" i="21"/>
  <c r="D104" i="21"/>
  <c r="D398" i="21"/>
  <c r="D195" i="21"/>
  <c r="D131" i="21"/>
  <c r="D63" i="21"/>
  <c r="D449" i="21"/>
  <c r="D436" i="21"/>
  <c r="D32" i="21"/>
  <c r="D388" i="21"/>
  <c r="D287" i="21"/>
  <c r="D461" i="21"/>
  <c r="D122" i="21"/>
  <c r="D39" i="21"/>
  <c r="D311" i="21"/>
  <c r="D54" i="21"/>
  <c r="D125" i="21"/>
  <c r="D434" i="21"/>
  <c r="D448" i="21"/>
  <c r="D259" i="21"/>
  <c r="D280" i="21"/>
  <c r="D81" i="21"/>
  <c r="D266" i="21"/>
  <c r="D12" i="21"/>
  <c r="D192" i="21"/>
  <c r="D282" i="21"/>
  <c r="D414" i="21"/>
  <c r="D168" i="21"/>
  <c r="D451" i="21"/>
  <c r="D18" i="21"/>
  <c r="D88" i="21"/>
  <c r="D464" i="21"/>
  <c r="D183" i="21"/>
  <c r="D492" i="21"/>
  <c r="D203" i="21"/>
  <c r="D423" i="21"/>
  <c r="D36" i="21"/>
  <c r="D256" i="21"/>
  <c r="D354" i="21"/>
  <c r="D114" i="21"/>
  <c r="D158" i="21"/>
  <c r="D217" i="21"/>
  <c r="D190" i="21"/>
  <c r="D181" i="21"/>
  <c r="D94" i="21"/>
  <c r="D17" i="21"/>
  <c r="D369" i="21"/>
  <c r="D257" i="21"/>
  <c r="D38" i="21"/>
  <c r="D223" i="21"/>
  <c r="D277" i="21"/>
  <c r="D270" i="21"/>
  <c r="D9" i="21"/>
  <c r="D135" i="21"/>
  <c r="D107" i="21"/>
  <c r="D329" i="21"/>
  <c r="D3" i="21"/>
  <c r="D139" i="21"/>
  <c r="D56" i="21"/>
  <c r="D472" i="21"/>
  <c r="D61" i="21"/>
  <c r="D69" i="21"/>
  <c r="D47" i="21"/>
  <c r="D316" i="21"/>
  <c r="D333" i="21"/>
  <c r="D418" i="21"/>
  <c r="D483" i="21"/>
  <c r="D269" i="21"/>
  <c r="D489" i="21"/>
  <c r="D401" i="21"/>
  <c r="D163" i="21"/>
  <c r="D342" i="21"/>
  <c r="D65" i="21"/>
  <c r="D224" i="21"/>
  <c r="D326" i="21"/>
  <c r="D469" i="21"/>
  <c r="D456" i="21"/>
  <c r="D150" i="21"/>
  <c r="D365" i="21"/>
  <c r="D165" i="21"/>
  <c r="D424" i="21"/>
  <c r="D41" i="21"/>
  <c r="D30" i="21"/>
  <c r="D337" i="21"/>
  <c r="D115" i="21"/>
  <c r="D380" i="21"/>
  <c r="D260" i="21"/>
  <c r="D180" i="21"/>
  <c r="D185" i="21"/>
  <c r="D435" i="21"/>
  <c r="D407" i="21"/>
  <c r="D289" i="21"/>
  <c r="D429" i="21"/>
  <c r="D264" i="21"/>
  <c r="D52" i="21"/>
  <c r="D487" i="21"/>
  <c r="D251" i="21"/>
  <c r="D213" i="21"/>
  <c r="D207" i="21"/>
  <c r="D274" i="21"/>
  <c r="D23" i="21"/>
  <c r="D79" i="21"/>
  <c r="D117" i="21"/>
  <c r="D411" i="21"/>
  <c r="D242" i="21"/>
  <c r="D25" i="21"/>
  <c r="D64" i="21"/>
  <c r="D267" i="21"/>
  <c r="D374" i="21"/>
  <c r="D300" i="21"/>
  <c r="D336" i="21"/>
  <c r="D471" i="21"/>
  <c r="D93" i="21"/>
  <c r="D155" i="21"/>
  <c r="D120" i="21"/>
  <c r="D248" i="21"/>
  <c r="D322" i="21"/>
  <c r="D252" i="21"/>
  <c r="D359" i="21"/>
  <c r="D315" i="21"/>
  <c r="D101" i="21"/>
  <c r="D408" i="21"/>
  <c r="D53" i="21"/>
  <c r="D90" i="21"/>
  <c r="D350" i="21"/>
  <c r="D245" i="21"/>
  <c r="D501" i="21"/>
  <c r="D118" i="21"/>
  <c r="D394" i="21"/>
  <c r="D444" i="21"/>
  <c r="D159" i="21"/>
  <c r="D356" i="21"/>
  <c r="D495" i="21"/>
  <c r="D317" i="21"/>
  <c r="D100" i="21"/>
  <c r="D241" i="21"/>
  <c r="D481" i="21"/>
  <c r="D22" i="21"/>
  <c r="D440" i="21"/>
  <c r="D353" i="21"/>
  <c r="D215" i="21"/>
  <c r="D386" i="21"/>
  <c r="D83" i="21"/>
  <c r="D446" i="21"/>
  <c r="D102" i="21"/>
  <c r="D379" i="21"/>
  <c r="D283" i="21"/>
  <c r="D84" i="21"/>
  <c r="D76" i="21"/>
  <c r="D235" i="21"/>
  <c r="D360" i="21"/>
  <c r="D128" i="21"/>
  <c r="D21" i="21"/>
  <c r="D400" i="21"/>
  <c r="D340" i="21"/>
  <c r="D345" i="21"/>
  <c r="D177" i="21"/>
  <c r="D460" i="21"/>
  <c r="D108" i="21"/>
  <c r="D397" i="21"/>
  <c r="D363" i="21"/>
  <c r="D406" i="21"/>
  <c r="D170" i="21"/>
  <c r="D216" i="21"/>
  <c r="D278" i="21"/>
  <c r="D62" i="21"/>
  <c r="D478" i="21"/>
  <c r="D443" i="21"/>
  <c r="D96" i="21"/>
  <c r="D312" i="21"/>
  <c r="D60" i="21"/>
  <c r="D137" i="21"/>
  <c r="D368" i="21"/>
  <c r="D133" i="21"/>
  <c r="D422" i="21"/>
  <c r="D361" i="21"/>
  <c r="D98" i="21"/>
  <c r="D71" i="21"/>
  <c r="D237" i="21"/>
  <c r="D428" i="21"/>
  <c r="D226" i="21"/>
  <c r="D238" i="21"/>
  <c r="D261" i="21"/>
  <c r="D382" i="21"/>
  <c r="D44" i="21"/>
  <c r="D465" i="21"/>
  <c r="D113" i="21"/>
  <c r="D335" i="21"/>
  <c r="D497" i="21"/>
  <c r="D370" i="21"/>
  <c r="D352" i="21"/>
  <c r="D318" i="21"/>
  <c r="D395" i="21"/>
  <c r="D366" i="21"/>
  <c r="D378" i="21"/>
  <c r="D15" i="21"/>
  <c r="D330" i="21"/>
  <c r="D310" i="21"/>
  <c r="D454" i="21"/>
  <c r="D160" i="21"/>
  <c r="D426" i="21"/>
  <c r="D232" i="21"/>
  <c r="D474" i="21"/>
  <c r="D285" i="21"/>
  <c r="D110" i="21"/>
  <c r="D351" i="21"/>
  <c r="D296" i="21"/>
  <c r="D457" i="21"/>
  <c r="D272" i="21"/>
  <c r="D313" i="21"/>
  <c r="D499" i="21"/>
  <c r="D480" i="21"/>
  <c r="D43" i="21"/>
  <c r="D51" i="21"/>
  <c r="D13" i="21"/>
  <c r="D387" i="21"/>
  <c r="J387" i="21" l="1"/>
  <c r="J13" i="21"/>
  <c r="J51" i="21"/>
  <c r="J43" i="21"/>
  <c r="J480" i="21"/>
  <c r="J499" i="21"/>
  <c r="J313" i="21"/>
  <c r="J272" i="21"/>
  <c r="J457" i="21"/>
  <c r="J296" i="21"/>
  <c r="J351" i="21"/>
  <c r="J110" i="21"/>
  <c r="J285" i="21"/>
  <c r="J474" i="21"/>
  <c r="J232" i="21"/>
  <c r="J426" i="21"/>
  <c r="J160" i="21"/>
  <c r="J454" i="21"/>
  <c r="J310" i="21"/>
  <c r="J330" i="21"/>
  <c r="J15" i="21"/>
  <c r="J378" i="21"/>
  <c r="J366" i="21"/>
  <c r="J395" i="21"/>
  <c r="J318" i="21"/>
  <c r="J352" i="21"/>
  <c r="J370" i="21"/>
  <c r="J497" i="21"/>
  <c r="J335" i="21"/>
  <c r="J113" i="21"/>
  <c r="J465" i="21"/>
  <c r="J44" i="21"/>
  <c r="J382" i="21"/>
  <c r="J261" i="21"/>
  <c r="J238" i="21"/>
  <c r="J226" i="21"/>
  <c r="J428" i="21"/>
  <c r="J237" i="21"/>
  <c r="J71" i="21"/>
  <c r="J98" i="21"/>
  <c r="J361" i="21"/>
  <c r="J422" i="21"/>
  <c r="J133" i="21"/>
  <c r="J368" i="21"/>
  <c r="J137" i="21"/>
  <c r="J60" i="21"/>
  <c r="J312" i="21"/>
  <c r="J96" i="21"/>
  <c r="J443" i="21"/>
  <c r="J478" i="21"/>
  <c r="J62" i="21"/>
  <c r="J278" i="21"/>
  <c r="J216" i="21"/>
  <c r="J170" i="21"/>
  <c r="J406" i="21"/>
  <c r="J363" i="21"/>
  <c r="J397" i="21"/>
  <c r="J108" i="21"/>
  <c r="J460" i="21"/>
  <c r="J177" i="21"/>
  <c r="J345" i="21"/>
  <c r="J340" i="21"/>
  <c r="J400" i="21"/>
  <c r="J21" i="21"/>
  <c r="J128" i="21"/>
  <c r="J360" i="21"/>
  <c r="J235" i="21"/>
  <c r="J76" i="21"/>
  <c r="J84" i="21"/>
  <c r="J283" i="21"/>
  <c r="J379" i="21"/>
  <c r="J102" i="21"/>
  <c r="J446" i="21"/>
  <c r="J83" i="21"/>
  <c r="J386" i="21"/>
  <c r="J215" i="21"/>
  <c r="J353" i="21"/>
  <c r="J440" i="21"/>
  <c r="J22" i="21"/>
  <c r="J481" i="21"/>
  <c r="J241" i="21"/>
  <c r="J100" i="21"/>
  <c r="J317" i="21"/>
  <c r="J495" i="21"/>
  <c r="J356" i="21"/>
  <c r="J159" i="21"/>
  <c r="J444" i="21"/>
  <c r="J394" i="21"/>
  <c r="J118" i="21"/>
  <c r="J501" i="21"/>
  <c r="J245" i="21"/>
  <c r="J350" i="21"/>
  <c r="J90" i="21"/>
  <c r="J53" i="21"/>
  <c r="J408" i="21"/>
  <c r="J101" i="21"/>
  <c r="J315" i="21"/>
  <c r="J359" i="21"/>
  <c r="J252" i="21"/>
  <c r="J322" i="21"/>
  <c r="J248" i="21"/>
  <c r="J120" i="21"/>
  <c r="J155" i="21"/>
  <c r="J93" i="21"/>
  <c r="J471" i="21"/>
  <c r="J336" i="21"/>
  <c r="J300" i="21"/>
  <c r="J374" i="21"/>
  <c r="J267" i="21"/>
  <c r="J64" i="21"/>
  <c r="J25" i="21"/>
  <c r="J242" i="21"/>
  <c r="J411" i="21"/>
  <c r="J117" i="21"/>
  <c r="J79" i="21"/>
  <c r="J23" i="21"/>
  <c r="J274" i="21"/>
  <c r="J207" i="21"/>
  <c r="J213" i="21"/>
  <c r="J251" i="21"/>
  <c r="J487" i="21"/>
  <c r="J52" i="21"/>
  <c r="J264" i="21"/>
  <c r="J429" i="21"/>
  <c r="J289" i="21"/>
  <c r="J407" i="21"/>
  <c r="J435" i="21"/>
  <c r="J185" i="21"/>
  <c r="J180" i="21"/>
  <c r="J260" i="21"/>
  <c r="J380" i="21"/>
  <c r="J115" i="21"/>
  <c r="J337" i="21"/>
  <c r="J30" i="21"/>
  <c r="J41" i="21"/>
  <c r="J424" i="21"/>
  <c r="J165" i="21"/>
  <c r="J365" i="21"/>
  <c r="J150" i="21"/>
  <c r="J456" i="21"/>
  <c r="J469" i="21"/>
  <c r="J326" i="21"/>
  <c r="J224" i="21"/>
  <c r="J65" i="21"/>
  <c r="J342" i="21"/>
  <c r="J163" i="21"/>
  <c r="J401" i="21"/>
  <c r="J489" i="21"/>
  <c r="J269" i="21"/>
  <c r="J483" i="21"/>
  <c r="J418" i="21"/>
  <c r="J333" i="21"/>
  <c r="J316" i="21"/>
  <c r="J47" i="21"/>
  <c r="J69" i="21"/>
  <c r="J61" i="21"/>
  <c r="J472" i="21"/>
  <c r="J56" i="21"/>
  <c r="J139" i="21"/>
  <c r="J3" i="21"/>
  <c r="J329" i="21"/>
  <c r="J107" i="21"/>
  <c r="J135" i="21"/>
  <c r="J9" i="21"/>
  <c r="J270" i="21"/>
  <c r="J277" i="21"/>
  <c r="J223" i="21"/>
  <c r="J38" i="21"/>
  <c r="J257" i="21"/>
  <c r="J369" i="21"/>
  <c r="J17" i="21"/>
  <c r="J94" i="21"/>
  <c r="J181" i="21"/>
  <c r="J190" i="21"/>
  <c r="J217" i="21"/>
  <c r="J158" i="21"/>
  <c r="J114" i="21"/>
  <c r="J354" i="21"/>
  <c r="J256" i="21"/>
  <c r="J36" i="21"/>
  <c r="J423" i="21"/>
  <c r="J203" i="21"/>
  <c r="J492" i="21"/>
  <c r="J183" i="21"/>
  <c r="J464" i="21"/>
  <c r="J88" i="21"/>
  <c r="J18" i="21"/>
  <c r="J451" i="21"/>
  <c r="J168" i="21"/>
  <c r="J414" i="21"/>
  <c r="J282" i="21"/>
  <c r="J192" i="21"/>
  <c r="J12" i="21"/>
  <c r="J266" i="21"/>
  <c r="J81" i="21"/>
  <c r="J280" i="21"/>
  <c r="J259" i="21"/>
  <c r="J448" i="21"/>
  <c r="J434" i="21"/>
  <c r="J125" i="21"/>
  <c r="J54" i="21"/>
  <c r="J311" i="21"/>
  <c r="J39" i="21"/>
  <c r="J122" i="21"/>
  <c r="J461" i="21"/>
  <c r="J287" i="21"/>
  <c r="J388" i="21"/>
  <c r="J32" i="21"/>
  <c r="J436" i="21"/>
  <c r="J449" i="21"/>
  <c r="J63" i="21"/>
  <c r="J131" i="21"/>
  <c r="J195" i="21"/>
  <c r="J398" i="21"/>
  <c r="J104" i="21"/>
  <c r="J413" i="21"/>
  <c r="J357" i="21"/>
  <c r="J452" i="21"/>
  <c r="J263" i="21"/>
  <c r="J209" i="21"/>
  <c r="J35" i="21"/>
  <c r="J80" i="21"/>
  <c r="J6" i="21"/>
  <c r="J24" i="21"/>
  <c r="J147" i="21"/>
  <c r="J234" i="21"/>
  <c r="J124" i="21"/>
  <c r="J239" i="21"/>
  <c r="J493" i="21"/>
  <c r="J164" i="21"/>
  <c r="J281" i="21"/>
  <c r="J140" i="21"/>
  <c r="J276" i="21"/>
  <c r="J201" i="21"/>
  <c r="J220" i="21"/>
  <c r="J230" i="21"/>
  <c r="J304" i="21"/>
  <c r="J412" i="21"/>
  <c r="J321" i="21"/>
  <c r="J484" i="21"/>
  <c r="J199" i="21"/>
  <c r="J253" i="21"/>
  <c r="J431" i="21"/>
  <c r="J468" i="21"/>
  <c r="J462" i="21"/>
  <c r="J250" i="21"/>
  <c r="J186" i="21"/>
  <c r="J206" i="21"/>
  <c r="J188" i="21"/>
  <c r="J146" i="21"/>
  <c r="J191" i="21"/>
  <c r="J78" i="21"/>
  <c r="J420" i="21"/>
  <c r="J425" i="21"/>
  <c r="J28" i="21"/>
  <c r="J381" i="21"/>
  <c r="J466" i="21"/>
  <c r="J297" i="21"/>
  <c r="J204" i="21"/>
  <c r="J126" i="21"/>
  <c r="J458" i="21"/>
  <c r="J20" i="21"/>
  <c r="J176" i="21"/>
  <c r="J258" i="21"/>
  <c r="J154" i="21"/>
  <c r="J376" i="21"/>
  <c r="J136" i="21"/>
  <c r="J416" i="21"/>
  <c r="J459" i="21"/>
  <c r="J200" i="21"/>
  <c r="J11" i="21"/>
  <c r="J319" i="21"/>
  <c r="J74" i="21"/>
  <c r="J290" i="21"/>
  <c r="J323" i="21"/>
  <c r="J123" i="21"/>
  <c r="J306" i="21"/>
  <c r="J247" i="21"/>
  <c r="J198" i="21"/>
  <c r="J151" i="21"/>
  <c r="J169" i="21"/>
  <c r="J144" i="21"/>
  <c r="J470" i="21"/>
  <c r="J479" i="21"/>
  <c r="J221" i="21"/>
  <c r="J279" i="21"/>
  <c r="J482" i="21"/>
  <c r="J202" i="21"/>
  <c r="J19" i="21"/>
  <c r="J179" i="21"/>
  <c r="J40" i="21"/>
  <c r="J383" i="21"/>
  <c r="J42" i="21"/>
  <c r="J417" i="21"/>
  <c r="J149" i="21"/>
  <c r="J254" i="21"/>
  <c r="J349" i="21"/>
  <c r="J488" i="21"/>
  <c r="J236" i="21"/>
  <c r="J437" i="21"/>
  <c r="J50" i="21"/>
  <c r="J392" i="21"/>
  <c r="J231" i="21"/>
  <c r="J255" i="21"/>
  <c r="J404" i="21"/>
  <c r="J421" i="21"/>
  <c r="J218" i="21"/>
  <c r="J415" i="21"/>
  <c r="J112" i="21"/>
  <c r="J246" i="21"/>
  <c r="J121" i="21"/>
  <c r="J364" i="21"/>
  <c r="J486" i="21"/>
  <c r="J57" i="21"/>
  <c r="J271" i="21"/>
  <c r="J174" i="21"/>
  <c r="J197" i="21"/>
  <c r="J4" i="21"/>
  <c r="J377" i="21"/>
  <c r="J72" i="21"/>
  <c r="J490" i="21"/>
  <c r="J475" i="21"/>
  <c r="J153" i="21"/>
  <c r="J8" i="21"/>
  <c r="J37" i="21"/>
  <c r="J127" i="21"/>
  <c r="J73" i="21"/>
  <c r="J86" i="21"/>
  <c r="J399" i="21"/>
  <c r="J5" i="21"/>
  <c r="J455" i="21"/>
  <c r="J106" i="21"/>
  <c r="J358" i="21"/>
  <c r="J141" i="21"/>
  <c r="J210" i="21"/>
  <c r="J373" i="21"/>
  <c r="J293" i="21"/>
  <c r="J309" i="21"/>
  <c r="J409" i="21"/>
  <c r="J26" i="21"/>
  <c r="J324" i="21"/>
  <c r="J450" i="21"/>
  <c r="J244" i="21"/>
  <c r="J463" i="21"/>
  <c r="J308" i="21"/>
  <c r="J228" i="21"/>
  <c r="J467" i="21"/>
  <c r="J14" i="21"/>
  <c r="J307" i="21"/>
  <c r="J55" i="21"/>
  <c r="J447" i="21"/>
  <c r="J305" i="21"/>
  <c r="J129" i="21"/>
  <c r="J171" i="21"/>
  <c r="J194" i="21"/>
  <c r="J288" i="21"/>
  <c r="J339" i="21"/>
  <c r="J442" i="21"/>
  <c r="J384" i="21"/>
  <c r="J66" i="21"/>
  <c r="J362" i="21"/>
  <c r="J89" i="21"/>
  <c r="J233" i="21"/>
  <c r="J219" i="21"/>
  <c r="J477" i="21"/>
  <c r="J175" i="21"/>
  <c r="J338" i="21"/>
  <c r="J291" i="21"/>
  <c r="J268" i="21"/>
  <c r="J402" i="21"/>
  <c r="J302" i="21"/>
  <c r="J430" i="21"/>
  <c r="J138" i="21"/>
  <c r="J92" i="21"/>
  <c r="J341" i="21"/>
  <c r="J161" i="21"/>
  <c r="J343" i="21"/>
  <c r="J58" i="21"/>
  <c r="J105" i="21"/>
  <c r="J405" i="21"/>
  <c r="J292" i="21"/>
  <c r="J491" i="21"/>
  <c r="J445" i="21"/>
  <c r="J34" i="21"/>
  <c r="J286" i="21"/>
  <c r="J162" i="21"/>
  <c r="J103" i="21"/>
  <c r="J227" i="21"/>
  <c r="J187" i="21"/>
  <c r="J498" i="21"/>
  <c r="J77" i="21"/>
  <c r="J167" i="21"/>
  <c r="J371" i="21"/>
  <c r="J347" i="21"/>
  <c r="J85" i="21"/>
  <c r="J82" i="21"/>
  <c r="J193" i="21"/>
  <c r="J265" i="21"/>
  <c r="J273" i="21"/>
  <c r="J275" i="21"/>
  <c r="J303" i="21"/>
  <c r="J45" i="21"/>
  <c r="J295" i="21"/>
  <c r="J346" i="21"/>
  <c r="J372" i="21"/>
  <c r="J208" i="21"/>
  <c r="J156" i="21"/>
  <c r="J49" i="21"/>
  <c r="J116" i="21"/>
  <c r="J59" i="21"/>
  <c r="J46" i="21"/>
  <c r="J172" i="21"/>
  <c r="J130" i="21"/>
  <c r="J27" i="21"/>
  <c r="J249" i="21"/>
  <c r="J111" i="21"/>
  <c r="J473" i="21"/>
  <c r="J334" i="21"/>
  <c r="J500" i="21"/>
  <c r="J427" i="21"/>
  <c r="J68" i="21"/>
  <c r="J31" i="21"/>
  <c r="J367" i="21"/>
  <c r="J453" i="21"/>
  <c r="J166" i="21"/>
  <c r="J332" i="21"/>
  <c r="J439" i="21"/>
  <c r="J212" i="21"/>
  <c r="J396" i="21"/>
  <c r="J87" i="21"/>
  <c r="J403" i="21"/>
  <c r="J148" i="21"/>
  <c r="J320" i="21"/>
  <c r="J145" i="21"/>
  <c r="J67" i="21"/>
  <c r="J109" i="21"/>
  <c r="J433" i="21"/>
  <c r="J355" i="21"/>
  <c r="J301" i="21"/>
  <c r="J91" i="21"/>
  <c r="J432" i="21"/>
  <c r="J205" i="21"/>
  <c r="J314" i="21"/>
  <c r="J178" i="21"/>
  <c r="J29" i="21"/>
  <c r="J48" i="21"/>
  <c r="J328" i="21"/>
  <c r="J240" i="21"/>
  <c r="J496" i="21"/>
  <c r="J485" i="21"/>
  <c r="J33" i="21"/>
  <c r="J390" i="21"/>
  <c r="J229" i="21"/>
  <c r="J222" i="21"/>
  <c r="J184" i="21"/>
  <c r="J189" i="21"/>
  <c r="J393" i="21"/>
  <c r="J95" i="21"/>
  <c r="J211" i="21"/>
  <c r="J7" i="21"/>
  <c r="J196" i="21"/>
  <c r="J10" i="21"/>
  <c r="J225" i="21"/>
  <c r="J494" i="21"/>
  <c r="J75" i="21"/>
  <c r="J142" i="21"/>
  <c r="J441" i="21"/>
  <c r="J391" i="21"/>
  <c r="J70" i="21"/>
  <c r="J16" i="21"/>
  <c r="J344" i="21"/>
  <c r="J389" i="21"/>
  <c r="J119" i="21"/>
  <c r="J385" i="21"/>
  <c r="J214" i="21"/>
  <c r="J298" i="21"/>
  <c r="J99" i="21"/>
  <c r="J410" i="21"/>
  <c r="J284" i="21"/>
  <c r="J132" i="21"/>
  <c r="J438" i="21"/>
  <c r="J299" i="21"/>
  <c r="J331" i="21"/>
  <c r="J152" i="21"/>
  <c r="J375" i="21"/>
  <c r="J157" i="21"/>
  <c r="J182" i="21"/>
  <c r="J97" i="21"/>
  <c r="J262" i="21"/>
  <c r="J476" i="21"/>
  <c r="J173" i="21"/>
  <c r="J243" i="21"/>
  <c r="J143" i="21"/>
  <c r="J294" i="21"/>
  <c r="J134" i="21"/>
  <c r="J348" i="21"/>
  <c r="J325" i="21"/>
  <c r="J327" i="21"/>
  <c r="J2" i="21"/>
  <c r="C8" i="18"/>
  <c r="I6" i="18" s="1"/>
  <c r="J419" i="21"/>
  <c r="H18" i="18" l="1"/>
  <c r="I4" i="18" s="1"/>
  <c r="K5" i="18" s="1"/>
  <c r="K7" i="18" s="1"/>
</calcChain>
</file>

<file path=xl/sharedStrings.xml><?xml version="1.0" encoding="utf-8"?>
<sst xmlns="http://schemas.openxmlformats.org/spreadsheetml/2006/main" count="4796" uniqueCount="1334">
  <si>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</si>
  <si>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</si>
  <si>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</si>
  <si>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</si>
  <si>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</si>
  <si>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</si>
  <si>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</si>
  <si>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</si>
  <si>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</si>
  <si>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</si>
  <si>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</si>
  <si>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</si>
  <si>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</si>
  <si>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</si>
  <si>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</si>
  <si>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</si>
  <si>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</si>
  <si>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</si>
  <si>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</si>
  <si>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</si>
  <si>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</si>
  <si>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</si>
  <si>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</si>
  <si>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</si>
  <si>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</si>
  <si>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</si>
  <si>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</si>
  <si>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</si>
  <si>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</si>
  <si>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</si>
  <si>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</si>
  <si>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</si>
  <si>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</si>
  <si>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</si>
  <si>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</si>
  <si>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</si>
  <si>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</si>
  <si>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</si>
  <si>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</si>
  <si>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</si>
  <si>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</si>
  <si>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</si>
  <si>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LQI:</t>
    <phoneticPr fontId="3"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</si>
  <si>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</si>
  <si>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</si>
  <si>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</si>
  <si>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</si>
  <si>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</si>
  <si>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</si>
  <si>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LQE Metrics</t>
    <phoneticPr fontId="1"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</si>
  <si>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</si>
  <si>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</si>
  <si>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</si>
  <si>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</si>
  <si>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</si>
  <si>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</si>
  <si>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</si>
  <si>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</si>
  <si>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</si>
  <si>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</si>
  <si>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</si>
  <si>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</si>
  <si>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</si>
  <si>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</si>
  <si>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</si>
  <si>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</si>
  <si>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</si>
  <si>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</si>
  <si>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</si>
  <si>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</si>
  <si>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</si>
  <si>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</si>
  <si>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</si>
  <si>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Grammar Function Words</t>
    <phoneticPr fontId="4" type="noConversion"/>
  </si>
  <si>
    <t>26-7</t>
    <phoneticPr fontId="4" type="noConversion"/>
  </si>
  <si>
    <t>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t>
    <phoneticPr fontId="4" type="noConversion"/>
  </si>
  <si>
    <t>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t>
    <phoneticPr fontId="4" type="noConversion"/>
  </si>
  <si>
    <t>speaking out</t>
  </si>
  <si>
    <t>tragic :</t>
  </si>
  <si>
    <t>pregnant : this is an ultrasound of the couple 's unborn baby who they were going to call reagan elizabeth during the first day of what is expected to be a two-day sentencing , the former executive at</t>
  </si>
  <si>
    <t>murphy was eight months pregnant with their first child , a girl</t>
    <phoneticPr fontId="4" type="noConversion"/>
  </si>
  <si>
    <t>26-7</t>
  </si>
  <si>
    <t>dellinger pleaded guilty in february to negligent homicide for their deaths , and to assault for the death of the fetus</t>
    <phoneticPr fontId="4" type="noConversion"/>
  </si>
  <si>
    <t>he faces 12 to 24 years in prison when sentencing resumes thursday</t>
  </si>
  <si>
    <t>deborah dellinger , defendant 's wife , described her husband from the witness stand as a ` man of ethics , integrity and friendship '</t>
  </si>
  <si>
    <t>27-7</t>
    <phoneticPr fontId="4" type="noConversion"/>
  </si>
  <si>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t>
    <phoneticPr fontId="4" type="noConversion"/>
  </si>
  <si>
    <t>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manchester city midfielder yaya toure has come in for criticism for his performances this season manuel 
pellegrini has admitted he has been disappointed by the ivory coast midfielder 's level ` i do n't think he 's happy with his performance this</t>
    <phoneticPr fontId="4" type="noConversion"/>
  </si>
  <si>
    <t xml:space="preserve">manchester city want to sign west ham left back aaron cresswell in the summer </t>
  </si>
  <si>
    <t xml:space="preserve">allardyce believes the 25-year-old is an attractive prospect after a fine season at west ham and because he can help clubs fill homegrown player quotas . </t>
    <phoneticPr fontId="4" type="noConversion"/>
  </si>
  <si>
    <t>27-7</t>
  </si>
  <si>
    <t>` i do n't think he 's happy with his performance this</t>
  </si>
  <si>
    <t xml:space="preserve">manchester city midfielder yaya toure has come in for criticism for his performances this season manuel </t>
    <phoneticPr fontId="4" type="noConversion"/>
  </si>
  <si>
    <t>sportsmail revealed manchester city would listen to offers for yaya toure</t>
    <phoneticPr fontId="4" type="noConversion"/>
  </si>
  <si>
    <t>but the city boss has vowed to support him until the end of the season</t>
  </si>
  <si>
    <t>manchester city face west ham at upton park on sunday</t>
  </si>
  <si>
    <t>28-7</t>
    <phoneticPr fontId="4" type="noConversion"/>
  </si>
  <si>
    <t>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t>
    <phoneticPr fontId="4" type="noConversion"/>
  </si>
  <si>
    <t>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t>
    <phoneticPr fontId="4" type="noConversion"/>
  </si>
  <si>
    <t xml:space="preserve">spears ' lawyer stephen riebling said she was innocent and blamed the hospital for negligence as he revealed plans to appeal </t>
  </si>
  <si>
    <t xml:space="preserve">while awaiting sentencing , she was being held at westchester county jail in valhalla , said a spokesman for westchester </t>
  </si>
  <si>
    <t>28-7</t>
  </si>
  <si>
    <t xml:space="preserve">prosecutors blamed spears , who lived in chestnut ridge , about 32 miles north of new york city , for her son 's </t>
  </si>
  <si>
    <t>death</t>
    <phoneticPr fontId="4" type="noConversion"/>
  </si>
  <si>
    <t>prosecutors blamed spears , who lived in chestnut ridge , about 32 miles ( 51 km</t>
  </si>
  <si>
    <t>lacey spears of scottsville , kentucky , was found guilty last month of second-degree murder in the death of garnett-paul spears</t>
  </si>
  <si>
    <t>judge who sentenced spears on wednesday said she suffers from a mental illness and said the crime was still ` unfathomable in its cruelty '</t>
  </si>
  <si>
    <t>she showed no emotion when she was sentenced to 20 years in prison</t>
  </si>
  <si>
    <t>the boy 's father chris hill wrote on his facebook account of spears : ` crazy a ** woman needs to be beat to death in prison '</t>
  </si>
  <si>
    <t>29-7</t>
    <phoneticPr fontId="4" type="noConversion"/>
  </si>
  <si>
    <t>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t>
    <phoneticPr fontId="4" type="noConversion"/>
  </si>
  <si>
    <t xml:space="preserve">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sentence dropped : domenico rancadore ( right and left ) fled to britain in the 1990s and was convicted in his absence in italy for his role as a ` man of honour ' </t>
    <phoneticPr fontId="4" type="noConversion"/>
  </si>
  <si>
    <t xml:space="preserve">asked about the costs of this kind of extradition process , mr grange said they were likely to be in the ` single-figure thousands rather than anything dramatic ' . </t>
  </si>
  <si>
    <t>sentence</t>
    <phoneticPr fontId="4" type="noConversion"/>
  </si>
  <si>
    <t>dropped</t>
    <phoneticPr fontId="4" type="noConversion"/>
  </si>
  <si>
    <t>left and right</t>
    <phoneticPr fontId="4" type="noConversion"/>
  </si>
  <si>
    <t>29-7</t>
  </si>
  <si>
    <t>in february the sicilian mafia fugitive lost battle against extradition to italy</t>
  </si>
  <si>
    <t>today it emerged that the 65-year-old 's case expired in october last year</t>
  </si>
  <si>
    <t>30-7</t>
    <phoneticPr fontId="4" type="noConversion"/>
  </si>
  <si>
    <t>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t>
    <phoneticPr fontId="4" type="noConversion"/>
  </si>
  <si>
    <t xml:space="preserve">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there was a spike in deaths related to h3n2 and b/phuket in europe and the us during the northern winter as the vaccine did not cover the strains </t>
    <phoneticPr fontId="4" type="noConversion"/>
  </si>
  <si>
    <t>31-7</t>
    <phoneticPr fontId="4" type="noConversion"/>
  </si>
  <si>
    <t>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t>
    <phoneticPr fontId="4" type="noConversion"/>
  </si>
  <si>
    <t xml:space="preserve">paul nicholls-trained mr mole is bracketed with irish raider special tiara and nicky henderson 's sprinter sacre , who will be ridden by cheltenham gold cup winner nico de boinville in the absence of injured barry geraghty . 
ironically , it was after riding mr mole to victory at newbury in february that mccoy shocked the racing world by announcing his intention to quit riding . 
mr mole , ap mccoy 's mount in the grade one celebration chase at sandown on saturday , has been installed as one of three 7-2 co-favourites in the seven-runner line-up . </t>
    <phoneticPr fontId="4" type="noConversion"/>
  </si>
  <si>
    <t xml:space="preserve">ironically , it was after riding mr mole to victory at newbury in february that mccoy shocked the racing world by announcing his intention to quit riding . </t>
    <phoneticPr fontId="4" type="noConversion"/>
  </si>
  <si>
    <t>32-7</t>
    <phoneticPr fontId="4" type="noConversion"/>
  </si>
  <si>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t>
    <phoneticPr fontId="4" type="noConversion"/>
  </si>
  <si>
    <t xml:space="preserve">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t>
    <phoneticPr fontId="4" type="noConversion"/>
  </si>
  <si>
    <t xml:space="preserve">bruce rauner participates in ceremonies honoring president abraham lincoln at the lincoln tomb in springfield , illinois </t>
  </si>
  <si>
    <t xml:space="preserve">leader : a marker is seen over the burial site of abraham lincoln inside lincoln 's tomb within oak ridge cemetery ( november 2013 file photo ) </t>
  </si>
  <si>
    <t>32-7</t>
  </si>
  <si>
    <t xml:space="preserve">killing : president lincoln was assassinated by john wilkes booth at a performance of the play ` our american cousin ' in april 1865 </t>
  </si>
  <si>
    <t>caretakers of lincoln 's tomb are on the defensive over an unflattering magazine critique and looming budget cuts</t>
  </si>
  <si>
    <t>the site was pilloried in this month 's issue of national geographic magazine as having ` all the historical character of an office lobby '</t>
  </si>
  <si>
    <t>gov. bruce rauner has proposed eliminating the state historic preservation agency , which manages the tomb</t>
  </si>
  <si>
    <t>rauner would roll the agency into another department</t>
  </si>
  <si>
    <t>lincoln 's tomb was designed by vermont sculptor larkin mead , who won a national contest</t>
  </si>
  <si>
    <t>it was dedicated by president ulysses s. grant in 1874</t>
  </si>
  <si>
    <t>the tomb was reconstructed in both 1899 and 1930</t>
  </si>
  <si>
    <t>33-7</t>
    <phoneticPr fontId="4" type="noConversion"/>
  </si>
  <si>
    <t>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t>
    <phoneticPr fontId="4" type="noConversion"/>
  </si>
  <si>
    <t xml:space="preserve">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t>
    <phoneticPr fontId="4" type="noConversion"/>
  </si>
  <si>
    <t>her body was found 33 days after she disappeared and ritter 's then-husband advised her against seeing the body and the crime scene photos</t>
  </si>
  <si>
    <t>she had declined to see the photos for several decades , and not even after barrett was convicted 33 years later</t>
  </si>
  <si>
    <t>33-7</t>
  </si>
  <si>
    <t>the case was nashville 's most notorious unsolved murder for 33 years</t>
  </si>
  <si>
    <t>ritter , who did not see her daughter 's body at the time , recently asked to see the photos investigators took at the scene</t>
  </si>
  <si>
    <t>after seeing the photos , ritter said she shouted , ` if i had a gun i 'd kill him ! '</t>
  </si>
  <si>
    <t>34-7</t>
    <phoneticPr fontId="4" type="noConversion"/>
  </si>
  <si>
    <t>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t>
    <phoneticPr fontId="4" type="noConversion"/>
  </si>
  <si>
    <t>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t>
    <phoneticPr fontId="4" type="noConversion"/>
  </si>
  <si>
    <t xml:space="preserve">then : victoria beckham ( pictured in 2004 ) popularised wearing corsets and lingerie as outerwear in the noughties </t>
  </si>
  <si>
    <t xml:space="preserve">not very posh : victoria beckham sported tight corset structured dresses to events such as the mtv movie awards in 2007 ( pictured left ) and the victoria 's secret fashion show in 2007 ( pictured right ) </t>
  </si>
  <si>
    <t>34-7</t>
  </si>
  <si>
    <t>now : selena gomez works a sultry look to an awards ceremony with a corset-based gown characterised by loose , baggy legs which nip in at the ankle , these middle eastern style trousers are a hard to wear shape for anyone with</t>
  </si>
  <si>
    <t>jnco ` rave jean 's are on their way back</t>
  </si>
  <si>
    <t>other 90s/00s trends here to stay include uggs , velour and corsets</t>
  </si>
  <si>
    <t>35-7</t>
    <phoneticPr fontId="4" type="noConversion"/>
  </si>
  <si>
    <t>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t>
    <phoneticPr fontId="4" type="noConversion"/>
  </si>
  <si>
    <t xml:space="preserve">rory mcilroy tees off at the arnold palmer invitational golf tournament in orlando on march 19 ` for me now it 's a career-long goal to win there to achieve something that only a handful of players have ever achieved , ' the 25-year-old said in an interview with bbc northern ireland . 
mcilroy 's extraordinary success last year came despite the distractions of calling off his wedding to caroline wozniacki and a legal dispute with his former management company which cost him millions of pounds when it was finally settled in february . </t>
    <phoneticPr fontId="4" type="noConversion"/>
  </si>
  <si>
    <t xml:space="preserve">rory mcilroy tees off at the arnold palmer invitational golf tournament in orlando on march 19 ` for me now it 's a career-long goal to win there to achieve something that only a handful of players have ever achieved , ' the 25-year-old said in an interview with bbc northern ireland . </t>
  </si>
  <si>
    <t xml:space="preserve">mcilroy 's extraordinary success last year came despite the distractions of calling off his wedding to caroline wozniacki and a legal dispute with his former management company which cost him millions of pounds when it was finally settled in february . </t>
    <phoneticPr fontId="4" type="noConversion"/>
  </si>
  <si>
    <t>35-7</t>
  </si>
  <si>
    <t>final-round collapse at augusta national in 2011 was the most important day of career , mcilroy reveals</t>
  </si>
  <si>
    <t>mcilroy has just one top-10 finish to his name in six masters appearances</t>
  </si>
  <si>
    <t>the northern irishman finished joint eighth last year</t>
  </si>
  <si>
    <t>37-7</t>
    <phoneticPr fontId="4" type="noConversion"/>
  </si>
  <si>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t>
    <phoneticPr fontId="4" type="noConversion"/>
  </si>
  <si>
    <t xml:space="preserve">jurgen klopp confirmed in a press conference he is to leave borussia dortmund this summer 
an emotional klopp said he believed dortmund need a change of manager next season 
klopp will officially cease to be dortmund manager on june 30 as he looks for a fresh start elsewhere </t>
    <phoneticPr fontId="4" type="noConversion"/>
  </si>
  <si>
    <t xml:space="preserve">klopp will officially cease to be dortmund manager on june 30 as he looks for a fresh start elsewhere </t>
  </si>
  <si>
    <t>he has denied that he wants to take a break because of exhaustion</t>
  </si>
  <si>
    <t>37-7</t>
  </si>
  <si>
    <t>klopp has won two bundesliga titles and the german cup at dortmund</t>
  </si>
  <si>
    <t>36-7</t>
    <phoneticPr fontId="4" type="noConversion"/>
  </si>
  <si>
    <t>(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t>
    <phoneticPr fontId="4" type="noConversion"/>
  </si>
  <si>
    <t xml:space="preserve">if you were n't online much , here 's some of the best of what you missed : 
after the new york area received a large amount of rain , four rainbows appeared to stretch across the early morning sky on tuesday . 
johnny depp is nearly unrecognizable in the ` black mass ' trailer here 's one way to announce you 're pregnant : reference " the fresh prince of bel-air . " </t>
    <phoneticPr fontId="4" type="noConversion"/>
  </si>
  <si>
    <t xml:space="preserve">after the new york area received a large amount of rain , four rainbows appeared to stretch across the early morning sky on tuesday . </t>
  </si>
  <si>
    <t xml:space="preserve">johnny depp is nearly unrecognizable in the ` black mass ' trailer here 's one way to announce you 're pregnant : reference " the fresh prince of bel-air . " </t>
  </si>
  <si>
    <t>38-7</t>
    <phoneticPr fontId="4" type="noConversion"/>
  </si>
  <si>
    <t>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t>
    <phoneticPr fontId="4" type="noConversion"/>
  </si>
  <si>
    <t xml:space="preserve">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t>
    <phoneticPr fontId="4" type="noConversion"/>
  </si>
  <si>
    <t>willaims celebrates as the world no 1 sealed a match against either sloane stephens or simona halep</t>
  </si>
  <si>
    <t>7-6</t>
    <phoneticPr fontId="4" type="noConversion"/>
  </si>
  <si>
    <t>38-7</t>
  </si>
  <si>
    <t>1-6</t>
    <phoneticPr fontId="4" type="noConversion"/>
  </si>
  <si>
    <t>6-3</t>
    <phoneticPr fontId="4" type="noConversion"/>
  </si>
  <si>
    <t>andy murray was similarly given reward after 500th career win</t>
  </si>
  <si>
    <t>39-7</t>
    <phoneticPr fontId="4" type="noConversion"/>
  </si>
  <si>
    <t>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t>
    <phoneticPr fontId="4" type="noConversion"/>
  </si>
  <si>
    <t>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tip of the iceberg : research by the world health organisation suggests that at least one in 100 babies born in the uk could</t>
    <phoneticPr fontId="4" type="noConversion"/>
  </si>
  <si>
    <t>tip of the iceberg : research by the world health organisation suggests that at least one in 100 babies born in the uk could</t>
    <phoneticPr fontId="4" type="noConversion"/>
  </si>
  <si>
    <t>suffer</t>
    <phoneticPr fontId="4" type="noConversion"/>
  </si>
  <si>
    <t>39-7</t>
  </si>
  <si>
    <t>problem</t>
    <phoneticPr fontId="4" type="noConversion"/>
  </si>
  <si>
    <t>experts say actual number affected by mother 's drinking could be higher</t>
  </si>
  <si>
    <t>40-7</t>
    <phoneticPr fontId="4" type="noConversion"/>
  </si>
  <si>
    <t>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t>
    <phoneticPr fontId="4" type="noConversion"/>
  </si>
  <si>
    <t xml:space="preserve">despite the plurality of opinion , very little space seems to be given to the discussion in pakistani mainstream media or academia ; 
the debate seems to be shut down before it can even begin , " she posted on facebook . " 
on a wall in t2f is a spray painted technicolor image of marilyn monroe from " the seven year itch , " </t>
    <phoneticPr fontId="4" type="noConversion"/>
  </si>
  <si>
    <t xml:space="preserve">despite the plurality of opinion , very little space seems to be given to the discussion in pakistani mainstream media or academia ; </t>
  </si>
  <si>
    <t xml:space="preserve">the debate seems to be shut down before it can even begin , " she posted on facebook . " </t>
    <phoneticPr fontId="4" type="noConversion"/>
  </si>
  <si>
    <t>40-7</t>
  </si>
  <si>
    <t xml:space="preserve">on a wall in t2f is a spray painted technicolor image of marilyn monroe from " the seven year itch , " </t>
    <phoneticPr fontId="4" type="noConversion"/>
  </si>
  <si>
    <t>she hosted a controversial discussion on the disappearance of people</t>
  </si>
  <si>
    <t>she knew what she was doing was dangerous and had received death threats before</t>
  </si>
  <si>
    <t>mahmud loved books , jimi hendrix and discussions about human rights</t>
  </si>
  <si>
    <t>41-7</t>
    <phoneticPr fontId="4" type="noConversion"/>
  </si>
  <si>
    <t>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t>
    <phoneticPr fontId="4" type="noConversion"/>
  </si>
  <si>
    <t>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the masked 31-year-old waved an axe as he demanded cash from terrified assistant andrea brighty , but he did not see owner sab dhillon 's rugby</t>
    <phoneticPr fontId="4" type="noConversion"/>
  </si>
  <si>
    <t xml:space="preserve">as the men wrestled , sab dhillon 's wife sam helped by hitting mckerry with a baseball bat </t>
  </si>
  <si>
    <t xml:space="preserve">she struck him twice , helping to disarm him while her husband twisted him around to reveal his face to the cameras as the men wrestled , and with mckerry still holding the axe , mr dhillon 's wife sam helped , hitting him twice with a baseball bat to make him drop the weapon . </t>
  </si>
  <si>
    <t>the masked 31-year-old waved an axe as he demanded cash from terrified assistant andrea brighty , but he did not see owner sab dhillon 's rugby</t>
  </si>
  <si>
    <t>tackle</t>
  </si>
  <si>
    <t>41-7</t>
  </si>
  <si>
    <t>an axe-wielding robber has been jailed for attempting to rob a corner shop</t>
  </si>
  <si>
    <t>he was later revealed to be a juvenile offender nicknamed boomerang boy</t>
  </si>
  <si>
    <t>shaun andrew mckerry , 31 , had been arrested 80 times by the age of 15</t>
  </si>
  <si>
    <t>42-7</t>
    <phoneticPr fontId="4" type="noConversion"/>
  </si>
  <si>
    <t>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t>
    <phoneticPr fontId="4" type="noConversion"/>
  </si>
  <si>
    <t>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t>
    <phoneticPr fontId="4" type="noConversion"/>
  </si>
  <si>
    <t>around one million people were killed in the bloody war between the two countries</t>
  </si>
  <si>
    <t>thousands of people caught in poverty because successive governments refuse to change their refugee status</t>
    <phoneticPr fontId="4" type="noConversion"/>
  </si>
  <si>
    <t>42-7</t>
  </si>
  <si>
    <t>laws mean that the west pakistan refugees living in jammur and kashmir can not vote in elections or own property</t>
  </si>
  <si>
    <t>around 100,000 people are classified as refugees - despite most of them never visiting pakistan , and living in the jammu region of india</t>
    <phoneticPr fontId="4" type="noConversion"/>
  </si>
  <si>
    <t>43-7</t>
    <phoneticPr fontId="4" type="noConversion"/>
  </si>
  <si>
    <t>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t>
    <phoneticPr fontId="4" type="noConversion"/>
  </si>
  <si>
    <t>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t>
    <phoneticPr fontId="4" type="noConversion"/>
  </si>
  <si>
    <t>accused : joshua finbow , 23 , a submarine engineer from stockbridge , hampshire , arrives at court today</t>
  </si>
  <si>
    <t xml:space="preserve">hampshire and craig stoner , 24 , from stonehouse , gloucestershire hid their faces as they were led to a provincial court in dartmouth , nova scotia </t>
    <phoneticPr fontId="4" type="noConversion"/>
  </si>
  <si>
    <t>43-7</t>
  </si>
  <si>
    <t>darren 
smalley , 35 , of gosport , hampshire , and his co-accused were ordered to surrender their passports as part of their bail conditions in a deal agreed with the british government</t>
    <phoneticPr fontId="4" type="noConversion"/>
  </si>
  <si>
    <t>four royal navy sailors are bailed following hearing nova scotia , canada</t>
  </si>
  <si>
    <t>they are charged with raping a 21-year-old woman at military base party</t>
  </si>
  <si>
    <t>men were in canada playing a hockey tournament with canadian forces</t>
  </si>
  <si>
    <t>0-7</t>
    <phoneticPr fontId="4" type="noConversion"/>
  </si>
  <si>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 accomplices : sandra ng , 19 ( left ) , campbell 's girlfriend , was sentenced to 23 months in state prison for her role in the shocking assault last year , while another defendant jennifer pratt , 40 , is awaiting trial .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 i have nightmares . i ca n't sleep . ' all three were charged with aggravated assault , conspiracy and false imprisonment . they all pleaded guilty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</si>
  <si>
    <t>greg valecce , 53 , had  offensive symbols tattooed on his arms
also suffered</t>
    <phoneticPr fontId="4" type="noConversion"/>
  </si>
  <si>
    <t>0-7</t>
  </si>
  <si>
    <t>incident occurred in mayfair , philadelphia , in march/april 2014 .</t>
  </si>
  <si>
    <t>campbell and four others tortured valecce for three days .</t>
  </si>
  <si>
    <t>campbell was sentenced to 20 years prison , along with friend carl halin , 18 .</t>
  </si>
  <si>
    <t>1-7</t>
    <phoneticPr fontId="4" type="noConversion"/>
  </si>
  <si>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 nicklaus holds up his ball to an adoring crowd as gary player ( left ) and ben crenshaw salute the great . crenshaw and nicklaus fist pump following his ace on the 130-yard hole at augusta national .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phoneticPr fontId="4" type="noConversion"/>
  </si>
  <si>
    <t xml:space="preserve">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t>
    <phoneticPr fontId="4" type="noConversion"/>
  </si>
  <si>
    <t>left</t>
    <phoneticPr fontId="4" type="noConversion"/>
  </si>
  <si>
    <t>colombian camilo villegas later eclipsed nicklaus ' achievement , hitting two aces during his round .</t>
  </si>
  <si>
    <t>villegas was beaten in a play-off by world no 74 kevin streelman .</t>
  </si>
  <si>
    <t>3-7</t>
    <phoneticPr fontId="4" type="noConversion"/>
  </si>
  <si>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 cnn 's jason morris and ed lavandera contributed to this report .</t>
    <phoneticPr fontId="4" type="noConversion"/>
  </si>
  <si>
    <t>the lawyer for the family of the man who was killed claims that bates was n't qualified to be on the force , but received preferential treatment because he 'd made donations to the agency and was a friend of the sheriff . 
this will give us an opportunity to deal with the facts in the courtroom instead of the media and we 're looking very much forward to that , " said clark brewster , one of his lawyers , after the hearing . 
( cnn ) an oklahoma reserve sheriff 's deputy accused of fatally shooting a man</t>
    <phoneticPr fontId="4" type="noConversion"/>
  </si>
  <si>
    <t>robert bates said he meant to subdue a suspect with a taser but accidentally shot him .</t>
  </si>
  <si>
    <t>the preliminary hearing is scheduled for july 2 .</t>
  </si>
  <si>
    <t>the judge said bates was free to travel to the bahamas for a family vacation .</t>
  </si>
  <si>
    <t>44-7</t>
    <phoneticPr fontId="4" type="noConversion"/>
  </si>
  <si>
    <t>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t>
    <phoneticPr fontId="4" type="noConversion"/>
  </si>
  <si>
    <t xml:space="preserve">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t>
    <phoneticPr fontId="4" type="noConversion"/>
  </si>
  <si>
    <t>chelsea signed a £ 200million sponsorship deal with japanese tyre manufacturer yokohama rubber in february and jose mourinho has admitted that commercial interests do play a part in the club 's transfer policy .</t>
  </si>
  <si>
    <t>naoki ogane claims that chelsea have made a bid for yoshinori muto</t>
    <phoneticPr fontId="4" type="noConversion"/>
  </si>
  <si>
    <t>44-7</t>
  </si>
  <si>
    <t>muto 's former manager , ranko popovic , says his potential is ` amazing '</t>
  </si>
  <si>
    <t>45-7</t>
    <phoneticPr fontId="4" type="noConversion"/>
  </si>
  <si>
    <t>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t>
    <phoneticPr fontId="4" type="noConversion"/>
  </si>
  <si>
    <t xml:space="preserve">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t>
    <phoneticPr fontId="4" type="noConversion"/>
  </si>
  <si>
    <t>as soon as rj was born , mrs jackson , from las vegas , knew there was something wrong with her son , after noticing a red rash spreading across his tiny chest</t>
  </si>
  <si>
    <t xml:space="preserve">they reported fears mrs jackson had been abusing rj . </t>
  </si>
  <si>
    <t>45-7</t>
  </si>
  <si>
    <t>mother valerie jackson is regularly accused of ` scalding or burning ' him</t>
  </si>
  <si>
    <t>says rj faces cruel taunts from bullies - most of whom are ignorant adults</t>
  </si>
  <si>
    <t>46-7</t>
    <phoneticPr fontId="4" type="noConversion"/>
  </si>
  <si>
    <t>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t>
    <phoneticPr fontId="4" type="noConversion"/>
  </si>
  <si>
    <t>england head coach stuart lancaster has remained steadfast in his policy not to select overseas players 
england players deserve to go on to the field knowing they have been given the best chance of winning . 
matt giteau and drew mitchell , for example , are top-class performers for toulon and if england lose to australia with those two playing out of their skins , you know exactly what the headlines will be .</t>
    <phoneticPr fontId="4" type="noConversion"/>
  </si>
  <si>
    <t xml:space="preserve">england head coach stuart lancaster has remained steadfast in his policy not to select overseas players </t>
  </si>
  <si>
    <t xml:space="preserve">england players deserve to go on to the field knowing they have been given the best chance of winning . </t>
  </si>
  <si>
    <t>46-7</t>
  </si>
  <si>
    <t xml:space="preserve">matt giteau and drew mitchell , for example , are top-class performers for toulon and if england lose to australia with those two playing out of their skins , you know exactly what the headlines will be . </t>
  </si>
  <si>
    <t>australia have seen sense by revamping their overseas selection policy</t>
    <phoneticPr fontId="4" type="noConversion"/>
  </si>
  <si>
    <t>it leaves england looking old-fashioned and they need to react</t>
  </si>
  <si>
    <t>england need the best squad possible for the forthcoming world cup</t>
  </si>
  <si>
    <t>47-7</t>
    <phoneticPr fontId="4" type="noConversion"/>
  </si>
  <si>
    <t>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t>
    <phoneticPr fontId="4" type="noConversion"/>
  </si>
  <si>
    <t>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t>
    <phoneticPr fontId="4" type="noConversion"/>
  </si>
  <si>
    <t xml:space="preserve">weighing in on the debate : susanna reid revealed she found the controversial protein world advert ` anxiety inducing ' on good morning britain on monday </t>
  </si>
  <si>
    <t xml:space="preserve">security threat : staveley revealed police were investigating a bomb threat made to the company </t>
  </si>
  <si>
    <t>47-7</t>
  </si>
  <si>
    <t>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t>
  </si>
  <si>
    <t>transport for london are removing ` are you beach body ready ? ' posters</t>
  </si>
  <si>
    <t>tfl say protein world has come to end of three-week ad placement period</t>
  </si>
  <si>
    <t>a rally has been organised against protein world in hyde park on may 2</t>
  </si>
  <si>
    <t>48-7</t>
    <phoneticPr fontId="4" type="noConversion"/>
  </si>
  <si>
    <t>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t>
    <phoneticPr fontId="4" type="noConversion"/>
  </si>
  <si>
    <t>^[[Ainternet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christophe daligault , chief marketing officer at open garden told daily dot : ` the combination between [ greenstone ] and the smartphones will enable a community , or a neighbourhood , or a hospital ,</t>
    <phoneticPr fontId="4" type="noConversion"/>
  </si>
  <si>
    <t>Event Relation-Predicate</t>
    <phoneticPr fontId="4" type="noConversion"/>
  </si>
  <si>
    <t>48-7</t>
  </si>
  <si>
    <t>Whole Sentence</t>
    <phoneticPr fontId="4" type="noConversion"/>
  </si>
  <si>
    <t>^[[A internet network any device that 's connected to the network is also</t>
  </si>
  <si>
    <t>( pictured )</t>
  </si>
  <si>
    <t xml:space="preserve">firechat ( pictured ) has been downloaded more than five million times and is particularly useful when on a plane , or the underground for example , if a network has a phone , tablet , two computers and a printer connected to it </t>
  </si>
  <si>
    <t>christophe daligault , chief marketing officer at open garden told daily dot : ` the combination between [ greenstone ] and the smartphones will enable a community , or a neighbourhood , or a hospital ,</t>
  </si>
  <si>
    <t>greenstone acts like a booster for so-called wireless mesh networks</t>
  </si>
  <si>
    <t>it currently works with open garden 's firechat ` off-the-grid ' firechat app</t>
  </si>
  <si>
    <t>both use an ios feature called multipeer connectivity framework ( mcf )</t>
  </si>
  <si>
    <t>instead of sending messages using a mobile signal , the free app and gadget create a localised network where each mobile becomes a ` node '</t>
  </si>
  <si>
    <t>49-7</t>
    <phoneticPr fontId="4" type="noConversion"/>
  </si>
  <si>
    <t>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t>
    <phoneticPr fontId="4" type="noConversion"/>
  </si>
  <si>
    <t>^[[Asent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biggest hike : passengers travelling with the rail firm between london and the cotswolds could face increases of up to 87 per cent come may 17</t>
    <phoneticPr fontId="4" type="noConversion"/>
  </si>
  <si>
    <t xml:space="preserve">passengers travelling from charlbury , the oxfordshire station nearest to his constituency home , can currently purchase an off-peak return to london costing £ 33.30 . </t>
  </si>
  <si>
    <t>other sharp hikes include virgin 's service between stafford and liverpool</t>
  </si>
  <si>
    <t>50-7</t>
    <phoneticPr fontId="4" type="noConversion"/>
  </si>
  <si>
    <t>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t>
    <phoneticPr fontId="4" type="noConversion"/>
  </si>
  <si>
    <t>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t>
    <phoneticPr fontId="4" type="noConversion"/>
  </si>
  <si>
    <t xml:space="preserve">unfortunately , lillian added , her worldview is n't held by everyone , and she pointed to a statistic that shows that size discrimination in the workplace has risen 66 per cent in the past 30 years . </t>
  </si>
  <si>
    <t xml:space="preserve">beauty comes in bigger packages , too : during her lecture , lillian explained that ` fat ' should n't mean the same thing as ugly </t>
  </si>
  <si>
    <t>50-7</t>
  </si>
  <si>
    <t>she says she likes performing burlesque because it helps open people up to liking different body types</t>
  </si>
  <si>
    <t>the dancer says she 's thrilled at the positive reception her ted talk has received , adding that she believes it means ` body-positivity ' is working</t>
  </si>
  <si>
    <t>51-7</t>
    <phoneticPr fontId="4" type="noConversion"/>
  </si>
  <si>
    <t>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t>
    <phoneticPr fontId="4" type="noConversion"/>
  </si>
  <si>
    <t>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t>
    <phoneticPr fontId="4" type="noConversion"/>
  </si>
  <si>
    <t>the couple are pictured on their wedding day at gretna green in dumfries and galloway , scotland</t>
  </si>
  <si>
    <t xml:space="preserve">police said the brick was thrown ` directly ' at mr young when he answered the door of his home ( pictured ) . </t>
  </si>
  <si>
    <t>51-7</t>
  </si>
  <si>
    <t>john young , 66 , struck in eye by brick hurled through front door by thugs</t>
  </si>
  <si>
    <t>left blind in one eye and said he now ` does n't feel safe in his own home '</t>
  </si>
  <si>
    <t>52-7</t>
    <phoneticPr fontId="4" type="noConversion"/>
  </si>
  <si>
    <t>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t>
    <phoneticPr fontId="4" type="noConversion"/>
  </si>
  <si>
    <t>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t>
    <phoneticPr fontId="4" type="noConversion"/>
  </si>
  <si>
    <t>( third right )</t>
  </si>
  <si>
    <t xml:space="preserve">walcott , pictured with wilshere and wojciech szczesny , has spent much of the season on the bench </t>
  </si>
  <si>
    <t>52-7</t>
  </si>
  <si>
    <t>the 26-year-old looks on from the bench during arsenal 's 0-0 draw with chelsea at the emirates stadium</t>
  </si>
  <si>
    <t>walcott has been named on the bench for 17 of arsenal 's league games</t>
  </si>
  <si>
    <t>53-7</t>
    <phoneticPr fontId="4" type="noConversion"/>
  </si>
  <si>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t>
    <phoneticPr fontId="4" type="noConversion"/>
  </si>
  <si>
    <t xml:space="preserve">derbyshire wicketkeeper tom poynton has been rewarded for his successful return from injury 
he will be available for the start of the season and has now committed himself to the county until the end of the 2016 season . 
` he has worked tirelessly both in training and in his off-the-field role to prepare him for his return and everyone at the club is delighted to see him back on the field playing for derbyshire . </t>
    <phoneticPr fontId="4" type="noConversion"/>
  </si>
  <si>
    <t>` he has worked tirelessly both in training and in his off-the-field role to prepare him for his return and everyone at the club is delighted to see him back on the field playing for derbyshire .</t>
  </si>
  <si>
    <t>tom poynton missed the entire 2014 campaign due to leg injuries</t>
  </si>
  <si>
    <t>4-7</t>
    <phoneticPr fontId="4" type="noConversion"/>
  </si>
  <si>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 curry ( centre ) hit eight three-pointers to to eclipse his previous nba best of 272 made in a single season .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 point guard derrick rose ( right ) scored 12 points for the bulls as he continued his comeback from injury .</t>
    <phoneticPr fontId="4" type="noConversion"/>
  </si>
  <si>
    <t xml:space="preserve">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t>
    <phoneticPr fontId="4" type="noConversion"/>
  </si>
  <si>
    <t>( centre )</t>
  </si>
  <si>
    <t>golden state warriors beat portland trail blazers 116-105 on thursday .</t>
  </si>
  <si>
    <t>miami heat lost 78-89 vs chicago bulls in the eastern conference .</t>
  </si>
  <si>
    <t>5-7</t>
    <phoneticPr fontId="4" type="noConversion"/>
  </si>
  <si>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 mcgregor ( left ) poses in the shop with a fan shortly after having his tattoo on his stomach done . mcgregor is challenging jose aldo for his featherweight champion title in las vegas on july 11 .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 mcgregor claims he has greater motivation to win the title than aldo has to defend it for the eighth time .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phoneticPr fontId="4" type="noConversion"/>
  </si>
  <si>
    <t>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t>
    <phoneticPr fontId="4" type="noConversion"/>
  </si>
  <si>
    <t>( left )</t>
  </si>
  <si>
    <t>mcgregor grabbed aldo 's featherweight champion belt in dublin .</t>
  </si>
  <si>
    <t>6-7</t>
    <phoneticPr fontId="4" type="noConversion"/>
  </si>
  <si>
    <t xml:space="preserve">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 van velzen lines up his first free-kick of the day as the liverpool stars watch on . balotelli and lambert watch as van velzen showcases his dead-ball skills at melwood . the stand-in keeper was helpless as the youtube star 's strike sailed into the top corner . after a poor first effort , balotelli sends a perfectly-executed free-kick into the top corner . balotelli looks pleased with his effort as markovic ( left ) and van velzen wait for their turn .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 balotelli wore his famous t-shirt during manchester city 's 6-1 win over united in october 2011 . </t>
    <phoneticPr fontId="4" type="noConversion"/>
  </si>
  <si>
    <t xml:space="preserve">( left to right ) rickie lambert , fabio borini , lazar markovic and mario balotelli meet bas van velzen 
van velzen lines up his first free-kick of the day as the liverpool stars watch on 
balotelli and lambert watch as van velzen showcases his dead-ball skills at melwood </t>
    <phoneticPr fontId="4" type="noConversion"/>
  </si>
  <si>
    <t>( left to right )</t>
  </si>
  <si>
    <t>liverpool players mario balotelli , fabio borini , rickie lambert and lazar markovic believed that bas van velzen was acompetition winner .</t>
  </si>
  <si>
    <t>6-7</t>
  </si>
  <si>
    <t>the reds players were all set to give van velzen a free-kick masterclass .</t>
  </si>
  <si>
    <t>but van velzen 's dead ball skills became apparent very quickly .</t>
  </si>
  <si>
    <t>7-7</t>
    <phoneticPr fontId="4" type="noConversion"/>
  </si>
  <si>
    <t>tony abbott may have thrilled players at an australian rules function by skolling a beer but he’s drawn the ire of anti-drinking campaigners who claim he’s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isn’t about socialising with friends , it’s about how quickly and how much you can drink , ’ she said . scroll down for video . australian prime minister tony abbott was cheered on by a crowd of about 50 as he skolled a schooner of beer . mr abbott came under fire after the incident as anti-drinking campaigners said he was glorifying binge drinking . ‘ it sets up a culture that drinking isn’t about socialising with friends , it’s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abbott’s learning to drink beer without adding lemonade to it ' . mr abbott was labelled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 it appeared to take the prime minister about six seconds to down the schooner , as players cheered and chanted ' skol ' and ' tony '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don’t necessarily think it’s a partisan thing but i do think the climate has changed and we didn’t [ used to ] have the concern over binge drinking that we do now , ' she said . mr abbott was asked to have a drink by university of technology sydney bats coach simon carradous , and the prime minister happily obliged . ' he drank the entire schooner , dribbling bits on his shirt ... he was proud as punch , ' a witness said .</t>
    <phoneticPr fontId="4" type="noConversion"/>
  </si>
  <si>
    <t xml:space="preserve">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t>
    <phoneticPr fontId="4" type="noConversion"/>
  </si>
  <si>
    <t>critics said he should be setting an example that you do n't have to drink heavily to be a ` true blue aussie bloke '</t>
  </si>
  <si>
    <t xml:space="preserve">health minister sussan ley was quick to jump to mr abbott 's defence saying there was ` nothing wrong ' with the prime minister 's antics . </t>
  </si>
  <si>
    <t>7-7</t>
  </si>
  <si>
    <t>the prime minister has been criticised by anti-drinking campaigners .</t>
  </si>
  <si>
    <t>criticism also levelled at media and officials who made light of the event .</t>
  </si>
  <si>
    <t>8-7</t>
    <phoneticPr fontId="4" type="noConversion"/>
  </si>
  <si>
    <t xml:space="preserve">carriers of the brca1 gene , like hollywood star angelina jolie , can reduce their risk of death once they have been diagnosed with breast cancer by having their ovaries removed .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source : breast cancer campaign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 </t>
    <phoneticPr fontId="4" type="noConversion"/>
  </si>
  <si>
    <t>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dr steven narod , of the women 's college research institute , toronto , called for follow-up studies on women who undergo oophorectomy as part of their initial treatment , in particular , those who had the surgery within</t>
    <phoneticPr fontId="4" type="noConversion"/>
  </si>
  <si>
    <t xml:space="preserve">a year of finding out they have breast cancer </t>
    <phoneticPr fontId="4" type="noConversion"/>
  </si>
  <si>
    <t>dr steven narod , of the women 's college research institute , toronto , called for follow-up studies on women who undergo oophorectomy as part of their initial treatment , in particular , those who had the surgery within</t>
  </si>
  <si>
    <t>8-7</t>
  </si>
  <si>
    <t>but the theory does not apply for those with brca2 gene mutation .</t>
  </si>
  <si>
    <t>having the brca1 or brca2 genes increase risk of breast cancer by 70 %</t>
  </si>
  <si>
    <t>experts said benefits of having ovaries removed lasted for up to 15 years .</t>
  </si>
  <si>
    <t>9-7</t>
    <phoneticPr fontId="4" type="noConversion"/>
  </si>
  <si>
    <t xml:space="preserve">indiana has seen a ' significant increase ' in the number of cases of hiv more than two weeks into a short-term needle exchange program approved by gov .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scroll down for video . more than two weeks into a short-term needle exchange program approved by gov . mike pence , there are now 120 confirmed hiv cases and 10 preliminary positive cases tied to scott county , about 30 miles north of louisville , kentucky .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 mike pence in an attempt to curb the state 's largest-ever hiv outbreak .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t>
    <phoneticPr fontId="4" type="noConversion"/>
  </si>
  <si>
    <t>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nor was he sure whether the senate would support legislation sponsored by house public health committee chairman ed clere , r-new albany , that would allow the 23 indiana counties with the highest rate-per-population of hepatitis c to establish their own needle-exchange programs</t>
    <phoneticPr fontId="4" type="noConversion"/>
  </si>
  <si>
    <t xml:space="preserve">spokeswoman kara brooks said pence is reviewing reports and recommendations from health officials and will make a decision early next week about extending the program beyond april 25 . </t>
  </si>
  <si>
    <t>nor was he sure whether the senate would support legislation sponsored by house public health committee chairman ed clere , r-new albany , that would allow the 23 indiana counties with the highest rate-per-population of hepatitis c to establish their own needle-exchange programs</t>
  </si>
  <si>
    <t>9-7</t>
  </si>
  <si>
    <t>outbreak has occurred among intravenous drug users and primarily involves the use of the high-powered prescription painkiller opana .</t>
  </si>
  <si>
    <t>health officials who declared an epidemic last month have said they expect the number of cases to rise as more people are tested .</t>
  </si>
  <si>
    <t>gov . mike pence approved a short-term needle exchange program two weeks ago to help combat the problem .</t>
  </si>
  <si>
    <t>10-7</t>
    <phoneticPr fontId="4" type="noConversion"/>
  </si>
  <si>
    <t>police in north carolina say a married couple is dead after an amtrak train hit them on easter morning as they lingered on the tracks . derek lowe , 38 , and tina lowe , 33 , were hit shortly before 10am on sunday in durham by a train heading north . amtrak spokesman marc magliari said train no . 80 , the carolinian , was headed from charlotte to new york city when the accident occurred on property owned by norfolk-southern . scroll down for video . derek lowe , 38 , and tina lowe , 33 , were struck and killed by an amtrak train shortly before 10am on easter sunday in durham , north carolina . authorities say none of the 166 passengers on the train were injured , although a man who fell ill during the delay did receive treatment .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t>
    <phoneticPr fontId="4" type="noConversion"/>
  </si>
  <si>
    <t xml:space="preserve">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
    <phoneticPr fontId="4" type="noConversion"/>
  </si>
  <si>
    <t>northbound train struck pair on property owned by norfolk-southern .</t>
  </si>
  <si>
    <t>train no . 80 , the carolinian , was headed from charlotte to new york city .</t>
  </si>
  <si>
    <t>10-7</t>
  </si>
  <si>
    <t>man who met pair while collecting scrap metal said they were homeless .</t>
  </si>
  <si>
    <t>11-7</t>
    <phoneticPr fontId="4" type="noConversion"/>
  </si>
  <si>
    <t>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 saskiaisabxlla , commenting ' boyfriend made me take an @ arsenal exam ! ' with emoticons showing she did n't know whether to laugh or cry . we do n't blame her . saskia 's football fan boyfriend made her take an arsenal test and did n't dump her thanks to her a grade .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a ) olivier giroud . b ) santi cazorla . c ) aaron ramsey . d ) per mertesacker . why are arsenal the best team to ever grace english football ? questions put to her in the test included : ' what was the scoreline for the 2014 fa cup final vs hull city ?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tut tut . she scored some decent points for her more creative answers . asked to explain why alexis sanchez is better than eden hazard in her own words , she wrote , ' sanchez is buff , scores lots of goals , hazard is a p***k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doh ! saskia struggled to name all 11 players of the starting squad and got confused on the player positions . saskia 's boyfriend drew an angry face when she got a question wrong - this man means business .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 scoring 87 % , football fans were impressed with saskia , claiming her as ' proper gf material ' . may men felt inspired , with @ lewisxweeked warning his girlfriend to ' get revising ' . indeed , @ gstarrs85 congratulated saskia and stating that she was ' proper gf material ' . plenty of men felt inspired by the post , with @ lewisxweekes telling his girlfriend @ laycijade to ' get revising ' and @ digsxiii crying ' where can i get this test from ? ' others , though , felt that the boyfriend had taken things a tad too far . @ gunsaured11 stated ' football fans are nuts ' , and @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 eduardo claims ' football fans are nuts ' despite appearing to be one as he holds what looks suspiciously like the fa cup in his hands ... some thought saskia 's boyfriend took things too far with @ dcslfc creatively naming him a 'biff-head '</t>
    <phoneticPr fontId="4" type="noConversion"/>
  </si>
  <si>
    <t xml:space="preserve">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t>
    <phoneticPr fontId="4" type="noConversion"/>
  </si>
  <si>
    <t>arsenal fan 's girlfriend avoids getting dumped after passing football test .</t>
  </si>
  <si>
    <t>saskia got an ' a ' , but apparently needs to work on her player positions .</t>
  </si>
  <si>
    <t>11-7</t>
  </si>
  <si>
    <t>the bemused woman posted pictures of boyfriend 's test on twitter .</t>
  </si>
  <si>
    <t xml:space="preserve">saskia struggled to name all 11 players of the starting squad and got confused on the player positions </t>
  </si>
  <si>
    <t xml:space="preserve">saskia 's boyfriend drew an angry face when she got a question wrong - this man means business </t>
  </si>
  <si>
    <t xml:space="preserve">saskia kept her boyfriend happy with creative answers to his questions , and got double marks for some ... </t>
  </si>
  <si>
    <t>12-7</t>
    <phoneticPr fontId="4" type="noConversion"/>
  </si>
  <si>
    <t xml:space="preserve">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scroll down for video . carlos toro , seen in 1982 , is facing deportation from the united states after working for the dea for 27 years . toro , 66 , was one of the dea 's strongest assets and helped carry out undercover stings around the world . carlos lehder rivas of colombia was taken down thanks in part to former medellin cartel member toro .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but i atoned . ' many times over , i atoned . ' all i want now is what they promised me . '  </t>
    <phoneticPr fontId="4" type="noConversion"/>
  </si>
  <si>
    <t xml:space="preserve">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
    <phoneticPr fontId="4" type="noConversion"/>
  </si>
  <si>
    <t>toro , 66 , was one of the dea 's strongest assets and helped carry out undercover stings around the world</t>
  </si>
  <si>
    <t>being sent back to native country of colombia would be ' death sentence ' .</t>
  </si>
  <si>
    <t>12-7</t>
  </si>
  <si>
    <t>also provided information on former dictator of panama manuel noriega .</t>
  </si>
  <si>
    <t>he is hoping for visa or green card but ca n't yet collect social security .</t>
  </si>
  <si>
    <t>13-7</t>
    <phoneticPr fontId="4" type="noConversion"/>
  </si>
  <si>
    <t>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muliaina is led away by police following his side 's 14-7 defeat by gloucester on friday night</t>
    <phoneticPr fontId="4" type="noConversion"/>
  </si>
  <si>
    <t>muliaina is led away by police following his side 's 14-7 defeat by gloucester on friday night</t>
  </si>
  <si>
    <t>mils muliaina came off injured during connacht 's visit to gloucester .</t>
  </si>
  <si>
    <t>13-7</t>
  </si>
  <si>
    <t>muliaina was held in cells overnight and questioned by officers in cardiff .</t>
  </si>
  <si>
    <t>he denies assault allegations over alleged incident last month .</t>
  </si>
  <si>
    <t>14-7</t>
    <phoneticPr fontId="4" type="noConversion"/>
  </si>
  <si>
    <t>the us body that regulates internet addresses is looking to crack down on a canadian company using the new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'.sucks ' domain taken down . kevin spacey is reportedly among celebrities paying out to have their name removed from one of the '.sucks ' domains which opened on 30 march . taylor swift has also had to spend defensively in the past to remove her name from '.porn ' and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'.us . ' but it is backtracking after an advisory panel made up of industry groups and companies like microsoft , verizon and ebay complained last month . vox populi began accepting registrations using '.sucks ' on march 30 from trademark holders and celebrities before it is released to public applicants . taylor swift has also had to spend defensively in the past to remove her name from '.porn ' and '.adult ' domains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'.sucks , ' calling it a ' shakedown scheme ' and ' predatory . ' companies like godaddy.com register some domain names for just $ 1 a year , and vox populi will offer consumers the right to secure a '.sucks ' address for just $ 10 a year starting in september . the advisory body says that the threat of opening a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'.sucks ' site to the average consumer later is ' an essential element of vox populi 's coercive scheme .</t>
    <phoneticPr fontId="4" type="noConversion"/>
  </si>
  <si>
    <t>the internet corporation for assigned names and numbers , or ` icann , ' sent a letter on thursday to the u.s. federal trade commission and canada 's office of consumer affairs to see if the actions of company vox populi registry ltd. were illegal . 
icann said in its letter that if canadian or u.s. regulators find vox populi 's actions are illegal , it could declare the company in breach of its contract and seek to change the registry 's behavior . 
berard has said the domain name is meant to create destinations for companies to interact with</t>
    <phoneticPr fontId="4" type="noConversion"/>
  </si>
  <si>
    <t>icann said in its letter that if canadian or u.s. regulators find vox populi 's actions are illegal , it could declare the company in breach of its contract and seek to change the registry 's behavior .</t>
  </si>
  <si>
    <t>critics</t>
  </si>
  <si>
    <t>14-7</t>
  </si>
  <si>
    <t>kevin spacey among celebrities who 've paid to get the domains removed .</t>
  </si>
  <si>
    <t>youtube , bing , visa , bank of america and yahoo among others targeted .</t>
  </si>
  <si>
    <t>owners recommended to resell '.sucks ' domains for around $ 2,499 a year .</t>
  </si>
  <si>
    <t>15-7</t>
    <phoneticPr fontId="4" type="noConversion"/>
  </si>
  <si>
    <t>a teenager set herself on fire after allegedly being raped by five men from her village in india – and her family reportedly told her to keep quiet about the attack . the 14-year-old is now fighting for her life in delhi’s safdarjung hospital with 70 per cent burns . she was allegedly gang-raped on sunday when she went outside her house in kosi kalan , in uttar pradesh 's mathura district , to relieve herself . scroll down for video . a teenager set herself on fire after allegedly being raped by five men from her village in india . she is now recovering in delhi’s safdarjung hospital ( pictured ) . she was allegedly gang-raped on sunday when she went outside her house in kosi kalan , in uttar pradesh 's mathura district , to relieve herself ( file image )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t>
    <phoneticPr fontId="4" type="noConversion"/>
  </si>
  <si>
    <t>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t>
    <phoneticPr fontId="4" type="noConversion"/>
  </si>
  <si>
    <t xml:space="preserve">( pictured ) </t>
  </si>
  <si>
    <t xml:space="preserve">she is now recovering in delhi 's safdarjung hospital ( pictured ) </t>
  </si>
  <si>
    <t>15-7</t>
  </si>
  <si>
    <t xml:space="preserve"> file</t>
    <phoneticPr fontId="4" type="noConversion"/>
  </si>
  <si>
    <t>image</t>
    <phoneticPr fontId="4" type="noConversion"/>
  </si>
  <si>
    <t>16-7</t>
    <phoneticPr fontId="4" type="noConversion"/>
  </si>
  <si>
    <t>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scroll down for video . unsolved case : a police officer searches windmill pit , the norfolk pond where the baby boy 's body was found back in 1988 . the boy 's body was exhumed by officers as part of a case review , with dna samples leading police to the boy 's mother . he has now been reburied at weasenham st peter church , norfolk .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t>
  </si>
  <si>
    <t xml:space="preserve">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a report in the eastern daily press from 1988 tells how the body was found floating on the pond </t>
    <phoneticPr fontId="4" type="noConversion"/>
  </si>
  <si>
    <t xml:space="preserve">tranquil : the pond in the village of weasenham st peter , norfolk , as it is today </t>
  </si>
  <si>
    <t xml:space="preserve">karen murray-tye who set up hana 's gift charity after her daughter was stillborn in 2006 , said : ` it was quite hard to find the right words , but i thought the ` lost but found ' fitted the circumstances . </t>
  </si>
  <si>
    <t>16-7</t>
  </si>
  <si>
    <t xml:space="preserve">a report in the eastern daily press from 1988 tells how the body was found floating on the pond </t>
  </si>
  <si>
    <t>baby boy 's remains were exhumed last year after case came up for review .</t>
  </si>
  <si>
    <t>a mother of a baby boy was arrested 28 years after his body was found wrapped in a blanket inside a sainsbury 's bag floating on a village pond . police exhumed the boy 's body from his grave in norfolk last year after the case came up for periodical revi.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scroll down for video . unsolved case : a police officer searches windmill pit , the norfolk pond where the baby boy 's body was found back in 1988 . the boy 's body was exhumed by officers as part of a case review , with dna samples leading police to the boy 's mother . he has now been reburied at weasenham st peter church , norfolk .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.._x0000__x0000_</t>
  </si>
  <si>
    <t>tranquil : the pond in the village of weasenham st peter , norfolk , as it is today 
karen murray-tye who set up hana 's gift charity after her daughter was stillborn in 2007 , said : ` it was quite hard to find the right words , but i thought the ` lostut found ' fitted the circumstances . 
a report in the eastern daily press from 1988 tells how the body was found floating on the pond _x0000_</t>
  </si>
  <si>
    <t>dna led police to the mother who was arrested on suspicion of infanticide .</t>
  </si>
  <si>
    <t>a mother of a baby boy was arrested 29 years after his body was found wrapped in a blanket inside a sainsbury 's bag floating on a village pond . police exhumed the boy 's body from his grave in norfolk last year after the case came up for periodical revi.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scroll down for video . unsolved case : a police officer searches windmill pit , the norfolk pond where the baby boy 's body was found back in 1988 . the boy 's body was exhumed by officers as part of a case review , with dna samples leading police to the boy 's mother . he has now been reburied at weasenham st peter church , norfolk .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.._x0000__x0000_</t>
  </si>
  <si>
    <t>tranquil : the pond in the village of weasenham st peter , norfolk , as it is today 
karen murray-tye who set up hana 's gift charity after her daughter was stillborn in 2008 , said : ` it was quite hard to find the right words , but i thought the ` lostut found ' fitted the circumstances . 
a report in the eastern daily press from 1988 tells how the body was found floating on the pond _x0000_</t>
  </si>
  <si>
    <t>but the charge was dropped after she explained the baby was stillborn .</t>
  </si>
  <si>
    <t>a mother of a baby boy was arrested 30 years after his body was found wrapped in a blanket inside a sainsbury 's bag floating on a village pond . police exhumed the boy 's body from his grave in norfolk last year after the case came up for periodical revi.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scroll down for video . unsolved case : a police officer searches windmill pit , the norfolk pond where the baby boy 's body was found back in 1988 . the boy 's body was exhumed by officers as part of a case review , with dna samples leading police to the boy 's mother . he has now been reburied at weasenham st peter church , norfolk .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.._x0000__x0000_</t>
  </si>
  <si>
    <t>tranquil : the pond in the village of weasenham st peter , norfolk , as it is today 
karen murray-tye who set up hana 's gift charity after her daughter was stillborn in 2009 , said : ` it was quite hard to find the right words , but i thought the ` lostut found ' fitted the circumstances . 
a report in the eastern daily press from 1988 tells how the body was found floating on the pond _x0000_</t>
  </si>
  <si>
    <t>cps may now charge her with failing to register the birth and preventing a lawful burial .</t>
  </si>
  <si>
    <t>17-7</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</si>
  <si>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 louis van gaal explained at his press conference on friday that van persie is not yet fit enough to play . united players train in the sunshine ahead of their game against local rivals city on sunday .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 manager van gaal ( left ) oversees the training while captain wayne rooney runs with the ball . goalkeeper david de gea ( left ) , winger angel di maria ( centre ) and radamel falcao were in training action . rooney leads the way in training as he runs through some cones in the sunshine on friday in manchester . ( left to right ) di maria , juan mata , falcao , marcos rojo and ander herrera prepare to take on city .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that is possible . ' the united boss also ruled out a potential return for luke shaw . like van persie , van gaal does not yet consider him fit enough to feature . ' i don’t think shaw is fit enough to play , ' van gaal said . ' but i can not say they are not fit , but in my opinion they are not fit to play . that is a different question . ' luke shaw is another player yet to be at the standard of match fitness required by van gaal . ( left to right ) rooney , ashley young , goalkeeper anders lindegaard and michael carrick have a breather . falcao ( left ) and antonio valencia ( second right ) look in high spirits as they prepare for the derby . herrera will be hoping to continue the fine form that has seen him become one of united 's key players recently .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wouldn’t say it . i say it because i feel it . '</t>
    <phoneticPr fontId="4" type="noConversion"/>
  </si>
  <si>
    <t xml:space="preserve">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t>
    <phoneticPr fontId="4" type="noConversion"/>
  </si>
  <si>
    <t xml:space="preserve">luke shaw is another player yet to be at the standard of match fitness required by van gaal </t>
  </si>
  <si>
    <t xml:space="preserve">( left to right ) rooney , ashley young , goalkeeper anders lindegaard and michael carrick have a breather </t>
  </si>
  <si>
    <t>17-7</t>
  </si>
  <si>
    <t xml:space="preserve">falcao ( left ) and antonio valencia ( second right ) look in high spirits as they prepare for the derby </t>
  </si>
  <si>
    <t>manchester united face manchester city in the premier league on sunday .</t>
  </si>
  <si>
    <t>robin van persie said he was fit for united after nearly two months out .</t>
  </si>
  <si>
    <t>but louis van gaal has since revealed he will be without the striker .</t>
  </si>
  <si>
    <t>18-7</t>
    <phoneticPr fontId="4" type="noConversion"/>
  </si>
  <si>
    <t xml:space="preserve">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 </t>
  </si>
  <si>
    <t>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speaking at the time the claim was lodged with the high court , james davies , said : ` whilst he has undergone extensive treatment and rehabilitation , he has developed post-traumatic epilepsy , headaches , fatigue , suffers</t>
    <phoneticPr fontId="4" type="noConversion"/>
  </si>
  <si>
    <t xml:space="preserve">mr hicks had gotten into the taxi at the orange grove rank in bath ( pictured ) in 2010 with his girlfriend </t>
  </si>
  <si>
    <t>18-7</t>
  </si>
  <si>
    <t xml:space="preserve">` i have broadly accepted the evidence of the defendant and therefore find that his intention was not to do anything other than to return him to the rank where he would be released , ' he added . </t>
  </si>
  <si>
    <t>social</t>
    <phoneticPr fontId="4" type="noConversion"/>
  </si>
  <si>
    <t>and</t>
    <phoneticPr fontId="4" type="noConversion"/>
  </si>
  <si>
    <t>behavioural</t>
    <phoneticPr fontId="4" type="noConversion"/>
  </si>
  <si>
    <t>problems</t>
    <phoneticPr fontId="4" type="noConversion"/>
  </si>
  <si>
    <t>speaking at the time the claim was lodged with the high court , james davies , said : ` whilst he has undergone extensive treatment and rehabilitation , he has developed post-traumatic epilepsy , headaches , fatigue , suffers</t>
  </si>
  <si>
    <t>driver michael young , 56 , thought passenger was planning to ' do a runner ' .</t>
  </si>
  <si>
    <t>so he decided to take passenger kristopher hicks him back to the taxi rank .</t>
  </si>
  <si>
    <t>mr hicks jumped out , sustaining head injuries , and now needs 24-hour care .</t>
  </si>
  <si>
    <t>judge rules mr hicks was unlawfully imprisoned and will now get damages .</t>
  </si>
  <si>
    <t>20-7</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</si>
  <si>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£5.14billion tv rights deal with banners held up inside and outside the ground . with tickets at the sold-out emirates starting from £64 for the 12.45pm kick-off , protesters hope the image of empty seats around the ground will raise awareness of the struggles fans face to meet the rising costs of following their clubs . fans inside the emirates stadium display a banner reading : '£5bn and what do we get ? £64 a ticket ' . the cheapest tickets for the lunchtime kick-off were £64 , some of the highest prices in the premier league . supporters of both sides gathered outside the 60,000-capacity stadium before kick-off to show off banners against the rising costs of modern football . a banner inside the stadium , held between the home and away ends , read : '£5bn and what do we get ? £64 a ticket ' . ahead of the game , kelvin meadows of arsenal 's black scarf movement - who organised the event with liverpool's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 fans show off a banner reading ' football without fans is nothing ' outside the stadium before kick-off .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t>
    <phoneticPr fontId="4" type="noConversion"/>
  </si>
  <si>
    <t>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t>
    <phoneticPr fontId="4" type="noConversion"/>
  </si>
  <si>
    <t xml:space="preserve">fans show off a banner reading ` football without fans is nothing ' outside the stadium before kick-off </t>
  </si>
  <si>
    <t>` we put up with late fixture changes , unreasonable kick off times and ridiculously high prices .</t>
  </si>
  <si>
    <t>20-7</t>
  </si>
  <si>
    <t>supporter groups say they are disgusted at premier league ticket prices .</t>
  </si>
  <si>
    <t>more protests are expected after the lunchtime kick-off at the emirates .</t>
  </si>
  <si>
    <t>21-7</t>
    <phoneticPr fontId="4" type="noConversion"/>
  </si>
  <si>
    <t>(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t>
    <phoneticPr fontId="4" type="noConversion"/>
  </si>
  <si>
    <t>on thursday , more storms are expected in the midwest , mississippi river valley , tennessee river valley and near the southern great lakes , the weather service said . 
the national weather service indicated a tornado may have touched down in the small town of potosi , missouri , about 70 miles from st. louis . 
not far away from potosi , shyler and christin strube in leadington posted an instagram picture of some unusual dark clouds .</t>
    <phoneticPr fontId="4" type="noConversion"/>
  </si>
  <si>
    <t>the national weather service indicated a tornado may have touched down in the small town of potosi , missouri , about 70 miles from st. louis .</t>
  </si>
  <si>
    <t>potosi , missouri , sees wind damage to roofs and some flooding .</t>
    <phoneticPr fontId="4" type="noConversion"/>
  </si>
  <si>
    <t>21-7</t>
  </si>
  <si>
    <t xml:space="preserve">not far away from potosi , shyler and christin strube in leadington posted an instagram picture of some unusual dark clouds . </t>
  </si>
  <si>
    <t>22-7</t>
    <phoneticPr fontId="4" type="noConversion"/>
  </si>
  <si>
    <t>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 while the baby 's mother was not a suitable match , her twin sister proved an ideal candidate . they are pictured as children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it’s all thanks to my twin sister . i can’t thank her enough , ' her other added . speaking of the decision , shanell said : ' i didn’t hesitate to step forward to save star . she’s my niece and i would do anything to help her . ’ since the operation in november baby star has made a good recovery as has her aunt shanell who said she did not hesitate when confronted with the choice of giving up part of her liver .</t>
    <phoneticPr fontId="4" type="noConversion"/>
  </si>
  <si>
    <t xml:space="preserve">jade reader ( left ) said she was ` overcome with emotion ' when her twin sister shanell ( right ) gave up part of her liver to save niece star 
with neither parent a suitable match , her maternal aunt shanell reader offered part of her organ , and has since saved her niece 's life . 
within days of being born , star 's parents knew something was wrong when she her skin turned a yellowy tinge </t>
    <phoneticPr fontId="4" type="noConversion"/>
  </si>
  <si>
    <t>( right )</t>
  </si>
  <si>
    <t>22-7</t>
  </si>
  <si>
    <t>the baby 's bile ducts were blocked - a condition which can prove fatal .</t>
  </si>
  <si>
    <t>neither of her parents were suitable candidates for partial liver transplant .</t>
  </si>
  <si>
    <t>star underwent operation in leeds in november and has since recovered .</t>
  </si>
  <si>
    <t>23-7</t>
    <phoneticPr fontId="4" type="noConversion"/>
  </si>
  <si>
    <t xml:space="preserve">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 machida lands a side kick as he works out in front of fans and media .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 machida is also coming off the back of a victory , against cb dollaway in brazil .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to see any mistakes he makes . ' i am very well prepared for this fight . i had eight weeks of camp and i had great training . glover [ teixeira ] was there and many , many other fighters . so i am feeling very well , very calm , and i think i can do a great job . '  </t>
    <phoneticPr fontId="4" type="noConversion"/>
  </si>
  <si>
    <t xml:space="preserve">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t>
    <phoneticPr fontId="4" type="noConversion"/>
  </si>
  <si>
    <t>machida lands a side kick as he works out in front of fans and media</t>
  </si>
  <si>
    <t>` i 'll be operating at a different frequency than him -- he does n't have the hip movement and the speed to keep up with me . '</t>
  </si>
  <si>
    <t>23-7</t>
  </si>
  <si>
    <t>luke rockhold takes on lyoto machida in new jersey on saturday .</t>
  </si>
  <si>
    <t>rockhold believes he has to dominate machida to earn the win .</t>
  </si>
  <si>
    <t>24-7</t>
    <phoneticPr fontId="4" type="noConversion"/>
  </si>
  <si>
    <t>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 17-goal man eden hazard and youngster nathan ake took on blues ' team-mates loic remy and willian . from there , they take to a makeshift tennis court , where the net is replaced by a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£127,000 r8 v10 plus audi , which played the part of tennis net in one challenge . the final challenge involved the players shooting at cars from long range , with remy and willian winning . hazard throws footballs up to his team-mate ake , who tries to fire them into the boot of an audi .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 willian laughs after being allowed to drive one of the audi 's that was part of the football challenge .</t>
    <phoneticPr fontId="4" type="noConversion"/>
  </si>
  <si>
    <t>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t>
    <phoneticPr fontId="4" type="noConversion"/>
  </si>
  <si>
    <t>four chelsea stars took part in audi 's football challenge .</t>
  </si>
  <si>
    <t>they were tasked with various challenges involving the expensive cars .</t>
  </si>
  <si>
    <t>24-7</t>
  </si>
  <si>
    <t>eden hazard and nathan ake faced willian and loic remy in the video .</t>
  </si>
  <si>
    <t>willian accidentally smashes the wing mirror of one of the audi 's .</t>
  </si>
  <si>
    <t xml:space="preserve">hazard poses next to a £ 127,000 r8 v10 plus audi , which played the part of tennis net in one challenge </t>
  </si>
  <si>
    <t xml:space="preserve">the final challenge involved the players shooting at cars from long range , with remy and willian winning </t>
  </si>
  <si>
    <t>hazard throws footballs up to his team-mate ake , who tries to fire them into the boot of an audi</t>
  </si>
  <si>
    <t>25-7</t>
    <phoneticPr fontId="4" type="noConversion"/>
  </si>
  <si>
    <t>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 the video maker can be heard saying that the plane’s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 he added : ‘it’s amazing the aeroplane engines did not get destroyed during the propellers impact and the pilot did not stall during the forced take-off with the high angle of attack and damaged propellers . ’ according to wpbf 25 news , the plane’s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t>
    <phoneticPr fontId="4" type="noConversion"/>
  </si>
  <si>
    <t xml:space="preserve">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the video maker noted that once the pilot realized his mistake he began re-engaging the engine </t>
    <phoneticPr fontId="4" type="noConversion"/>
  </si>
  <si>
    <t>video captures light general aviation aircraft approaching at speed .</t>
  </si>
  <si>
    <t>filmmaker points out that the pilot has not deployed the landing gear .</t>
  </si>
  <si>
    <t>25-7</t>
  </si>
  <si>
    <t>plane touches down onto the tarmac and skids along the runway .</t>
  </si>
  <si>
    <t>its propellers ricochet off the ground before pilot re-engages engines .</t>
  </si>
  <si>
    <t xml:space="preserve">the most common cause of a gear-up landing , also known as a belly landing or pancake landing , is human error -- when the pilot simply forgets to deploy the landing gear before touchdown . </t>
  </si>
  <si>
    <t xml:space="preserve">the video maker noted that once the pilot realized his mistake he began re-engaging the engine </t>
  </si>
  <si>
    <t>54-7</t>
    <phoneticPr fontId="4" type="noConversion"/>
  </si>
  <si>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phoneticPr fontId="4" type="noConversion"/>
  </si>
  <si>
    <t xml:space="preserve">actor tommy lee jones played the villain 
the grinch costume from the jim carrey film how the grinch stole christmas is listed at $ 8,000 
this mikey costume from men in black has an estimated value of $ 30,000 and is one of the pricier lots </t>
    <phoneticPr fontId="4" type="noConversion"/>
  </si>
  <si>
    <t xml:space="preserve">actor tommy lee jones played the villain </t>
  </si>
  <si>
    <t xml:space="preserve">the grinch costume from the jim carrey film how the grinch stole christmas is listed at $ 8,000 </t>
  </si>
  <si>
    <t>54-7</t>
  </si>
  <si>
    <t>this mikey costume from men in black has an estimated value of $ 30,000 and is one of the pricier lots</t>
  </si>
  <si>
    <t>more than 400 items from rick baker 's cinovation studio will be auctioned</t>
  </si>
  <si>
    <t>artist has worked on hits like men in black , batman forever and gremlins</t>
  </si>
  <si>
    <t>baker worked on michael jackson 's moonwalker film and thriller video</t>
  </si>
  <si>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</si>
  <si>
    <t xml:space="preserve">actor tommy lee jones played the villain 
the grinch costume from the jim carrey film how the grinch stole christmas is listed at $ 8,000 
this mikey costume from men in black has an estimated value of $ 30,000 and is one of the pricier lots </t>
  </si>
  <si>
    <t>this is first time these items from 64-year-old 's collection open to public</t>
  </si>
  <si>
    <t>auction will be held in los angeles , california , on may 29 and also online</t>
  </si>
  <si>
    <t>56-7</t>
    <phoneticPr fontId="4" type="noConversion"/>
  </si>
  <si>
    <t>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t>
    <phoneticPr fontId="4" type="noConversion"/>
  </si>
  <si>
    <t xml:space="preserve">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t>
    <phoneticPr fontId="4" type="noConversion"/>
  </si>
  <si>
    <t xml:space="preserve">harley asked if he could decorate the protective mask that holds him still while having his radiotherapy treatment like a ninja turtle </t>
  </si>
  <si>
    <t xml:space="preserve">after harley 's story made headlines around the world , staff at children 's tv channel nickelodeon even sent harley a box full of ninja turtle presents for christmas . </t>
  </si>
  <si>
    <t>56-7</t>
  </si>
  <si>
    <t>harley renshaw has been given the all clear after battling cancer for a year</t>
  </si>
  <si>
    <t>disease was in his kidney and has spread to bones , neck and left lung</t>
  </si>
  <si>
    <t>he underwent months of gruelling chemotherapy and radiotherapy</t>
  </si>
  <si>
    <t>57-7</t>
    <phoneticPr fontId="4" type="noConversion"/>
  </si>
  <si>
    <t>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t>
    <phoneticPr fontId="4" type="noConversion"/>
  </si>
  <si>
    <t>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t>
    <phoneticPr fontId="4" type="noConversion"/>
  </si>
  <si>
    <t xml:space="preserve">scene : carwyn 's family are believed to be staying in this hotel , close to the slopes where the seven-year-old died </t>
  </si>
  <si>
    <t xml:space="preserve">tragic trail : search teams said they followed the little boy 's footprints and found his final steps broken up by ` sliding marks ' </t>
  </si>
  <si>
    <t>57-7</t>
  </si>
  <si>
    <t>accident : the welsh schoolboy is believed to have got lost in the woods pictured above</t>
  </si>
  <si>
    <t>carwyn scott-howell died on a family holiday in flaine in french alps</t>
  </si>
  <si>
    <t>he went ahead alone when sister fell and his mother stopped to help</t>
  </si>
  <si>
    <t>skied into dense woodland before sliding towards a 164-foot cliff</t>
  </si>
  <si>
    <t>thought he may have entered woodland as thought it was shortcut to hotel</t>
  </si>
  <si>
    <t>family described him as a ` very daring , outgoing , determined little boy '</t>
  </si>
  <si>
    <t>58-7</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</si>
  <si>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t>
    <phoneticPr fontId="4" type="noConversion"/>
  </si>
  <si>
    <t xml:space="preserve">jack grealish takes on liverpool 's emre can at wembley during aston villa 's 2-1 victory at wembley 
grealish ( centre ) impressed against liverpool and is wanted by the republic of ireland and england 
` it 's up to jack where he wants to go . </t>
    <phoneticPr fontId="4" type="noConversion"/>
  </si>
  <si>
    <t xml:space="preserve">jack grealish takes on liverpool 's emre can at wembley during aston villa 's 2-1 victory at wembley </t>
  </si>
  <si>
    <t>58-7</t>
  </si>
  <si>
    <t xml:space="preserve">` it 's up to jack where he wants to go . </t>
  </si>
  <si>
    <t>tim sherwood wants the 19-year-old to focus on playing more for villa</t>
  </si>
  <si>
    <t>grealish will make a decision over international future at end of the season</t>
  </si>
  <si>
    <t>59-7</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</si>
  <si>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t>
    <phoneticPr fontId="4" type="noConversion"/>
  </si>
  <si>
    <t>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laura scurr , 15 , has spoken out about the pressures on young girls to be a size zero after , having becoming obsessed with her own weight , she developed</t>
    <phoneticPr fontId="4" type="noConversion"/>
  </si>
  <si>
    <t xml:space="preserve">laura continued : ` i would look around at the other girls and they all seemed to be skinny and , of course , i wanted to be like them and fit into all the different types of clothes . </t>
  </si>
  <si>
    <t>anorexia</t>
  </si>
  <si>
    <t>59-7</t>
  </si>
  <si>
    <t>at 13 , laura scurr went on a diet which would turn into a scary obsession</t>
  </si>
  <si>
    <t>now 15 she has overcome the disorder and is battling back</t>
  </si>
  <si>
    <t>60-7</t>
    <phoneticPr fontId="4" type="noConversion"/>
  </si>
  <si>
    <t>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t>
    <phoneticPr fontId="4" type="noConversion"/>
  </si>
  <si>
    <t>haneda airport in tokyo , japan : £ 4,559 ( $ 6,850 ) 
narita international airport in tokyo , japan : £ 3,728 ( $ 5,600 ) 
kansai international airport in osaka , japan : £ 3,594 ( $ 5,400 )</t>
    <phoneticPr fontId="4" type="noConversion"/>
  </si>
  <si>
    <t xml:space="preserve">haneda airport in tokyo , japan : £ 4,559 ( $ 6,850 ) </t>
  </si>
  <si>
    <t xml:space="preserve">narita international airport in tokyo , japan : £ 3,728 ( $ 5,600 ) </t>
  </si>
  <si>
    <t>60-7</t>
  </si>
  <si>
    <t>kansai international airport in osaka , japan : £ 3,594 ( $ 5,400 )</t>
  </si>
  <si>
    <t>the richest compiled a list of the top airport landing charges</t>
  </si>
  <si>
    <t>prices are based on landing a private 767-400 jet carrier</t>
  </si>
  <si>
    <t>61-7</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</si>
  <si>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phoneticPr fontId="4" type="noConversion"/>
  </si>
  <si>
    <t>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t>
    <phoneticPr fontId="4" type="noConversion"/>
  </si>
  <si>
    <t xml:space="preserve">raheem sterling ( 2nd r ) models liverpool 's new kit alongside ( l-r ) adam lallana , daniel sturridge , jordan henderson and philippe coutinho </t>
  </si>
  <si>
    <t xml:space="preserve">the liverpool stars , including goalkeeper simon mignolet in his new jersey , made their way to anfield to present the kit to the fans </t>
  </si>
  <si>
    <t>61-7</t>
  </si>
  <si>
    <t>sturridge uploaded these photographs to his instagram account as he posed with sterling , mignolet and skrtel at the launch</t>
  </si>
  <si>
    <t>raheem sterling was told in no uncertain terms by liverpool supporters that they expect him to remain at the club this summer on the day he was parading the club 's new home kit at anfield .</t>
  </si>
  <si>
    <t>midfielder has been linked with a move away from liverpool after refusing to sign new # 100,000-a-week contract</t>
  </si>
  <si>
    <t>new balance struck a record-breaking # 300m four-year kit deal to replace sister company warrior at liverpool</t>
  </si>
  <si>
    <t>captain steven gerrard did not model new strip as he prepares to leave for la galaxy in the summer</t>
  </si>
  <si>
    <t>62-7</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</si>
  <si>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2017 by a points landslide , thereby retaining the world super-middleweight title .
but sugar ray took most pride from the trilogy from forcing duran to say no mas .
he said : ` to me , making roberto duran to quit was better than knocking him out . '</t>
  </si>
  <si>
    <t>sugar ray leonard celebrates after roberto duran quit in their fight in louisiana in november 1980 
leonard decided to use his exceptional speed and movement to beat the panamanian in the second fight 
october 30 , 1974 , kinshasa , zaire</t>
    <phoneticPr fontId="4" type="noConversion"/>
  </si>
  <si>
    <t xml:space="preserve">sugar ray leonard celebrates after roberto duran quit in their fight in louisiana in november 1980 </t>
  </si>
  <si>
    <t xml:space="preserve">leonard decided to use his exceptional speed and movement to beat the panamanian in the second fight </t>
  </si>
  <si>
    <t>62-7</t>
  </si>
  <si>
    <t>october 30 , 1974 , kinshasa , zaire</t>
  </si>
  <si>
    <t>in the sixth of a series of 12 fights that shaped boxing history , we have sugar ray leonard v roberto duran</t>
  </si>
  <si>
    <t>leonard humiliated his opponent until he said ` no mas ' - no more</t>
  </si>
  <si>
    <t>it took duran three years to reclaim his mantle as a hero in panama</t>
  </si>
  <si>
    <t>63-7</t>
    <phoneticPr fontId="4" type="noConversion"/>
  </si>
  <si>
    <t>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t>
    <phoneticPr fontId="4" type="noConversion"/>
  </si>
  <si>
    <t>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the survey uses the 13ft ( four metres ) victor m. blanco telescope ( middle ) located at the cerro tololo inter-american observatory ( ctio ) in chile , outfitted with a newly designed , state-of-the-art dark energy camera ( decam ) . `</t>
    <phoneticPr fontId="4" type="noConversion"/>
  </si>
  <si>
    <t xml:space="preserve">it will be completed by 2018 , mapping dark matter of an eighth of the sky in the process </t>
  </si>
  <si>
    <t xml:space="preserve">dark matter , the mysterious substance that makes up 85 per cent of all matter in the universe , is invisible to even the most sensitive astronomical instruments because it does not emit or block light . </t>
  </si>
  <si>
    <t>63-7</t>
  </si>
  <si>
    <t>the survey uses the 13ft ( four metres ) victor m. blanco telescope ( middle ) located at the cerro tololo inter-american observatory ( ctio ) in chile , outfitted with a newly designed , state-of-the-art dark energy camera ( decam ) . `</t>
  </si>
  <si>
    <t>university of manchester researchers reveal hd dark matter map</t>
  </si>
  <si>
    <t>it shows clumps of mystery particles across 0.4 per cent of the sky</t>
  </si>
  <si>
    <t>the goal is to eventually map 12.5 per cent over five years</t>
  </si>
  <si>
    <t>results could help reveal how galaxies form in the universe</t>
  </si>
  <si>
    <t>64-7</t>
    <phoneticPr fontId="4" type="noConversion"/>
  </si>
  <si>
    <t>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t>
    <phoneticPr fontId="4" type="noConversion"/>
  </si>
  <si>
    <t xml:space="preserve">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t>
    <phoneticPr fontId="4" type="noConversion"/>
  </si>
  <si>
    <t>weekly</t>
  </si>
  <si>
    <t>treat</t>
    <phoneticPr fontId="4" type="noConversion"/>
  </si>
  <si>
    <t>64-7</t>
  </si>
  <si>
    <t>dining</t>
  </si>
  <si>
    <t>etiquette</t>
    <phoneticPr fontId="4" type="noConversion"/>
  </si>
  <si>
    <t xml:space="preserve">while some viewers have deemed the scene ` cute ' and ` hilarious ' , others have criticized gallegos for feeding her pups the creamy treat . </t>
  </si>
  <si>
    <t>gallegos says ice cream is a weekly treat for her pets</t>
    <phoneticPr fontId="4" type="noConversion"/>
  </si>
  <si>
    <t>65-7</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</si>
  <si>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</si>
  <si>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 xml:space="preserve">chelsea are in early discussions over a possible partnership with belgian club royal mouscron-peruwelz 
mouscron had a partnership with lille but that is now set to end meaning there is to be room for chelsea 
mouscron are currently 13th in belgium 's pro league , with players including tristan dingome ( left ) </t>
    <phoneticPr fontId="4" type="noConversion"/>
  </si>
  <si>
    <t xml:space="preserve">mouscron had a partnership with lille but that is now set to end meaning there is to be room for chelsea </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</si>
  <si>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22th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</si>
  <si>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in early discussions over a possible partnership with belgian club royal mouscron-peruwelz 
mouscron had a partnership with lille but that is now set to end meaning there is to be room for chelsea 
mouscron are currently 14th in belgium 's pro league , with players including tristan dingome ( left )</t>
  </si>
  <si>
    <t xml:space="preserve"> left </t>
  </si>
  <si>
    <t>65-7</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</si>
  <si>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23th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</si>
  <si>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in early discussions over a possible partnership with belgian club royal mouscron-peruwelz 
mouscron had a partnership with lille but that is now set to end meaning there is to be room for chelsea 
mouscron are currently 15th in belgium 's pro league , with players including tristan dingome ( left )</t>
  </si>
  <si>
    <t>ners</t>
    <phoneticPr fontId="4" type="noConversion"/>
  </si>
  <si>
    <t>66-7</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</si>
  <si>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$ 4.17 billion</t>
  </si>
  <si>
    <t xml:space="preserve">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t>
    <phoneticPr fontId="4" type="noConversion"/>
  </si>
  <si>
    <t xml:space="preserve">starbucks says a sales register computer glitch has disrupted sales at company-operated stores in the us and canada </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</si>
  <si>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$ 4.18 billion</t>
  </si>
  <si>
    <t xml:space="preserve">a nationwide shutdown of starbucks ' computer system friday evening prompted baristas to give away free coffee </t>
  </si>
  <si>
    <t>66-7</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</si>
  <si>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$ 4.19 billion</t>
  </si>
  <si>
    <t xml:space="preserve">excited twitter users spread the word about the giveaway , sharing photos of the free-of-charge drinks </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</si>
  <si>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$ 4.20 billion</t>
  </si>
  <si>
    <t>point-of-sale shutdown is effecting 8,000 starbucks locations in us and canada</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</si>
  <si>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$ 4.21 billion</t>
  </si>
  <si>
    <t>company said in statement glitch was caused by a failure during a daily system refresh</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</si>
  <si>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$ 4.22 billion</t>
  </si>
  <si>
    <t>glitch also affected starbucks ' evolution fresh and teavana stores</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</si>
  <si>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$ 4.23 billion</t>
  </si>
  <si>
    <t>many starbucks locations closed their doors so as not to give away free drinks</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</si>
  <si>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$ 4.24 billion</t>
  </si>
  <si>
    <t>coffeehouse chain said in update on its site stores are expected to open for ` business as usual ' saturday</t>
  </si>
  <si>
    <t>67-7</t>
    <phoneticPr fontId="4" type="noConversion"/>
  </si>
  <si>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2011 .
pacquiao is promoted by bob arum 's top rank company .
actor mark wahlberg is a big fan of pacquiao .</t>
  </si>
  <si>
    <t>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t>
    <phoneticPr fontId="4" type="noConversion"/>
  </si>
  <si>
    <t xml:space="preserve">here , sportsmail takes a look at the two men 's achievements , in and out of the ring , ahead of their $ 300m mega-fight on may 2 </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</si>
  <si>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2012 .
pacquiao is promoted by bob arum 's top rank company .
actor mark wahlberg is a big fan of pacquiao .</t>
  </si>
  <si>
    <t>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£ 296m )</t>
  </si>
  <si>
    <t xml:space="preserve">wbc super-featherweight , wbc lightweight , wbc light-welterweight , ibf welterweight , wbc welterweight , wbc light-middleweight , wba light-middleweight </t>
  </si>
  <si>
    <t>67-7</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</si>
  <si>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2013 .
pacquiao is promoted by bob arum 's top rank company .
actor mark wahlberg is a big fan of pacquiao .</t>
  </si>
  <si>
    <t>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£ 297m )</t>
  </si>
  <si>
    <t xml:space="preserve">$ 440 million ( £ 295m ) </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</si>
  <si>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2014 .
pacquiao is promoted by bob arum 's top rank company .
actor mark wahlberg is a big fan of pacquiao .</t>
  </si>
  <si>
    <t>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£ 298m )</t>
  </si>
  <si>
    <t>floyd mayweather takes on manny pacquiao in las vegas on may 2</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</si>
  <si>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2015 .
pacquiao is promoted by bob arum 's top rank company .
actor mark wahlberg is a big fan of pacquiao .</t>
  </si>
  <si>
    <t>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£ 299m )</t>
  </si>
  <si>
    <t>the two men will split a $ 300m purse , with mayweather taking 60 per cent</t>
  </si>
  <si>
    <t>69-7</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</si>
  <si>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29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</si>
  <si>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training : locations in ceredigion , powys and pembrokeshire in west wales , illustrated above , are being used to radicalise muslims , according to an</t>
    <phoneticPr fontId="4" type="noConversion"/>
  </si>
  <si>
    <t xml:space="preserve">link : michael adebowale , left , one of the men convicted of murdering fusilier lee rigby , is understood to have studied arabic at the former european institute of human sciences at highmead , near llanybydder </t>
  </si>
  <si>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30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</si>
  <si>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link : michael adebowale , left , one of the men convicted of murdering fusilier lee rigby , is understood to have studied arabic at the former european institute of human sciences at highmead , near llanybydder 
omar latif , 28 , gurukanth desai , 30 , and abdul miah , 26 , were photographed holding a series of secret meetings with mohammed chowdhury and shah rahman in a country park in wales . 
training : locations in ceredigion , powys and pembrokeshire in west wales , illustrated above , are being used to radicalise muslims , according to an</t>
  </si>
  <si>
    <t>omar latif , 28 , gurukanth desai , 30 , and abdul miah , 25 , were photographed holding a series of secret meetings with mohammed chowdhury and shah rahman in a country park in wales .</t>
  </si>
  <si>
    <t>69-7</t>
  </si>
  <si>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31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</si>
  <si>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link : michael adebowale , left , one of the men convicted of murdering fusilier lee rigby , is understood to have studied arabic at the former european institute of human sciences at highmead , near llanybydder 
omar latif , 28 , gurukanth desai , 30 , and abdul miah , 27 , were photographed holding a series of secret meetings with mohammed chowdhury and shah rahman in a country park in wales . 
training : locations in ceredigion , powys and pembrokeshire in west wales , illustrated above , are being used to radicalise muslims , according to an</t>
  </si>
  <si>
    <t>officer</t>
  </si>
  <si>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32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</si>
  <si>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link : michael adebowale , left , one of the men convicted of murdering fusilier lee rigby , is understood to have studied arabic at the former european institute of human sciences at highmead , near llanybydder 
omar latif , 28 , gurukanth desai , 30 , and abdul miah , 28 , were photographed holding a series of secret meetings with mohammed chowdhury and shah rahman in a country park in wales . 
training : locations in ceredigion , powys and pembrokeshire in west wales , illustrated above , are being used to radicalise muslims , according to an</t>
  </si>
  <si>
    <t>also used to radicalise mulsims , according to counter-terrorism officer</t>
  </si>
  <si>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33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</si>
  <si>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link : michael adebowale , left , one of the men convicted of murdering fusilier lee rigby , is understood to have studied arabic at the former european institute of human sciences at highmead , near llanybydder 
omar latif , 28 , gurukanth desai , 30 , and abdul miah , 29 , were photographed holding a series of secret meetings with mohammed chowdhury and shah rahman in a country park in wales . 
training : locations in ceredigion , powys and pembrokeshire in west wales , illustrated above , are being used to radicalise muslims , according to an</t>
  </si>
  <si>
    <t>he said those involved are ` seemingly normal ' but have an ` ulterior motive '</t>
  </si>
  <si>
    <t>70-7</t>
    <phoneticPr fontId="4" type="noConversion"/>
  </si>
  <si>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3-13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</si>
  <si>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 xml:space="preserve">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t>
    <phoneticPr fontId="4" type="noConversion"/>
  </si>
  <si>
    <t>video scroll down to see depay 's stunning free kick against heerenveen manchester united have made an official approach for memphis depay ( right ) , says psv 's technical director</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</si>
  <si>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3-14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</si>
  <si>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2015 world cup campaign</t>
  </si>
  <si>
    <t xml:space="preserve">depay ( right ) worked under van gaal during holland 's successful 2014 world cup campaign </t>
  </si>
  <si>
    <t>70-7</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</si>
  <si>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3-15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</si>
  <si>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2016 world cup campaign</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</si>
  <si>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3-16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</si>
  <si>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2017 world cup campaign</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</si>
  <si>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3-17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</si>
  <si>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2018 world cup campaign</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</si>
  <si>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3-18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</si>
  <si>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2019 world cup campaign</t>
  </si>
  <si>
    <t>memphis depay has scored 20 goals in 26 league games for psv this term</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</si>
  <si>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3-19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</si>
  <si>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2020 world cup campaign</t>
  </si>
  <si>
    <t>psv beat heerenveen to lift their first eredivisie title in seven years</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</si>
  <si>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3-20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</si>
  <si>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2021 world cup campaign</t>
  </si>
  <si>
    <t>paris-saint germain are also interested in the highly-rated 21-year-old</t>
  </si>
  <si>
    <t>71-7</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</si>
  <si>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67 vertebrae</t>
  </si>
  <si>
    <t>it left authorities confused as they struggled to identify the rare species 
environment minister albert jacob said the find was ` highly significant ' for whale scientists because very little was known about the species . 
identifying the 5.68 m juvenile female was at first difficult for department of parks and wildlife staff , who eventually confirmed it was an omura 's whale with dna profiling .</t>
    <phoneticPr fontId="4" type="noConversion"/>
  </si>
  <si>
    <t xml:space="preserve">environment minister albert jacob said the find was ` highly significant ' for whale scientists because very little was known about the species . </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</si>
  <si>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68 vertebrae</t>
  </si>
  <si>
    <t>it left authorities confused as they struggled to identify the rare species 
environment minister albert jacob said the find was ` highly significant ' for whale scientists because very little was known about the species . 
identifying the 5.69 m juvenile female was at first difficult for department of parks and wildlife staff , who eventually confirmed it was an omura 's whale with dna profiling .</t>
  </si>
  <si>
    <t>the omura 's whale was discovered on a remote exmouth beach in wa</t>
  </si>
  <si>
    <t>71-7</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</si>
  <si>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69 vertebrae</t>
  </si>
  <si>
    <t>it left authorities confused as they struggled to identify the rare species 
environment minister albert jacob said the find was ` highly significant ' for whale scientists because very little was known about the species . 
identifying the 5.70 m juvenile female was at first difficult for department of parks and wildlife staff , who eventually confirmed it was an omura 's whale with dna profiling .</t>
  </si>
  <si>
    <t>it was washed up on the beach by tropical cyclone olwyn</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</si>
  <si>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70 vertebrae</t>
  </si>
  <si>
    <t>it left authorities confused as they struggled to identify the rare species 
environment minister albert jacob said the find was ` highly significant ' for whale scientists because very little was known about the species . 
identifying the 5.71 m juvenile female was at first difficult for department of parks and wildlife staff , who eventually confirmed it was an omura 's whale with dna profiling .</t>
  </si>
  <si>
    <t>it is the first sighting of the species in wa and only the second in australia</t>
  </si>
  <si>
    <t>72-7</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</si>
  <si>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35 ) : on for abraham and showed explosive pace straight away but was let down by a hurried attempt at a finish which flew over the bar .
isaiah brown holds off a tackle from fikayo tomori , during another impressive display for the young forward</t>
  </si>
  <si>
    <t xml:space="preserve">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sportsmail was at the academy stadium to see how the youngsters got on ... </t>
    <phoneticPr fontId="4" type="noConversion"/>
  </si>
  <si>
    <t xml:space="preserve">manchester city midfielder kean bryan tracks the run of dominic solanke as city looked to stem the tide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</si>
  <si>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36 ) : on for abraham and showed explosive pace straight away but was let down by a hurried attempt at a finish which flew over the bar .
isaiah brown holds off a tackle from fikayo tomori , during another impressive display for the young forward</t>
  </si>
  <si>
    <t xml:space="preserve">aaron nemane : moved to manchester from france as a toddler , the wide man who scored twice in the first leg of the semi final did outwitted dasilva with a delightful tap and go but could not find the final , killer ball . </t>
  </si>
  <si>
    <t>72-7</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</si>
  <si>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37 ) : on for abraham and showed explosive pace straight away but was let down by a hurried attempt at a finish which flew over the bar .
isaiah brown holds off a tackle from fikayo tomori , during another impressive display for the young forward</t>
  </si>
  <si>
    <t>sportsmail was at the academy stadium to see how the youngsters got on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</si>
  <si>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38 ) : on for abraham and showed explosive pace straight away but was let down by a hurried attempt at a finish which flew over the bar .
isaiah brown holds off a tackle from fikayo tomori , during another impressive display for the young forward</t>
  </si>
  <si>
    <t>chelsea forward tammy abraham nets first-half double for chelsea</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</si>
  <si>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39 ) : on for abraham and showed explosive pace straight away but was let down by a hurried attempt at a finish which flew over the bar .
isaiah brown holds off a tackle from fikayo tomori , during another impressive display for the young forward</t>
  </si>
  <si>
    <t>dominic solanke adds a third late on as chelsea look set to win trophy</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</si>
  <si>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40 ) : on for abraham and showed explosive pace straight away but was let down by a hurried attempt at a finish which flew over the bar .
isaiah brown holds off a tackle from fikayo tomori , during another impressive display for the young forward</t>
  </si>
  <si>
    <t>manchester city struggle without injured star thierry ambrose</t>
  </si>
  <si>
    <t>73-7</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</si>
  <si>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2023 .
correction : an earlier version of this article incorrectly stated that canadians elected their first female prime minister , kim campbell .</t>
  </si>
  <si>
    <t>but underneath the biochemistry debate is a much scarier consideration : the bias against women in the workplace is so well established that even in 2015 , a female candidate will be hard-pressed to get elected unless we have a serious discussion about ending gender bias . 
in a compelling series about women and work , wharton school professor adam grant and facebook coo sheryl sandberg lay out the startling facts about the bias women face at work and the profound benefit of eradicating gender stereotypes . 
if science does n't convince you , just google " cheating politicians "</t>
    <phoneticPr fontId="4" type="noConversion"/>
  </si>
  <si>
    <t>a businesswoman worries that if hillary clinton becomes president , her hormones will make her go to war</t>
  </si>
  <si>
    <t xml:space="preserve">in a compelling series about women and work , wharton school professor adam grant and facebook coo sheryl sandberg lay out the startling facts about the bias women face at work and the profound benefit of eradicating gender stereotypes . </t>
  </si>
  <si>
    <t>73-7</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</si>
  <si>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2024 .
correction : an earlier version of this article incorrectly stated that canadians elected their first female prime minister , kim campbell .</t>
  </si>
  <si>
    <t>but underneath the biochemistry debate is a much scarier consideration : the bias against women in the workplace is so well established that even in 2016 , a female candidate will be hard-pressed to get elected unless we have a serious discussion about ending gender bias . 
in a compelling series about women and work , wharton school professor adam grant and facebook coo sheryl sandberg lay out the startling facts about the bias women face at work and the profound benefit of eradicating gender stereotypes . 
if science does n't convince you , just google " cheating politicians "</t>
  </si>
  <si>
    <t>if science does n't convince you , just google " cheating politicians "</t>
  </si>
  <si>
    <t>74-7</t>
    <phoneticPr fontId="4" type="noConversion"/>
  </si>
  <si>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$ 47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</si>
  <si>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donors have said their candidate has already received monetary commitments in excess of the $ 40 million he will likely need to battle through a presidential primary season that will feature a crowd of seasoned republican candidates with strong financial backing . 
` ultimately , if someone that you care for and is part of your family has decided to move in one direction or another or feels that way because of who they love , you respect that because you love them . ' the presidential candidate spoke to cbs 's face the nation after admitting in an interview</t>
    <phoneticPr fontId="4" type="noConversion"/>
  </si>
  <si>
    <t xml:space="preserve">donors have said their candidate has already received monetary commitments in excess of the $ 40 million he will likely need to battle through a presidential primary season that will feature a crowd of seasoned republican candidates with strong financial backing . </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</si>
  <si>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$ 48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</si>
  <si>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donors have said their candidate has already received monetary commitments in excess of the $ 41 million he will likely need to battle through a presidential primary season that will feature a crowd of seasoned republican candidates with strong financial backing . 
` ultimately , if someone that you care for and is part of your family has decided to move in one direction or another or feels that way because of who they love , you respect that because you love them . ' the presidential candidate spoke to cbs 's face the nation after admitting in an interview</t>
  </si>
  <si>
    <t>` ultimately , if someone that you care for and is part of your family has decided to move in one direction or another or feels that way because of who they love , you respect that because you love them . ' the presidential candidate spoke to cbs 's face the nation after admitting in an interview</t>
  </si>
  <si>
    <t>74-7</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</si>
  <si>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$ 49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</si>
  <si>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donors have said their candidate has already received monetary commitments in excess of the $ 42 million he will likely need to battle through a presidential primary season that will feature a crowd of seasoned republican candidates with strong financial backing . 
` ultimately , if someone that you care for and is part of your family has decided to move in one direction or another or feels that way because of who they love , you respect that because you love them . ' the presidential candidate spoke to cbs 's face the nation after admitting in an interview</t>
  </si>
  <si>
    <t>senator told face the nation same-sex marriage is n't a constitutional right</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</si>
  <si>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$ 50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</si>
  <si>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donors have said their candidate has already received monetary commitments in excess of the $ 43 million he will likely need to battle through a presidential primary season that will feature a crowd of seasoned republican candidates with strong financial backing . 
` ultimately , if someone that you care for and is part of your family has decided to move in one direction or another or feels that way because of who they love , you respect that because you love them . ' the presidential candidate spoke to cbs 's face the nation after admitting in an interview</t>
  </si>
  <si>
    <t>added that it should be left up to the states to decide whether to allow it</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</si>
  <si>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$ 51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</si>
  <si>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donors have said their candidate has already received monetary commitments in excess of the $ 44 million he will likely need to battle through a presidential primary season that will feature a crowd of seasoned republican candidates with strong financial backing . 
` ultimately , if someone that you care for and is part of your family has decided to move in one direction or another or feels that way because of who they love , you respect that because you love them . ' the presidential candidate spoke to cbs 's face the nation after admitting in an interview</t>
  </si>
  <si>
    <t>said he does n't agree with gay marriage , but would attend a same-sex union if it was somebody he ` cared ' for</t>
  </si>
  <si>
    <t>75-7</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</si>
  <si>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</si>
  <si>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t>
    <phoneticPr fontId="4" type="noConversion"/>
  </si>
  <si>
    <t>cabinets : a pair of early victorian items of furniture made by gillows of lancaster which are set to fetch up to £ 4,000 at the auction on saturday</t>
  </si>
  <si>
    <t>robert hardy , 89 , is a military enthusiast who studied english literature under j.r.r. tolkien</t>
  </si>
  <si>
    <t>76-7</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</si>
  <si>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222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</si>
  <si>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 xml:space="preserve">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t>
    <phoneticPr fontId="4" type="noConversion"/>
  </si>
  <si>
    <t xml:space="preserve">ilze walks with her bike while pablo trails behind to capture a snowy landscape in turkey , which they traversed the entire north of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</si>
  <si>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223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</si>
  <si>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 xml:space="preserve">pabo and ilze take a break in an italian mountain town as they work their way from france towards eastern europe </t>
  </si>
  <si>
    <t>76-7</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</si>
  <si>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224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</si>
  <si>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pablo mandado and ilze zebolde left london last year on a quest to explore the world on bicycles</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</si>
  <si>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225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</si>
  <si>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they saved up for their travels , which they share on their website , while working in english restaurants</t>
  </si>
  <si>
    <t>77-7</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</si>
  <si>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t>
  </si>
  <si>
    <t>police say michael scott shemansky came to their attention after he failed to appear for a supervised visit with his son on the same day mother sandra shemansky , 57 , was found dead at the home they shared in winter garden . 
michael scott shemansky is on the run after authorities named him as a suspect in the murder of his mother 
a florida man wanted as a suspect in the murder of his own mother has been on the run from police since saturday .</t>
    <phoneticPr fontId="4" type="noConversion"/>
  </si>
  <si>
    <t>a florida man wanted as a suspect in the murder of his own mother has been on the run from police since saturday .</t>
  </si>
  <si>
    <t>michael shemansky was going through a difficult divorce and neighbors believe the stress may have caused him to snap</t>
  </si>
  <si>
    <t>78-7</t>
    <phoneticPr fontId="4" type="noConversion"/>
  </si>
  <si>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</si>
  <si>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 xml:space="preserve">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t>
    <phoneticPr fontId="4" type="noConversion"/>
  </si>
  <si>
    <t>racial slur : this racial slur was allegedly printed by premiere photos at the bottom of some of the photographs at their wedding event in 2012</t>
  </si>
  <si>
    <t>the couple , who does not wish to be identified , is suing premiere photos for allegedly printing the caption , ` poor n ***** party ' on the bottom of photos</t>
    <phoneticPr fontId="4" type="noConversion"/>
  </si>
  <si>
    <t>79-7</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</si>
  <si>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2019 iaaf world athletics championships in moscow</t>
  </si>
  <si>
    <t>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t>
    <phoneticPr fontId="4" type="noConversion"/>
  </si>
  <si>
    <t>statement</t>
    <phoneticPr fontId="4" type="noConversion"/>
  </si>
  <si>
    <t>`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t>
  </si>
  <si>
    <t>79-7</t>
  </si>
  <si>
    <t>the sport 's governing body iaaf bypassed the normal bidding process</t>
  </si>
  <si>
    <t>80-7</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</si>
  <si>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2028 campaign that champions people at the heart and soul of the game by putting grassroots clubs on the global stage .</t>
  </si>
  <si>
    <t xml:space="preserve">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t>
    <phoneticPr fontId="4" type="noConversion"/>
  </si>
  <si>
    <t xml:space="preserve">brown ( left ) was knocked out cold in england 's 47-17 victory over italy at twickenham in february </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</si>
  <si>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2029 campaign that champions people at the heart and soul of the game by putting grassroots clubs on the global stage .</t>
  </si>
  <si>
    <t>brown ( left ) was knocked out cold in england 's 47-18 victory over italy at twickenham in february 
the full back ( centre ) was immediately treated by the england medical team after being concussed vs italy 
` learning about all the symptoms was massive , ' said brown , speaking for land rover 's ` we deal in real ' campaign .</t>
  </si>
  <si>
    <t xml:space="preserve">the full back ( centre ) was immediately treated by the england medical team after being concussed vs italy </t>
  </si>
  <si>
    <t>80-7</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</si>
  <si>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2030 campaign that champions people at the heart and soul of the game by putting grassroots clubs on the global stage .</t>
  </si>
  <si>
    <t>brown ( left ) was knocked out cold in england 's 47-19 victory over italy at twickenham in february 
the full back ( centre ) was immediately treated by the england medical team after being concussed vs italy 
` learning about all the symptoms was massive , ' said brown , speaking for land rover 's ` we deal in real ' campaign .</t>
  </si>
  <si>
    <t xml:space="preserve">` learning about all the symptoms was massive , ' said brown , speaking for land rover 's ` we deal in real ' campaign . </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</si>
  <si>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2031 campaign that champions people at the heart and soul of the game by putting grassroots clubs on the global stage .</t>
  </si>
  <si>
    <t>brown ( left ) was knocked out cold in england 's 47-20 victory over italy at twickenham in february 
the full back ( centre ) was immediately treated by the england medical team after being concussed vs italy 
` learning about all the symptoms was massive , ' said brown , speaking for land rover 's ` we deal in real ' campaign .</t>
  </si>
  <si>
    <t>harlequins full back mike brown pulled out of the aviva premiership clash</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</si>
  <si>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2032 campaign that champions people at the heart and soul of the game by putting grassroots clubs on the global stage .</t>
  </si>
  <si>
    <t>brown ( left ) was knocked out cold in england 's 47-21 victory over italy at twickenham in february 
the full back ( centre ) was immediately treated by the england medical team after being concussed vs italy 
` learning about all the symptoms was massive , ' said brown , speaking for land rover 's ` we deal in real ' campaign .</t>
  </si>
  <si>
    <t>brown is still wary after suffering concussion while on england duty</t>
  </si>
  <si>
    <t>81-7</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</si>
  <si>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£ 70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</si>
  <si>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t>
    <phoneticPr fontId="4" type="noConversion"/>
  </si>
  <si>
    <t xml:space="preserve">granger 's co-defendants kyrron jackson , 28 , ( left ) and nicholas chandler , 29 , ( right ) , both from south east london , have both been convicted of murdering mr hassan and are to be sentenced in due course </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</si>
  <si>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£ 71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</si>
  <si>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granger 's co-defendants kyrron jackson , 28 , ( left ) and nicholas chandler , 30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t>
  </si>
  <si>
    <t xml:space="preserve">granger ( left ) helped kyrron jackson ( centre ) and nicholas chandler ( right ) rob and kill gambler mr hassan </t>
  </si>
  <si>
    <t>81-7</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</si>
  <si>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£ 72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</si>
  <si>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granger 's co-defendants kyrron jackson , 28 , ( left ) and nicholas chandler , 31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t>
  </si>
  <si>
    <t>police found mr hassan lying in a pool of blood after his family had raised the alarm .</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</si>
  <si>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£ 73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</si>
  <si>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granger 's co-defendants kyrron jackson , 28 , ( left ) and nicholas chandler , 32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t>
  </si>
  <si>
    <t>leonie granger , 25 , has been jailed for 16 years for luring gambler to death</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</si>
  <si>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£ 74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</si>
  <si>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granger 's co-defendants kyrron jackson , 28 , ( left ) and nicholas chandler , 33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t>
  </si>
  <si>
    <r>
      <t>went to his flat and let in boyfriend kyrron jackson and nicholas chandler</t>
    </r>
    <r>
      <rPr>
        <sz val="11"/>
        <color indexed="8"/>
        <rFont val="宋体"/>
        <family val="3"/>
        <charset val="134"/>
      </rPr>
      <t>，</t>
    </r>
    <r>
      <rPr>
        <sz val="11"/>
        <color indexed="8"/>
        <rFont val="Arial"/>
        <family val="2"/>
      </rPr>
      <t>they kicked mr hassan to death and stole some of his gambling winnings</t>
    </r>
  </si>
  <si>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£ 75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</si>
  <si>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granger 's co-defendants kyrron jackson , 28 , ( left ) and nicholas chandler , 34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t>
  </si>
  <si>
    <t>granger convicted of manslaughter and two men found guilty of murder</t>
  </si>
  <si>
    <t>82-7</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</si>
  <si>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10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</si>
  <si>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research has revealed that the frequency with which britons are having sex has been in decline since the emergence of the internet ( file picture )</t>
    <phoneticPr fontId="4" type="noConversion"/>
  </si>
  <si>
    <t xml:space="preserve">passion killed : people are check their emails ` all the time ' , according to professor david spiegelhalter , a statistician at cambridge university ( file picture ) </t>
  </si>
  <si>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11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</si>
  <si>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 xml:space="preserve">but he added : ` a more realistic explanation is that as we 've become better connected technologically , our lives have become busier with the boundaries eroded between home , work and the outside world . </t>
  </si>
  <si>
    <t>82-7</t>
  </si>
  <si>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12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</si>
  <si>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 file picture )</t>
  </si>
  <si>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13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</si>
  <si>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14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</si>
  <si>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typical heterosexual couples in britain are having sex three times a month</t>
  </si>
  <si>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15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</si>
  <si>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the figure in 2000 was four times a month and five times a month in 1990</t>
  </si>
  <si>
    <t>83-7</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</si>
  <si>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3-17 win over hull city , but that was his first in five games
mourinho is looking to guide his team over the line in the premier league title race , with fabregas a key cog</t>
  </si>
  <si>
    <t xml:space="preserve">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
    <phoneticPr fontId="4" type="noConversion"/>
  </si>
  <si>
    <t>fabregas ' former team-mate thierry henry ( right ) holds the record for assists in a premier league season</t>
  </si>
  <si>
    <t xml:space="preserve">when he left barcelona , the club commented on fabregas ' unwanted reputation for a late-season slump </t>
  </si>
  <si>
    <t>83-7</t>
  </si>
  <si>
    <t>cesc fabregas ' poor form continued for spain against holland on tuesday</t>
  </si>
  <si>
    <t>chelsea midfielder captained his country but they lost 2-0 in amsterdam</t>
  </si>
  <si>
    <t>84-7</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</si>
  <si>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t>
  </si>
  <si>
    <t xml:space="preserve">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
    <phoneticPr fontId="4" type="noConversion"/>
  </si>
  <si>
    <t xml:space="preserve">loyal : tibetan mastiffs , like the one here , were originally used by people in tibet to herd other animals </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</si>
  <si>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£ 600,012 .
the dogs are seen with a model</t>
  </si>
  <si>
    <t xml:space="preserve">in their heyday : a visitor plays with one of the dogs at a tibetan mastiff show in shenyang city four years ago </t>
  </si>
  <si>
    <t>84-7</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</si>
  <si>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£ 600,013 .
the dogs are seen with a model</t>
  </si>
  <si>
    <t xml:space="preserve">meanwhile , chen youjun a specialist in tibetan mastiff photography , said : ` the rapid pace of urbanisation across china has made more and more people now realise tibetan mastiffs are not animals well-suited to city living . ' </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</si>
  <si>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£ 600,014 .
the dogs are seen with a model</t>
  </si>
  <si>
    <t>tibetan mastiffs had been status symbols for china 's wealthiest</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</si>
  <si>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£ 600,015 .
the dogs are seen with a model</t>
  </si>
  <si>
    <t>they were given as gifts to grateful officials by businessmen</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</si>
  <si>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£ 600,016 .
the dogs are seen with a model</t>
  </si>
  <si>
    <t>but an anti-corruption drive means the breed is now shunned</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</si>
  <si>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£ 600,017 .
the dogs are seen with a model</t>
  </si>
  <si>
    <t>instead the dogs are sold to abattoirs for their meat and skin</t>
  </si>
  <si>
    <t>85-7</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</si>
  <si>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t>
  </si>
  <si>
    <t>premier league outfit west ham are closing in on the signature of jamaican starlet deshane beckford 
meanwhile , west ham have revealed season tickets at the olympic stadium will cost as little as £ 289 . 
the skilful 17-year-old forward from montego bay united was invited to train with west ham 's academy earlier this month and has impressed coaches after spending two weeks with the club .</t>
    <phoneticPr fontId="4" type="noConversion"/>
  </si>
  <si>
    <t>the skilful 17-year-old forward from montego bay united was invited to train with west ham 's academy earlier this month and has impressed coaches after spending two weeks with the club .</t>
  </si>
  <si>
    <t>jamaican starlet beckford has been linked with a host of european clubs</t>
  </si>
  <si>
    <t>87-7</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</si>
  <si>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€ 75,005 fine . "
she said women needed to be better " educated that what they 're going through is not normal " , and that the message must reach " aggressors and witnesses " .</t>
  </si>
  <si>
    <t>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every woman surveyed in paris claimed to have been a victim of some kind of sexual harassment on the city 's public transport 
the poll of 600 women from the area around paris found that</t>
    <phoneticPr fontId="4" type="noConversion"/>
  </si>
  <si>
    <t>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t>
    <phoneticPr fontId="4" type="noConversion"/>
  </si>
  <si>
    <t>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every woman surveyed in paris claimed to have been a victim of some kind of sexual harassment on the city 's public transport 
the poll of 600 women from the area around paris found that</t>
  </si>
  <si>
    <t>half of those interviewed said they had first suffered harassment under the age of 18 .</t>
  </si>
  <si>
    <t>87-7</t>
  </si>
  <si>
    <t>led to calls for campaign to stem sexist and threatening behaviour</t>
  </si>
  <si>
    <t>88-7</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</si>
  <si>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</si>
  <si>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 xml:space="preserve">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james cameron , 53 , vice-chairman of the tedworth hunt , added : ` their decision is disappointing , but this highlights how difficult it is for police to do their job when saboteurs turn up wearing face coverings . ' </t>
    <phoneticPr fontId="4" type="noConversion"/>
  </si>
  <si>
    <t xml:space="preserve">attack : mike lane ,40 , who is joint master of the tedworth hunt , on the ground during the confrontation with hunt saboteurs </t>
  </si>
  <si>
    <t xml:space="preserve">james cameron , 53 , vice-chairman of the tedworth hunt , added : ` their decision is disappointing , but this highlights how difficult it is for police to do their job when saboteurs turn up wearing face coverings . ' </t>
  </si>
  <si>
    <t>88-7</t>
  </si>
  <si>
    <t>mike lane was beaten by masked protesters armed with iron bars on ropes</t>
  </si>
  <si>
    <t>attack happened as 30 riders and hounds were chasing artificial scent</t>
  </si>
  <si>
    <t>decision by police to drop probe branded ` pathetic ' by 40-year-old</t>
  </si>
  <si>
    <t>89-7</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</si>
  <si>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40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</si>
  <si>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 xml:space="preserve">not being able to sleep ( 46 per cent * ) 
losing your keys ( 37 per cent ) 
being stuck in traffic when already late ( 35 per cent ) </t>
    <phoneticPr fontId="4" type="noConversion"/>
  </si>
  <si>
    <t xml:space="preserve">not being able to sleep ( 46 per cent * ) </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</si>
  <si>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41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</si>
  <si>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not being able to sleep ( 46 per cent * ) 
losing your keys ( 37 per cent ) 
being stuck in traffic when already late ( 36 per cent )</t>
  </si>
  <si>
    <t xml:space="preserve">losing your keys ( 37 per cent ) </t>
  </si>
  <si>
    <t>89-7</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</si>
  <si>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42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</si>
  <si>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not being able to sleep ( 46 per cent * ) 
losing your keys ( 37 per cent ) 
being stuck in traffic when already late ( 37 per cent )</t>
  </si>
  <si>
    <t xml:space="preserve">being stuck in traffic when already late ( 35 per cent ) </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</si>
  <si>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43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</si>
  <si>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not being able to sleep ( 46 per cent * ) 
losing your keys ( 37 per cent ) 
being stuck in traffic when already late ( 38 per cent )</t>
  </si>
  <si>
    <t>leeds-based direct line is running a competition called #everydayfix</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</si>
  <si>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44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</si>
  <si>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not being able to sleep ( 46 per cent * ) 
losing your keys ( 37 per cent ) 
being stuck in traffic when already late ( 39 per cent )</t>
  </si>
  <si>
    <t>they asked groups to design products to deal with common problems</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</si>
  <si>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45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</si>
  <si>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not being able to sleep ( 46 per cent * ) 
losing your keys ( 37 per cent ) 
being stuck in traffic when already late ( 40 per cent )</t>
  </si>
  <si>
    <t>these include forgetting to lock the door and running out of battery</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</si>
  <si>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46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</si>
  <si>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not being able to sleep ( 46 per cent * ) 
losing your keys ( 37 per cent ) 
being stuck in traffic when already late ( 41 per cent )</t>
  </si>
  <si>
    <t>you can vote for your favourite design and the winner will be crowdfunded</t>
  </si>
  <si>
    <t>90-7</t>
    <phoneticPr fontId="4" type="noConversion"/>
  </si>
  <si>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</si>
  <si>
    <t xml:space="preserve">the former hearts boss joined the club as assistant boss to allan johnston last summer but took control of the team when his ex-tynecastle team-mate quit at the start of february . 
gary locke has been given the job at kilmarnock on a permanent basis after a successful interim spell 
locke shakes hands with chairman jim mann after signing a three-year deal at the club </t>
    <phoneticPr fontId="4" type="noConversion"/>
  </si>
  <si>
    <t>locke shakes hands with chairman jim mann after signing a three-year deal at the club</t>
  </si>
  <si>
    <t>locke has won two and drawn four of his seven games in charge</t>
  </si>
  <si>
    <t>93-7</t>
    <phoneticPr fontId="4" type="noConversion"/>
  </si>
  <si>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t>
  </si>
  <si>
    <t>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s
he is pictured above with deputy chief superintendent neil adamson at a press conference following his death adding the fact that chief constable sue sim was ` wrong ' , mr vaz said commissioners should never have been given the ability to allocate public funds to charity .</t>
    <phoneticPr fontId="4" type="noConversion"/>
  </si>
  <si>
    <t>sitting alongside ms baird on victims first northumbria 's top table is chief constable sue sim . s</t>
  </si>
  <si>
    <t>he is pictured above with deputy chief superintendent neil adamson at a press conference following his death adding the fact that chief constable sue sim was ` wrong ' , mr vaz said commissioners should never have been given the ability to allocate public funds to charity .</t>
  </si>
  <si>
    <t>93-7</t>
  </si>
  <si>
    <t>chief constable sue sim is also on the organisation 's board of directors</t>
  </si>
  <si>
    <t>critics have accused northumbria police of creating ` its own soap opera '</t>
  </si>
  <si>
    <t>94-7</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</si>
  <si>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2042 letter from gadahn making recommendations for al qaeda 's media strategy .
gadahn was married to a muslim woman from afghanistan and reportedly had at least one child .
cnn 's steve almasy contributed to this report .</t>
  </si>
  <si>
    <t>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your failure to heed our demands ... means that you and your people will ... experience things which will make you forget about the horrors of september 11 , afghanistan and iraq and virginia tech , " he said ,</t>
    <phoneticPr fontId="4" type="noConversion"/>
  </si>
  <si>
    <t xml:space="preserve">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</si>
  <si>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2043 letter from gadahn making recommendations for al qaeda 's media strategy .
gadahn was married to a muslim woman from afghanistan and reportedly had at least one child .
cnn 's steve almasy contributed to this report .</t>
  </si>
  <si>
    <t>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your failure to heed our demands ... means that you and your people will ... experience things which will make you forget about the horrors of september 12 , afghanistan and iraq and virginia tech , " he said ,</t>
  </si>
  <si>
    <t>your failure to heed our demands ... means that you and your people will ... experience things which will make you forget about the horrors of september 11 , afghanistan and iraq and virginia tech , " he said ,</t>
  </si>
  <si>
    <t>94-7</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</si>
  <si>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2044 letter from gadahn making recommendations for al qaeda 's media strategy .
gadahn was married to a muslim woman from afghanistan and reportedly had at least one child .
cnn 's steve almasy contributed to this report .</t>
  </si>
  <si>
    <t>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your failure to heed our demands ... means that you and your people will ... experience things which will make you forget about the horrors of september 13 , afghanistan and iraq and virginia tech , " he said ,</t>
  </si>
  <si>
    <t>Accuracy</t>
    <phoneticPr fontId="4" type="noConversion"/>
  </si>
  <si>
    <t>in his final known video , adam gadahn called for governments of pakistan and saudi arabia to be overthrown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</si>
  <si>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2045 letter from gadahn making recommendations for al qaeda 's media strategy .
gadahn was married to a muslim woman from afghanistan and reportedly had at least one child .
cnn 's steve almasy contributed to this report .</t>
  </si>
  <si>
    <t>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your failure to heed our demands ... means that you and your people will ... experience things which will make you forget about the horrors of september 14 , afghanistan and iraq and virginia tech , " he said ,</t>
  </si>
  <si>
    <t>he was raised in california and said he was of jewish ancestry</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</si>
  <si>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2046 letter from gadahn making recommendations for al qaeda 's media strategy .
gadahn was married to a muslim woman from afghanistan and reportedly had at least one child .
cnn 's steve almasy contributed to this report .</t>
  </si>
  <si>
    <t>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your failure to heed our demands ... means that you and your people will ... experience things which will make you forget about the horrors of september 15 , afghanistan and iraq and virginia tech , " he said ,</t>
  </si>
  <si>
    <t>he converted to islam in 1995 , left u.s. in 1998 and joined al qaeda , becoming a spokesman</t>
  </si>
  <si>
    <t>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t>
    <phoneticPr fontId="4" type="noConversion"/>
  </si>
  <si>
    <t>right</t>
    <phoneticPr fontId="4" type="noConversion"/>
  </si>
  <si>
    <t>sb</t>
    <phoneticPr fontId="4" type="noConversion"/>
  </si>
  <si>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phoneticPr fontId="4" type="noConversion"/>
  </si>
  <si>
    <t xml:space="preserve">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t>
    <phoneticPr fontId="4" type="noConversion"/>
  </si>
  <si>
    <t xml:space="preserve">martin skrtel ( left ) says departing liverpool captain steven gerrard is still one of the best players in the world </t>
  </si>
  <si>
    <t xml:space="preserve"> ( right )</t>
  </si>
  <si>
    <t>skrtel believes the club do have players that could eventually replace him</t>
  </si>
  <si>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phoneticPr fontId="4" type="noConversion"/>
  </si>
  <si>
    <t>jessica kemp from eustis says teachers at seminole county elementary warned they would remove kindergartner logan from class because the products , manufactured by doterra , smell and are a distraction to youngsters around him .
the 32-year-old puts the oil on his neck as she believes it keeps him calm and focused
she claims her boy has been using them all year , but then a teacher 's aide complained .</t>
    <phoneticPr fontId="4" type="noConversion"/>
  </si>
  <si>
    <t xml:space="preserve">she claims her boy has been using them all year , but then a teacher 's aide complained . </t>
    <phoneticPr fontId="4" type="noConversion"/>
  </si>
  <si>
    <t xml:space="preserve">jessica kemp , 32 , has slammed seminole county elementary in eustis . </t>
  </si>
  <si>
    <t xml:space="preserve">school district have said they will not suspend him as it 's a ` health issue ' </t>
  </si>
  <si>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phoneticPr fontId="4" type="noConversion"/>
  </si>
  <si>
    <t>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the rise of hand car washes has been blamed for a decrease in drivers washing their own cars ( file pic )</t>
    <phoneticPr fontId="4" type="noConversion"/>
  </si>
  <si>
    <t xml:space="preserve">( file pic ) </t>
  </si>
  <si>
    <t xml:space="preserve">a new study has revealed that a third of men have never picked up a bucket and a chamois leather to wash their own car ( file pic ) </t>
  </si>
  <si>
    <t>the rise of hand car washes has been blamed for a decrease in drivers washing their own cars ( file pic )</t>
  </si>
  <si>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phoneticPr fontId="4" type="noConversion"/>
  </si>
  <si>
    <t xml:space="preserve">`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t>
    <phoneticPr fontId="4" type="noConversion"/>
  </si>
  <si>
    <t xml:space="preserve">` lost everything ' : the building manager who lived and worked in the sandpiper complex was distraught watching the fire </t>
  </si>
  <si>
    <t>the 90-condo holiday home building in westhampton collapsed at around 3pm on Wednesday</t>
    <phoneticPr fontId="4" type="noConversion"/>
  </si>
  <si>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phoneticPr fontId="4" type="noConversion"/>
  </si>
  <si>
    <t xml:space="preserve">barker was a dancer in such new york nightspots as the cotton club and the cafe zanzibar in the 1930s and 1940s , part of chorus lines that entertained alongside notables including bill " bojangles " robinson and frank sinatra . 
mark cantor of jazz-on-film.com and some volunteers put together a video of " soundies " -- early music videos -- and showed them to barker at the nursing home where she lives . 
( cnn ) with help from some filmmakers , 102-year-old alice barker went back in time . </t>
    <phoneticPr fontId="4" type="noConversion"/>
  </si>
  <si>
    <t xml:space="preserve">mark cantor of jazz-on-film.com and some volunteers put together a video of " soundies " -- early music videos -- and showed them to barker at the nursing home where she lives . </t>
  </si>
  <si>
    <t>( cnn )</t>
  </si>
  <si>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phoneticPr fontId="4" type="noConversion"/>
  </si>
  <si>
    <t xml:space="preserve">equine enthusiast : her majesty adores the ponies and breeds them at hampton court 
no helmet : the queen never wears a riding helmet , preferring instead to ride in a silk headscarf 
cutting back : she has ridden less in recent years as a result of a niggling knee injury </t>
    <phoneticPr fontId="4" type="noConversion"/>
  </si>
  <si>
    <t>the queen was spotted enjoying a ride in windsor great park today</t>
  </si>
  <si>
    <t>rode her favourite fell pony , a mare named carltonlima emma</t>
  </si>
  <si>
    <t xml:space="preserve">equine enthusiast : her majesty adores the ponies and breeds them at hampton court </t>
  </si>
  <si>
    <t xml:space="preserve">cutting back : she has ridden less in recent years as a result of a niggling knee injury </t>
  </si>
  <si>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phoneticPr fontId="4" type="noConversion"/>
  </si>
  <si>
    <t xml:space="preserve">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the size of a domestic cat quokkas can be found on some small islands off the west australian coast in particular off rottnest island off perth and bald island near albany </t>
    <phoneticPr fontId="4" type="noConversion"/>
  </si>
  <si>
    <t xml:space="preserve">detectives went to rottnest island on saturday and questioned the two men and also seized video evidence of the careless act . </t>
  </si>
  <si>
    <t xml:space="preserve">the size of a domestic cat quokkas can be found on some small islands off the west australian coast in particular off rottnest island off perth and bald island near albany </t>
  </si>
  <si>
    <t>both have been charged for animal cruelty and appear in court on april 17</t>
  </si>
  <si>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phoneticPr fontId="4" type="noConversion"/>
  </si>
  <si>
    <t>phillip pama covered his face as he left brisbane magistrate courts where he was granted conditional bail on friday 
pama , a married father of three , works a 3 am shift at a nearby warehouse and was sleeping at the time mr yeaman was making a commotion . 
the father of three allegedly killed his 55-year-old neighbour with one punch after he refused to turn his music down</t>
    <phoneticPr fontId="4" type="noConversion"/>
  </si>
  <si>
    <t>phillip pama covered his face as he left brisbane magistrate courts</t>
  </si>
  <si>
    <t>pama , a married father of three , works a 3 am shift at a nearby warehouse and was sleeping at the time mr yeaman was making a commotion .</t>
  </si>
  <si>
    <t>two men got in an argument about noise levels on thursday night</t>
  </si>
  <si>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phoneticPr fontId="4" type="noConversion"/>
  </si>
  <si>
    <t>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t>
    <phoneticPr fontId="4" type="noConversion"/>
  </si>
  <si>
    <t xml:space="preserve">on wednesday , e. royster harper , university of michigan 's vice president for student life , said in a statement that " it was a mistake to cancel the showing of the movie ` american sniper ' on campus as part of a social event for students " and that the show will go on . " </t>
  </si>
  <si>
    <t>the initial decision to cancel the movie was not consistent with the high value the university of michigan places on freedom of expression and our respect for the right of students to make their own choices in such matters , " the</t>
  </si>
  <si>
    <t>the university of michigan has decided to proceed with a screening of the film `` american sniper '' .</t>
  </si>
  <si>
    <t xml:space="preserve">some complained about the film 's depiction of the iraq war . </t>
  </si>
  <si>
    <t xml:space="preserve"> a petition asked the university not to show the bradley cooper film .</t>
  </si>
  <si>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phoneticPr fontId="4" type="noConversion"/>
  </si>
  <si>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part of £ 1,400 offered for a ` hit ' , police arrested the 52-year-old in her car</t>
    <phoneticPr fontId="4" type="noConversion"/>
  </si>
  <si>
    <t xml:space="preserve">a hidden camera filmed the moment a jilted 52-year-old music teacher ordered a ` hit ' on a teenage pupil , after the 15-year-old ended their relationship . </t>
  </si>
  <si>
    <t xml:space="preserve">now faces 15 years in prison after being charged with attempted murder . </t>
  </si>
  <si>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phoneticPr fontId="4" type="noConversion"/>
  </si>
  <si>
    <t xml:space="preserve">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
    <phoneticPr fontId="4" type="noConversion"/>
  </si>
  <si>
    <t xml:space="preserve">the stylish pair agree that denim is the easiest way to achieve the trend </t>
  </si>
  <si>
    <t xml:space="preserve">the wide-leg trouser made an appearance on several catwalks including on the runway of gucci ss15 who showcased a denim take on the trend , for a high street take try the topshop miller jean ( right ) </t>
  </si>
  <si>
    <t xml:space="preserve">celine showcased colourful billowing bottoms on their ss15 runway </t>
  </si>
  <si>
    <t>louise redknapp says that a wide-leg trouser can come as a welcome relief from the skinny jean</t>
  </si>
  <si>
    <t>louise and emma say to avoid being drowned by too much fabric try a high heeled shoe</t>
  </si>
  <si>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</si>
  <si>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</si>
  <si>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 xml:space="preserve">mourinho , with his wife and children at the hunger games premiere , said he only prays for things in his personal life , never about football </t>
  </si>
  <si>
    <t xml:space="preserve">mourinho 's son , jose mario , celebrates chelsea 's capital one cup victory with some of the players this year </t>
  </si>
  <si>
    <t>the 52-year-old father-of-two said that he prays every day but only goes to church regularly in portugal</t>
  </si>
  <si>
    <t>jose mourinho said he is proud to work with underprivileged people</t>
  </si>
  <si>
    <t>he claimed that he never discusses footballing issues with his wife</t>
  </si>
  <si>
    <t>in a wide-ranging interview he said he is a deeply religious person</t>
  </si>
  <si>
    <t>he also claims that he is essentially a ` very good person ' despite his antics</t>
  </si>
  <si>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phoneticPr fontId="4" type="noConversion"/>
  </si>
  <si>
    <t xml:space="preserve">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t>
    <phoneticPr fontId="4" type="noConversion"/>
  </si>
  <si>
    <t>( middle )</t>
  </si>
  <si>
    <t xml:space="preserve">haskell posted the image on thursday along with the message : ` avengers movie is out so thought i would release the inner iron man . </t>
    <phoneticPr fontId="4" type="noConversion"/>
  </si>
  <si>
    <t>the avengers : age of ultron move hit the screens in england this week</t>
    <phoneticPr fontId="4" type="noConversion"/>
  </si>
  <si>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phoneticPr fontId="4" type="noConversion"/>
  </si>
  <si>
    <t xml:space="preserve">looking spry at 91 , barker handled the first price-guessing game of the show , the classic " lucky seven , " before turning hosting duties over to carey , who finished up . 
on the april 1 edition of " the price is right " encountered not host drew carey but another familiar face in charge of the proceedings . 
contestants told to " come on down ! " </t>
    <phoneticPr fontId="4" type="noConversion"/>
  </si>
  <si>
    <t>looking spry at 91 , barker handled the first price-guessing game of the show , the classic " lucky seven , " before turning hosting duties over to carey , who finished up .</t>
  </si>
  <si>
    <t xml:space="preserve">contestants told to " come on down ! " </t>
  </si>
  <si>
    <t>barker , 91 , had retired as host in 2007</t>
  </si>
  <si>
    <t>bob barker</t>
  </si>
  <si>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phoneticPr fontId="4" type="noConversion"/>
  </si>
  <si>
    <t xml:space="preserve">amateur jockey lee lewis ferguson has just a cut on his nose to show for his ordeal 
teenager ferguson was flung from his horse in spectacular fashion at wincanton 
` it was just a blur , ' he said . </t>
    <phoneticPr fontId="4" type="noConversion"/>
  </si>
  <si>
    <t>` it was just a blur , ' he said .</t>
  </si>
  <si>
    <t>lewis ferguson was mucking out the stables as usual on thursday</t>
  </si>
  <si>
    <t>his spectacular double somersault fall made him internet sensation</t>
  </si>
  <si>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phoneticPr fontId="4" type="noConversion"/>
  </si>
  <si>
    <t xml:space="preserve">residential : baldwin was arrested here , on the 3200 block of d street se , not long after midnight friday 
the metropolitan police department told dailymail.com that baldwin was arrested by officers returning to the scene of the alleged crime , on the 3200 block of d street se . 
the inspector general is already investigating a march 4 incident in which two high-ranking agency officials are accused of driving into a secure area at the white house after a night of drinking . </t>
    <phoneticPr fontId="4" type="noConversion"/>
  </si>
  <si>
    <t>the metropolitan police department told dailymail.com that baldwin was arrested by officers returning to the scene of the alleged crime , on the 3200 block of d street se .</t>
  </si>
  <si>
    <t>the inspector general is already investigating a march 4 incident in which two high-ranking agency officials are accused of driving into a secure area at the white house after a night of drinking .</t>
  </si>
  <si>
    <t>he has been hit with a felony charge of attempted burglary and another of destruction of property .</t>
  </si>
  <si>
    <t>the agency revoked baldwin 's security clearance and put him on leave in light of the arrest .</t>
  </si>
  <si>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phoneticPr fontId="4" type="noConversion"/>
  </si>
  <si>
    <t>pirlo has established himself as one of the best midfielders in world football and is hugely popular 
totti ( 10 ) is a roma legend and osvaldo feels that he would be just as loved if he moved to argentina 
the 29-year-old moved to his current side on a loan deal from southampton and has become an instant hit - scoring three goals in six games .</t>
    <phoneticPr fontId="4" type="noConversion"/>
  </si>
  <si>
    <t xml:space="preserve">pirlo has established himself as one of the best midfielders in world football and is hugely popular </t>
  </si>
  <si>
    <t xml:space="preserve">totti ( 10 ) is a roma legend and osvaldo feels that he would be just as loved if he moved to argentina </t>
  </si>
  <si>
    <t>pablo osvaldo says andrea pirlo and francesco totti should join boca</t>
  </si>
  <si>
    <t>osvaldo believes the boca fans ` would go crazy ' for the italian duo</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</si>
  <si>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phoneticPr fontId="4" type="noConversion"/>
  </si>
  <si>
    <t xml:space="preserve">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t>
    <phoneticPr fontId="4" type="noConversion"/>
  </si>
  <si>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t>
    <phoneticPr fontId="4" type="noConversion"/>
  </si>
  <si>
    <t xml:space="preserve">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t>
    <phoneticPr fontId="4" type="noConversion"/>
  </si>
  <si>
    <t xml:space="preserve">dani alves keeps a close eye on almeria midfielder edgar mendez ( right ) during barca 's game on wednesday </t>
  </si>
  <si>
    <t xml:space="preserve">dinorah santana , the player 's agent and ex-wife , said at a press conference on thursday that her client had rejected the offer of a three-year contract extension , which was dependent on the player taking part in 60 per cent of matches for the club . </t>
    <phoneticPr fontId="4" type="noConversion"/>
  </si>
  <si>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phoneticPr fontId="4" type="noConversion"/>
  </si>
  <si>
    <t xml:space="preserve">to the right is a tattoo artist 's rendering of how the actual tattoo may have appeared originally 
the deceased woman had no identification on her , but she sported a distinctive tattoo on her right leg . 
death in the street : the unnamed woman , believed to be 25 to 45 years old , was discovered lying unconscious march 22 in the area near shore parkway and 26th avenue in the gravesend section of brooklyn </t>
    <phoneticPr fontId="4" type="noConversion"/>
  </si>
  <si>
    <t xml:space="preserve">to the right is a tattoo artist 's rendering of how the actual tattoo may have appeared originally </t>
  </si>
  <si>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phoneticPr fontId="4" type="noConversion"/>
  </si>
  <si>
    <t>humayoon humayoon , an afghan member of parliament for khost province , and the other protesters were on their way to join a larger rally against the provincial governor , according to zahir jan , an eyewitness . 
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t>
    <phoneticPr fontId="4" type="noConversion"/>
  </si>
  <si>
    <t xml:space="preserve">humayoon humayoon , an afghan member of parliament for khost province , and the other protesters were on their way to join a larger rally against the provincial governor , according to zahir jan , an eyewitness . </t>
  </si>
  <si>
    <t>taliban spokesman zabiullah mujahid denied his group was responsible for the attack .</t>
    <phoneticPr fontId="4" type="noConversion"/>
  </si>
  <si>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phoneticPr fontId="4" type="noConversion"/>
  </si>
  <si>
    <t>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t>
    <phoneticPr fontId="4" type="noConversion"/>
  </si>
  <si>
    <t xml:space="preserve">details : the couple has a wood-fired stove to keep out the cold , stained glass windows and other creature comforts </t>
  </si>
  <si>
    <t xml:space="preserve">ingenuity : the couple started with a steel frame and slowly , project by project , built a home in about a year and a half </t>
  </si>
  <si>
    <t>hannah and alex needed a place to live after they moved back to new zealand from the uk in 2009</t>
  </si>
  <si>
    <t>so , they purchased a 1986 hino flatbed truck and started building a home on the back of it over the course of about a year and a half</t>
  </si>
  <si>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phoneticPr fontId="4" type="noConversion"/>
  </si>
  <si>
    <t>diana is the favourite name for the second royal baby , name after williams mother - the late princess of wales 
the choices were echoed on social media today , with many twitter users claiming they would be delighted if kate and william decided to name the baby after his mother . 
many people are hoping for a girl though - of the 2,200 people polled , a quarter said they wanted the duke and duchess of cambridge to have a female baby , with only three percent hoping for a younger brother for george .</t>
    <phoneticPr fontId="4" type="noConversion"/>
  </si>
  <si>
    <t xml:space="preserve">the choices were echoed on social media today , with many twitter users claiming they would be delighted if kate and william decided to name the baby after his mother . </t>
  </si>
  <si>
    <t>many people are hoping for a girl though - of the 2,200 people polled , a quarter said they wanted the duke and duchess of cambridge to have a female baby , with only three percent hoping for a younger brother for george .</t>
  </si>
  <si>
    <t>alice and charlotte were the second favourite names if it 's a girl .</t>
  </si>
  <si>
    <t>if it 's a boy , then the favourite name is james , followed by alexander .</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</si>
  <si>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phoneticPr fontId="4" type="noConversion"/>
  </si>
  <si>
    <t>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in a test than students who used the device on their own and non-ipad users ( stock</t>
    <phoneticPr fontId="4" type="noConversion"/>
  </si>
  <si>
    <t>( stock</t>
  </si>
  <si>
    <t xml:space="preserve">children who share ipads in class do much better in early literacy tests than those who do n't , researchers claim ( stock image above ) </t>
  </si>
  <si>
    <t xml:space="preserve">courtney blackwell , at northwestern university in the us , found that , in tests , kindergarten children who shared ipads in classes over an academic year significantly outscored their peers who were in classes that had no ipads or in which each student had their own device . </t>
  </si>
  <si>
    <t xml:space="preserve">( stock image above ) </t>
  </si>
  <si>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phoneticPr fontId="4" type="noConversion"/>
  </si>
  <si>
    <t xml:space="preserve">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t>
    <phoneticPr fontId="4" type="noConversion"/>
  </si>
  <si>
    <t xml:space="preserve">italian media claimed ms moric , pictured , was found in her apartment by her mother on saturday night </t>
  </si>
  <si>
    <t xml:space="preserve">ms moric , pictured , reassured her many fans she only needed some time to recover from her fall </t>
  </si>
  <si>
    <t>italian media claimed the croatian-born model tried to take her own life</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</si>
  <si>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phoneticPr fontId="4" type="noConversion"/>
  </si>
  <si>
    <t>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t>
    <phoneticPr fontId="4" type="noConversion"/>
  </si>
  <si>
    <t xml:space="preserve">tricky : the piglet has to use extraordinary balance to stand on its front trotters while all its siblings were born with all four legs </t>
  </si>
  <si>
    <t>siblings : one of the other piglets looks to copy the two-legged creature as it takes a quick rest from trotting about</t>
  </si>
  <si>
    <t>villagers have flocked to see the two-legged animal in qionglai city</t>
  </si>
  <si>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phoneticPr fontId="4" type="noConversion"/>
  </si>
  <si>
    <t>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t>
    <phoneticPr fontId="4" type="noConversion"/>
  </si>
  <si>
    <t>this picture has shows western sydney blanketed by floodwaters and hail on saturday</t>
  </si>
  <si>
    <t xml:space="preserve"> the ses warned flood levels could be raised again with more rain</t>
  </si>
  <si>
    <t xml:space="preserve"> ses spokeswoman stephanie wills said the organisation is concerned that more storms would hamper clean-up efforts , with 4,409 of 24,196 jobs still needing to be completed</t>
  </si>
  <si>
    <t>another east coast low predicted to hit new south wales from thursday</t>
  </si>
  <si>
    <t>the ses says it is concerned about the impact this will have on communities hard hit by last week 's storms - particularly in the hunter</t>
  </si>
  <si>
    <t>residents urged to prepare their homes to prevent more damage</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</si>
  <si>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phoneticPr fontId="4" type="noConversion"/>
  </si>
  <si>
    <t>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todd phillips , a front-outside tire changer for dayle coyne racing , was injuried when he was struck by the car of francesco dracone , who had come in on lap 25 for tires and fuel</t>
    <phoneticPr fontId="4" type="noConversion"/>
  </si>
  <si>
    <t>todd phillips , a front-outside tire changer for dayle coyne racing , was injuried when he was struck by the car of francesco dracone , who had come in on lap 25 for tires and fuel</t>
  </si>
  <si>
    <t>dracone did not finish the race and wound up 23rd</t>
  </si>
  <si>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phoneticPr fontId="4" type="noConversion"/>
  </si>
  <si>
    <t xml:space="preserve">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pavlyuchenkova saved the match point in the second set before going on to beat lisicki 4-6 , 7-6 ( 4 ) , 6-3 , after svetlana kuznetsova beat julia goerges in straight sets in the opening rubber . </t>
    <phoneticPr fontId="4" type="noConversion"/>
  </si>
  <si>
    <t xml:space="preserve">both players had problems on their serve - pavlyuchenkova racked up 13 double faults but lisicki 's 63 unforced errors proved crucial . </t>
  </si>
  <si>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phoneticPr fontId="4" type="noConversion"/>
  </si>
  <si>
    <t>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t>
    <phoneticPr fontId="4" type="noConversion"/>
  </si>
  <si>
    <t>(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</si>
  <si>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houston 's statement matched that from a source with knowledge of brown 's condition , who told cnn on monday that she remained in the same neurological state she has been in for nearly three months . 
in a statement monday , an attorney for the brown family said that bobbi kristina brown 's condition has improved but that the kind of life she will lead remains to be seen . 
" though the 22-year-old is no longer in a medically induced coma , she remains unresponsive , cissy houston said in a statement monday after visiting her granddaughter .</t>
    <phoneticPr fontId="4" type="noConversion"/>
  </si>
  <si>
    <t>houston 's statement matched that from a source with knowledge of brown 's condition , who told cnn on monday that she remained in the same neurological state she has been in for nearly three months .</t>
  </si>
  <si>
    <t xml:space="preserve"> though the 22-year-old is no longer in a medically induced coma , she remains unresponsive , cissy houston said in a statement monday after visiting her granddaughter .</t>
  </si>
  <si>
    <t>bobbi kristina brown has " global and irreversible " brain damage</t>
  </si>
  <si>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phoneticPr fontId="4" type="noConversion"/>
  </si>
  <si>
    <t>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sarah wilson opened up in a candid interview about how her battle with mental illness drove her to believe her life</t>
    <phoneticPr fontId="4" type="noConversion"/>
  </si>
  <si>
    <t xml:space="preserve">ms wilson said while she now accepts she is an ` anxious person ' , when she was younger she watched everybody else coping and felt like she had ` missed out on a guide book to life ' </t>
  </si>
  <si>
    <t>anxiety , stress , loneliness and a thyroid disease made her feel worthless</t>
  </si>
  <si>
    <t>one in three australian women will experience anxiety in their lifetime</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</si>
  <si>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phoneticPr fontId="4" type="noConversion"/>
  </si>
  <si>
    <t>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t>
    <phoneticPr fontId="4" type="noConversion"/>
  </si>
  <si>
    <t>` it 's a superstition that i 've done all my life and i 'm going to keep it that way , ' grealish told the bbc .</t>
  </si>
  <si>
    <t>aston villa 's jack grealish earned first premier league start this week</t>
  </si>
  <si>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phoneticPr fontId="4" type="noConversion"/>
  </si>
  <si>
    <t xml:space="preserve">elena curtin of portland , oregon , was seven-months pregnant when she was charged with second-degree assault after she struck her boyfriend 's ex in the head and arm with a crowbar in november 2014 
curtin gave birth in january . 
she was set to go to trial in multnomah county circuit court this week , but prosecutors dropped the charge on monday because curtin , 23 , was ` completely justified in her outrage ' . </t>
    <phoneticPr fontId="4" type="noConversion"/>
  </si>
  <si>
    <t>curtin gave birth in january .</t>
  </si>
  <si>
    <t>boyfriend 's ex was injecting drugs in her bathroom when she came home</t>
  </si>
  <si>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</si>
  <si>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 xml:space="preserve">hong kong ( cnn ) six people were hurt after an explosion at a controversial chemical plant in china 's southeastern fujian province sparked a huge fire , provincial authorities told state media . 
more than 600 firefighters were sent to battle the blaze and the fire is now under control , the zhangzhou fire department wrote on their official microblogging account tuesday morning . 
though demonstrations are illegal in china , the construction of px plants has sparked protests , which have occasionally turned violent , in several cities in recent years . </t>
    <phoneticPr fontId="4" type="noConversion"/>
  </si>
  <si>
    <t>hk</t>
    <phoneticPr fontId="4" type="noConversion"/>
  </si>
  <si>
    <t xml:space="preserve">more than 600 firefighters were sent to battle the blaze and the fire is now under control , the zhangzhou fire department wrote on their official microblogging account tuesday morning . </t>
  </si>
  <si>
    <t>though demonstrations are illegal in china , the construction of px plants has sparked protests , which have occasionally turned violent , in several cities in recent years .</t>
  </si>
  <si>
    <t>six were injured after the explosion and are being hospitalized</t>
  </si>
  <si>
    <t>the explosion was triggered by an oil leak , though local media has not reported any toxic chemical spills</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</si>
  <si>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</si>
  <si>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 xml:space="preserve">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 
when she 's not filling her face , other videos show gemma enjoys sleeping and hanging out with her human family . </t>
    <phoneticPr fontId="4" type="noConversion"/>
  </si>
  <si>
    <t xml:space="preserve">yuck </t>
  </si>
  <si>
    <t xml:space="preserve">when she 's not filling her face , other videos show gemma enjoys sleeping and hanging out with her human family . </t>
  </si>
  <si>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</si>
  <si>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witness robert kushner lost his varsity coaching job at the jack</t>
    <phoneticPr fontId="4" type="noConversion"/>
  </si>
  <si>
    <t xml:space="preserve">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t>
  </si>
  <si>
    <t xml:space="preserve">kushner told the newspaper that he never meant to deceive the school , where he worked as a seasonal employee . </t>
  </si>
  <si>
    <t>m. barrack hebrew academy</t>
  </si>
  <si>
    <t>kushner , 32 , is one of more than a dozen former drug dealers testifying for the federal government about allegations of police wrongdoing</t>
  </si>
  <si>
    <t>kushner had passed a background check when he was hired to coach basketball in 2010</t>
  </si>
  <si>
    <t>after testifying this week about his years selling marijuana</t>
  </si>
  <si>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</si>
  <si>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 xml:space="preserve">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embarrassing : the porn site took over the young entrepreneurs wards page after they were scrapped in 2011 and the organisers allowed its registration to retire ( hong kong branch pictured ) </t>
    <phoneticPr fontId="4" type="noConversion"/>
  </si>
  <si>
    <t xml:space="preserve">( hong kong branch pictured ) </t>
  </si>
  <si>
    <t>and denied association with the page</t>
  </si>
  <si>
    <t xml:space="preserve">for that reason , the website 's url address which would usually connect to a third-party website transferred visitors to the porn business instead , a banking source told the south china morning post . </t>
  </si>
  <si>
    <t>graphic images appeared on defunct young entrepreneurs awards sites</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</si>
  <si>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</si>
  <si>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 xml:space="preserve">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 </t>
    <phoneticPr fontId="4" type="noConversion"/>
  </si>
  <si>
    <t>not amused : after a brief moment of stillness , the cat immediately gets up and scurries over to another spot</t>
    <phoneticPr fontId="4" type="noConversion"/>
  </si>
  <si>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</si>
  <si>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a 13-year-old maryland boy provided firefighters with instructions during a 911 call and</t>
    <phoneticPr fontId="4" type="noConversion"/>
  </si>
  <si>
    <t xml:space="preserve">a 13-year-old maryland boy called 911 after a fire broke out on the first floor of his home in clinton on sunday marcus , who stayed calm throughout the 11-minute call , told the dispatcher that his older brother , mother and step-father were also in the home , abc news reported . </t>
  </si>
  <si>
    <t>a 13-year-old maryland boy provided firefighters with instructions during a 911 call and</t>
  </si>
  <si>
    <t>siblings saved and three other people in the home escaped without injury</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</si>
  <si>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</si>
  <si>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 xml:space="preserve">a picture on the memorial website for abu khdeir shows an israeli flag with two flowers called " blood of the maccabees " in israel , a symbol often used on memorial day , when the country honors its soldiers killed in the line of duty and victims of terrorism . 
indor 's organization wrote a letter to the national insurance institute of israel -- the country 's social security administration , which maintains the memorial site -- demanding that abu khdeir 's name be removed from the memorial wall . </t>
    <phoneticPr fontId="4" type="noConversion"/>
  </si>
  <si>
    <t xml:space="preserve">a picture on the memorial website for abu khdeir shows an israeli flag with two flowers called " blood of the maccabees " in israel , a symbol often used on memorial day , when the country honors its soldiers killed in the line of duty and victims of terrorism . </t>
  </si>
  <si>
    <t xml:space="preserve">indor 's organization wrote a letter to the national insurance institute of israel -- the country 's social security administration , which maintains the memorial site -- demanding that abu khdeir 's name be removed from the memorial wall . </t>
  </si>
  <si>
    <t>abu khdeir 's name is on the memorial wall at jerusalem 's mount herzl</t>
  </si>
  <si>
    <t>his father and a terror victim advocacy group objected to his being included in the list</t>
  </si>
  <si>
    <t>the palestinian teenager was beaten and burned by three israelis , authorities say</t>
  </si>
  <si>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</si>
  <si>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t>
    <phoneticPr fontId="4" type="noConversion"/>
  </si>
  <si>
    <t>incredible pictures have emerged of blue fluorescent algae lighting up australia 's east coast</t>
  </si>
  <si>
    <t>a similar display was shown in sydney 's manly beach back in august 2014</t>
  </si>
  <si>
    <t>iain suthers , of university of new south wales , says the algae blossoms in the spring and the autumn</t>
  </si>
  <si>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</si>
  <si>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 xml:space="preserve">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t>
    <phoneticPr fontId="4" type="noConversion"/>
  </si>
  <si>
    <t xml:space="preserve">khan and his wife and daughter pose with a giraffe as they enjoy a family day at the adventure park </t>
  </si>
  <si>
    <t xml:space="preserve">earlier this week khan ended speculation over his next opponent by announcing he will fight former light-welterweight world champion chris algieri on may 30 . </t>
  </si>
  <si>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</si>
  <si>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breast cancer patients may be spared chemotherapy thanks to new tests that pinpoint genetic ` markers ' breast cancer patients may be spared chemotherapy thanks to new tests that pinpoint genetic ` markers ' in the tumour and determine its aggressiveness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t>
    <phoneticPr fontId="4" type="noConversion"/>
  </si>
  <si>
    <t xml:space="preserve">professor kefah mokbel , consultant breast surgeon at st george 's hospital , london , said : ` with this test we can help patients make an informed choice , whereas in the past we have just given chemotherapy to almost everyone . ' </t>
  </si>
  <si>
    <t>becca cornford , a 49-year-old mother of three aged 11 , six and four</t>
  </si>
  <si>
    <t xml:space="preserve"> they are available privately for # 2,500 and may be rolled out soon on nhs . </t>
  </si>
  <si>
    <t xml:space="preserve"> women told within days whether they have a high risk of disease returning .</t>
  </si>
  <si>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</si>
  <si>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 xml:space="preserve">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t>
    <phoneticPr fontId="4" type="noConversion"/>
  </si>
  <si>
    <t xml:space="preserve">catwalk with a view : crowds gathered to take in the show from the balcony of the iconic club </t>
  </si>
  <si>
    <t>walk this way : models paraded through the empty pool and along the break wall in front of a beautiful backdrop of the ocean</t>
  </si>
  <si>
    <t>guests sat in and around the pool to take in the capsule collection of monochrome unisex pieces</t>
  </si>
  <si>
    <t>label is owned by icebergs restaurateur maurice terzini and partner lucy hinckfuss</t>
  </si>
  <si>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</si>
  <si>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t>
    <phoneticPr fontId="4" type="noConversion"/>
  </si>
  <si>
    <t xml:space="preserve">more than 25 women have been airlifted from royal navy ships because of pregnancy , including at least one woman from hms illustrious ( above ) , which was nicknamed ` hms lusty ' by the crew before it was decommissioned last year </t>
  </si>
  <si>
    <t>eighteen other ships - including hms dragon , hms enterprise and hms richmond - had emergency evacuations , data obtained by the sun showed .</t>
  </si>
  <si>
    <t>hms ocean had five women removed in nine years , according to new data</t>
  </si>
  <si>
    <t>at least one sailor airlifted from hms illustrious , nicknamed ` hms lusty '</t>
  </si>
  <si>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</si>
  <si>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t>
    <phoneticPr fontId="4" type="noConversion"/>
  </si>
  <si>
    <t xml:space="preserve">tom o'carroll , a leading member of the notorious paedophile information exchange ( above ) , has joined the supporters of the media pressure group hacked off </t>
  </si>
  <si>
    <t xml:space="preserve">a leading member of the notorious paedophile information exchange , which campaigned to legalise child sex in the 1970s and 80s , has joined the supporters of the media pressure group hacked off . </t>
  </si>
  <si>
    <t>69-year-old former key activist jailed in 1981 for ` corrupting public morals '</t>
  </si>
  <si>
    <t>pie was formed in 1974 to campaign for sex with children to be legalised</t>
  </si>
  <si>
    <t>his attendance at the meeting is likely to be an embarrassment for group</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</si>
  <si>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</si>
  <si>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japanese law restricts drone flights around airports to prevent problems with aircraft , but there are no flight restrictions for most of tokyo , including the prime minister 's residence and local and federal government buildings . 
the discovery came on the same day a japanese court approved a government plan to restart two reactors at the sendai nuclear power plant in kagoshima prefecture , more than four years after the fukushima daiichi nuclear disaster . 
police say the drone was equipped with a small camera , smoke flares and a plastic bottle containing small traces of a radioactive material</t>
    <phoneticPr fontId="4" type="noConversion"/>
  </si>
  <si>
    <t>japanese law restricts drone flights around airports to prevent problems with aircraft , but there are no flight restrictions for most of tokyo , including the prime minister 's residence and local and federal government buildings .</t>
  </si>
  <si>
    <t>the drone is sparking terrorism concerns , authorities say</t>
    <phoneticPr fontId="4" type="noConversion"/>
  </si>
  <si>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</si>
  <si>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talented : five-year-old mai zizhuo shows his outstanding basketball skills in a viral video
skilful : the pint-sized player scored a succession of hoops before running around dribbling two basketballs 
praised : his incredible skills have won him legions of fans across china</t>
    <phoneticPr fontId="4" type="noConversion"/>
  </si>
  <si>
    <t>mai zizhou has been trained to play basketball since 2.5 years old</t>
  </si>
  <si>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</si>
  <si>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 xml:space="preserve">a security guard from china has touched hearts across the country because he takes his 84-year-old mother with him to work on the back of his motorbike every single day , reported the people 's daily online . 
he ties a sash around both of their waists to make sure she does n't fall off 
she would often go up to the mountains to collect firewood and there were a few occasions when she got lost after dark . </t>
    <phoneticPr fontId="4" type="noConversion"/>
  </si>
  <si>
    <t>lu xincai says no one else can look after his 84-year-old mother</t>
  </si>
  <si>
    <t>she 's now been given her own room at the bank where he works</t>
  </si>
  <si>
    <t>95-7</t>
  </si>
  <si>
    <t>96-7</t>
  </si>
  <si>
    <t>97-7</t>
  </si>
  <si>
    <t>98-7</t>
  </si>
  <si>
    <t>99-7</t>
  </si>
  <si>
    <t>100-7</t>
  </si>
  <si>
    <t>101-7</t>
  </si>
  <si>
    <t>102-7</t>
  </si>
  <si>
    <t>103-7</t>
  </si>
  <si>
    <t>104-7</t>
  </si>
  <si>
    <t>105-7</t>
  </si>
  <si>
    <t>106-7</t>
  </si>
  <si>
    <t>107-7</t>
  </si>
  <si>
    <t>108-7</t>
  </si>
  <si>
    <t>109-7</t>
  </si>
  <si>
    <t>110-7</t>
  </si>
  <si>
    <t>111-7</t>
  </si>
  <si>
    <t>112-7</t>
  </si>
  <si>
    <t>113-7</t>
  </si>
  <si>
    <t>115-7</t>
  </si>
  <si>
    <t>114-7</t>
  </si>
  <si>
    <t>116-7</t>
  </si>
  <si>
    <t>117-7</t>
  </si>
  <si>
    <t>118-7</t>
  </si>
  <si>
    <t>119-7</t>
  </si>
  <si>
    <t>120-7</t>
  </si>
  <si>
    <t>121-7</t>
  </si>
  <si>
    <t>122-7</t>
  </si>
  <si>
    <t>123-7</t>
  </si>
  <si>
    <t>124-7</t>
  </si>
  <si>
    <t>125-7</t>
  </si>
  <si>
    <t>126-7</t>
  </si>
  <si>
    <t>127-7</t>
  </si>
  <si>
    <t>128-7</t>
  </si>
  <si>
    <t>129-7</t>
  </si>
  <si>
    <t>130-7</t>
  </si>
  <si>
    <t>131-7</t>
  </si>
  <si>
    <t>132-7</t>
  </si>
  <si>
    <t>133-7</t>
  </si>
  <si>
    <t>134-7</t>
  </si>
  <si>
    <t>135-7</t>
  </si>
  <si>
    <t>136-7</t>
  </si>
  <si>
    <t>137-7</t>
  </si>
  <si>
    <t>138-7</t>
  </si>
  <si>
    <t>139-7</t>
  </si>
  <si>
    <t>140-7</t>
  </si>
  <si>
    <t>141-7</t>
  </si>
  <si>
    <t>142-7</t>
  </si>
  <si>
    <t>143-7</t>
  </si>
  <si>
    <t>144-7</t>
  </si>
  <si>
    <t>2-7</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</si>
  <si>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</si>
  <si>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seeking justice : jamar nicholson , second from left , listens to his attorney john harris speak during a press conference on wednesday in south los angeles</t>
  </si>
  <si>
    <t xml:space="preserve"> ( left )</t>
  </si>
  <si>
    <t>right</t>
  </si>
  <si>
    <t xml:space="preserve"> who stand solemnly in the alleyway where nicholson was shot ,</t>
  </si>
  <si>
    <t xml:space="preserve">but he says he and his friends feel lucky to be alive . </t>
  </si>
  <si>
    <t>seeking justice : jamar nicholson , second from left , listens to his attorney john harris speak during a press conference on wednesday in south los angeles</t>
  </si>
  <si>
    <t>officer miguel gutierrez who shot nicholson has returned to duty but the incident is under investigation</t>
  </si>
  <si>
    <t>19-7</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</si>
  <si>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</si>
  <si>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so the influx of wealthy professionals in cities like san francisco , san jose and oakland -- many in hard-working , hard-partying tech jobs -- may have helped spur significant spikes in drinking rates in the bay area and similar communities , experts said .</t>
  </si>
  <si>
    <t xml:space="preserve">so the influx of wealthy professionals in cities like san francisco , san jose and oakland -- many in hard-working , hard-partying tech jobs -- may have helped spur significant spikes in drinking rates in the bay area and similar communities , experts said . </t>
  </si>
  <si>
    <t>it 's now more acceptable for women to drink the way men traditionally have , says one expert</t>
  </si>
  <si>
    <t>55-7</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</si>
  <si>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</si>
  <si>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 xml:space="preserve">a passenger filmed the driver and sent the video to bus company ritchies coachlines along with a complaint 
ritchies coachlines boss andrew ritchie said he was embarrassed by the ` idiot ' driver 's actions 
a bus driver was caught reading a newspaper while driving in auckland , new zealand </t>
  </si>
  <si>
    <t>68-7</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</si>
  <si>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</si>
  <si>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doctors are putting the health of women and their babies at risk by performing caesarean sections too readily , un officials warn</t>
  </si>
  <si>
    <t xml:space="preserve">women are also advised to have planned caesareans if they have had a previous complicated birth , are over 40 or have a medical condition such as asthma , diabetes or depression . </t>
  </si>
  <si>
    <t>86-7</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</si>
  <si>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</si>
  <si>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 xml:space="preserve">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t>
  </si>
  <si>
    <t xml:space="preserve"> ( above pictured in court last month ) </t>
  </si>
  <si>
    <t>( pictured above , center , with her sister gabriel robarge pellerin , right , in court last month )</t>
  </si>
  <si>
    <t>robarge has already served two years behind bars which means he could be eligible for parole in about 28 years</t>
  </si>
  <si>
    <t>91-7</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</si>
  <si>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</si>
  <si>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 xml:space="preserve">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t>
  </si>
  <si>
    <t>filkins was arrested on april 17</t>
  </si>
  <si>
    <t xml:space="preserve">according to the police report , conklin found filkins sitting in his living room of the property estimated to be worth $ 800,000 . </t>
  </si>
  <si>
    <t>a neighbor told police he saw filkins outside with items from the house and that she appeared to be having a yard sale or giving the items away</t>
  </si>
  <si>
    <t>92-7</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</si>
  <si>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</si>
  <si>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t>
  </si>
  <si>
    <t xml:space="preserve">said michael lachaux , director of customs operations in martinique . </t>
  </si>
  <si>
    <t xml:space="preserve">lachaux said in an interview with the radio station france info on saturday . </t>
  </si>
  <si>
    <t>martinique is an overseas department of france .</t>
  </si>
  <si>
    <t>french customs officers say they have seized more than 2 tons of cocaine</t>
  </si>
  <si>
    <t>145-7</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</si>
  <si>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</si>
  <si>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 xml:space="preserve">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t>
  </si>
  <si>
    <t xml:space="preserve"> while waiting for bella to collect her phone , police had used the time to post a picture of the handset in a holding cell and to reassure the owner that it was in safe hands . </t>
  </si>
  <si>
    <t>lost phone was handed in to albury police station in nsw on sunday</t>
  </si>
  <si>
    <t>146-7</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</si>
  <si>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</si>
  <si>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 xml:space="preserve">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t>
  </si>
  <si>
    <t xml:space="preserve">workers at the restaurant said yuan yen had returned to her table and sat ` in a trance ' </t>
  </si>
  <si>
    <t xml:space="preserve">police insisted she have emergency treatment and took her to the same hospital as her daughter , where she refused to see doctors . </t>
  </si>
  <si>
    <t>staff at restaurant in chengdu heard crying and found a newborn baby</t>
  </si>
  <si>
    <t>the tot still had the umbilical cord and placenta attached but was otherwise fine</t>
  </si>
  <si>
    <t>147-7</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</si>
  <si>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</si>
  <si>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t>
  </si>
  <si>
    <t xml:space="preserve">deadly : the calf was dragged along the surface of water and died hours after the tussle , with its mother looking on in horror </t>
  </si>
  <si>
    <t>adult hippos had been fighting for hours before attacking the baby in the isimangaliso wetland park</t>
  </si>
  <si>
    <t>148-7</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</si>
  <si>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</si>
  <si>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right - 
esme , a lady in her seventies who died of natural causes 
ian used to share his collection with his sister but she found the dolls too mischievous</t>
  </si>
  <si>
    <t xml:space="preserve">esme , a lady in her seventies who died of natural causes </t>
  </si>
  <si>
    <t>ian used to share his collection with his sister but she found the dolls too mischievous</t>
  </si>
  <si>
    <t>ian rogers has spent hundreds of pounds on his collection of nine dolls</t>
  </si>
  <si>
    <t>the dolls are said to be haunted with the spirits of dead people</t>
  </si>
  <si>
    <t>he says each doll has their own unique story</t>
  </si>
  <si>
    <t>149-7</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</si>
  <si>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</si>
  <si>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 xml:space="preserve">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t>
  </si>
  <si>
    <t xml:space="preserve">but the property comes with a catch , not only is it in dire need of renovation , ( such as in one of its bedrooms , pictured ) the home has just three years left on the lease </t>
  </si>
  <si>
    <t>property experts said if a buyer decides to extend the lease , the property could be worth upwards of £ 6 million</t>
  </si>
  <si>
    <t>but renewal would not come cheap with the cost for a new 90-year lease estimated at between £ 3.35 and £ 4.5 million</t>
  </si>
  <si>
    <t xml:space="preserve"> ( pictured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</si>
</sst>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6">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1"/>
      <color indexed="8"/>
      <name val="宋体"/>
      <family val="3"/>
      <charset val="134"/>
    </font>
    <font>
      <sz val="11"/>
      <name val="Arial"/>
      <family val="2"/>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13">
    <xf numFmtId="0" fontId="0" fillId="0" borderId="0" xfId="0"/>
    <xf numFmtId="49" fontId="11" fillId="0" borderId="1" xfId="0" applyNumberFormat="1" applyFont="1" applyBorder="1" applyAlignment="1">
      <alignment wrapText="1"/>
    </xf>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pplyProtection="1">
      <alignment horizontal="left" vertical="center" wrapText="1"/>
      <protection locked="0"/>
    </xf>
    <xf numFmtId="0" fontId="17" fillId="0" borderId="1" xfId="0" applyFont="1" applyBorder="1" applyAlignment="1">
      <alignment vertical="center"/>
    </xf>
    <xf numFmtId="1" fontId="18" fillId="0" borderId="1" xfId="0" applyNumberFormat="1" applyFont="1" applyBorder="1" applyAlignment="1">
      <alignment horizontal="left" vertical="center"/>
    </xf>
    <xf numFmtId="0" fontId="18" fillId="0" borderId="1" xfId="0" applyFont="1" applyBorder="1" applyAlignment="1">
      <alignment horizontal="center" vertical="center"/>
    </xf>
    <xf numFmtId="165" fontId="17" fillId="0" borderId="1" xfId="0" applyNumberFormat="1" applyFont="1" applyBorder="1" applyAlignment="1">
      <alignment horizontal="center" vertical="center"/>
    </xf>
    <xf numFmtId="1" fontId="17" fillId="0" borderId="1" xfId="0" applyNumberFormat="1" applyFont="1" applyBorder="1" applyAlignment="1">
      <alignment horizontal="left" vertical="center"/>
    </xf>
    <xf numFmtId="0" fontId="17" fillId="0" borderId="1" xfId="0" applyFont="1" applyBorder="1" applyAlignment="1">
      <alignment wrapText="1"/>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49" fontId="17" fillId="0" borderId="0" xfId="0" applyNumberFormat="1" applyFont="1" applyBorder="1" applyAlignment="1">
      <alignment horizontal="left" vertical="top" wrapText="1"/>
    </xf>
    <xf numFmtId="0" fontId="17" fillId="0" borderId="0" xfId="0" applyFont="1" applyBorder="1" applyAlignment="1" applyProtection="1">
      <alignment horizontal="left" vertical="center" wrapText="1"/>
      <protection locked="0"/>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49" fontId="11" fillId="0" borderId="1" xfId="0" applyNumberFormat="1" applyFont="1" applyBorder="1" applyAlignment="1"/>
    <xf numFmtId="49" fontId="17" fillId="0" borderId="1" xfId="0" applyNumberFormat="1" applyFont="1" applyBorder="1" applyAlignment="1">
      <alignment horizontal="left" vertical="center"/>
    </xf>
    <xf numFmtId="49" fontId="18" fillId="0" borderId="1" xfId="0" applyNumberFormat="1" applyFont="1" applyBorder="1" applyAlignment="1">
      <alignment horizontal="left" vertical="center"/>
    </xf>
    <xf numFmtId="49" fontId="27" fillId="0" borderId="1" xfId="0" applyNumberFormat="1" applyFont="1" applyBorder="1"/>
    <xf numFmtId="49" fontId="27" fillId="0" borderId="0" xfId="0" applyNumberFormat="1" applyFont="1"/>
    <xf numFmtId="0" fontId="17" fillId="0" borderId="1" xfId="0" applyFont="1" applyBorder="1" applyAlignment="1"/>
    <xf numFmtId="0" fontId="17" fillId="0" borderId="1" xfId="0" applyFont="1" applyBorder="1" applyAlignment="1" applyProtection="1">
      <alignment horizontal="left" vertical="center"/>
      <protection locked="0"/>
    </xf>
    <xf numFmtId="49" fontId="17" fillId="0" borderId="1" xfId="0" applyNumberFormat="1" applyFont="1" applyBorder="1" applyAlignment="1" applyProtection="1">
      <alignment horizontal="left" vertical="center"/>
      <protection locked="0"/>
    </xf>
    <xf numFmtId="0" fontId="17" fillId="0" borderId="1" xfId="0" quotePrefix="1" applyFont="1" applyBorder="1" applyAlignment="1" applyProtection="1">
      <alignment horizontal="left" vertical="center"/>
      <protection locked="0"/>
    </xf>
    <xf numFmtId="49" fontId="6" fillId="0" borderId="1" xfId="0" applyNumberFormat="1" applyFont="1" applyBorder="1" applyAlignment="1"/>
    <xf numFmtId="0" fontId="17" fillId="0" borderId="0" xfId="0" applyFont="1" applyBorder="1" applyAlignment="1" applyProtection="1">
      <alignment horizontal="left" vertical="center"/>
      <protection locked="0"/>
    </xf>
    <xf numFmtId="49" fontId="11" fillId="0" borderId="1" xfId="0" applyNumberFormat="1" applyFont="1" applyBorder="1"/>
    <xf numFmtId="0" fontId="17" fillId="0" borderId="0" xfId="0" applyFont="1" applyAlignment="1">
      <alignment vertical="center"/>
    </xf>
    <xf numFmtId="0" fontId="17" fillId="3" borderId="1" xfId="0" applyFont="1" applyFill="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35" fillId="0" borderId="1" xfId="0" applyFont="1" applyBorder="1" applyAlignment="1" applyProtection="1">
      <alignment horizontal="left" vertical="center"/>
      <protection locked="0"/>
    </xf>
    <xf numFmtId="0" fontId="17" fillId="0" borderId="1" xfId="0" applyFont="1" applyBorder="1" applyAlignment="1">
      <alignment horizontal="left" vertical="center"/>
    </xf>
    <xf numFmtId="0" fontId="11" fillId="0" borderId="1" xfId="0" applyFont="1" applyBorder="1"/>
    <xf numFmtId="9" fontId="17" fillId="0" borderId="1" xfId="0" applyNumberFormat="1" applyFont="1" applyBorder="1" applyAlignment="1" applyProtection="1">
      <alignment horizontal="left" vertical="center"/>
      <protection locked="0"/>
    </xf>
    <xf numFmtId="49" fontId="9" fillId="0" borderId="1" xfId="0" applyNumberFormat="1" applyFont="1" applyBorder="1"/>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xf numFmtId="0" fontId="17" fillId="0" borderId="0" xfId="0" applyFont="1" applyBorder="1" applyAlignment="1">
      <alignment vertical="center" wrapText="1"/>
    </xf>
    <xf numFmtId="0" fontId="16" fillId="0" borderId="1" xfId="0" applyFont="1" applyBorder="1" applyAlignment="1">
      <alignment horizontal="center" vertical="center"/>
    </xf>
    <xf numFmtId="0" fontId="16" fillId="3" borderId="1" xfId="0" applyFont="1" applyFill="1" applyBorder="1" applyAlignment="1" applyProtection="1">
      <alignment horizontal="center" vertical="center"/>
      <protection locked="0"/>
    </xf>
    <xf numFmtId="49" fontId="9" fillId="0" borderId="0" xfId="0" applyNumberFormat="1" applyFont="1" applyAlignment="1"/>
    <xf numFmtId="0" fontId="11" fillId="0" borderId="1" xfId="0" applyFont="1" applyBorder="1" applyAlignment="1"/>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912">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tabSelected="1" zoomScale="80" zoomScaleNormal="80" zoomScalePageLayoutView="110" workbookViewId="0">
      <selection activeCell="C29" sqref="C29"/>
    </sheetView>
  </sheetViews>
  <sheetFormatPr defaultColWidth="7.69921875" defaultRowHeight="13.8"/>
  <cols>
    <col min="1" max="1" width="3.19921875" style="26" customWidth="1"/>
    <col min="2" max="2" width="16.69921875" style="26" bestFit="1" customWidth="1"/>
    <col min="3" max="3" width="24" style="26" bestFit="1" customWidth="1"/>
    <col min="4" max="5" width="16.69921875" style="26" customWidth="1"/>
    <col min="6" max="6" width="17.5" style="26" customWidth="1"/>
    <col min="7" max="9" width="16.69921875" style="26" customWidth="1"/>
    <col min="10" max="10" width="21.69921875" style="26" customWidth="1"/>
    <col min="11" max="12" width="16.69921875" style="26" customWidth="1"/>
    <col min="13" max="16384" width="7.69921875" style="26"/>
  </cols>
  <sheetData>
    <row r="2" spans="2:11">
      <c r="B2" s="98" t="s">
        <v>16</v>
      </c>
      <c r="C2" s="98"/>
      <c r="E2" s="98" t="s">
        <v>15</v>
      </c>
      <c r="F2" s="98"/>
      <c r="H2" s="98" t="s">
        <v>49</v>
      </c>
      <c r="I2" s="98"/>
    </row>
    <row r="4" spans="2:11">
      <c r="B4" s="26" t="s">
        <v>18</v>
      </c>
      <c r="C4" s="27"/>
      <c r="E4" s="26" t="s">
        <v>14</v>
      </c>
      <c r="F4" s="41">
        <f>COUNTA('Error Log'!A:A)-1</f>
        <v>633</v>
      </c>
      <c r="H4" s="26" t="s">
        <v>42</v>
      </c>
      <c r="I4" s="42">
        <f>H18</f>
        <v>77.633573323228489</v>
      </c>
      <c r="K4" s="35"/>
    </row>
    <row r="5" spans="2:11">
      <c r="C5" s="28"/>
      <c r="F5" s="28"/>
      <c r="K5" s="36">
        <f>I4</f>
        <v>77.633573323228489</v>
      </c>
    </row>
    <row r="6" spans="2:11">
      <c r="B6" s="26" t="s">
        <v>51</v>
      </c>
      <c r="C6" s="29"/>
      <c r="D6" s="26" t="s">
        <v>52</v>
      </c>
      <c r="E6" s="26" t="s">
        <v>9</v>
      </c>
      <c r="F6" s="41">
        <f>L36</f>
        <v>630</v>
      </c>
      <c r="H6" s="26" t="s">
        <v>12</v>
      </c>
      <c r="I6" s="43">
        <f>IF(C8=0,"0",1000*(F6/C8))</f>
        <v>59.681697612732094</v>
      </c>
      <c r="K6" s="37">
        <v>1</v>
      </c>
    </row>
    <row r="7" spans="2:11">
      <c r="C7" s="28"/>
      <c r="F7" s="28"/>
      <c r="I7" s="28"/>
      <c r="K7" s="38">
        <f>200-(K5+K6)</f>
        <v>121.36642667677151</v>
      </c>
    </row>
    <row r="8" spans="2:11">
      <c r="B8" s="26" t="s">
        <v>11</v>
      </c>
      <c r="C8" s="77">
        <f>SUM('Scores per segment'!D:D)</f>
        <v>10556</v>
      </c>
      <c r="E8" s="26" t="s">
        <v>38</v>
      </c>
      <c r="F8" s="41" t="e">
        <f>#REF!</f>
        <v>#REF!</v>
      </c>
      <c r="H8" s="26" t="s">
        <v>39</v>
      </c>
      <c r="I8" s="44" t="str">
        <f>IF(C10=0,"0",(F8/C10))</f>
        <v>0</v>
      </c>
      <c r="K8" s="37"/>
    </row>
    <row r="9" spans="2:11">
      <c r="C9" s="28"/>
      <c r="I9" s="28"/>
      <c r="K9" s="37"/>
    </row>
    <row r="10" spans="2:11">
      <c r="B10" s="26" t="s">
        <v>10</v>
      </c>
      <c r="C10" s="27">
        <f>COUNT('Scores per segment'!A:A)</f>
        <v>0</v>
      </c>
      <c r="E10" s="26" t="s">
        <v>13</v>
      </c>
      <c r="F10" s="41">
        <f>COUNTIFS('Error Log'!D:D,"*",'Error Log'!E:E,"")</f>
        <v>3</v>
      </c>
      <c r="H10" s="26" t="s">
        <v>19</v>
      </c>
      <c r="I10" s="44" t="str">
        <f>IF(C10=0,"0",(F10/C10))</f>
        <v>0</v>
      </c>
    </row>
    <row r="11" spans="2:11">
      <c r="C11" s="34"/>
    </row>
    <row r="12" spans="2:11" ht="14.4" thickBot="1">
      <c r="B12" s="30"/>
      <c r="C12" s="30"/>
      <c r="D12" s="30"/>
      <c r="E12" s="30"/>
      <c r="F12" s="30"/>
      <c r="G12" s="30"/>
      <c r="H12" s="30"/>
      <c r="I12" s="30"/>
    </row>
    <row r="13" spans="2:11" ht="14.4" thickTop="1">
      <c r="B13" s="33"/>
      <c r="C13" s="33"/>
      <c r="D13" s="33"/>
      <c r="E13" s="33"/>
      <c r="F13" s="33"/>
      <c r="G13" s="33"/>
      <c r="H13" s="33"/>
      <c r="I13" s="33"/>
      <c r="J13" s="33"/>
    </row>
    <row r="15" spans="2:11">
      <c r="D15" s="40" t="s">
        <v>40</v>
      </c>
    </row>
    <row r="16" spans="2:11">
      <c r="C16" s="34"/>
    </row>
    <row r="17" spans="2:12" ht="15.6">
      <c r="C17" s="39"/>
      <c r="D17" s="58" t="s">
        <v>35</v>
      </c>
      <c r="E17" s="59" t="s">
        <v>36</v>
      </c>
      <c r="F17" s="60" t="s">
        <v>37</v>
      </c>
      <c r="G17" s="73" t="s">
        <v>48</v>
      </c>
      <c r="H17" s="68" t="s">
        <v>53</v>
      </c>
    </row>
    <row r="18" spans="2:12" ht="15.6">
      <c r="C18" s="67" t="s">
        <v>43</v>
      </c>
      <c r="D18" s="58">
        <f>COUNTIF('Error Log'!$J:$J,D$17)</f>
        <v>316</v>
      </c>
      <c r="E18" s="59">
        <f>COUNTIF('Error Log'!$J:$J,E$17)</f>
        <v>312</v>
      </c>
      <c r="F18" s="60">
        <f>COUNTIF('Error Log'!$J:$J,F$17)</f>
        <v>2</v>
      </c>
      <c r="G18" s="73">
        <f>COUNTIF('Error Log'!$F:$F,"Target")</f>
        <v>0</v>
      </c>
      <c r="H18" s="69">
        <f>SUMPRODUCT('Scores per segment'!J:J,'Scores per segment'!D:D)/SUM('Scores per segment'!D:D)</f>
        <v>77.633573323228489</v>
      </c>
    </row>
    <row r="21" spans="2:12">
      <c r="C21" s="34"/>
    </row>
    <row r="22" spans="2:12" ht="14.4" thickBot="1">
      <c r="B22" s="30"/>
      <c r="C22" s="30"/>
      <c r="D22" s="30"/>
      <c r="E22" s="30"/>
      <c r="F22" s="30"/>
      <c r="G22" s="30"/>
      <c r="H22" s="30"/>
      <c r="I22" s="30"/>
      <c r="J22" s="30"/>
      <c r="K22" s="30"/>
      <c r="L22" s="30"/>
    </row>
    <row r="23" spans="2:12" ht="14.4" thickTop="1">
      <c r="B23" s="33"/>
      <c r="C23" s="33"/>
      <c r="D23" s="33"/>
      <c r="E23" s="33"/>
      <c r="F23" s="33"/>
      <c r="G23" s="33"/>
      <c r="H23" s="33"/>
      <c r="I23" s="33"/>
      <c r="J23" s="33"/>
      <c r="K23" s="33"/>
      <c r="L23" s="33"/>
    </row>
    <row r="24" spans="2:12">
      <c r="B24" s="33"/>
      <c r="C24" s="33"/>
      <c r="D24" s="33"/>
      <c r="E24" s="33"/>
      <c r="F24" s="33"/>
      <c r="G24" s="33"/>
      <c r="H24" s="33"/>
      <c r="I24" s="33"/>
      <c r="J24" s="33"/>
      <c r="K24" s="33"/>
      <c r="L24" s="33"/>
    </row>
    <row r="25" spans="2:12">
      <c r="B25" s="33"/>
      <c r="D25" s="40" t="s">
        <v>41</v>
      </c>
      <c r="E25" s="33"/>
      <c r="F25" s="33"/>
      <c r="G25" s="33"/>
      <c r="H25" s="33"/>
      <c r="I25" s="33"/>
      <c r="J25" s="33"/>
      <c r="K25" s="33"/>
      <c r="L25" s="33"/>
    </row>
    <row r="26" spans="2:12" ht="14.4" thickBot="1">
      <c r="B26" s="33"/>
      <c r="C26" s="33"/>
      <c r="D26" s="33"/>
      <c r="E26" s="33"/>
      <c r="F26" s="33"/>
      <c r="G26" s="33"/>
      <c r="H26" s="33"/>
      <c r="I26" s="33"/>
      <c r="J26" s="33"/>
      <c r="K26" s="33"/>
      <c r="L26" s="33"/>
    </row>
    <row r="27" spans="2:12" ht="14.4" thickBot="1">
      <c r="B27" s="45" t="s">
        <v>31</v>
      </c>
      <c r="C27" s="46" t="s">
        <v>30</v>
      </c>
      <c r="D27" s="46" t="s">
        <v>54</v>
      </c>
      <c r="E27" s="46" t="s">
        <v>55</v>
      </c>
      <c r="F27" s="46" t="s">
        <v>56</v>
      </c>
      <c r="G27" s="46" t="s">
        <v>29</v>
      </c>
      <c r="H27" s="46" t="s">
        <v>27</v>
      </c>
      <c r="I27" s="46" t="s">
        <v>72</v>
      </c>
      <c r="J27" s="46" t="s">
        <v>73</v>
      </c>
      <c r="K27" s="46" t="s">
        <v>57</v>
      </c>
      <c r="L27" s="47" t="s">
        <v>6</v>
      </c>
    </row>
    <row r="28" spans="2:12">
      <c r="B28" s="103" t="s">
        <v>8</v>
      </c>
      <c r="C28" s="61" t="s">
        <v>22</v>
      </c>
      <c r="D28" s="48">
        <f>COUNTIFS('Error Log'!$E:$E,$B$28,'Error Log'!$F:$F,$C28,'Error Log'!$G:$G,D$27)</f>
        <v>0</v>
      </c>
      <c r="E28" s="48">
        <f>COUNTIFS('Error Log'!$E:$E,$B$28,'Error Log'!$F:$F,$C28,'Error Log'!$G:$G,E$27)</f>
        <v>0</v>
      </c>
      <c r="F28" s="55">
        <f>COUNTIFS('Error Log'!$E:$E,$B$28,'Error Log'!$F:$F,$C28,'Error Log'!$G:$G,F$27)</f>
        <v>0</v>
      </c>
      <c r="G28" s="55">
        <f>COUNTIFS('Error Log'!$E:$E,$B$28,'Error Log'!$F:$F,$C28,'Error Log'!$G:$G,G$27)</f>
        <v>3</v>
      </c>
      <c r="H28" s="55">
        <f>COUNTIFS('Error Log'!$E:$E,$B$28,'Error Log'!$F:$F,$C28,'Error Log'!$G:$G,H$27)</f>
        <v>0</v>
      </c>
      <c r="I28" s="55">
        <f>COUNTIFS('Error Log'!$E:$E,$B$28,'Error Log'!$F:$F,$C28,'Error Log'!$G:$G,I$27)</f>
        <v>51</v>
      </c>
      <c r="J28" s="48">
        <f>COUNTIFS('Error Log'!$E:$E,$B$28,'Error Log'!$F:$F,$C28,'Error Log'!$G:$G,J$27)</f>
        <v>0</v>
      </c>
      <c r="K28" s="54">
        <f>COUNTIFS('Error Log'!$E:$E,$B$28,'Error Log'!$F:$F,$C28,'Error Log'!$G:$G,K$27)</f>
        <v>239</v>
      </c>
      <c r="L28" s="65">
        <f t="shared" ref="L28:L35" si="0">SUM(D28:K28)</f>
        <v>293</v>
      </c>
    </row>
    <row r="29" spans="2:12">
      <c r="B29" s="102"/>
      <c r="C29" s="62" t="s">
        <v>7</v>
      </c>
      <c r="D29" s="49">
        <f>COUNTIFS('Error Log'!$E:$E,$B$28,'Error Log'!$F:$F,$C29,'Error Log'!$G:$G,D$27)</f>
        <v>1</v>
      </c>
      <c r="E29" s="49">
        <f>COUNTIFS('Error Log'!$E:$E,$B$28,'Error Log'!$F:$F,$C29,'Error Log'!$G:$G,E$27)</f>
        <v>8</v>
      </c>
      <c r="F29" s="56">
        <f>COUNTIFS('Error Log'!$E:$E,$B$28,'Error Log'!$F:$F,$C29,'Error Log'!$G:$G,F$27)</f>
        <v>2</v>
      </c>
      <c r="G29" s="56">
        <f>COUNTIFS('Error Log'!$E:$E,$B$28,'Error Log'!$F:$F,$C29,'Error Log'!$G:$G,G$27)</f>
        <v>0</v>
      </c>
      <c r="H29" s="56">
        <f>COUNTIFS('Error Log'!$E:$E,$B$28,'Error Log'!$F:$F,$C29,'Error Log'!$G:$G,H$27)</f>
        <v>2</v>
      </c>
      <c r="I29" s="56">
        <f>COUNTIFS('Error Log'!$E:$E,$B$28,'Error Log'!$F:$F,$C29,'Error Log'!$G:$G,I$27)</f>
        <v>3</v>
      </c>
      <c r="J29" s="51">
        <f>COUNTIFS('Error Log'!$E:$E,$B$28,'Error Log'!$F:$F,$C29,'Error Log'!$G:$G,J$27)</f>
        <v>2</v>
      </c>
      <c r="K29" s="52">
        <f>COUNTIFS('Error Log'!$E:$E,$B$28,'Error Log'!$F:$F,$C29,'Error Log'!$G:$G,K$27)</f>
        <v>305</v>
      </c>
      <c r="L29" s="66">
        <f t="shared" si="0"/>
        <v>323</v>
      </c>
    </row>
    <row r="30" spans="2:12">
      <c r="B30" s="102"/>
      <c r="C30" s="62" t="s">
        <v>68</v>
      </c>
      <c r="D30" s="49">
        <f>COUNTIFS('Error Log'!$E:$E,$B$28,'Error Log'!$F:$F,$C30,'Error Log'!$G:$G,D$27)</f>
        <v>0</v>
      </c>
      <c r="E30" s="49">
        <f>COUNTIFS('Error Log'!$E:$E,$B$28,'Error Log'!$F:$F,$C30,'Error Log'!$G:$G,E$27)</f>
        <v>0</v>
      </c>
      <c r="F30" s="56">
        <f>COUNTIFS('Error Log'!$E:$E,$B$28,'Error Log'!$F:$F,$C30,'Error Log'!$G:$G,F$27)</f>
        <v>0</v>
      </c>
      <c r="G30" s="56">
        <f>COUNTIFS('Error Log'!$E:$E,$B$28,'Error Log'!$F:$F,$C30,'Error Log'!$G:$G,G$27)</f>
        <v>0</v>
      </c>
      <c r="H30" s="56">
        <f>COUNTIFS('Error Log'!$E:$E,$B$28,'Error Log'!$F:$F,$C30,'Error Log'!$G:$G,H$27)</f>
        <v>0</v>
      </c>
      <c r="I30" s="56">
        <f>COUNTIFS('Error Log'!$E:$E,$B$28,'Error Log'!$F:$F,$C30,'Error Log'!$G:$G,I$27)</f>
        <v>0</v>
      </c>
      <c r="J30" s="49">
        <f>COUNTIFS('Error Log'!$E:$E,$B$28,'Error Log'!$F:$F,$C30,'Error Log'!$G:$G,J$27)</f>
        <v>0</v>
      </c>
      <c r="K30" s="52">
        <f>COUNTIFS('Error Log'!$E:$E,$B$28,'Error Log'!$F:$F,$C30,'Error Log'!$G:$G,K$27)</f>
        <v>0</v>
      </c>
      <c r="L30" s="66">
        <f t="shared" si="0"/>
        <v>0</v>
      </c>
    </row>
    <row r="31" spans="2:12">
      <c r="B31" s="102"/>
      <c r="C31" s="62" t="s">
        <v>69</v>
      </c>
      <c r="D31" s="49">
        <f>COUNTIFS('Error Log'!$E:$E,$B$28,'Error Log'!$F:$F,$C31,'Error Log'!$G:$G,D$27)</f>
        <v>0</v>
      </c>
      <c r="E31" s="49">
        <f>COUNTIFS('Error Log'!$E:$E,$B$28,'Error Log'!$F:$F,$C31,'Error Log'!$G:$G,E$27)</f>
        <v>0</v>
      </c>
      <c r="F31" s="56">
        <f>COUNTIFS('Error Log'!$E:$E,$B$28,'Error Log'!$F:$F,$C31,'Error Log'!$G:$G,F$27)</f>
        <v>0</v>
      </c>
      <c r="G31" s="56">
        <f>COUNTIFS('Error Log'!$E:$E,$B$28,'Error Log'!$F:$F,$C31,'Error Log'!$G:$G,G$27)</f>
        <v>0</v>
      </c>
      <c r="H31" s="56">
        <f>COUNTIFS('Error Log'!$E:$E,$B$28,'Error Log'!$F:$F,$C31,'Error Log'!$G:$G,H$27)</f>
        <v>0</v>
      </c>
      <c r="I31" s="56">
        <f>COUNTIFS('Error Log'!$E:$E,$B$28,'Error Log'!$F:$F,$C31,'Error Log'!$G:$G,I$27)</f>
        <v>0</v>
      </c>
      <c r="J31" s="49">
        <f>COUNTIFS('Error Log'!$E:$E,$B$28,'Error Log'!$F:$F,$C31,'Error Log'!$G:$G,J$27)</f>
        <v>0</v>
      </c>
      <c r="K31" s="52">
        <f>COUNTIFS('Error Log'!$E:$E,$B$28,'Error Log'!$F:$F,$C31,'Error Log'!$G:$G,K$27)</f>
        <v>0</v>
      </c>
      <c r="L31" s="66">
        <f t="shared" ref="L31" si="1">SUM(D31:K31)</f>
        <v>0</v>
      </c>
    </row>
    <row r="32" spans="2:12" ht="14.4" thickBot="1">
      <c r="B32" s="102"/>
      <c r="C32" s="62" t="s">
        <v>45</v>
      </c>
      <c r="D32" s="51">
        <f>COUNTIFS('Error Log'!$E:$E,$B$28,'Error Log'!$F:$F,$C32,'Error Log'!$G:$G,D$27)</f>
        <v>0</v>
      </c>
      <c r="E32" s="51">
        <f>COUNTIFS('Error Log'!$E:$E,$B$28,'Error Log'!$F:$F,$C32,'Error Log'!$G:$G,E$27)</f>
        <v>0</v>
      </c>
      <c r="F32" s="51">
        <f>COUNTIFS('Error Log'!$E:$E,$B$28,'Error Log'!$F:$F,$C32,'Error Log'!$G:$G,F$27)</f>
        <v>0</v>
      </c>
      <c r="G32" s="51">
        <f>COUNTIFS('Error Log'!$E:$E,$B$28,'Error Log'!$F:$F,$C32,'Error Log'!$G:$G,G$27)</f>
        <v>0</v>
      </c>
      <c r="H32" s="51">
        <f>COUNTIFS('Error Log'!$E:$E,$B$28,'Error Log'!$F:$F,$C32,'Error Log'!$G:$G,H$27)</f>
        <v>0</v>
      </c>
      <c r="I32" s="51">
        <f>COUNTIFS('Error Log'!$E:$E,$B$28,'Error Log'!$F:$F,$C32,'Error Log'!$G:$G,I$27)</f>
        <v>0</v>
      </c>
      <c r="J32" s="49">
        <f>COUNTIFS('Error Log'!$E:$E,$B$28,'Error Log'!$F:$F,$C32,'Error Log'!$G:$G,J$27)</f>
        <v>0</v>
      </c>
      <c r="K32" s="52">
        <f>COUNTIFS('Error Log'!$E:$E,$B$28,'Error Log'!$F:$F,$C32,'Error Log'!$G:$G,K$27)</f>
        <v>0</v>
      </c>
      <c r="L32" s="66">
        <f t="shared" si="0"/>
        <v>0</v>
      </c>
    </row>
    <row r="33" spans="2:12">
      <c r="B33" s="101" t="s">
        <v>2</v>
      </c>
      <c r="C33" s="63" t="s">
        <v>71</v>
      </c>
      <c r="D33" s="57">
        <f>COUNTIFS('Error Log'!$E:$E,$B$33,'Error Log'!$F:$F,$C33,'Error Log'!$G:$G,D$27)</f>
        <v>0</v>
      </c>
      <c r="E33" s="53">
        <f>COUNTIFS('Error Log'!$E:$E,$B$33,'Error Log'!$F:$F,$C33,'Error Log'!$G:$G,E$27)</f>
        <v>0</v>
      </c>
      <c r="F33" s="53">
        <f>COUNTIFS('Error Log'!$E:$E,$B$33,'Error Log'!$F:$F,$C33,'Error Log'!$G:$G,F$27)</f>
        <v>0</v>
      </c>
      <c r="G33" s="53">
        <f>COUNTIFS('Error Log'!$E:$E,$B$33,'Error Log'!$F:$F,$C33,'Error Log'!$G:$G,G$27)</f>
        <v>0</v>
      </c>
      <c r="H33" s="53">
        <f>COUNTIFS('Error Log'!$E:$E,$B$33,'Error Log'!$F:$F,$C33,'Error Log'!$G:$G,H$27)</f>
        <v>0</v>
      </c>
      <c r="I33" s="53">
        <f>COUNTIFS('Error Log'!$E:$E,$B$33,'Error Log'!$F:$F,$C33,'Error Log'!$G:$G,I$27)</f>
        <v>0</v>
      </c>
      <c r="J33" s="50">
        <f>COUNTIFS('Error Log'!$E:$E,$B$33,'Error Log'!$F:$F,$C33,'Error Log'!$G:$G,J$27)</f>
        <v>0</v>
      </c>
      <c r="K33" s="53">
        <f>COUNTIFS('Error Log'!$E:$E,$B$33,'Error Log'!$F:$F,$C33,'Error Log'!$G:$G,K$27)</f>
        <v>0</v>
      </c>
      <c r="L33" s="65">
        <f t="shared" si="0"/>
        <v>0</v>
      </c>
    </row>
    <row r="34" spans="2:12">
      <c r="B34" s="102"/>
      <c r="C34" s="62" t="s">
        <v>26</v>
      </c>
      <c r="D34" s="52">
        <f>COUNTIFS('Error Log'!$E:$E,$B$33,'Error Log'!$F:$F,$C34,'Error Log'!$G:$G,D$27)</f>
        <v>0</v>
      </c>
      <c r="E34" s="52">
        <f>COUNTIFS('Error Log'!$E:$E,$B$33,'Error Log'!$F:$F,$C34,'Error Log'!$G:$G,E$27)</f>
        <v>0</v>
      </c>
      <c r="F34" s="52">
        <f>COUNTIFS('Error Log'!$E:$E,$B$33,'Error Log'!$F:$F,$C34,'Error Log'!$G:$G,F$27)</f>
        <v>0</v>
      </c>
      <c r="G34" s="52">
        <f>COUNTIFS('Error Log'!$E:$E,$B$33,'Error Log'!$F:$F,$C34,'Error Log'!$G:$G,G$27)</f>
        <v>0</v>
      </c>
      <c r="H34" s="52">
        <f>COUNTIFS('Error Log'!$E:$E,$B$33,'Error Log'!$F:$F,$C34,'Error Log'!$G:$G,H$27)</f>
        <v>0</v>
      </c>
      <c r="I34" s="52">
        <f>COUNTIFS('Error Log'!$E:$E,$B$33,'Error Log'!$F:$F,$C34,'Error Log'!$G:$G,I$27)</f>
        <v>0</v>
      </c>
      <c r="J34" s="51">
        <f>COUNTIFS('Error Log'!$E:$E,$B$33,'Error Log'!$F:$F,$C34,'Error Log'!$G:$G,J$27)</f>
        <v>0</v>
      </c>
      <c r="K34" s="52">
        <f>COUNTIFS('Error Log'!$E:$E,$B$33,'Error Log'!$F:$F,$C34,'Error Log'!$G:$G,K$27)</f>
        <v>14</v>
      </c>
      <c r="L34" s="66">
        <f t="shared" si="0"/>
        <v>14</v>
      </c>
    </row>
    <row r="35" spans="2:12" ht="14.4" thickBot="1">
      <c r="B35" s="102"/>
      <c r="C35" s="62" t="s">
        <v>70</v>
      </c>
      <c r="D35" s="56">
        <f>COUNTIFS('Error Log'!$E:$E,$B$33,'Error Log'!$F:$F,$C35,'Error Log'!$G:$G,D$27)</f>
        <v>0</v>
      </c>
      <c r="E35" s="52">
        <f>COUNTIFS('Error Log'!$E:$E,$B$33,'Error Log'!$F:$F,$C35,'Error Log'!$G:$G,E$27)</f>
        <v>0</v>
      </c>
      <c r="F35" s="52">
        <f>COUNTIFS('Error Log'!$E:$E,$B$33,'Error Log'!$F:$F,$C35,'Error Log'!$G:$G,F$27)</f>
        <v>0</v>
      </c>
      <c r="G35" s="52">
        <f>COUNTIFS('Error Log'!$E:$E,$B$33,'Error Log'!$F:$F,$C35,'Error Log'!$G:$G,G$27)</f>
        <v>0</v>
      </c>
      <c r="H35" s="52">
        <f>COUNTIFS('Error Log'!$E:$E,$B$33,'Error Log'!$F:$F,$C35,'Error Log'!$G:$G,H$27)</f>
        <v>0</v>
      </c>
      <c r="I35" s="52">
        <f>COUNTIFS('Error Log'!$E:$E,$B$33,'Error Log'!$F:$F,$C35,'Error Log'!$G:$G,I$27)</f>
        <v>0</v>
      </c>
      <c r="J35" s="51">
        <f>COUNTIFS('Error Log'!$E:$E,$B$33,'Error Log'!$F:$F,$C35,'Error Log'!$G:$G,J$27)</f>
        <v>0</v>
      </c>
      <c r="K35" s="52">
        <f>COUNTIFS('Error Log'!$E:$E,$B$33,'Error Log'!$F:$F,$C35,'Error Log'!$G:$G,K$27)</f>
        <v>0</v>
      </c>
      <c r="L35" s="66">
        <f t="shared" si="0"/>
        <v>0</v>
      </c>
    </row>
    <row r="36" spans="2:12" ht="16.2" thickBot="1">
      <c r="B36" s="99" t="s">
        <v>6</v>
      </c>
      <c r="C36" s="100"/>
      <c r="D36" s="31">
        <f>SUM(D28:D35)</f>
        <v>1</v>
      </c>
      <c r="E36" s="31">
        <f>SUM(E28:E35)</f>
        <v>8</v>
      </c>
      <c r="F36" s="31">
        <f>SUM(F28:F35)</f>
        <v>2</v>
      </c>
      <c r="G36" s="31">
        <f>SUM(G28:G35)</f>
        <v>3</v>
      </c>
      <c r="H36" s="31">
        <f>SUM(H28:H35)</f>
        <v>2</v>
      </c>
      <c r="I36" s="31">
        <f>SUM(I28:I35)</f>
        <v>54</v>
      </c>
      <c r="J36" s="31">
        <f>SUM(J28:J35)</f>
        <v>2</v>
      </c>
      <c r="K36" s="31">
        <f>SUM(K28:K35)</f>
        <v>558</v>
      </c>
      <c r="L36" s="64">
        <f>SUM(L28:L35)</f>
        <v>630</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816"/>
  <sheetViews>
    <sheetView showGridLines="0" zoomScale="90" zoomScaleNormal="90" zoomScalePageLayoutView="80" workbookViewId="0">
      <pane ySplit="1" topLeftCell="A2" activePane="bottomLeft" state="frozen"/>
      <selection pane="bottomLeft" activeCell="D10" sqref="D10"/>
    </sheetView>
  </sheetViews>
  <sheetFormatPr defaultColWidth="11" defaultRowHeight="13.8"/>
  <cols>
    <col min="1" max="1" width="13.69921875" style="22" customWidth="1"/>
    <col min="2" max="2" width="10" style="23" bestFit="1" customWidth="1"/>
    <col min="3" max="3" width="19.19921875" style="24" customWidth="1"/>
    <col min="4" max="4" width="42.69921875" style="24" customWidth="1"/>
    <col min="5" max="5" width="14.69921875" style="25" bestFit="1" customWidth="1"/>
    <col min="6" max="6" width="13.69921875" style="25" bestFit="1" customWidth="1"/>
    <col min="7" max="7" width="16.69921875" style="25" bestFit="1" customWidth="1"/>
    <col min="8" max="8" width="19.5" style="25" customWidth="1"/>
    <col min="9" max="9" width="11.09765625" style="25" customWidth="1"/>
    <col min="10" max="10" width="13.19921875" style="21" customWidth="1"/>
    <col min="11" max="11" width="17.19921875" style="21" customWidth="1"/>
    <col min="12" max="16384" width="11" style="21"/>
  </cols>
  <sheetData>
    <row r="1" spans="1:11" s="108" customFormat="1">
      <c r="A1" s="16" t="s">
        <v>20</v>
      </c>
      <c r="B1" s="17" t="s">
        <v>17</v>
      </c>
      <c r="C1" s="109" t="s">
        <v>4</v>
      </c>
      <c r="D1" s="109" t="s">
        <v>5</v>
      </c>
      <c r="E1" s="110" t="s">
        <v>0</v>
      </c>
      <c r="F1" s="110" t="s">
        <v>3</v>
      </c>
      <c r="G1" s="110" t="s">
        <v>33</v>
      </c>
      <c r="H1" s="110" t="s">
        <v>32</v>
      </c>
      <c r="I1" s="110" t="s">
        <v>62</v>
      </c>
      <c r="J1" s="110" t="s">
        <v>34</v>
      </c>
    </row>
    <row r="2" spans="1:11">
      <c r="A2" s="79" t="s">
        <v>74</v>
      </c>
      <c r="B2" s="18">
        <v>1</v>
      </c>
      <c r="C2" s="83" t="s">
        <v>75</v>
      </c>
      <c r="D2" s="83" t="s">
        <v>76</v>
      </c>
      <c r="E2" s="84" t="s">
        <v>21</v>
      </c>
      <c r="F2" s="84" t="s">
        <v>22</v>
      </c>
      <c r="G2" s="84" t="s">
        <v>28</v>
      </c>
      <c r="H2" s="84" t="s">
        <v>77</v>
      </c>
      <c r="I2" s="84"/>
      <c r="J2" s="15" t="str">
        <f>IF(E2="Invalid_Segment","Invalid",IFERROR(INDEX(Severity_Matrix!$C$3:$M$10,MATCH('Error Log'!$F2,Severity_Matrix!$B$3:$B$10,0),MATCH('Error Log'!$G2,Severity_Matrix!$C$2:$M$2,0)),"No errors"))</f>
        <v>Major</v>
      </c>
      <c r="K2" s="1"/>
    </row>
    <row r="3" spans="1:11">
      <c r="A3" s="79" t="s">
        <v>74</v>
      </c>
      <c r="B3" s="18">
        <v>2</v>
      </c>
      <c r="C3" s="83" t="s">
        <v>75</v>
      </c>
      <c r="D3" s="83" t="s">
        <v>76</v>
      </c>
      <c r="E3" s="84" t="s">
        <v>21</v>
      </c>
      <c r="F3" s="84" t="s">
        <v>22</v>
      </c>
      <c r="G3" s="84" t="s">
        <v>28</v>
      </c>
      <c r="H3" s="84" t="s">
        <v>78</v>
      </c>
      <c r="I3" s="84"/>
      <c r="J3" s="15" t="str">
        <f>IF(E3="Invalid_Segment","Invalid",IFERROR(INDEX(Severity_Matrix!$C$3:$M$10,MATCH('Error Log'!$F3,Severity_Matrix!$B$3:$B$10,0),MATCH('Error Log'!$G3,Severity_Matrix!$C$2:$M$2,0)),"No errors"))</f>
        <v>Major</v>
      </c>
      <c r="K3" s="1"/>
    </row>
    <row r="4" spans="1:11">
      <c r="A4" s="79" t="s">
        <v>74</v>
      </c>
      <c r="B4" s="18">
        <v>3</v>
      </c>
      <c r="C4" s="83" t="s">
        <v>75</v>
      </c>
      <c r="D4" s="83" t="s">
        <v>76</v>
      </c>
      <c r="E4" s="84" t="s">
        <v>21</v>
      </c>
      <c r="F4" s="84" t="s">
        <v>22</v>
      </c>
      <c r="G4" s="84" t="s">
        <v>57</v>
      </c>
      <c r="H4" s="84" t="s">
        <v>79</v>
      </c>
      <c r="I4" s="84"/>
      <c r="J4" s="15" t="str">
        <f>IF(E4="Invalid_Segment","Invalid",IFERROR(INDEX(Severity_Matrix!$C$3:$M$10,MATCH('Error Log'!$F4,Severity_Matrix!$B$3:$B$10,0),MATCH('Error Log'!$G4,Severity_Matrix!$C$2:$M$2,0)),"No errors"))</f>
        <v>Major</v>
      </c>
      <c r="K4" s="1"/>
    </row>
    <row r="5" spans="1:11">
      <c r="A5" s="79" t="s">
        <v>74</v>
      </c>
      <c r="B5" s="18">
        <v>4</v>
      </c>
      <c r="C5" s="83" t="s">
        <v>75</v>
      </c>
      <c r="D5" s="83" t="s">
        <v>76</v>
      </c>
      <c r="E5" s="84" t="s">
        <v>21</v>
      </c>
      <c r="F5" s="84" t="s">
        <v>7</v>
      </c>
      <c r="G5" s="84" t="s">
        <v>57</v>
      </c>
      <c r="H5" s="84" t="s">
        <v>80</v>
      </c>
      <c r="I5" s="84"/>
      <c r="J5" s="15" t="str">
        <f>IF(E5="Invalid_Segment","Invalid",IFERROR(INDEX(Severity_Matrix!$C$3:$M$10,MATCH('Error Log'!$F5,Severity_Matrix!$B$3:$B$10,0),MATCH('Error Log'!$G5,Severity_Matrix!$C$2:$M$2,0)),"No errors"))</f>
        <v>Critical</v>
      </c>
      <c r="K5" s="1"/>
    </row>
    <row r="6" spans="1:11">
      <c r="A6" s="79" t="s">
        <v>81</v>
      </c>
      <c r="B6" s="18">
        <v>5</v>
      </c>
      <c r="C6" s="83" t="s">
        <v>75</v>
      </c>
      <c r="D6" s="83" t="s">
        <v>76</v>
      </c>
      <c r="E6" s="84" t="s">
        <v>21</v>
      </c>
      <c r="F6" s="84" t="s">
        <v>7</v>
      </c>
      <c r="G6" s="84" t="s">
        <v>57</v>
      </c>
      <c r="H6" s="84" t="s">
        <v>82</v>
      </c>
      <c r="I6" s="84"/>
      <c r="J6" s="15" t="str">
        <f>IF(E6="Invalid_Segment","Invalid",IFERROR(INDEX(Severity_Matrix!$C$3:$M$10,MATCH('Error Log'!$F6,Severity_Matrix!$B$3:$B$10,0),MATCH('Error Log'!$G6,Severity_Matrix!$C$2:$M$2,0)),"No errors"))</f>
        <v>Critical</v>
      </c>
      <c r="K6" s="1"/>
    </row>
    <row r="7" spans="1:11">
      <c r="A7" s="79" t="s">
        <v>81</v>
      </c>
      <c r="B7" s="18">
        <v>6</v>
      </c>
      <c r="C7" s="83" t="s">
        <v>75</v>
      </c>
      <c r="D7" s="83" t="s">
        <v>76</v>
      </c>
      <c r="E7" s="84" t="s">
        <v>21</v>
      </c>
      <c r="F7" s="84" t="s">
        <v>7</v>
      </c>
      <c r="G7" s="84" t="s">
        <v>57</v>
      </c>
      <c r="H7" s="84" t="s">
        <v>83</v>
      </c>
      <c r="I7" s="84"/>
      <c r="J7" s="15" t="str">
        <f>IF(E7="Invalid_Segment","Invalid",IFERROR(INDEX(Severity_Matrix!$C$3:$M$10,MATCH('Error Log'!$F7,Severity_Matrix!$B$3:$B$10,0),MATCH('Error Log'!$G7,Severity_Matrix!$C$2:$M$2,0)),"No errors"))</f>
        <v>Critical</v>
      </c>
      <c r="K7" s="1"/>
    </row>
    <row r="8" spans="1:11">
      <c r="A8" s="79" t="s">
        <v>81</v>
      </c>
      <c r="B8" s="18">
        <v>7</v>
      </c>
      <c r="C8" s="83" t="s">
        <v>75</v>
      </c>
      <c r="D8" s="83" t="s">
        <v>76</v>
      </c>
      <c r="E8" s="84" t="s">
        <v>21</v>
      </c>
      <c r="F8" s="84" t="s">
        <v>7</v>
      </c>
      <c r="G8" s="84" t="s">
        <v>57</v>
      </c>
      <c r="H8" s="84" t="s">
        <v>84</v>
      </c>
      <c r="I8" s="84"/>
      <c r="J8" s="15" t="str">
        <f>IF(E8="Invalid_Segment","Invalid",IFERROR(INDEX(Severity_Matrix!$C$3:$M$10,MATCH('Error Log'!$F8,Severity_Matrix!$B$3:$B$10,0),MATCH('Error Log'!$G8,Severity_Matrix!$C$2:$M$2,0)),"No errors"))</f>
        <v>Critical</v>
      </c>
      <c r="K8" s="1"/>
    </row>
    <row r="9" spans="1:11">
      <c r="A9" s="79" t="s">
        <v>85</v>
      </c>
      <c r="B9" s="18">
        <v>1</v>
      </c>
      <c r="C9" s="83" t="s">
        <v>86</v>
      </c>
      <c r="D9" s="83" t="s">
        <v>87</v>
      </c>
      <c r="E9" s="84" t="s">
        <v>21</v>
      </c>
      <c r="F9" s="84" t="s">
        <v>22</v>
      </c>
      <c r="G9" s="84" t="s">
        <v>57</v>
      </c>
      <c r="H9" s="84" t="s">
        <v>88</v>
      </c>
      <c r="I9" s="84"/>
      <c r="J9" s="15" t="str">
        <f>IF(E9="Invalid_Segment","Invalid",IFERROR(INDEX(Severity_Matrix!$C$3:$M$10,MATCH('Error Log'!$F9,Severity_Matrix!$B$3:$B$10,0),MATCH('Error Log'!$G9,Severity_Matrix!$C$2:$M$2,0)),"No errors"))</f>
        <v>Major</v>
      </c>
      <c r="K9" s="1"/>
    </row>
    <row r="10" spans="1:11">
      <c r="A10" s="79" t="s">
        <v>85</v>
      </c>
      <c r="B10" s="18">
        <v>2</v>
      </c>
      <c r="C10" s="83" t="s">
        <v>86</v>
      </c>
      <c r="D10" s="83" t="s">
        <v>87</v>
      </c>
      <c r="E10" s="84" t="s">
        <v>21</v>
      </c>
      <c r="F10" s="84" t="s">
        <v>22</v>
      </c>
      <c r="G10" s="84" t="s">
        <v>57</v>
      </c>
      <c r="H10" s="84" t="s">
        <v>89</v>
      </c>
      <c r="I10" s="84"/>
      <c r="J10" s="15" t="str">
        <f>IF(E10="Invalid_Segment","Invalid",IFERROR(INDEX(Severity_Matrix!$C$3:$M$10,MATCH('Error Log'!$F10,Severity_Matrix!$B$3:$B$10,0),MATCH('Error Log'!$G10,Severity_Matrix!$C$2:$M$2,0)),"No errors"))</f>
        <v>Major</v>
      </c>
      <c r="K10" s="1"/>
    </row>
    <row r="11" spans="1:11">
      <c r="A11" s="79" t="s">
        <v>90</v>
      </c>
      <c r="B11" s="18">
        <v>3</v>
      </c>
      <c r="C11" s="83" t="s">
        <v>86</v>
      </c>
      <c r="D11" s="83" t="s">
        <v>87</v>
      </c>
      <c r="E11" s="84" t="s">
        <v>21</v>
      </c>
      <c r="F11" s="84" t="s">
        <v>22</v>
      </c>
      <c r="G11" s="84" t="s">
        <v>57</v>
      </c>
      <c r="H11" s="84" t="s">
        <v>91</v>
      </c>
      <c r="I11" s="84"/>
      <c r="J11" s="15" t="str">
        <f>IF(E11="Invalid_Segment","Invalid",IFERROR(INDEX(Severity_Matrix!$C$3:$M$10,MATCH('Error Log'!$F11,Severity_Matrix!$B$3:$B$10,0),MATCH('Error Log'!$G11,Severity_Matrix!$C$2:$M$2,0)),"No errors"))</f>
        <v>Major</v>
      </c>
      <c r="K11" s="1"/>
    </row>
    <row r="12" spans="1:11">
      <c r="A12" s="79" t="s">
        <v>90</v>
      </c>
      <c r="B12" s="18">
        <v>4</v>
      </c>
      <c r="C12" s="83" t="s">
        <v>86</v>
      </c>
      <c r="D12" s="83" t="s">
        <v>87</v>
      </c>
      <c r="E12" s="84" t="s">
        <v>21</v>
      </c>
      <c r="F12" s="84" t="s">
        <v>7</v>
      </c>
      <c r="G12" s="84" t="s">
        <v>57</v>
      </c>
      <c r="H12" s="84" t="s">
        <v>92</v>
      </c>
      <c r="I12" s="84"/>
      <c r="J12" s="15" t="str">
        <f>IF(E12="Invalid_Segment","Invalid",IFERROR(INDEX(Severity_Matrix!$C$3:$M$10,MATCH('Error Log'!$F12,Severity_Matrix!$B$3:$B$10,0),MATCH('Error Log'!$G12,Severity_Matrix!$C$2:$M$2,0)),"No errors"))</f>
        <v>Critical</v>
      </c>
      <c r="K12" s="1"/>
    </row>
    <row r="13" spans="1:11">
      <c r="A13" s="79" t="s">
        <v>90</v>
      </c>
      <c r="B13" s="18">
        <v>5</v>
      </c>
      <c r="C13" s="83" t="s">
        <v>86</v>
      </c>
      <c r="D13" s="83" t="s">
        <v>87</v>
      </c>
      <c r="E13" s="84" t="s">
        <v>21</v>
      </c>
      <c r="F13" s="84" t="s">
        <v>7</v>
      </c>
      <c r="G13" s="84" t="s">
        <v>57</v>
      </c>
      <c r="H13" s="84" t="s">
        <v>93</v>
      </c>
      <c r="I13" s="84"/>
      <c r="J13" s="15" t="str">
        <f>IF(E13="Invalid_Segment","Invalid",IFERROR(INDEX(Severity_Matrix!$C$3:$M$10,MATCH('Error Log'!$F13,Severity_Matrix!$B$3:$B$10,0),MATCH('Error Log'!$G13,Severity_Matrix!$C$2:$M$2,0)),"No errors"))</f>
        <v>Critical</v>
      </c>
      <c r="K13" s="1"/>
    </row>
    <row r="14" spans="1:11">
      <c r="A14" s="79" t="s">
        <v>90</v>
      </c>
      <c r="B14" s="18">
        <v>6</v>
      </c>
      <c r="C14" s="83" t="s">
        <v>86</v>
      </c>
      <c r="D14" s="83" t="s">
        <v>87</v>
      </c>
      <c r="E14" s="84" t="s">
        <v>21</v>
      </c>
      <c r="F14" s="84" t="s">
        <v>7</v>
      </c>
      <c r="G14" s="84" t="s">
        <v>57</v>
      </c>
      <c r="H14" s="84" t="s">
        <v>94</v>
      </c>
      <c r="I14" s="84"/>
      <c r="J14" s="15" t="str">
        <f>IF(E14="Invalid_Segment","Invalid",IFERROR(INDEX(Severity_Matrix!$C$3:$M$10,MATCH('Error Log'!$F14,Severity_Matrix!$B$3:$B$10,0),MATCH('Error Log'!$G14,Severity_Matrix!$C$2:$M$2,0)),"No errors"))</f>
        <v>Critical</v>
      </c>
      <c r="K14" s="1"/>
    </row>
    <row r="15" spans="1:11">
      <c r="A15" s="79" t="s">
        <v>90</v>
      </c>
      <c r="B15" s="18">
        <v>7</v>
      </c>
      <c r="C15" s="83" t="s">
        <v>86</v>
      </c>
      <c r="D15" s="83" t="s">
        <v>87</v>
      </c>
      <c r="E15" s="84" t="s">
        <v>21</v>
      </c>
      <c r="F15" s="84" t="s">
        <v>7</v>
      </c>
      <c r="G15" s="84" t="s">
        <v>57</v>
      </c>
      <c r="H15" s="84" t="s">
        <v>95</v>
      </c>
      <c r="I15" s="84"/>
      <c r="J15" s="15" t="str">
        <f>IF(E15="Invalid_Segment","Invalid",IFERROR(INDEX(Severity_Matrix!$C$3:$M$10,MATCH('Error Log'!$F15,Severity_Matrix!$B$3:$B$10,0),MATCH('Error Log'!$G15,Severity_Matrix!$C$2:$M$2,0)),"No errors"))</f>
        <v>Critical</v>
      </c>
      <c r="K15" s="1"/>
    </row>
    <row r="16" spans="1:11">
      <c r="A16" s="79" t="s">
        <v>96</v>
      </c>
      <c r="B16" s="18">
        <v>1</v>
      </c>
      <c r="C16" s="83" t="s">
        <v>97</v>
      </c>
      <c r="D16" s="83" t="s">
        <v>98</v>
      </c>
      <c r="E16" s="84" t="s">
        <v>21</v>
      </c>
      <c r="F16" s="84" t="s">
        <v>22</v>
      </c>
      <c r="G16" s="84" t="s">
        <v>57</v>
      </c>
      <c r="H16" s="84" t="s">
        <v>99</v>
      </c>
      <c r="I16" s="84"/>
      <c r="J16" s="15" t="str">
        <f>IF(E16="Invalid_Segment","Invalid",IFERROR(INDEX(Severity_Matrix!$C$3:$M$10,MATCH('Error Log'!$F16,Severity_Matrix!$B$3:$B$10,0),MATCH('Error Log'!$G16,Severity_Matrix!$C$2:$M$2,0)),"No errors"))</f>
        <v>Major</v>
      </c>
      <c r="K16" s="1"/>
    </row>
    <row r="17" spans="1:11">
      <c r="A17" s="79" t="s">
        <v>96</v>
      </c>
      <c r="B17" s="18">
        <v>2</v>
      </c>
      <c r="C17" s="83" t="s">
        <v>97</v>
      </c>
      <c r="D17" s="83" t="s">
        <v>98</v>
      </c>
      <c r="E17" s="84" t="s">
        <v>21</v>
      </c>
      <c r="F17" s="84" t="s">
        <v>22</v>
      </c>
      <c r="G17" s="84" t="s">
        <v>57</v>
      </c>
      <c r="H17" s="84" t="s">
        <v>100</v>
      </c>
      <c r="I17" s="84"/>
      <c r="J17" s="15" t="str">
        <f>IF(E17="Invalid_Segment","Invalid",IFERROR(INDEX(Severity_Matrix!$C$3:$M$10,MATCH('Error Log'!$F17,Severity_Matrix!$B$3:$B$10,0),MATCH('Error Log'!$G17,Severity_Matrix!$C$2:$M$2,0)),"No errors"))</f>
        <v>Major</v>
      </c>
      <c r="K17" s="1"/>
    </row>
    <row r="18" spans="1:11">
      <c r="A18" s="79" t="s">
        <v>101</v>
      </c>
      <c r="B18" s="18">
        <v>3</v>
      </c>
      <c r="C18" s="83" t="s">
        <v>97</v>
      </c>
      <c r="D18" s="83" t="s">
        <v>98</v>
      </c>
      <c r="E18" s="84" t="s">
        <v>21</v>
      </c>
      <c r="F18" s="84" t="s">
        <v>22</v>
      </c>
      <c r="G18" s="84" t="s">
        <v>57</v>
      </c>
      <c r="H18" s="84" t="s">
        <v>102</v>
      </c>
      <c r="I18" s="84"/>
      <c r="J18" s="15" t="str">
        <f>IF(E18="Invalid_Segment","Invalid",IFERROR(INDEX(Severity_Matrix!$C$3:$M$10,MATCH('Error Log'!$F18,Severity_Matrix!$B$3:$B$10,0),MATCH('Error Log'!$G18,Severity_Matrix!$C$2:$M$2,0)),"No errors"))</f>
        <v>Major</v>
      </c>
      <c r="K18" s="1"/>
    </row>
    <row r="19" spans="1:11">
      <c r="A19" s="79" t="s">
        <v>101</v>
      </c>
      <c r="B19" s="18">
        <v>4</v>
      </c>
      <c r="C19" s="83" t="s">
        <v>97</v>
      </c>
      <c r="D19" s="83" t="s">
        <v>98</v>
      </c>
      <c r="E19" s="84" t="s">
        <v>21</v>
      </c>
      <c r="F19" s="84" t="s">
        <v>7</v>
      </c>
      <c r="G19" s="84" t="s">
        <v>55</v>
      </c>
      <c r="H19" s="84" t="s">
        <v>103</v>
      </c>
      <c r="I19" s="84"/>
      <c r="J19" s="15" t="str">
        <f>IF(E19="Invalid_Segment","Invalid",IFERROR(INDEX(Severity_Matrix!$C$3:$M$10,MATCH('Error Log'!$F19,Severity_Matrix!$B$3:$B$10,0),MATCH('Error Log'!$G19,Severity_Matrix!$C$2:$M$2,0)),"No errors"))</f>
        <v>Critical</v>
      </c>
      <c r="K19" s="1"/>
    </row>
    <row r="20" spans="1:11">
      <c r="A20" s="79" t="s">
        <v>101</v>
      </c>
      <c r="B20" s="18">
        <v>5</v>
      </c>
      <c r="C20" s="83" t="s">
        <v>97</v>
      </c>
      <c r="D20" s="83" t="s">
        <v>98</v>
      </c>
      <c r="E20" s="84" t="s">
        <v>2</v>
      </c>
      <c r="F20" s="84" t="s">
        <v>26</v>
      </c>
      <c r="G20" s="84" t="s">
        <v>57</v>
      </c>
      <c r="H20" s="84" t="s">
        <v>104</v>
      </c>
      <c r="I20" s="84"/>
      <c r="J20" s="15" t="str">
        <f>IF(E20="Invalid_Segment","Invalid",IFERROR(INDEX(Severity_Matrix!$C$3:$M$10,MATCH('Error Log'!$F20,Severity_Matrix!$B$3:$B$10,0),MATCH('Error Log'!$G20,Severity_Matrix!$C$2:$M$2,0)),"No errors"))</f>
        <v>Major</v>
      </c>
      <c r="K20" s="1"/>
    </row>
    <row r="21" spans="1:11">
      <c r="A21" s="79" t="s">
        <v>101</v>
      </c>
      <c r="B21" s="18">
        <v>6</v>
      </c>
      <c r="C21" s="83" t="s">
        <v>97</v>
      </c>
      <c r="D21" s="83" t="s">
        <v>98</v>
      </c>
      <c r="E21" s="84" t="s">
        <v>21</v>
      </c>
      <c r="F21" s="84" t="s">
        <v>7</v>
      </c>
      <c r="G21" s="84" t="s">
        <v>57</v>
      </c>
      <c r="H21" s="84" t="s">
        <v>105</v>
      </c>
      <c r="I21" s="84"/>
      <c r="J21" s="15" t="str">
        <f>IF(E21="Invalid_Segment","Invalid",IFERROR(INDEX(Severity_Matrix!$C$3:$M$10,MATCH('Error Log'!$F21,Severity_Matrix!$B$3:$B$10,0),MATCH('Error Log'!$G21,Severity_Matrix!$C$2:$M$2,0)),"No errors"))</f>
        <v>Critical</v>
      </c>
      <c r="K21" s="1"/>
    </row>
    <row r="22" spans="1:11">
      <c r="A22" s="79" t="s">
        <v>101</v>
      </c>
      <c r="B22" s="18">
        <v>7</v>
      </c>
      <c r="C22" s="83" t="s">
        <v>97</v>
      </c>
      <c r="D22" s="83" t="s">
        <v>98</v>
      </c>
      <c r="E22" s="84" t="s">
        <v>21</v>
      </c>
      <c r="F22" s="84" t="s">
        <v>7</v>
      </c>
      <c r="G22" s="84" t="s">
        <v>57</v>
      </c>
      <c r="H22" s="84" t="s">
        <v>106</v>
      </c>
      <c r="I22" s="84"/>
      <c r="J22" s="15" t="str">
        <f>IF(E22="Invalid_Segment","Invalid",IFERROR(INDEX(Severity_Matrix!$C$3:$M$10,MATCH('Error Log'!$F22,Severity_Matrix!$B$3:$B$10,0),MATCH('Error Log'!$G22,Severity_Matrix!$C$2:$M$2,0)),"No errors"))</f>
        <v>Critical</v>
      </c>
      <c r="K22" s="1"/>
    </row>
    <row r="23" spans="1:11">
      <c r="A23" s="79" t="s">
        <v>101</v>
      </c>
      <c r="B23" s="18">
        <v>8</v>
      </c>
      <c r="C23" s="83" t="s">
        <v>97</v>
      </c>
      <c r="D23" s="83" t="s">
        <v>98</v>
      </c>
      <c r="E23" s="84" t="s">
        <v>21</v>
      </c>
      <c r="F23" s="84" t="s">
        <v>7</v>
      </c>
      <c r="G23" s="84" t="s">
        <v>57</v>
      </c>
      <c r="H23" s="84" t="s">
        <v>107</v>
      </c>
      <c r="I23" s="84"/>
      <c r="J23" s="15" t="str">
        <f>IF(E23="Invalid_Segment","Invalid",IFERROR(INDEX(Severity_Matrix!$C$3:$M$10,MATCH('Error Log'!$F23,Severity_Matrix!$B$3:$B$10,0),MATCH('Error Log'!$G23,Severity_Matrix!$C$2:$M$2,0)),"No errors"))</f>
        <v>Critical</v>
      </c>
      <c r="K23" s="1"/>
    </row>
    <row r="24" spans="1:11">
      <c r="A24" s="79" t="s">
        <v>101</v>
      </c>
      <c r="B24" s="18">
        <v>9</v>
      </c>
      <c r="C24" s="83" t="s">
        <v>97</v>
      </c>
      <c r="D24" s="83" t="s">
        <v>98</v>
      </c>
      <c r="E24" s="84" t="s">
        <v>21</v>
      </c>
      <c r="F24" s="84" t="s">
        <v>7</v>
      </c>
      <c r="G24" s="84" t="s">
        <v>57</v>
      </c>
      <c r="H24" s="84" t="s">
        <v>108</v>
      </c>
      <c r="I24" s="84"/>
      <c r="J24" s="15" t="str">
        <f>IF(E24="Invalid_Segment","Invalid",IFERROR(INDEX(Severity_Matrix!$C$3:$M$10,MATCH('Error Log'!$F24,Severity_Matrix!$B$3:$B$10,0),MATCH('Error Log'!$G24,Severity_Matrix!$C$2:$M$2,0)),"No errors"))</f>
        <v>Critical</v>
      </c>
      <c r="K24" s="1"/>
    </row>
    <row r="25" spans="1:11">
      <c r="A25" s="79" t="s">
        <v>109</v>
      </c>
      <c r="B25" s="18">
        <v>1</v>
      </c>
      <c r="C25" s="83" t="s">
        <v>110</v>
      </c>
      <c r="D25" s="83" t="s">
        <v>111</v>
      </c>
      <c r="E25" s="84" t="s">
        <v>21</v>
      </c>
      <c r="F25" s="84" t="s">
        <v>22</v>
      </c>
      <c r="G25" s="84" t="s">
        <v>57</v>
      </c>
      <c r="H25" s="84" t="s">
        <v>112</v>
      </c>
      <c r="I25" s="84"/>
      <c r="J25" s="15" t="str">
        <f>IF(E25="Invalid_Segment","Invalid",IFERROR(INDEX(Severity_Matrix!$C$3:$M$10,MATCH('Error Log'!$F25,Severity_Matrix!$B$3:$B$10,0),MATCH('Error Log'!$G25,Severity_Matrix!$C$2:$M$2,0)),"No errors"))</f>
        <v>Major</v>
      </c>
      <c r="K25" s="1"/>
    </row>
    <row r="26" spans="1:11">
      <c r="A26" s="79" t="s">
        <v>109</v>
      </c>
      <c r="B26" s="18">
        <v>2</v>
      </c>
      <c r="C26" s="83" t="s">
        <v>110</v>
      </c>
      <c r="D26" s="83" t="s">
        <v>111</v>
      </c>
      <c r="E26" s="84" t="s">
        <v>21</v>
      </c>
      <c r="F26" s="84" t="s">
        <v>22</v>
      </c>
      <c r="G26" s="84" t="s">
        <v>28</v>
      </c>
      <c r="H26" s="84" t="s">
        <v>113</v>
      </c>
      <c r="I26" s="84"/>
      <c r="J26" s="15" t="str">
        <f>IF(E26="Invalid_Segment","Invalid",IFERROR(INDEX(Severity_Matrix!$C$3:$M$10,MATCH('Error Log'!$F26,Severity_Matrix!$B$3:$B$10,0),MATCH('Error Log'!$G26,Severity_Matrix!$C$2:$M$2,0)),"No errors"))</f>
        <v>Major</v>
      </c>
      <c r="K26" s="1"/>
    </row>
    <row r="27" spans="1:11">
      <c r="A27" s="79" t="s">
        <v>109</v>
      </c>
      <c r="B27" s="18">
        <v>3</v>
      </c>
      <c r="C27" s="83" t="s">
        <v>110</v>
      </c>
      <c r="D27" s="83" t="s">
        <v>111</v>
      </c>
      <c r="E27" s="84" t="s">
        <v>21</v>
      </c>
      <c r="F27" s="84" t="s">
        <v>22</v>
      </c>
      <c r="G27" s="84" t="s">
        <v>28</v>
      </c>
      <c r="H27" s="84" t="s">
        <v>114</v>
      </c>
      <c r="I27" s="84"/>
      <c r="J27" s="15" t="str">
        <f>IF(E27="Invalid_Segment","Invalid",IFERROR(INDEX(Severity_Matrix!$C$3:$M$10,MATCH('Error Log'!$F27,Severity_Matrix!$B$3:$B$10,0),MATCH('Error Log'!$G27,Severity_Matrix!$C$2:$M$2,0)),"No errors"))</f>
        <v>Major</v>
      </c>
      <c r="K27" s="1"/>
    </row>
    <row r="28" spans="1:11">
      <c r="A28" s="79" t="s">
        <v>109</v>
      </c>
      <c r="B28" s="18">
        <v>4</v>
      </c>
      <c r="C28" s="83" t="s">
        <v>110</v>
      </c>
      <c r="D28" s="83" t="s">
        <v>111</v>
      </c>
      <c r="E28" s="84" t="s">
        <v>21</v>
      </c>
      <c r="F28" s="84" t="s">
        <v>22</v>
      </c>
      <c r="G28" s="84" t="s">
        <v>28</v>
      </c>
      <c r="H28" s="84" t="s">
        <v>115</v>
      </c>
      <c r="I28" s="84"/>
      <c r="J28" s="15" t="str">
        <f>IF(E28="Invalid_Segment","Invalid",IFERROR(INDEX(Severity_Matrix!$C$3:$M$10,MATCH('Error Log'!$F28,Severity_Matrix!$B$3:$B$10,0),MATCH('Error Log'!$G28,Severity_Matrix!$C$2:$M$2,0)),"No errors"))</f>
        <v>Major</v>
      </c>
      <c r="K28" s="1"/>
    </row>
    <row r="29" spans="1:11">
      <c r="A29" s="79" t="s">
        <v>116</v>
      </c>
      <c r="B29" s="18">
        <v>5</v>
      </c>
      <c r="C29" s="83" t="s">
        <v>110</v>
      </c>
      <c r="D29" s="83" t="s">
        <v>111</v>
      </c>
      <c r="E29" s="84" t="s">
        <v>21</v>
      </c>
      <c r="F29" s="84" t="s">
        <v>7</v>
      </c>
      <c r="G29" s="84" t="s">
        <v>57</v>
      </c>
      <c r="H29" s="84" t="s">
        <v>117</v>
      </c>
      <c r="I29" s="84"/>
      <c r="J29" s="15" t="str">
        <f>IF(E29="Invalid_Segment","Invalid",IFERROR(INDEX(Severity_Matrix!$C$3:$M$10,MATCH('Error Log'!$F29,Severity_Matrix!$B$3:$B$10,0),MATCH('Error Log'!$G29,Severity_Matrix!$C$2:$M$2,0)),"No errors"))</f>
        <v>Critical</v>
      </c>
      <c r="K29" s="1"/>
    </row>
    <row r="30" spans="1:11">
      <c r="A30" s="79" t="s">
        <v>116</v>
      </c>
      <c r="B30" s="18">
        <v>6</v>
      </c>
      <c r="C30" s="83" t="s">
        <v>110</v>
      </c>
      <c r="D30" s="83" t="s">
        <v>111</v>
      </c>
      <c r="E30" s="84" t="s">
        <v>21</v>
      </c>
      <c r="F30" s="84" t="s">
        <v>7</v>
      </c>
      <c r="G30" s="84" t="s">
        <v>57</v>
      </c>
      <c r="H30" s="84" t="s">
        <v>118</v>
      </c>
      <c r="I30" s="84"/>
      <c r="J30" s="15" t="str">
        <f>IF(E30="Invalid_Segment","Invalid",IFERROR(INDEX(Severity_Matrix!$C$3:$M$10,MATCH('Error Log'!$F30,Severity_Matrix!$B$3:$B$10,0),MATCH('Error Log'!$G30,Severity_Matrix!$C$2:$M$2,0)),"No errors"))</f>
        <v>Critical</v>
      </c>
      <c r="K30" s="1"/>
    </row>
    <row r="31" spans="1:11">
      <c r="A31" s="79" t="s">
        <v>119</v>
      </c>
      <c r="B31" s="18">
        <v>1</v>
      </c>
      <c r="C31" s="83" t="s">
        <v>120</v>
      </c>
      <c r="D31" s="83" t="s">
        <v>121</v>
      </c>
      <c r="E31" s="84"/>
      <c r="F31" s="84"/>
      <c r="G31" s="84"/>
      <c r="H31" s="84"/>
      <c r="I31" s="84"/>
      <c r="J31" s="15" t="str">
        <f>IF(E31="Invalid_Segment","Invalid",IFERROR(INDEX(Severity_Matrix!$C$3:$M$10,MATCH('Error Log'!$F31,Severity_Matrix!$B$3:$B$10,0),MATCH('Error Log'!$G31,Severity_Matrix!$C$2:$M$2,0)),"No errors"))</f>
        <v>No errors</v>
      </c>
      <c r="K31" s="1"/>
    </row>
    <row r="32" spans="1:11">
      <c r="A32" s="79" t="s">
        <v>122</v>
      </c>
      <c r="B32" s="18">
        <v>1</v>
      </c>
      <c r="C32" s="83" t="s">
        <v>123</v>
      </c>
      <c r="D32" s="83" t="s">
        <v>124</v>
      </c>
      <c r="E32" s="84" t="s">
        <v>21</v>
      </c>
      <c r="F32" s="84" t="s">
        <v>22</v>
      </c>
      <c r="G32" s="84" t="s">
        <v>57</v>
      </c>
      <c r="H32" s="84" t="s">
        <v>125</v>
      </c>
      <c r="I32" s="84"/>
      <c r="J32" s="15" t="str">
        <f>IF(E32="Invalid_Segment","Invalid",IFERROR(INDEX(Severity_Matrix!$C$3:$M$10,MATCH('Error Log'!$F32,Severity_Matrix!$B$3:$B$10,0),MATCH('Error Log'!$G32,Severity_Matrix!$C$2:$M$2,0)),"No errors"))</f>
        <v>Major</v>
      </c>
      <c r="K32" s="1"/>
    </row>
    <row r="33" spans="1:11">
      <c r="A33" s="79" t="s">
        <v>126</v>
      </c>
      <c r="B33" s="18">
        <v>1</v>
      </c>
      <c r="C33" s="83" t="s">
        <v>127</v>
      </c>
      <c r="D33" s="83" t="s">
        <v>128</v>
      </c>
      <c r="E33" s="84" t="s">
        <v>21</v>
      </c>
      <c r="F33" s="84" t="s">
        <v>22</v>
      </c>
      <c r="G33" s="84" t="s">
        <v>57</v>
      </c>
      <c r="H33" s="84" t="s">
        <v>129</v>
      </c>
      <c r="I33" s="84"/>
      <c r="J33" s="15" t="str">
        <f>IF(E33="Invalid_Segment","Invalid",IFERROR(INDEX(Severity_Matrix!$C$3:$M$10,MATCH('Error Log'!$F33,Severity_Matrix!$B$3:$B$10,0),MATCH('Error Log'!$G33,Severity_Matrix!$C$2:$M$2,0)),"No errors"))</f>
        <v>Major</v>
      </c>
      <c r="K33" s="1"/>
    </row>
    <row r="34" spans="1:11">
      <c r="A34" s="79" t="s">
        <v>126</v>
      </c>
      <c r="B34" s="18">
        <v>2</v>
      </c>
      <c r="C34" s="83" t="s">
        <v>127</v>
      </c>
      <c r="D34" s="83" t="s">
        <v>128</v>
      </c>
      <c r="E34" s="84" t="s">
        <v>21</v>
      </c>
      <c r="F34" s="84" t="s">
        <v>22</v>
      </c>
      <c r="G34" s="84" t="s">
        <v>57</v>
      </c>
      <c r="H34" s="84" t="s">
        <v>130</v>
      </c>
      <c r="I34" s="84"/>
      <c r="J34" s="15" t="str">
        <f>IF(E34="Invalid_Segment","Invalid",IFERROR(INDEX(Severity_Matrix!$C$3:$M$10,MATCH('Error Log'!$F34,Severity_Matrix!$B$3:$B$10,0),MATCH('Error Log'!$G34,Severity_Matrix!$C$2:$M$2,0)),"No errors"))</f>
        <v>Major</v>
      </c>
      <c r="K34" s="1"/>
    </row>
    <row r="35" spans="1:11">
      <c r="A35" s="79" t="s">
        <v>131</v>
      </c>
      <c r="B35" s="18">
        <v>3</v>
      </c>
      <c r="C35" s="83" t="s">
        <v>127</v>
      </c>
      <c r="D35" s="83" t="s">
        <v>128</v>
      </c>
      <c r="E35" s="84" t="s">
        <v>21</v>
      </c>
      <c r="F35" s="84" t="s">
        <v>22</v>
      </c>
      <c r="G35" s="84" t="s">
        <v>57</v>
      </c>
      <c r="H35" s="84" t="s">
        <v>132</v>
      </c>
      <c r="I35" s="84"/>
      <c r="J35" s="15" t="str">
        <f>IF(E35="Invalid_Segment","Invalid",IFERROR(INDEX(Severity_Matrix!$C$3:$M$10,MATCH('Error Log'!$F35,Severity_Matrix!$B$3:$B$10,0),MATCH('Error Log'!$G35,Severity_Matrix!$C$2:$M$2,0)),"No errors"))</f>
        <v>Major</v>
      </c>
      <c r="K35" s="1"/>
    </row>
    <row r="36" spans="1:11">
      <c r="A36" s="79" t="s">
        <v>131</v>
      </c>
      <c r="B36" s="18">
        <v>4</v>
      </c>
      <c r="C36" s="83" t="s">
        <v>127</v>
      </c>
      <c r="D36" s="83" t="s">
        <v>128</v>
      </c>
      <c r="E36" s="84" t="s">
        <v>21</v>
      </c>
      <c r="F36" s="84" t="s">
        <v>7</v>
      </c>
      <c r="G36" s="84" t="s">
        <v>57</v>
      </c>
      <c r="H36" s="84" t="s">
        <v>133</v>
      </c>
      <c r="I36" s="84"/>
      <c r="J36" s="15" t="str">
        <f>IF(E36="Invalid_Segment","Invalid",IFERROR(INDEX(Severity_Matrix!$C$3:$M$10,MATCH('Error Log'!$F36,Severity_Matrix!$B$3:$B$10,0),MATCH('Error Log'!$G36,Severity_Matrix!$C$2:$M$2,0)),"No errors"))</f>
        <v>Critical</v>
      </c>
      <c r="K36" s="1"/>
    </row>
    <row r="37" spans="1:11">
      <c r="A37" s="79" t="s">
        <v>131</v>
      </c>
      <c r="B37" s="18">
        <v>5</v>
      </c>
      <c r="C37" s="83" t="s">
        <v>127</v>
      </c>
      <c r="D37" s="83" t="s">
        <v>128</v>
      </c>
      <c r="E37" s="84" t="s">
        <v>21</v>
      </c>
      <c r="F37" s="84" t="s">
        <v>7</v>
      </c>
      <c r="G37" s="84" t="s">
        <v>57</v>
      </c>
      <c r="H37" s="84" t="s">
        <v>134</v>
      </c>
      <c r="I37" s="84"/>
      <c r="J37" s="15" t="str">
        <f>IF(E37="Invalid_Segment","Invalid",IFERROR(INDEX(Severity_Matrix!$C$3:$M$10,MATCH('Error Log'!$F37,Severity_Matrix!$B$3:$B$10,0),MATCH('Error Log'!$G37,Severity_Matrix!$C$2:$M$2,0)),"No errors"))</f>
        <v>Critical</v>
      </c>
      <c r="K37" s="1"/>
    </row>
    <row r="38" spans="1:11">
      <c r="A38" s="79" t="s">
        <v>131</v>
      </c>
      <c r="B38" s="18">
        <v>6</v>
      </c>
      <c r="C38" s="83" t="s">
        <v>127</v>
      </c>
      <c r="D38" s="83" t="s">
        <v>128</v>
      </c>
      <c r="E38" s="84" t="s">
        <v>21</v>
      </c>
      <c r="F38" s="84" t="s">
        <v>7</v>
      </c>
      <c r="G38" s="84" t="s">
        <v>57</v>
      </c>
      <c r="H38" s="84" t="s">
        <v>135</v>
      </c>
      <c r="I38" s="84"/>
      <c r="J38" s="15" t="str">
        <f>IF(E38="Invalid_Segment","Invalid",IFERROR(INDEX(Severity_Matrix!$C$3:$M$10,MATCH('Error Log'!$F38,Severity_Matrix!$B$3:$B$10,0),MATCH('Error Log'!$G38,Severity_Matrix!$C$2:$M$2,0)),"No errors"))</f>
        <v>Critical</v>
      </c>
      <c r="K38" s="1"/>
    </row>
    <row r="39" spans="1:11">
      <c r="A39" s="79" t="s">
        <v>131</v>
      </c>
      <c r="B39" s="18">
        <v>7</v>
      </c>
      <c r="C39" s="83" t="s">
        <v>127</v>
      </c>
      <c r="D39" s="83" t="s">
        <v>128</v>
      </c>
      <c r="E39" s="84" t="s">
        <v>21</v>
      </c>
      <c r="F39" s="84" t="s">
        <v>7</v>
      </c>
      <c r="G39" s="84" t="s">
        <v>57</v>
      </c>
      <c r="H39" s="84" t="s">
        <v>136</v>
      </c>
      <c r="I39" s="84"/>
      <c r="J39" s="15" t="str">
        <f>IF(E39="Invalid_Segment","Invalid",IFERROR(INDEX(Severity_Matrix!$C$3:$M$10,MATCH('Error Log'!$F39,Severity_Matrix!$B$3:$B$10,0),MATCH('Error Log'!$G39,Severity_Matrix!$C$2:$M$2,0)),"No errors"))</f>
        <v>Critical</v>
      </c>
      <c r="K39" s="1"/>
    </row>
    <row r="40" spans="1:11">
      <c r="A40" s="79" t="s">
        <v>131</v>
      </c>
      <c r="B40" s="18">
        <v>8</v>
      </c>
      <c r="C40" s="83" t="s">
        <v>127</v>
      </c>
      <c r="D40" s="83" t="s">
        <v>128</v>
      </c>
      <c r="E40" s="84" t="s">
        <v>21</v>
      </c>
      <c r="F40" s="84" t="s">
        <v>7</v>
      </c>
      <c r="G40" s="84" t="s">
        <v>57</v>
      </c>
      <c r="H40" s="84" t="s">
        <v>137</v>
      </c>
      <c r="I40" s="84"/>
      <c r="J40" s="15" t="str">
        <f>IF(E40="Invalid_Segment","Invalid",IFERROR(INDEX(Severity_Matrix!$C$3:$M$10,MATCH('Error Log'!$F40,Severity_Matrix!$B$3:$B$10,0),MATCH('Error Log'!$G40,Severity_Matrix!$C$2:$M$2,0)),"No errors"))</f>
        <v>Critical</v>
      </c>
      <c r="K40" s="1"/>
    </row>
    <row r="41" spans="1:11">
      <c r="A41" s="79" t="s">
        <v>131</v>
      </c>
      <c r="B41" s="18">
        <v>9</v>
      </c>
      <c r="C41" s="83" t="s">
        <v>127</v>
      </c>
      <c r="D41" s="83" t="s">
        <v>128</v>
      </c>
      <c r="E41" s="84" t="s">
        <v>21</v>
      </c>
      <c r="F41" s="84" t="s">
        <v>7</v>
      </c>
      <c r="G41" s="84" t="s">
        <v>57</v>
      </c>
      <c r="H41" s="84" t="s">
        <v>138</v>
      </c>
      <c r="I41" s="84"/>
      <c r="J41" s="15" t="str">
        <f>IF(E41="Invalid_Segment","Invalid",IFERROR(INDEX(Severity_Matrix!$C$3:$M$10,MATCH('Error Log'!$F41,Severity_Matrix!$B$3:$B$10,0),MATCH('Error Log'!$G41,Severity_Matrix!$C$2:$M$2,0)),"No errors"))</f>
        <v>Critical</v>
      </c>
      <c r="K41" s="1"/>
    </row>
    <row r="42" spans="1:11">
      <c r="A42" s="79" t="s">
        <v>131</v>
      </c>
      <c r="B42" s="18">
        <v>10</v>
      </c>
      <c r="C42" s="83" t="s">
        <v>127</v>
      </c>
      <c r="D42" s="83" t="s">
        <v>128</v>
      </c>
      <c r="E42" s="84" t="s">
        <v>21</v>
      </c>
      <c r="F42" s="84" t="s">
        <v>7</v>
      </c>
      <c r="G42" s="84" t="s">
        <v>57</v>
      </c>
      <c r="H42" s="84" t="s">
        <v>139</v>
      </c>
      <c r="I42" s="84"/>
      <c r="J42" s="15" t="str">
        <f>IF(E42="Invalid_Segment","Invalid",IFERROR(INDEX(Severity_Matrix!$C$3:$M$10,MATCH('Error Log'!$F42,Severity_Matrix!$B$3:$B$10,0),MATCH('Error Log'!$G42,Severity_Matrix!$C$2:$M$2,0)),"No errors"))</f>
        <v>Critical</v>
      </c>
      <c r="K42" s="1"/>
    </row>
    <row r="43" spans="1:11">
      <c r="A43" s="79" t="s">
        <v>140</v>
      </c>
      <c r="B43" s="18">
        <v>1</v>
      </c>
      <c r="C43" s="83" t="s">
        <v>141</v>
      </c>
      <c r="D43" s="83" t="s">
        <v>142</v>
      </c>
      <c r="E43" s="84" t="s">
        <v>21</v>
      </c>
      <c r="F43" s="84" t="s">
        <v>22</v>
      </c>
      <c r="G43" s="84" t="s">
        <v>57</v>
      </c>
      <c r="H43" s="84" t="s">
        <v>143</v>
      </c>
      <c r="I43" s="84"/>
      <c r="J43" s="15" t="str">
        <f>IF(E43="Invalid_Segment","Invalid",IFERROR(INDEX(Severity_Matrix!$C$3:$M$10,MATCH('Error Log'!$F43,Severity_Matrix!$B$3:$B$10,0),MATCH('Error Log'!$G43,Severity_Matrix!$C$2:$M$2,0)),"No errors"))</f>
        <v>Major</v>
      </c>
      <c r="K43" s="1"/>
    </row>
    <row r="44" spans="1:11">
      <c r="A44" s="79" t="s">
        <v>140</v>
      </c>
      <c r="B44" s="18">
        <v>2</v>
      </c>
      <c r="C44" s="83" t="s">
        <v>141</v>
      </c>
      <c r="D44" s="83" t="s">
        <v>142</v>
      </c>
      <c r="E44" s="84" t="s">
        <v>21</v>
      </c>
      <c r="F44" s="84" t="s">
        <v>22</v>
      </c>
      <c r="G44" s="84" t="s">
        <v>57</v>
      </c>
      <c r="H44" s="84" t="s">
        <v>144</v>
      </c>
      <c r="I44" s="84"/>
      <c r="J44" s="15" t="str">
        <f>IF(E44="Invalid_Segment","Invalid",IFERROR(INDEX(Severity_Matrix!$C$3:$M$10,MATCH('Error Log'!$F44,Severity_Matrix!$B$3:$B$10,0),MATCH('Error Log'!$G44,Severity_Matrix!$C$2:$M$2,0)),"No errors"))</f>
        <v>Major</v>
      </c>
      <c r="K44" s="1"/>
    </row>
    <row r="45" spans="1:11">
      <c r="A45" s="79" t="s">
        <v>145</v>
      </c>
      <c r="B45" s="18">
        <v>3</v>
      </c>
      <c r="C45" s="83" t="s">
        <v>141</v>
      </c>
      <c r="D45" s="83" t="s">
        <v>142</v>
      </c>
      <c r="E45" s="84" t="s">
        <v>21</v>
      </c>
      <c r="F45" s="84" t="s">
        <v>7</v>
      </c>
      <c r="G45" s="84" t="s">
        <v>57</v>
      </c>
      <c r="H45" s="84" t="s">
        <v>146</v>
      </c>
      <c r="I45" s="84"/>
      <c r="J45" s="15" t="str">
        <f>IF(E45="Invalid_Segment","Invalid",IFERROR(INDEX(Severity_Matrix!$C$3:$M$10,MATCH('Error Log'!$F45,Severity_Matrix!$B$3:$B$10,0),MATCH('Error Log'!$G45,Severity_Matrix!$C$2:$M$2,0)),"No errors"))</f>
        <v>Critical</v>
      </c>
      <c r="K45" s="1"/>
    </row>
    <row r="46" spans="1:11">
      <c r="A46" s="79" t="s">
        <v>145</v>
      </c>
      <c r="B46" s="18">
        <v>4</v>
      </c>
      <c r="C46" s="83" t="s">
        <v>141</v>
      </c>
      <c r="D46" s="83" t="s">
        <v>142</v>
      </c>
      <c r="E46" s="84" t="s">
        <v>21</v>
      </c>
      <c r="F46" s="84" t="s">
        <v>7</v>
      </c>
      <c r="G46" s="84" t="s">
        <v>57</v>
      </c>
      <c r="H46" s="84" t="s">
        <v>147</v>
      </c>
      <c r="I46" s="84"/>
      <c r="J46" s="15" t="str">
        <f>IF(E46="Invalid_Segment","Invalid",IFERROR(INDEX(Severity_Matrix!$C$3:$M$10,MATCH('Error Log'!$F46,Severity_Matrix!$B$3:$B$10,0),MATCH('Error Log'!$G46,Severity_Matrix!$C$2:$M$2,0)),"No errors"))</f>
        <v>Critical</v>
      </c>
      <c r="K46" s="1"/>
    </row>
    <row r="47" spans="1:11">
      <c r="A47" s="79" t="s">
        <v>145</v>
      </c>
      <c r="B47" s="18">
        <v>5</v>
      </c>
      <c r="C47" s="83" t="s">
        <v>141</v>
      </c>
      <c r="D47" s="83" t="s">
        <v>142</v>
      </c>
      <c r="E47" s="84" t="s">
        <v>21</v>
      </c>
      <c r="F47" s="84" t="s">
        <v>7</v>
      </c>
      <c r="G47" s="84" t="s">
        <v>57</v>
      </c>
      <c r="H47" s="84" t="s">
        <v>148</v>
      </c>
      <c r="I47" s="84"/>
      <c r="J47" s="15" t="str">
        <f>IF(E47="Invalid_Segment","Invalid",IFERROR(INDEX(Severity_Matrix!$C$3:$M$10,MATCH('Error Log'!$F47,Severity_Matrix!$B$3:$B$10,0),MATCH('Error Log'!$G47,Severity_Matrix!$C$2:$M$2,0)),"No errors"))</f>
        <v>Critical</v>
      </c>
      <c r="K47" s="1"/>
    </row>
    <row r="48" spans="1:11">
      <c r="A48" s="79" t="s">
        <v>149</v>
      </c>
      <c r="B48" s="18">
        <v>1</v>
      </c>
      <c r="C48" s="83" t="s">
        <v>150</v>
      </c>
      <c r="D48" s="83" t="s">
        <v>151</v>
      </c>
      <c r="E48" s="84" t="s">
        <v>21</v>
      </c>
      <c r="F48" s="84" t="s">
        <v>22</v>
      </c>
      <c r="G48" s="84" t="s">
        <v>57</v>
      </c>
      <c r="H48" s="84" t="s">
        <v>152</v>
      </c>
      <c r="I48" s="84"/>
      <c r="J48" s="15" t="str">
        <f>IF(E48="Invalid_Segment","Invalid",IFERROR(INDEX(Severity_Matrix!$C$3:$M$10,MATCH('Error Log'!$F48,Severity_Matrix!$B$3:$B$10,0),MATCH('Error Log'!$G48,Severity_Matrix!$C$2:$M$2,0)),"No errors"))</f>
        <v>Major</v>
      </c>
      <c r="K48" s="1"/>
    </row>
    <row r="49" spans="1:11">
      <c r="A49" s="79" t="s">
        <v>149</v>
      </c>
      <c r="B49" s="18">
        <v>2</v>
      </c>
      <c r="C49" s="83" t="s">
        <v>150</v>
      </c>
      <c r="D49" s="83" t="s">
        <v>151</v>
      </c>
      <c r="E49" s="84" t="s">
        <v>21</v>
      </c>
      <c r="F49" s="84" t="s">
        <v>22</v>
      </c>
      <c r="G49" s="84" t="s">
        <v>57</v>
      </c>
      <c r="H49" s="84" t="s">
        <v>153</v>
      </c>
      <c r="I49" s="84"/>
      <c r="J49" s="15" t="str">
        <f>IF(E49="Invalid_Segment","Invalid",IFERROR(INDEX(Severity_Matrix!$C$3:$M$10,MATCH('Error Log'!$F49,Severity_Matrix!$B$3:$B$10,0),MATCH('Error Log'!$G49,Severity_Matrix!$C$2:$M$2,0)),"No errors"))</f>
        <v>Major</v>
      </c>
      <c r="K49" s="1"/>
    </row>
    <row r="50" spans="1:11">
      <c r="A50" s="79" t="s">
        <v>154</v>
      </c>
      <c r="B50" s="18">
        <v>3</v>
      </c>
      <c r="C50" s="83" t="s">
        <v>150</v>
      </c>
      <c r="D50" s="83" t="s">
        <v>151</v>
      </c>
      <c r="E50" s="84" t="s">
        <v>21</v>
      </c>
      <c r="F50" s="84" t="s">
        <v>22</v>
      </c>
      <c r="G50" s="84" t="s">
        <v>57</v>
      </c>
      <c r="H50" s="84" t="s">
        <v>155</v>
      </c>
      <c r="I50" s="84"/>
      <c r="J50" s="15" t="str">
        <f>IF(E50="Invalid_Segment","Invalid",IFERROR(INDEX(Severity_Matrix!$C$3:$M$10,MATCH('Error Log'!$F50,Severity_Matrix!$B$3:$B$10,0),MATCH('Error Log'!$G50,Severity_Matrix!$C$2:$M$2,0)),"No errors"))</f>
        <v>Major</v>
      </c>
      <c r="K50" s="1"/>
    </row>
    <row r="51" spans="1:11">
      <c r="A51" s="79" t="s">
        <v>154</v>
      </c>
      <c r="B51" s="18">
        <v>4</v>
      </c>
      <c r="C51" s="83" t="s">
        <v>150</v>
      </c>
      <c r="D51" s="83" t="s">
        <v>151</v>
      </c>
      <c r="E51" s="84" t="s">
        <v>21</v>
      </c>
      <c r="F51" s="84" t="s">
        <v>7</v>
      </c>
      <c r="G51" s="84" t="s">
        <v>57</v>
      </c>
      <c r="H51" s="84" t="s">
        <v>156</v>
      </c>
      <c r="I51" s="84"/>
      <c r="J51" s="15" t="str">
        <f>IF(E51="Invalid_Segment","Invalid",IFERROR(INDEX(Severity_Matrix!$C$3:$M$10,MATCH('Error Log'!$F51,Severity_Matrix!$B$3:$B$10,0),MATCH('Error Log'!$G51,Severity_Matrix!$C$2:$M$2,0)),"No errors"))</f>
        <v>Critical</v>
      </c>
      <c r="K51" s="1"/>
    </row>
    <row r="52" spans="1:11">
      <c r="A52" s="79" t="s">
        <v>154</v>
      </c>
      <c r="B52" s="18">
        <v>5</v>
      </c>
      <c r="C52" s="83" t="s">
        <v>150</v>
      </c>
      <c r="D52" s="83" t="s">
        <v>151</v>
      </c>
      <c r="E52" s="84" t="s">
        <v>21</v>
      </c>
      <c r="F52" s="84" t="s">
        <v>7</v>
      </c>
      <c r="G52" s="84" t="s">
        <v>57</v>
      </c>
      <c r="H52" s="84" t="s">
        <v>157</v>
      </c>
      <c r="I52" s="84"/>
      <c r="J52" s="15" t="str">
        <f>IF(E52="Invalid_Segment","Invalid",IFERROR(INDEX(Severity_Matrix!$C$3:$M$10,MATCH('Error Log'!$F52,Severity_Matrix!$B$3:$B$10,0),MATCH('Error Log'!$G52,Severity_Matrix!$C$2:$M$2,0)),"No errors"))</f>
        <v>Critical</v>
      </c>
      <c r="K52" s="1"/>
    </row>
    <row r="53" spans="1:11">
      <c r="A53" s="79" t="s">
        <v>158</v>
      </c>
      <c r="B53" s="18">
        <v>1</v>
      </c>
      <c r="C53" s="83" t="s">
        <v>159</v>
      </c>
      <c r="D53" s="83" t="s">
        <v>160</v>
      </c>
      <c r="E53" s="84" t="s">
        <v>21</v>
      </c>
      <c r="F53" s="84" t="s">
        <v>22</v>
      </c>
      <c r="G53" s="84" t="s">
        <v>57</v>
      </c>
      <c r="H53" s="84" t="s">
        <v>161</v>
      </c>
      <c r="I53" s="84"/>
      <c r="J53" s="15" t="str">
        <f>IF(E53="Invalid_Segment","Invalid",IFERROR(INDEX(Severity_Matrix!$C$3:$M$10,MATCH('Error Log'!$F53,Severity_Matrix!$B$3:$B$10,0),MATCH('Error Log'!$G53,Severity_Matrix!$C$2:$M$2,0)),"No errors"))</f>
        <v>Major</v>
      </c>
      <c r="K53" s="79"/>
    </row>
    <row r="54" spans="1:11">
      <c r="A54" s="79" t="s">
        <v>158</v>
      </c>
      <c r="B54" s="18">
        <v>2</v>
      </c>
      <c r="C54" s="83" t="s">
        <v>159</v>
      </c>
      <c r="D54" s="83" t="s">
        <v>160</v>
      </c>
      <c r="E54" s="84" t="s">
        <v>21</v>
      </c>
      <c r="F54" s="84" t="s">
        <v>22</v>
      </c>
      <c r="G54" s="84" t="s">
        <v>57</v>
      </c>
      <c r="H54" s="84" t="s">
        <v>162</v>
      </c>
      <c r="I54" s="84"/>
      <c r="J54" s="15" t="str">
        <f>IF(E54="Invalid_Segment","Invalid",IFERROR(INDEX(Severity_Matrix!$C$3:$M$10,MATCH('Error Log'!$F54,Severity_Matrix!$B$3:$B$10,0),MATCH('Error Log'!$G54,Severity_Matrix!$C$2:$M$2,0)),"No errors"))</f>
        <v>Major</v>
      </c>
      <c r="K54" s="79"/>
    </row>
    <row r="55" spans="1:11">
      <c r="A55" s="79" t="s">
        <v>163</v>
      </c>
      <c r="B55" s="18">
        <v>3</v>
      </c>
      <c r="C55" s="83" t="s">
        <v>159</v>
      </c>
      <c r="D55" s="83" t="s">
        <v>160</v>
      </c>
      <c r="E55" s="84" t="s">
        <v>21</v>
      </c>
      <c r="F55" s="84" t="s">
        <v>7</v>
      </c>
      <c r="G55" s="84" t="s">
        <v>57</v>
      </c>
      <c r="H55" s="84" t="s">
        <v>164</v>
      </c>
      <c r="I55" s="84"/>
      <c r="J55" s="15" t="str">
        <f>IF(E55="Invalid_Segment","Invalid",IFERROR(INDEX(Severity_Matrix!$C$3:$M$10,MATCH('Error Log'!$F55,Severity_Matrix!$B$3:$B$10,0),MATCH('Error Log'!$G55,Severity_Matrix!$C$2:$M$2,0)),"No errors"))</f>
        <v>Critical</v>
      </c>
      <c r="K55" s="79"/>
    </row>
    <row r="56" spans="1:11">
      <c r="A56" s="79" t="s">
        <v>163</v>
      </c>
      <c r="B56" s="18">
        <v>4</v>
      </c>
      <c r="C56" s="83" t="s">
        <v>159</v>
      </c>
      <c r="D56" s="83" t="s">
        <v>160</v>
      </c>
      <c r="E56" s="84" t="s">
        <v>21</v>
      </c>
      <c r="F56" s="84" t="s">
        <v>7</v>
      </c>
      <c r="G56" s="84" t="s">
        <v>57</v>
      </c>
      <c r="H56" s="84" t="s">
        <v>165</v>
      </c>
      <c r="I56" s="84"/>
      <c r="J56" s="15" t="str">
        <f>IF(E56="Invalid_Segment","Invalid",IFERROR(INDEX(Severity_Matrix!$C$3:$M$10,MATCH('Error Log'!$F56,Severity_Matrix!$B$3:$B$10,0),MATCH('Error Log'!$G56,Severity_Matrix!$C$2:$M$2,0)),"No errors"))</f>
        <v>Critical</v>
      </c>
      <c r="K56" s="79"/>
    </row>
    <row r="57" spans="1:11">
      <c r="A57" s="79" t="s">
        <v>163</v>
      </c>
      <c r="B57" s="18">
        <v>5</v>
      </c>
      <c r="C57" s="83" t="s">
        <v>159</v>
      </c>
      <c r="D57" s="83" t="s">
        <v>160</v>
      </c>
      <c r="E57" s="84" t="s">
        <v>21</v>
      </c>
      <c r="F57" s="84" t="s">
        <v>7</v>
      </c>
      <c r="G57" s="84" t="s">
        <v>57</v>
      </c>
      <c r="H57" s="84" t="s">
        <v>166</v>
      </c>
      <c r="I57" s="84"/>
      <c r="J57" s="15" t="str">
        <f>IF(E57="Invalid_Segment","Invalid",IFERROR(INDEX(Severity_Matrix!$C$3:$M$10,MATCH('Error Log'!$F57,Severity_Matrix!$B$3:$B$10,0),MATCH('Error Log'!$G57,Severity_Matrix!$C$2:$M$2,0)),"No errors"))</f>
        <v>Critical</v>
      </c>
      <c r="K57" s="79"/>
    </row>
    <row r="58" spans="1:11">
      <c r="A58" s="79" t="s">
        <v>167</v>
      </c>
      <c r="B58" s="18">
        <v>1</v>
      </c>
      <c r="C58" s="83" t="s">
        <v>168</v>
      </c>
      <c r="D58" s="83" t="s">
        <v>169</v>
      </c>
      <c r="E58" s="84" t="s">
        <v>21</v>
      </c>
      <c r="F58" s="84" t="s">
        <v>22</v>
      </c>
      <c r="G58" s="84" t="s">
        <v>57</v>
      </c>
      <c r="H58" s="84" t="s">
        <v>170</v>
      </c>
      <c r="I58" s="84"/>
      <c r="J58" s="15" t="str">
        <f>IF(E58="Invalid_Segment","Invalid",IFERROR(INDEX(Severity_Matrix!$C$3:$M$10,MATCH('Error Log'!$F58,Severity_Matrix!$B$3:$B$10,0),MATCH('Error Log'!$G58,Severity_Matrix!$C$2:$M$2,0)),"No errors"))</f>
        <v>Major</v>
      </c>
      <c r="K58" s="79"/>
    </row>
    <row r="59" spans="1:11">
      <c r="A59" s="79" t="s">
        <v>167</v>
      </c>
      <c r="B59" s="18">
        <v>2</v>
      </c>
      <c r="C59" s="83" t="s">
        <v>168</v>
      </c>
      <c r="D59" s="83" t="s">
        <v>169</v>
      </c>
      <c r="E59" s="84" t="s">
        <v>21</v>
      </c>
      <c r="F59" s="84" t="s">
        <v>7</v>
      </c>
      <c r="G59" s="84" t="s">
        <v>57</v>
      </c>
      <c r="H59" s="84" t="s">
        <v>171</v>
      </c>
      <c r="I59" s="84"/>
      <c r="J59" s="15" t="str">
        <f>IF(E59="Invalid_Segment","Invalid",IFERROR(INDEX(Severity_Matrix!$C$3:$M$10,MATCH('Error Log'!$F59,Severity_Matrix!$B$3:$B$10,0),MATCH('Error Log'!$G59,Severity_Matrix!$C$2:$M$2,0)),"No errors"))</f>
        <v>Critical</v>
      </c>
      <c r="K59" s="79"/>
    </row>
    <row r="60" spans="1:11">
      <c r="A60" s="79" t="s">
        <v>172</v>
      </c>
      <c r="B60" s="18">
        <v>3</v>
      </c>
      <c r="C60" s="83" t="s">
        <v>168</v>
      </c>
      <c r="D60" s="83" t="s">
        <v>169</v>
      </c>
      <c r="E60" s="84" t="s">
        <v>21</v>
      </c>
      <c r="F60" s="84" t="s">
        <v>7</v>
      </c>
      <c r="G60" s="84" t="s">
        <v>57</v>
      </c>
      <c r="H60" s="84" t="s">
        <v>173</v>
      </c>
      <c r="I60" s="84"/>
      <c r="J60" s="15" t="str">
        <f>IF(E60="Invalid_Segment","Invalid",IFERROR(INDEX(Severity_Matrix!$C$3:$M$10,MATCH('Error Log'!$F60,Severity_Matrix!$B$3:$B$10,0),MATCH('Error Log'!$G60,Severity_Matrix!$C$2:$M$2,0)),"No errors"))</f>
        <v>Critical</v>
      </c>
      <c r="K60" s="79"/>
    </row>
    <row r="61" spans="1:11">
      <c r="A61" s="79" t="s">
        <v>174</v>
      </c>
      <c r="B61" s="18">
        <v>1</v>
      </c>
      <c r="C61" s="83" t="s">
        <v>175</v>
      </c>
      <c r="D61" s="83" t="s">
        <v>176</v>
      </c>
      <c r="E61" s="84" t="s">
        <v>21</v>
      </c>
      <c r="F61" s="84" t="s">
        <v>22</v>
      </c>
      <c r="G61" s="84" t="s">
        <v>57</v>
      </c>
      <c r="H61" s="84" t="s">
        <v>177</v>
      </c>
      <c r="I61" s="84"/>
      <c r="J61" s="15" t="str">
        <f>IF(E61="Invalid_Segment","Invalid",IFERROR(INDEX(Severity_Matrix!$C$3:$M$10,MATCH('Error Log'!$F61,Severity_Matrix!$B$3:$B$10,0),MATCH('Error Log'!$G61,Severity_Matrix!$C$2:$M$2,0)),"No errors"))</f>
        <v>Major</v>
      </c>
      <c r="K61" s="79"/>
    </row>
    <row r="62" spans="1:11">
      <c r="A62" s="79" t="s">
        <v>174</v>
      </c>
      <c r="B62" s="18">
        <v>2</v>
      </c>
      <c r="C62" s="83" t="s">
        <v>175</v>
      </c>
      <c r="D62" s="83" t="s">
        <v>176</v>
      </c>
      <c r="E62" s="84" t="s">
        <v>21</v>
      </c>
      <c r="F62" s="84" t="s">
        <v>22</v>
      </c>
      <c r="G62" s="84" t="s">
        <v>57</v>
      </c>
      <c r="H62" s="84" t="s">
        <v>178</v>
      </c>
      <c r="I62" s="84"/>
      <c r="J62" s="15" t="str">
        <f>IF(E62="Invalid_Segment","Invalid",IFERROR(INDEX(Severity_Matrix!$C$3:$M$10,MATCH('Error Log'!$F62,Severity_Matrix!$B$3:$B$10,0),MATCH('Error Log'!$G62,Severity_Matrix!$C$2:$M$2,0)),"No errors"))</f>
        <v>Major</v>
      </c>
      <c r="K62" s="79"/>
    </row>
    <row r="63" spans="1:11">
      <c r="A63" s="79" t="s">
        <v>179</v>
      </c>
      <c r="B63" s="18">
        <v>1</v>
      </c>
      <c r="C63" s="83" t="s">
        <v>180</v>
      </c>
      <c r="D63" s="83" t="s">
        <v>181</v>
      </c>
      <c r="E63" s="84" t="s">
        <v>21</v>
      </c>
      <c r="F63" s="84" t="s">
        <v>22</v>
      </c>
      <c r="G63" s="84" t="s">
        <v>57</v>
      </c>
      <c r="H63" s="84" t="s">
        <v>182</v>
      </c>
      <c r="I63" s="84"/>
      <c r="J63" s="15" t="str">
        <f>IF(E63="Invalid_Segment","Invalid",IFERROR(INDEX(Severity_Matrix!$C$3:$M$10,MATCH('Error Log'!$F63,Severity_Matrix!$B$3:$B$10,0),MATCH('Error Log'!$G63,Severity_Matrix!$C$2:$M$2,0)),"No errors"))</f>
        <v>Major</v>
      </c>
      <c r="K63" s="79"/>
    </row>
    <row r="64" spans="1:11">
      <c r="A64" s="79" t="s">
        <v>179</v>
      </c>
      <c r="B64" s="18">
        <v>2</v>
      </c>
      <c r="C64" s="83" t="s">
        <v>180</v>
      </c>
      <c r="D64" s="83" t="s">
        <v>181</v>
      </c>
      <c r="E64" s="84" t="s">
        <v>21</v>
      </c>
      <c r="F64" s="84" t="s">
        <v>22</v>
      </c>
      <c r="G64" s="84" t="s">
        <v>29</v>
      </c>
      <c r="H64" s="85" t="s">
        <v>183</v>
      </c>
      <c r="I64" s="84"/>
      <c r="J64" s="15" t="str">
        <f>IF(E64="Invalid_Segment","Invalid",IFERROR(INDEX(Severity_Matrix!$C$3:$M$10,MATCH('Error Log'!$F64,Severity_Matrix!$B$3:$B$10,0),MATCH('Error Log'!$G64,Severity_Matrix!$C$2:$M$2,0)),"No errors"))</f>
        <v>Major</v>
      </c>
      <c r="K64" s="79"/>
    </row>
    <row r="65" spans="1:11">
      <c r="A65" s="79" t="s">
        <v>184</v>
      </c>
      <c r="B65" s="18">
        <v>3</v>
      </c>
      <c r="C65" s="83" t="s">
        <v>180</v>
      </c>
      <c r="D65" s="83" t="s">
        <v>181</v>
      </c>
      <c r="E65" s="84" t="s">
        <v>21</v>
      </c>
      <c r="F65" s="84" t="s">
        <v>22</v>
      </c>
      <c r="G65" s="84" t="s">
        <v>29</v>
      </c>
      <c r="H65" s="85" t="s">
        <v>185</v>
      </c>
      <c r="I65" s="84"/>
      <c r="J65" s="15" t="str">
        <f>IF(E65="Invalid_Segment","Invalid",IFERROR(INDEX(Severity_Matrix!$C$3:$M$10,MATCH('Error Log'!$F65,Severity_Matrix!$B$3:$B$10,0),MATCH('Error Log'!$G65,Severity_Matrix!$C$2:$M$2,0)),"No errors"))</f>
        <v>Major</v>
      </c>
      <c r="K65" s="79"/>
    </row>
    <row r="66" spans="1:11">
      <c r="A66" s="79" t="s">
        <v>184</v>
      </c>
      <c r="B66" s="18">
        <v>4</v>
      </c>
      <c r="C66" s="83" t="s">
        <v>180</v>
      </c>
      <c r="D66" s="83" t="s">
        <v>181</v>
      </c>
      <c r="E66" s="84" t="s">
        <v>21</v>
      </c>
      <c r="F66" s="84" t="s">
        <v>22</v>
      </c>
      <c r="G66" s="84" t="s">
        <v>29</v>
      </c>
      <c r="H66" s="85" t="s">
        <v>186</v>
      </c>
      <c r="I66" s="84"/>
      <c r="J66" s="15" t="str">
        <f>IF(E66="Invalid_Segment","Invalid",IFERROR(INDEX(Severity_Matrix!$C$3:$M$10,MATCH('Error Log'!$F66,Severity_Matrix!$B$3:$B$10,0),MATCH('Error Log'!$G66,Severity_Matrix!$C$2:$M$2,0)),"No errors"))</f>
        <v>Major</v>
      </c>
      <c r="K66" s="79"/>
    </row>
    <row r="67" spans="1:11">
      <c r="A67" s="79" t="s">
        <v>184</v>
      </c>
      <c r="B67" s="18">
        <v>5</v>
      </c>
      <c r="C67" s="83" t="s">
        <v>180</v>
      </c>
      <c r="D67" s="83" t="s">
        <v>181</v>
      </c>
      <c r="E67" s="84" t="s">
        <v>21</v>
      </c>
      <c r="F67" s="84" t="s">
        <v>7</v>
      </c>
      <c r="G67" s="84" t="s">
        <v>57</v>
      </c>
      <c r="H67" s="84" t="s">
        <v>187</v>
      </c>
      <c r="I67" s="84"/>
      <c r="J67" s="15" t="str">
        <f>IF(E67="Invalid_Segment","Invalid",IFERROR(INDEX(Severity_Matrix!$C$3:$M$10,MATCH('Error Log'!$F67,Severity_Matrix!$B$3:$B$10,0),MATCH('Error Log'!$G67,Severity_Matrix!$C$2:$M$2,0)),"No errors"))</f>
        <v>Critical</v>
      </c>
      <c r="K67" s="79"/>
    </row>
    <row r="68" spans="1:11">
      <c r="A68" s="79" t="s">
        <v>188</v>
      </c>
      <c r="B68" s="18">
        <v>1</v>
      </c>
      <c r="C68" s="83" t="s">
        <v>189</v>
      </c>
      <c r="D68" s="83" t="s">
        <v>190</v>
      </c>
      <c r="E68" s="84" t="s">
        <v>2</v>
      </c>
      <c r="F68" s="84" t="s">
        <v>26</v>
      </c>
      <c r="G68" s="84" t="s">
        <v>57</v>
      </c>
      <c r="H68" s="84" t="s">
        <v>191</v>
      </c>
      <c r="I68" s="84"/>
      <c r="J68" s="15" t="str">
        <f>IF(E68="Invalid_Segment","Invalid",IFERROR(INDEX(Severity_Matrix!$C$3:$M$10,MATCH('Error Log'!$F68,Severity_Matrix!$B$3:$B$10,0),MATCH('Error Log'!$G68,Severity_Matrix!$C$2:$M$2,0)),"No errors"))</f>
        <v>Major</v>
      </c>
      <c r="K68" s="79"/>
    </row>
    <row r="69" spans="1:11">
      <c r="A69" s="79" t="s">
        <v>188</v>
      </c>
      <c r="B69" s="18">
        <v>2</v>
      </c>
      <c r="C69" s="83" t="s">
        <v>189</v>
      </c>
      <c r="D69" s="83" t="s">
        <v>190</v>
      </c>
      <c r="E69" s="84" t="s">
        <v>21</v>
      </c>
      <c r="F69" s="84" t="s">
        <v>7</v>
      </c>
      <c r="G69" s="84" t="s">
        <v>56</v>
      </c>
      <c r="H69" s="84" t="s">
        <v>192</v>
      </c>
      <c r="I69" s="84"/>
      <c r="J69" s="15" t="str">
        <f>IF(E69="Invalid_Segment","Invalid",IFERROR(INDEX(Severity_Matrix!$C$3:$M$10,MATCH('Error Log'!$F69,Severity_Matrix!$B$3:$B$10,0),MATCH('Error Log'!$G69,Severity_Matrix!$C$2:$M$2,0)),"No errors"))</f>
        <v>Critical</v>
      </c>
      <c r="K69" s="79"/>
    </row>
    <row r="70" spans="1:11">
      <c r="A70" s="79" t="s">
        <v>193</v>
      </c>
      <c r="B70" s="18">
        <v>3</v>
      </c>
      <c r="C70" s="83" t="s">
        <v>189</v>
      </c>
      <c r="D70" s="83" t="s">
        <v>190</v>
      </c>
      <c r="E70" s="84" t="s">
        <v>21</v>
      </c>
      <c r="F70" s="84" t="s">
        <v>7</v>
      </c>
      <c r="G70" s="84" t="s">
        <v>55</v>
      </c>
      <c r="H70" s="84" t="s">
        <v>194</v>
      </c>
      <c r="I70" s="84"/>
      <c r="J70" s="15" t="str">
        <f>IF(E70="Invalid_Segment","Invalid",IFERROR(INDEX(Severity_Matrix!$C$3:$M$10,MATCH('Error Log'!$F70,Severity_Matrix!$B$3:$B$10,0),MATCH('Error Log'!$G70,Severity_Matrix!$C$2:$M$2,0)),"No errors"))</f>
        <v>Critical</v>
      </c>
      <c r="K70" s="79"/>
    </row>
    <row r="71" spans="1:11">
      <c r="A71" s="79" t="s">
        <v>193</v>
      </c>
      <c r="B71" s="18">
        <v>4</v>
      </c>
      <c r="C71" s="83" t="s">
        <v>189</v>
      </c>
      <c r="D71" s="83" t="s">
        <v>190</v>
      </c>
      <c r="E71" s="84" t="s">
        <v>21</v>
      </c>
      <c r="F71" s="84" t="s">
        <v>7</v>
      </c>
      <c r="G71" s="84" t="s">
        <v>57</v>
      </c>
      <c r="H71" s="84" t="s">
        <v>195</v>
      </c>
      <c r="I71" s="84"/>
      <c r="J71" s="15" t="str">
        <f>IF(E71="Invalid_Segment","Invalid",IFERROR(INDEX(Severity_Matrix!$C$3:$M$10,MATCH('Error Log'!$F71,Severity_Matrix!$B$3:$B$10,0),MATCH('Error Log'!$G71,Severity_Matrix!$C$2:$M$2,0)),"No errors"))</f>
        <v>Critical</v>
      </c>
      <c r="K71" s="79"/>
    </row>
    <row r="72" spans="1:11">
      <c r="A72" s="79" t="s">
        <v>196</v>
      </c>
      <c r="B72" s="18">
        <v>1</v>
      </c>
      <c r="C72" s="83" t="s">
        <v>197</v>
      </c>
      <c r="D72" s="83" t="s">
        <v>198</v>
      </c>
      <c r="E72" s="84" t="s">
        <v>21</v>
      </c>
      <c r="F72" s="84" t="s">
        <v>22</v>
      </c>
      <c r="G72" s="84" t="s">
        <v>57</v>
      </c>
      <c r="H72" s="83" t="s">
        <v>199</v>
      </c>
      <c r="I72" s="84"/>
      <c r="J72" s="15" t="str">
        <f>IF(E72="Invalid_Segment","Invalid",IFERROR(INDEX(Severity_Matrix!$C$3:$M$10,MATCH('Error Log'!$F72,Severity_Matrix!$B$3:$B$10,0),MATCH('Error Log'!$G72,Severity_Matrix!$C$2:$M$2,0)),"No errors"))</f>
        <v>Major</v>
      </c>
      <c r="K72" s="79"/>
    </row>
    <row r="73" spans="1:11">
      <c r="A73" s="79" t="s">
        <v>196</v>
      </c>
      <c r="B73" s="18">
        <v>2</v>
      </c>
      <c r="C73" s="83" t="s">
        <v>197</v>
      </c>
      <c r="D73" s="83" t="s">
        <v>198</v>
      </c>
      <c r="E73" s="84" t="s">
        <v>21</v>
      </c>
      <c r="F73" s="84" t="s">
        <v>22</v>
      </c>
      <c r="G73" s="84" t="s">
        <v>57</v>
      </c>
      <c r="H73" s="84" t="s">
        <v>200</v>
      </c>
      <c r="I73" s="84"/>
      <c r="J73" s="15" t="str">
        <f>IF(E73="Invalid_Segment","Invalid",IFERROR(INDEX(Severity_Matrix!$C$3:$M$10,MATCH('Error Log'!$F73,Severity_Matrix!$B$3:$B$10,0),MATCH('Error Log'!$G73,Severity_Matrix!$C$2:$M$2,0)),"No errors"))</f>
        <v>Major</v>
      </c>
      <c r="K73" s="79"/>
    </row>
    <row r="74" spans="1:11">
      <c r="A74" s="79" t="s">
        <v>201</v>
      </c>
      <c r="B74" s="18">
        <v>3</v>
      </c>
      <c r="C74" s="83" t="s">
        <v>197</v>
      </c>
      <c r="D74" s="83" t="s">
        <v>198</v>
      </c>
      <c r="E74" s="84" t="s">
        <v>21</v>
      </c>
      <c r="F74" s="84" t="s">
        <v>22</v>
      </c>
      <c r="G74" s="84" t="s">
        <v>57</v>
      </c>
      <c r="H74" s="84" t="s">
        <v>202</v>
      </c>
      <c r="I74" s="84"/>
      <c r="J74" s="15" t="str">
        <f>IF(E74="Invalid_Segment","Invalid",IFERROR(INDEX(Severity_Matrix!$C$3:$M$10,MATCH('Error Log'!$F74,Severity_Matrix!$B$3:$B$10,0),MATCH('Error Log'!$G74,Severity_Matrix!$C$2:$M$2,0)),"No errors"))</f>
        <v>Major</v>
      </c>
      <c r="K74" s="79"/>
    </row>
    <row r="75" spans="1:11">
      <c r="A75" s="79" t="s">
        <v>201</v>
      </c>
      <c r="B75" s="18">
        <v>4</v>
      </c>
      <c r="C75" s="83" t="s">
        <v>197</v>
      </c>
      <c r="D75" s="83" t="s">
        <v>198</v>
      </c>
      <c r="E75" s="84" t="s">
        <v>21</v>
      </c>
      <c r="F75" s="84" t="s">
        <v>7</v>
      </c>
      <c r="G75" s="84" t="s">
        <v>57</v>
      </c>
      <c r="H75" s="84" t="s">
        <v>203</v>
      </c>
      <c r="I75" s="84"/>
      <c r="J75" s="15" t="str">
        <f>IF(E75="Invalid_Segment","Invalid",IFERROR(INDEX(Severity_Matrix!$C$3:$M$10,MATCH('Error Log'!$F75,Severity_Matrix!$B$3:$B$10,0),MATCH('Error Log'!$G75,Severity_Matrix!$C$2:$M$2,0)),"No errors"))</f>
        <v>Critical</v>
      </c>
      <c r="K75" s="79"/>
    </row>
    <row r="76" spans="1:11">
      <c r="A76" s="79" t="s">
        <v>201</v>
      </c>
      <c r="B76" s="18">
        <v>5</v>
      </c>
      <c r="C76" s="83" t="s">
        <v>197</v>
      </c>
      <c r="D76" s="83" t="s">
        <v>198</v>
      </c>
      <c r="E76" s="84" t="s">
        <v>21</v>
      </c>
      <c r="F76" s="84" t="s">
        <v>7</v>
      </c>
      <c r="G76" s="84" t="s">
        <v>57</v>
      </c>
      <c r="H76" s="84" t="s">
        <v>204</v>
      </c>
      <c r="I76" s="84"/>
      <c r="J76" s="15" t="str">
        <f>IF(E76="Invalid_Segment","Invalid",IFERROR(INDEX(Severity_Matrix!$C$3:$M$10,MATCH('Error Log'!$F76,Severity_Matrix!$B$3:$B$10,0),MATCH('Error Log'!$G76,Severity_Matrix!$C$2:$M$2,0)),"No errors"))</f>
        <v>Critical</v>
      </c>
      <c r="K76" s="79"/>
    </row>
    <row r="77" spans="1:11">
      <c r="A77" s="79" t="s">
        <v>201</v>
      </c>
      <c r="B77" s="18">
        <v>6</v>
      </c>
      <c r="C77" s="83" t="s">
        <v>197</v>
      </c>
      <c r="D77" s="83" t="s">
        <v>198</v>
      </c>
      <c r="E77" s="84" t="s">
        <v>21</v>
      </c>
      <c r="F77" s="84" t="s">
        <v>7</v>
      </c>
      <c r="G77" s="84" t="s">
        <v>57</v>
      </c>
      <c r="H77" s="84" t="s">
        <v>205</v>
      </c>
      <c r="I77" s="84"/>
      <c r="J77" s="15" t="str">
        <f>IF(E77="Invalid_Segment","Invalid",IFERROR(INDEX(Severity_Matrix!$C$3:$M$10,MATCH('Error Log'!$F77,Severity_Matrix!$B$3:$B$10,0),MATCH('Error Log'!$G77,Severity_Matrix!$C$2:$M$2,0)),"No errors"))</f>
        <v>Critical</v>
      </c>
      <c r="K77" s="79"/>
    </row>
    <row r="78" spans="1:11">
      <c r="A78" s="79" t="s">
        <v>206</v>
      </c>
      <c r="B78" s="18">
        <v>1</v>
      </c>
      <c r="C78" s="83" t="s">
        <v>207</v>
      </c>
      <c r="D78" s="83" t="s">
        <v>208</v>
      </c>
      <c r="E78" s="84" t="s">
        <v>21</v>
      </c>
      <c r="F78" s="84" t="s">
        <v>22</v>
      </c>
      <c r="G78" s="84" t="s">
        <v>57</v>
      </c>
      <c r="H78" s="84" t="s">
        <v>209</v>
      </c>
      <c r="I78" s="84"/>
      <c r="J78" s="15" t="str">
        <f>IF(E78="Invalid_Segment","Invalid",IFERROR(INDEX(Severity_Matrix!$C$3:$M$10,MATCH('Error Log'!$F78,Severity_Matrix!$B$3:$B$10,0),MATCH('Error Log'!$G78,Severity_Matrix!$C$2:$M$2,0)),"No errors"))</f>
        <v>Major</v>
      </c>
      <c r="K78" s="79"/>
    </row>
    <row r="79" spans="1:11">
      <c r="A79" s="79" t="s">
        <v>206</v>
      </c>
      <c r="B79" s="18">
        <v>2</v>
      </c>
      <c r="C79" s="83" t="s">
        <v>207</v>
      </c>
      <c r="D79" s="83" t="s">
        <v>208</v>
      </c>
      <c r="E79" s="84" t="s">
        <v>21</v>
      </c>
      <c r="F79" s="84" t="s">
        <v>22</v>
      </c>
      <c r="G79" s="84" t="s">
        <v>57</v>
      </c>
      <c r="H79" s="84" t="s">
        <v>210</v>
      </c>
      <c r="I79" s="84"/>
      <c r="J79" s="15" t="str">
        <f>IF(E79="Invalid_Segment","Invalid",IFERROR(INDEX(Severity_Matrix!$C$3:$M$10,MATCH('Error Log'!$F79,Severity_Matrix!$B$3:$B$10,0),MATCH('Error Log'!$G79,Severity_Matrix!$C$2:$M$2,0)),"No errors"))</f>
        <v>Major</v>
      </c>
      <c r="K79" s="79"/>
    </row>
    <row r="80" spans="1:11">
      <c r="A80" s="79" t="s">
        <v>206</v>
      </c>
      <c r="B80" s="18">
        <v>3</v>
      </c>
      <c r="C80" s="83" t="s">
        <v>207</v>
      </c>
      <c r="D80" s="83" t="s">
        <v>208</v>
      </c>
      <c r="E80" s="84" t="s">
        <v>21</v>
      </c>
      <c r="F80" s="84" t="s">
        <v>22</v>
      </c>
      <c r="G80" s="84" t="s">
        <v>57</v>
      </c>
      <c r="H80" s="84" t="s">
        <v>211</v>
      </c>
      <c r="I80" s="84"/>
      <c r="J80" s="15" t="str">
        <f>IF(E80="Invalid_Segment","Invalid",IFERROR(INDEX(Severity_Matrix!$C$3:$M$10,MATCH('Error Log'!$F80,Severity_Matrix!$B$3:$B$10,0),MATCH('Error Log'!$G80,Severity_Matrix!$C$2:$M$2,0)),"No errors"))</f>
        <v>Major</v>
      </c>
      <c r="K80" s="79"/>
    </row>
    <row r="81" spans="1:11">
      <c r="A81" s="79" t="s">
        <v>206</v>
      </c>
      <c r="B81" s="18">
        <v>4</v>
      </c>
      <c r="C81" s="83" t="s">
        <v>207</v>
      </c>
      <c r="D81" s="83" t="s">
        <v>208</v>
      </c>
      <c r="E81" s="84" t="s">
        <v>21</v>
      </c>
      <c r="F81" s="84" t="s">
        <v>7</v>
      </c>
      <c r="G81" s="84" t="s">
        <v>55</v>
      </c>
      <c r="H81" s="84" t="s">
        <v>212</v>
      </c>
      <c r="I81" s="84"/>
      <c r="J81" s="15" t="str">
        <f>IF(E81="Invalid_Segment","Invalid",IFERROR(INDEX(Severity_Matrix!$C$3:$M$10,MATCH('Error Log'!$F81,Severity_Matrix!$B$3:$B$10,0),MATCH('Error Log'!$G81,Severity_Matrix!$C$2:$M$2,0)),"No errors"))</f>
        <v>Critical</v>
      </c>
      <c r="K81" s="79"/>
    </row>
    <row r="82" spans="1:11">
      <c r="A82" s="79" t="s">
        <v>213</v>
      </c>
      <c r="B82" s="18">
        <v>5</v>
      </c>
      <c r="C82" s="83" t="s">
        <v>207</v>
      </c>
      <c r="D82" s="83" t="s">
        <v>208</v>
      </c>
      <c r="E82" s="84" t="s">
        <v>21</v>
      </c>
      <c r="F82" s="84" t="s">
        <v>7</v>
      </c>
      <c r="G82" s="84" t="s">
        <v>57</v>
      </c>
      <c r="H82" s="84" t="s">
        <v>214</v>
      </c>
      <c r="I82" s="84"/>
      <c r="J82" s="15" t="str">
        <f>IF(E82="Invalid_Segment","Invalid",IFERROR(INDEX(Severity_Matrix!$C$3:$M$10,MATCH('Error Log'!$F82,Severity_Matrix!$B$3:$B$10,0),MATCH('Error Log'!$G82,Severity_Matrix!$C$2:$M$2,0)),"No errors"))</f>
        <v>Critical</v>
      </c>
      <c r="K82" s="79"/>
    </row>
    <row r="83" spans="1:11">
      <c r="A83" s="79" t="s">
        <v>213</v>
      </c>
      <c r="B83" s="18">
        <v>6</v>
      </c>
      <c r="C83" s="83" t="s">
        <v>207</v>
      </c>
      <c r="D83" s="83" t="s">
        <v>208</v>
      </c>
      <c r="E83" s="84" t="s">
        <v>21</v>
      </c>
      <c r="F83" s="84" t="s">
        <v>7</v>
      </c>
      <c r="G83" s="84" t="s">
        <v>57</v>
      </c>
      <c r="H83" s="84" t="s">
        <v>215</v>
      </c>
      <c r="I83" s="84"/>
      <c r="J83" s="15" t="str">
        <f>IF(E83="Invalid_Segment","Invalid",IFERROR(INDEX(Severity_Matrix!$C$3:$M$10,MATCH('Error Log'!$F83,Severity_Matrix!$B$3:$B$10,0),MATCH('Error Log'!$G83,Severity_Matrix!$C$2:$M$2,0)),"No errors"))</f>
        <v>Critical</v>
      </c>
      <c r="K83" s="79"/>
    </row>
    <row r="84" spans="1:11">
      <c r="A84" s="79" t="s">
        <v>213</v>
      </c>
      <c r="B84" s="18">
        <v>7</v>
      </c>
      <c r="C84" s="83" t="s">
        <v>207</v>
      </c>
      <c r="D84" s="83" t="s">
        <v>208</v>
      </c>
      <c r="E84" s="84" t="s">
        <v>21</v>
      </c>
      <c r="F84" s="84" t="s">
        <v>7</v>
      </c>
      <c r="G84" s="84" t="s">
        <v>57</v>
      </c>
      <c r="H84" s="84" t="s">
        <v>216</v>
      </c>
      <c r="I84" s="84"/>
      <c r="J84" s="15" t="str">
        <f>IF(E84="Invalid_Segment","Invalid",IFERROR(INDEX(Severity_Matrix!$C$3:$M$10,MATCH('Error Log'!$F84,Severity_Matrix!$B$3:$B$10,0),MATCH('Error Log'!$G84,Severity_Matrix!$C$2:$M$2,0)),"No errors"))</f>
        <v>Critical</v>
      </c>
      <c r="K84" s="79"/>
    </row>
    <row r="85" spans="1:11">
      <c r="A85" s="79" t="s">
        <v>217</v>
      </c>
      <c r="B85" s="18">
        <v>1</v>
      </c>
      <c r="C85" s="83" t="s">
        <v>218</v>
      </c>
      <c r="D85" s="83" t="s">
        <v>219</v>
      </c>
      <c r="E85" s="84" t="s">
        <v>21</v>
      </c>
      <c r="F85" s="84" t="s">
        <v>22</v>
      </c>
      <c r="G85" s="84" t="s">
        <v>57</v>
      </c>
      <c r="H85" s="84" t="s">
        <v>220</v>
      </c>
      <c r="I85" s="84"/>
      <c r="J85" s="15" t="str">
        <f>IF(E85="Invalid_Segment","Invalid",IFERROR(INDEX(Severity_Matrix!$C$3:$M$10,MATCH('Error Log'!$F85,Severity_Matrix!$B$3:$B$10,0),MATCH('Error Log'!$G85,Severity_Matrix!$C$2:$M$2,0)),"No errors"))</f>
        <v>Major</v>
      </c>
      <c r="K85" s="79"/>
    </row>
    <row r="86" spans="1:11">
      <c r="A86" s="79" t="s">
        <v>217</v>
      </c>
      <c r="B86" s="18">
        <v>2</v>
      </c>
      <c r="C86" s="83" t="s">
        <v>218</v>
      </c>
      <c r="D86" s="83" t="s">
        <v>219</v>
      </c>
      <c r="E86" s="84" t="s">
        <v>21</v>
      </c>
      <c r="F86" s="84" t="s">
        <v>7</v>
      </c>
      <c r="G86" s="84" t="s">
        <v>57</v>
      </c>
      <c r="H86" s="84" t="s">
        <v>221</v>
      </c>
      <c r="I86" s="84"/>
      <c r="J86" s="15" t="str">
        <f>IF(E86="Invalid_Segment","Invalid",IFERROR(INDEX(Severity_Matrix!$C$3:$M$10,MATCH('Error Log'!$F86,Severity_Matrix!$B$3:$B$10,0),MATCH('Error Log'!$G86,Severity_Matrix!$C$2:$M$2,0)),"No errors"))</f>
        <v>Critical</v>
      </c>
      <c r="K86" s="79"/>
    </row>
    <row r="87" spans="1:11">
      <c r="A87" s="79" t="s">
        <v>222</v>
      </c>
      <c r="B87" s="18">
        <v>3</v>
      </c>
      <c r="C87" s="83" t="s">
        <v>218</v>
      </c>
      <c r="D87" s="83" t="s">
        <v>219</v>
      </c>
      <c r="E87" s="84" t="s">
        <v>21</v>
      </c>
      <c r="F87" s="84" t="s">
        <v>7</v>
      </c>
      <c r="G87" s="84" t="s">
        <v>57</v>
      </c>
      <c r="H87" s="84" t="s">
        <v>223</v>
      </c>
      <c r="I87" s="84"/>
      <c r="J87" s="15" t="str">
        <f>IF(E87="Invalid_Segment","Invalid",IFERROR(INDEX(Severity_Matrix!$C$3:$M$10,MATCH('Error Log'!$F87,Severity_Matrix!$B$3:$B$10,0),MATCH('Error Log'!$G87,Severity_Matrix!$C$2:$M$2,0)),"No errors"))</f>
        <v>Critical</v>
      </c>
      <c r="K87" s="79"/>
    </row>
    <row r="88" spans="1:11">
      <c r="A88" s="79" t="s">
        <v>222</v>
      </c>
      <c r="B88" s="18">
        <v>4</v>
      </c>
      <c r="C88" s="83" t="s">
        <v>218</v>
      </c>
      <c r="D88" s="83" t="s">
        <v>219</v>
      </c>
      <c r="E88" s="84" t="s">
        <v>21</v>
      </c>
      <c r="F88" s="84" t="s">
        <v>22</v>
      </c>
      <c r="G88" s="84" t="s">
        <v>57</v>
      </c>
      <c r="H88" s="84" t="s">
        <v>224</v>
      </c>
      <c r="I88" s="84"/>
      <c r="J88" s="15" t="str">
        <f>IF(E88="Invalid_Segment","Invalid",IFERROR(INDEX(Severity_Matrix!$C$3:$M$10,MATCH('Error Log'!$F88,Severity_Matrix!$B$3:$B$10,0),MATCH('Error Log'!$G88,Severity_Matrix!$C$2:$M$2,0)),"No errors"))</f>
        <v>Major</v>
      </c>
      <c r="K88" s="79"/>
    </row>
    <row r="89" spans="1:11">
      <c r="A89" s="79" t="s">
        <v>225</v>
      </c>
      <c r="B89" s="18">
        <v>1</v>
      </c>
      <c r="C89" s="83" t="s">
        <v>226</v>
      </c>
      <c r="D89" s="83" t="s">
        <v>227</v>
      </c>
      <c r="E89" s="84" t="s">
        <v>21</v>
      </c>
      <c r="F89" s="84" t="s">
        <v>22</v>
      </c>
      <c r="G89" s="84" t="s">
        <v>57</v>
      </c>
      <c r="H89" s="84" t="s">
        <v>228</v>
      </c>
      <c r="I89" s="84"/>
      <c r="J89" s="15" t="str">
        <f>IF(E89="Invalid_Segment","Invalid",IFERROR(INDEX(Severity_Matrix!$C$3:$M$10,MATCH('Error Log'!$F89,Severity_Matrix!$B$3:$B$10,0),MATCH('Error Log'!$G89,Severity_Matrix!$C$2:$M$2,0)),"No errors"))</f>
        <v>Major</v>
      </c>
      <c r="K89" s="79"/>
    </row>
    <row r="90" spans="1:11">
      <c r="A90" s="79" t="s">
        <v>225</v>
      </c>
      <c r="B90" s="18">
        <v>2</v>
      </c>
      <c r="C90" s="83" t="s">
        <v>226</v>
      </c>
      <c r="D90" s="83" t="s">
        <v>227</v>
      </c>
      <c r="E90" s="84" t="s">
        <v>21</v>
      </c>
      <c r="F90" s="84" t="s">
        <v>22</v>
      </c>
      <c r="G90" s="84" t="s">
        <v>57</v>
      </c>
      <c r="H90" s="84" t="s">
        <v>229</v>
      </c>
      <c r="I90" s="84"/>
      <c r="J90" s="15" t="str">
        <f>IF(E90="Invalid_Segment","Invalid",IFERROR(INDEX(Severity_Matrix!$C$3:$M$10,MATCH('Error Log'!$F90,Severity_Matrix!$B$3:$B$10,0),MATCH('Error Log'!$G90,Severity_Matrix!$C$2:$M$2,0)),"No errors"))</f>
        <v>Major</v>
      </c>
      <c r="K90" s="79"/>
    </row>
    <row r="91" spans="1:11">
      <c r="A91" s="79" t="s">
        <v>230</v>
      </c>
      <c r="B91" s="18">
        <v>3</v>
      </c>
      <c r="C91" s="83" t="s">
        <v>226</v>
      </c>
      <c r="D91" s="83" t="s">
        <v>227</v>
      </c>
      <c r="E91" s="84" t="s">
        <v>21</v>
      </c>
      <c r="F91" s="84" t="s">
        <v>22</v>
      </c>
      <c r="G91" s="84" t="s">
        <v>57</v>
      </c>
      <c r="H91" s="84" t="s">
        <v>231</v>
      </c>
      <c r="I91" s="84"/>
      <c r="J91" s="15" t="str">
        <f>IF(E91="Invalid_Segment","Invalid",IFERROR(INDEX(Severity_Matrix!$C$3:$M$10,MATCH('Error Log'!$F91,Severity_Matrix!$B$3:$B$10,0),MATCH('Error Log'!$G91,Severity_Matrix!$C$2:$M$2,0)),"No errors"))</f>
        <v>Major</v>
      </c>
      <c r="K91" s="79"/>
    </row>
    <row r="92" spans="1:11">
      <c r="A92" s="79" t="s">
        <v>230</v>
      </c>
      <c r="B92" s="18">
        <v>4</v>
      </c>
      <c r="C92" s="83" t="s">
        <v>226</v>
      </c>
      <c r="D92" s="83" t="s">
        <v>227</v>
      </c>
      <c r="E92" s="84" t="s">
        <v>21</v>
      </c>
      <c r="F92" s="84" t="s">
        <v>7</v>
      </c>
      <c r="G92" s="84" t="s">
        <v>57</v>
      </c>
      <c r="H92" s="84" t="s">
        <v>232</v>
      </c>
      <c r="I92" s="84"/>
      <c r="J92" s="15" t="str">
        <f>IF(E92="Invalid_Segment","Invalid",IFERROR(INDEX(Severity_Matrix!$C$3:$M$10,MATCH('Error Log'!$F92,Severity_Matrix!$B$3:$B$10,0),MATCH('Error Log'!$G92,Severity_Matrix!$C$2:$M$2,0)),"No errors"))</f>
        <v>Critical</v>
      </c>
      <c r="K92" s="79"/>
    </row>
    <row r="93" spans="1:11">
      <c r="A93" s="79" t="s">
        <v>230</v>
      </c>
      <c r="B93" s="18">
        <v>5</v>
      </c>
      <c r="C93" s="83" t="s">
        <v>226</v>
      </c>
      <c r="D93" s="83" t="s">
        <v>227</v>
      </c>
      <c r="E93" s="84" t="s">
        <v>21</v>
      </c>
      <c r="F93" s="84" t="s">
        <v>7</v>
      </c>
      <c r="G93" s="84" t="s">
        <v>57</v>
      </c>
      <c r="H93" s="84" t="s">
        <v>233</v>
      </c>
      <c r="I93" s="84"/>
      <c r="J93" s="15" t="str">
        <f>IF(E93="Invalid_Segment","Invalid",IFERROR(INDEX(Severity_Matrix!$C$3:$M$10,MATCH('Error Log'!$F93,Severity_Matrix!$B$3:$B$10,0),MATCH('Error Log'!$G93,Severity_Matrix!$C$2:$M$2,0)),"No errors"))</f>
        <v>Critical</v>
      </c>
      <c r="K93" s="79"/>
    </row>
    <row r="94" spans="1:11">
      <c r="A94" s="79" t="s">
        <v>230</v>
      </c>
      <c r="B94" s="18">
        <v>6</v>
      </c>
      <c r="C94" s="83" t="s">
        <v>226</v>
      </c>
      <c r="D94" s="83" t="s">
        <v>227</v>
      </c>
      <c r="E94" s="84" t="s">
        <v>21</v>
      </c>
      <c r="F94" s="84" t="s">
        <v>7</v>
      </c>
      <c r="G94" s="84" t="s">
        <v>57</v>
      </c>
      <c r="H94" s="84" t="s">
        <v>234</v>
      </c>
      <c r="I94" s="84"/>
      <c r="J94" s="15" t="str">
        <f>IF(E94="Invalid_Segment","Invalid",IFERROR(INDEX(Severity_Matrix!$C$3:$M$10,MATCH('Error Log'!$F94,Severity_Matrix!$B$3:$B$10,0),MATCH('Error Log'!$G94,Severity_Matrix!$C$2:$M$2,0)),"No errors"))</f>
        <v>Critical</v>
      </c>
      <c r="K94" s="79"/>
    </row>
    <row r="95" spans="1:11">
      <c r="A95" s="79" t="s">
        <v>242</v>
      </c>
      <c r="B95" s="18">
        <v>1</v>
      </c>
      <c r="C95" s="83" t="s">
        <v>243</v>
      </c>
      <c r="D95" s="83" t="s">
        <v>244</v>
      </c>
      <c r="E95" s="84" t="s">
        <v>21</v>
      </c>
      <c r="F95" s="84" t="s">
        <v>22</v>
      </c>
      <c r="G95" s="84" t="s">
        <v>28</v>
      </c>
      <c r="H95" s="84" t="s">
        <v>245</v>
      </c>
      <c r="I95" s="84"/>
      <c r="J95" s="15" t="str">
        <f>IF(E95="Invalid_Segment","Invalid",IFERROR(INDEX(Severity_Matrix!$C$3:$M$10,MATCH('Error Log'!$F95,Severity_Matrix!$B$3:$B$10,0),MATCH('Error Log'!$G95,Severity_Matrix!$C$2:$M$2,0)),"No errors"))</f>
        <v>Major</v>
      </c>
      <c r="K95" s="79"/>
    </row>
    <row r="96" spans="1:11">
      <c r="A96" s="79" t="s">
        <v>242</v>
      </c>
      <c r="B96" s="18">
        <v>2</v>
      </c>
      <c r="C96" s="83" t="s">
        <v>243</v>
      </c>
      <c r="D96" s="83" t="s">
        <v>244</v>
      </c>
      <c r="E96" s="84" t="s">
        <v>21</v>
      </c>
      <c r="F96" s="84" t="s">
        <v>7</v>
      </c>
      <c r="G96" s="84" t="s">
        <v>57</v>
      </c>
      <c r="H96" s="84" t="s">
        <v>246</v>
      </c>
      <c r="I96" s="84"/>
      <c r="J96" s="15" t="str">
        <f>IF(E96="Invalid_Segment","Invalid",IFERROR(INDEX(Severity_Matrix!$C$3:$M$10,MATCH('Error Log'!$F96,Severity_Matrix!$B$3:$B$10,0),MATCH('Error Log'!$G96,Severity_Matrix!$C$2:$M$2,0)),"No errors"))</f>
        <v>Critical</v>
      </c>
      <c r="K96" s="79"/>
    </row>
    <row r="97" spans="1:11">
      <c r="A97" s="79" t="s">
        <v>242</v>
      </c>
      <c r="B97" s="18">
        <v>3</v>
      </c>
      <c r="C97" s="83" t="s">
        <v>243</v>
      </c>
      <c r="D97" s="83" t="s">
        <v>244</v>
      </c>
      <c r="E97" s="84" t="s">
        <v>21</v>
      </c>
      <c r="F97" s="84" t="s">
        <v>7</v>
      </c>
      <c r="G97" s="84" t="s">
        <v>57</v>
      </c>
      <c r="H97" s="84" t="s">
        <v>247</v>
      </c>
      <c r="I97" s="84"/>
      <c r="J97" s="15" t="str">
        <f>IF(E97="Invalid_Segment","Invalid",IFERROR(INDEX(Severity_Matrix!$C$3:$M$10,MATCH('Error Log'!$F97,Severity_Matrix!$B$3:$B$10,0),MATCH('Error Log'!$G97,Severity_Matrix!$C$2:$M$2,0)),"No errors"))</f>
        <v>Critical</v>
      </c>
      <c r="K97" s="79"/>
    </row>
    <row r="98" spans="1:11">
      <c r="A98" s="79" t="s">
        <v>248</v>
      </c>
      <c r="B98" s="18">
        <v>1</v>
      </c>
      <c r="C98" s="83" t="s">
        <v>249</v>
      </c>
      <c r="D98" s="83" t="s">
        <v>250</v>
      </c>
      <c r="E98" s="84" t="s">
        <v>21</v>
      </c>
      <c r="F98" s="84" t="s">
        <v>7</v>
      </c>
      <c r="G98" s="84" t="s">
        <v>57</v>
      </c>
      <c r="H98" s="84" t="s">
        <v>251</v>
      </c>
      <c r="I98" s="84"/>
      <c r="J98" s="15" t="str">
        <f>IF(E98="Invalid_Segment","Invalid",IFERROR(INDEX(Severity_Matrix!$C$3:$M$10,MATCH('Error Log'!$F98,Severity_Matrix!$B$3:$B$10,0),MATCH('Error Log'!$G98,Severity_Matrix!$C$2:$M$2,0)),"No errors"))</f>
        <v>Critical</v>
      </c>
      <c r="K98" s="79"/>
    </row>
    <row r="99" spans="1:11">
      <c r="A99" s="79" t="s">
        <v>248</v>
      </c>
      <c r="B99" s="18">
        <v>2</v>
      </c>
      <c r="C99" s="83" t="s">
        <v>249</v>
      </c>
      <c r="D99" s="83" t="s">
        <v>250</v>
      </c>
      <c r="E99" s="84" t="s">
        <v>21</v>
      </c>
      <c r="F99" s="84" t="s">
        <v>7</v>
      </c>
      <c r="G99" s="84" t="s">
        <v>57</v>
      </c>
      <c r="H99" s="84" t="s">
        <v>252</v>
      </c>
      <c r="I99" s="84"/>
      <c r="J99" s="15" t="str">
        <f>IF(E99="Invalid_Segment","Invalid",IFERROR(INDEX(Severity_Matrix!$C$3:$M$10,MATCH('Error Log'!$F99,Severity_Matrix!$B$3:$B$10,0),MATCH('Error Log'!$G99,Severity_Matrix!$C$2:$M$2,0)),"No errors"))</f>
        <v>Critical</v>
      </c>
      <c r="K99" s="79"/>
    </row>
    <row r="100" spans="1:11">
      <c r="A100" s="79" t="s">
        <v>248</v>
      </c>
      <c r="B100" s="18">
        <v>3</v>
      </c>
      <c r="C100" s="83" t="s">
        <v>249</v>
      </c>
      <c r="D100" s="83" t="s">
        <v>250</v>
      </c>
      <c r="E100" s="84" t="s">
        <v>21</v>
      </c>
      <c r="F100" s="84" t="s">
        <v>7</v>
      </c>
      <c r="G100" s="84" t="s">
        <v>57</v>
      </c>
      <c r="H100" s="84" t="s">
        <v>253</v>
      </c>
      <c r="I100" s="84"/>
      <c r="J100" s="15" t="str">
        <f>IF(E100="Invalid_Segment","Invalid",IFERROR(INDEX(Severity_Matrix!$C$3:$M$10,MATCH('Error Log'!$F100,Severity_Matrix!$B$3:$B$10,0),MATCH('Error Log'!$G100,Severity_Matrix!$C$2:$M$2,0)),"No errors"))</f>
        <v>Critical</v>
      </c>
      <c r="K100" s="79"/>
    </row>
    <row r="101" spans="1:11" ht="14.4">
      <c r="A101" s="78" t="s">
        <v>254</v>
      </c>
      <c r="B101" s="18">
        <v>1</v>
      </c>
      <c r="C101" s="87" t="s">
        <v>255</v>
      </c>
      <c r="D101" s="78" t="s">
        <v>256</v>
      </c>
      <c r="E101" s="84" t="s">
        <v>21</v>
      </c>
      <c r="F101" s="84" t="s">
        <v>22</v>
      </c>
      <c r="G101" s="84" t="s">
        <v>57</v>
      </c>
      <c r="H101" s="84" t="s">
        <v>257</v>
      </c>
      <c r="I101" s="84"/>
      <c r="J101" s="15" t="str">
        <f>IF(E101="Invalid_Segment","Invalid",IFERROR(INDEX(Severity_Matrix!$C$3:$M$10,MATCH('Error Log'!$F101,Severity_Matrix!$B$3:$B$10,0),MATCH('Error Log'!$G101,Severity_Matrix!$C$2:$M$2,0)),"No errors"))</f>
        <v>Major</v>
      </c>
      <c r="K101" s="79"/>
    </row>
    <row r="102" spans="1:11" ht="14.4">
      <c r="A102" s="78" t="s">
        <v>254</v>
      </c>
      <c r="B102" s="18">
        <v>2</v>
      </c>
      <c r="C102" s="87" t="s">
        <v>255</v>
      </c>
      <c r="D102" s="78" t="s">
        <v>256</v>
      </c>
      <c r="E102" s="84" t="s">
        <v>21</v>
      </c>
      <c r="F102" s="84" t="s">
        <v>7</v>
      </c>
      <c r="G102" s="84" t="s">
        <v>57</v>
      </c>
      <c r="H102" s="84" t="s">
        <v>258</v>
      </c>
      <c r="I102" s="84"/>
      <c r="J102" s="15" t="str">
        <f>IF(E102="Invalid_Segment","Invalid",IFERROR(INDEX(Severity_Matrix!$C$3:$M$10,MATCH('Error Log'!$F102,Severity_Matrix!$B$3:$B$10,0),MATCH('Error Log'!$G102,Severity_Matrix!$C$2:$M$2,0)),"No errors"))</f>
        <v>Critical</v>
      </c>
      <c r="K102" s="79"/>
    </row>
    <row r="103" spans="1:11" ht="14.4">
      <c r="A103" s="78" t="s">
        <v>259</v>
      </c>
      <c r="B103" s="18">
        <v>3</v>
      </c>
      <c r="C103" s="87" t="s">
        <v>255</v>
      </c>
      <c r="D103" s="78" t="s">
        <v>256</v>
      </c>
      <c r="E103" s="84" t="s">
        <v>21</v>
      </c>
      <c r="F103" s="84" t="s">
        <v>7</v>
      </c>
      <c r="G103" s="84" t="s">
        <v>57</v>
      </c>
      <c r="H103" s="84" t="s">
        <v>260</v>
      </c>
      <c r="I103" s="84"/>
      <c r="J103" s="15" t="str">
        <f>IF(E103="Invalid_Segment","Invalid",IFERROR(INDEX(Severity_Matrix!$C$3:$M$10,MATCH('Error Log'!$F103,Severity_Matrix!$B$3:$B$10,0),MATCH('Error Log'!$G103,Severity_Matrix!$C$2:$M$2,0)),"No errors"))</f>
        <v>Critical</v>
      </c>
      <c r="K103" s="79"/>
    </row>
    <row r="104" spans="1:11" ht="14.4">
      <c r="A104" s="78" t="s">
        <v>261</v>
      </c>
      <c r="B104" s="18">
        <v>1</v>
      </c>
      <c r="C104" s="87" t="s">
        <v>262</v>
      </c>
      <c r="D104" s="78" t="s">
        <v>263</v>
      </c>
      <c r="E104" s="84" t="s">
        <v>21</v>
      </c>
      <c r="F104" s="84" t="s">
        <v>22</v>
      </c>
      <c r="G104" s="84" t="s">
        <v>57</v>
      </c>
      <c r="H104" s="84" t="s">
        <v>264</v>
      </c>
      <c r="I104" s="84"/>
      <c r="J104" s="15" t="str">
        <f>IF(E104="Invalid_Segment","Invalid",IFERROR(INDEX(Severity_Matrix!$C$3:$M$10,MATCH('Error Log'!$F104,Severity_Matrix!$B$3:$B$10,0),MATCH('Error Log'!$G104,Severity_Matrix!$C$2:$M$2,0)),"No errors"))</f>
        <v>Major</v>
      </c>
      <c r="K104" s="79"/>
    </row>
    <row r="105" spans="1:11" ht="14.4">
      <c r="A105" s="78" t="s">
        <v>261</v>
      </c>
      <c r="B105" s="18">
        <v>2</v>
      </c>
      <c r="C105" s="87" t="s">
        <v>262</v>
      </c>
      <c r="D105" s="78" t="s">
        <v>263</v>
      </c>
      <c r="E105" s="84" t="s">
        <v>21</v>
      </c>
      <c r="F105" s="84" t="s">
        <v>22</v>
      </c>
      <c r="G105" s="84" t="s">
        <v>57</v>
      </c>
      <c r="H105" s="84" t="s">
        <v>265</v>
      </c>
      <c r="I105" s="84"/>
      <c r="J105" s="15" t="str">
        <f>IF(E105="Invalid_Segment","Invalid",IFERROR(INDEX(Severity_Matrix!$C$3:$M$10,MATCH('Error Log'!$F105,Severity_Matrix!$B$3:$B$10,0),MATCH('Error Log'!$G105,Severity_Matrix!$C$2:$M$2,0)),"No errors"))</f>
        <v>Major</v>
      </c>
      <c r="K105" s="79"/>
    </row>
    <row r="106" spans="1:11" ht="14.4">
      <c r="A106" s="78" t="s">
        <v>266</v>
      </c>
      <c r="B106" s="18">
        <v>3</v>
      </c>
      <c r="C106" s="87" t="s">
        <v>262</v>
      </c>
      <c r="D106" s="78" t="s">
        <v>263</v>
      </c>
      <c r="E106" s="84" t="s">
        <v>21</v>
      </c>
      <c r="F106" s="84" t="s">
        <v>7</v>
      </c>
      <c r="G106" s="84" t="s">
        <v>57</v>
      </c>
      <c r="H106" s="84" t="s">
        <v>267</v>
      </c>
      <c r="I106" s="84"/>
      <c r="J106" s="15" t="str">
        <f>IF(E106="Invalid_Segment","Invalid",IFERROR(INDEX(Severity_Matrix!$C$3:$M$10,MATCH('Error Log'!$F106,Severity_Matrix!$B$3:$B$10,0),MATCH('Error Log'!$G106,Severity_Matrix!$C$2:$M$2,0)),"No errors"))</f>
        <v>Critical</v>
      </c>
      <c r="K106" s="79"/>
    </row>
    <row r="107" spans="1:11" ht="14.4">
      <c r="A107" s="78" t="s">
        <v>266</v>
      </c>
      <c r="B107" s="18">
        <v>4</v>
      </c>
      <c r="C107" s="87" t="s">
        <v>262</v>
      </c>
      <c r="D107" s="78" t="s">
        <v>263</v>
      </c>
      <c r="E107" s="84" t="s">
        <v>21</v>
      </c>
      <c r="F107" s="84" t="s">
        <v>7</v>
      </c>
      <c r="G107" s="84" t="s">
        <v>57</v>
      </c>
      <c r="H107" s="84" t="s">
        <v>268</v>
      </c>
      <c r="I107" s="84"/>
      <c r="J107" s="15" t="str">
        <f>IF(E107="Invalid_Segment","Invalid",IFERROR(INDEX(Severity_Matrix!$C$3:$M$10,MATCH('Error Log'!$F107,Severity_Matrix!$B$3:$B$10,0),MATCH('Error Log'!$G107,Severity_Matrix!$C$2:$M$2,0)),"No errors"))</f>
        <v>Critical</v>
      </c>
      <c r="K107" s="79"/>
    </row>
    <row r="108" spans="1:11" ht="14.4">
      <c r="A108" s="78" t="s">
        <v>269</v>
      </c>
      <c r="B108" s="18">
        <v>1</v>
      </c>
      <c r="C108" s="87" t="s">
        <v>270</v>
      </c>
      <c r="D108" s="78" t="s">
        <v>271</v>
      </c>
      <c r="E108" s="84" t="s">
        <v>21</v>
      </c>
      <c r="F108" s="84" t="s">
        <v>22</v>
      </c>
      <c r="G108" s="84" t="s">
        <v>57</v>
      </c>
      <c r="H108" s="84" t="s">
        <v>272</v>
      </c>
      <c r="I108" s="84"/>
      <c r="J108" s="15" t="str">
        <f>IF(E108="Invalid_Segment","Invalid",IFERROR(INDEX(Severity_Matrix!$C$3:$M$10,MATCH('Error Log'!$F108,Severity_Matrix!$B$3:$B$10,0),MATCH('Error Log'!$G108,Severity_Matrix!$C$2:$M$2,0)),"No errors"))</f>
        <v>Major</v>
      </c>
      <c r="K108" s="79"/>
    </row>
    <row r="109" spans="1:11" ht="14.4">
      <c r="A109" s="78" t="s">
        <v>269</v>
      </c>
      <c r="B109" s="18">
        <v>2</v>
      </c>
      <c r="C109" s="87" t="s">
        <v>270</v>
      </c>
      <c r="D109" s="78" t="s">
        <v>271</v>
      </c>
      <c r="E109" s="84" t="s">
        <v>21</v>
      </c>
      <c r="F109" s="84" t="s">
        <v>22</v>
      </c>
      <c r="G109" s="84" t="s">
        <v>57</v>
      </c>
      <c r="H109" s="84" t="s">
        <v>273</v>
      </c>
      <c r="I109" s="84"/>
      <c r="J109" s="15" t="str">
        <f>IF(E109="Invalid_Segment","Invalid",IFERROR(INDEX(Severity_Matrix!$C$3:$M$10,MATCH('Error Log'!$F109,Severity_Matrix!$B$3:$B$10,0),MATCH('Error Log'!$G109,Severity_Matrix!$C$2:$M$2,0)),"No errors"))</f>
        <v>Major</v>
      </c>
      <c r="K109" s="79"/>
    </row>
    <row r="110" spans="1:11" ht="14.4">
      <c r="A110" s="78" t="s">
        <v>274</v>
      </c>
      <c r="B110" s="18">
        <v>3</v>
      </c>
      <c r="C110" s="87" t="s">
        <v>270</v>
      </c>
      <c r="D110" s="78" t="s">
        <v>271</v>
      </c>
      <c r="E110" s="84" t="s">
        <v>21</v>
      </c>
      <c r="F110" s="84" t="s">
        <v>22</v>
      </c>
      <c r="G110" s="84" t="s">
        <v>57</v>
      </c>
      <c r="H110" s="84" t="s">
        <v>275</v>
      </c>
      <c r="I110" s="84"/>
      <c r="J110" s="15" t="str">
        <f>IF(E110="Invalid_Segment","Invalid",IFERROR(INDEX(Severity_Matrix!$C$3:$M$10,MATCH('Error Log'!$F110,Severity_Matrix!$B$3:$B$10,0),MATCH('Error Log'!$G110,Severity_Matrix!$C$2:$M$2,0)),"No errors"))</f>
        <v>Major</v>
      </c>
      <c r="K110" s="79"/>
    </row>
    <row r="111" spans="1:11" ht="14.4">
      <c r="A111" s="78" t="s">
        <v>274</v>
      </c>
      <c r="B111" s="18">
        <v>4</v>
      </c>
      <c r="C111" s="87" t="s">
        <v>270</v>
      </c>
      <c r="D111" s="78" t="s">
        <v>271</v>
      </c>
      <c r="E111" s="84" t="s">
        <v>21</v>
      </c>
      <c r="F111" s="84" t="s">
        <v>7</v>
      </c>
      <c r="G111" s="84" t="s">
        <v>57</v>
      </c>
      <c r="H111" s="84" t="s">
        <v>276</v>
      </c>
      <c r="I111" s="84"/>
      <c r="J111" s="15" t="str">
        <f>IF(E111="Invalid_Segment","Invalid",IFERROR(INDEX(Severity_Matrix!$C$3:$M$10,MATCH('Error Log'!$F111,Severity_Matrix!$B$3:$B$10,0),MATCH('Error Log'!$G111,Severity_Matrix!$C$2:$M$2,0)),"No errors"))</f>
        <v>Critical</v>
      </c>
      <c r="K111" s="79"/>
    </row>
    <row r="112" spans="1:11" ht="14.4">
      <c r="A112" s="78" t="s">
        <v>274</v>
      </c>
      <c r="B112" s="18">
        <v>5</v>
      </c>
      <c r="C112" s="87" t="s">
        <v>270</v>
      </c>
      <c r="D112" s="78" t="s">
        <v>271</v>
      </c>
      <c r="E112" s="84" t="s">
        <v>21</v>
      </c>
      <c r="F112" s="84" t="s">
        <v>7</v>
      </c>
      <c r="G112" s="84" t="s">
        <v>57</v>
      </c>
      <c r="H112" s="84" t="s">
        <v>277</v>
      </c>
      <c r="I112" s="84"/>
      <c r="J112" s="15" t="str">
        <f>IF(E112="Invalid_Segment","Invalid",IFERROR(INDEX(Severity_Matrix!$C$3:$M$10,MATCH('Error Log'!$F112,Severity_Matrix!$B$3:$B$10,0),MATCH('Error Log'!$G112,Severity_Matrix!$C$2:$M$2,0)),"No errors"))</f>
        <v>Critical</v>
      </c>
      <c r="K112" s="79"/>
    </row>
    <row r="113" spans="1:11" ht="14.4">
      <c r="A113" s="78" t="s">
        <v>274</v>
      </c>
      <c r="B113" s="18">
        <v>6</v>
      </c>
      <c r="C113" s="87" t="s">
        <v>270</v>
      </c>
      <c r="D113" s="78" t="s">
        <v>271</v>
      </c>
      <c r="E113" s="84" t="s">
        <v>21</v>
      </c>
      <c r="F113" s="84" t="s">
        <v>7</v>
      </c>
      <c r="G113" s="84" t="s">
        <v>57</v>
      </c>
      <c r="H113" s="84" t="s">
        <v>278</v>
      </c>
      <c r="I113" s="84"/>
      <c r="J113" s="15" t="str">
        <f>IF(E113="Invalid_Segment","Invalid",IFERROR(INDEX(Severity_Matrix!$C$3:$M$10,MATCH('Error Log'!$F113,Severity_Matrix!$B$3:$B$10,0),MATCH('Error Log'!$G113,Severity_Matrix!$C$2:$M$2,0)),"No errors"))</f>
        <v>Critical</v>
      </c>
      <c r="K113" s="79"/>
    </row>
    <row r="114" spans="1:11" ht="14.4">
      <c r="A114" s="78" t="s">
        <v>279</v>
      </c>
      <c r="B114" s="18">
        <v>1</v>
      </c>
      <c r="C114" s="87" t="s">
        <v>280</v>
      </c>
      <c r="D114" s="78" t="s">
        <v>281</v>
      </c>
      <c r="E114" s="84" t="s">
        <v>21</v>
      </c>
      <c r="F114" s="84" t="s">
        <v>22</v>
      </c>
      <c r="G114" s="84" t="s">
        <v>57</v>
      </c>
      <c r="H114" s="84" t="s">
        <v>282</v>
      </c>
      <c r="I114" s="84"/>
      <c r="J114" s="15" t="str">
        <f>IF(E114="Invalid_Segment","Invalid",IFERROR(INDEX(Severity_Matrix!$C$3:$M$10,MATCH('Error Log'!$F114,Severity_Matrix!$B$3:$B$10,0),MATCH('Error Log'!$G114,Severity_Matrix!$C$2:$M$2,0)),"No errors"))</f>
        <v>Major</v>
      </c>
      <c r="K114" s="79"/>
    </row>
    <row r="115" spans="1:11" ht="14.4">
      <c r="A115" s="78" t="s">
        <v>279</v>
      </c>
      <c r="B115" s="18">
        <v>2</v>
      </c>
      <c r="C115" s="87" t="s">
        <v>280</v>
      </c>
      <c r="D115" s="78" t="s">
        <v>281</v>
      </c>
      <c r="E115" s="84" t="s">
        <v>21</v>
      </c>
      <c r="F115" s="84" t="s">
        <v>22</v>
      </c>
      <c r="G115" s="84" t="s">
        <v>57</v>
      </c>
      <c r="H115" s="84" t="s">
        <v>283</v>
      </c>
      <c r="I115" s="84"/>
      <c r="J115" s="15" t="str">
        <f>IF(E115="Invalid_Segment","Invalid",IFERROR(INDEX(Severity_Matrix!$C$3:$M$10,MATCH('Error Log'!$F115,Severity_Matrix!$B$3:$B$10,0),MATCH('Error Log'!$G115,Severity_Matrix!$C$2:$M$2,0)),"No errors"))</f>
        <v>Major</v>
      </c>
      <c r="K115" s="79"/>
    </row>
    <row r="116" spans="1:11" ht="14.4">
      <c r="A116" s="78" t="s">
        <v>284</v>
      </c>
      <c r="B116" s="18">
        <v>3</v>
      </c>
      <c r="C116" s="87" t="s">
        <v>280</v>
      </c>
      <c r="D116" s="78" t="s">
        <v>281</v>
      </c>
      <c r="E116" s="84" t="s">
        <v>21</v>
      </c>
      <c r="F116" s="84" t="s">
        <v>22</v>
      </c>
      <c r="G116" s="84" t="s">
        <v>57</v>
      </c>
      <c r="H116" s="84" t="s">
        <v>285</v>
      </c>
      <c r="I116" s="84"/>
      <c r="J116" s="15" t="str">
        <f>IF(E116="Invalid_Segment","Invalid",IFERROR(INDEX(Severity_Matrix!$C$3:$M$10,MATCH('Error Log'!$F116,Severity_Matrix!$B$3:$B$10,0),MATCH('Error Log'!$G116,Severity_Matrix!$C$2:$M$2,0)),"No errors"))</f>
        <v>Major</v>
      </c>
      <c r="K116" s="79"/>
    </row>
    <row r="117" spans="1:11" ht="14.4">
      <c r="A117" s="78" t="s">
        <v>284</v>
      </c>
      <c r="B117" s="18">
        <v>4</v>
      </c>
      <c r="C117" s="87" t="s">
        <v>280</v>
      </c>
      <c r="D117" s="78" t="s">
        <v>281</v>
      </c>
      <c r="E117" s="84" t="s">
        <v>21</v>
      </c>
      <c r="F117" s="84" t="s">
        <v>7</v>
      </c>
      <c r="G117" s="84" t="s">
        <v>57</v>
      </c>
      <c r="H117" s="84" t="s">
        <v>286</v>
      </c>
      <c r="I117" s="84"/>
      <c r="J117" s="15" t="str">
        <f>IF(E117="Invalid_Segment","Invalid",IFERROR(INDEX(Severity_Matrix!$C$3:$M$10,MATCH('Error Log'!$F117,Severity_Matrix!$B$3:$B$10,0),MATCH('Error Log'!$G117,Severity_Matrix!$C$2:$M$2,0)),"No errors"))</f>
        <v>Critical</v>
      </c>
      <c r="K117" s="79"/>
    </row>
    <row r="118" spans="1:11" ht="14.4">
      <c r="A118" s="78" t="s">
        <v>284</v>
      </c>
      <c r="B118" s="18">
        <v>5</v>
      </c>
      <c r="C118" s="87" t="s">
        <v>280</v>
      </c>
      <c r="D118" s="78" t="s">
        <v>281</v>
      </c>
      <c r="E118" s="84" t="s">
        <v>21</v>
      </c>
      <c r="F118" s="84" t="s">
        <v>7</v>
      </c>
      <c r="G118" s="84" t="s">
        <v>57</v>
      </c>
      <c r="H118" s="84" t="s">
        <v>287</v>
      </c>
      <c r="I118" s="84"/>
      <c r="J118" s="15" t="str">
        <f>IF(E118="Invalid_Segment","Invalid",IFERROR(INDEX(Severity_Matrix!$C$3:$M$10,MATCH('Error Log'!$F118,Severity_Matrix!$B$3:$B$10,0),MATCH('Error Log'!$G118,Severity_Matrix!$C$2:$M$2,0)),"No errors"))</f>
        <v>Critical</v>
      </c>
      <c r="K118" s="79"/>
    </row>
    <row r="119" spans="1:11" ht="14.4">
      <c r="A119" s="78" t="s">
        <v>284</v>
      </c>
      <c r="B119" s="18">
        <v>6</v>
      </c>
      <c r="C119" s="87" t="s">
        <v>280</v>
      </c>
      <c r="D119" s="78" t="s">
        <v>281</v>
      </c>
      <c r="E119" s="84" t="s">
        <v>21</v>
      </c>
      <c r="F119" s="84" t="s">
        <v>7</v>
      </c>
      <c r="G119" s="84" t="s">
        <v>57</v>
      </c>
      <c r="H119" s="84" t="s">
        <v>288</v>
      </c>
      <c r="I119" s="84"/>
      <c r="J119" s="15" t="str">
        <f>IF(E119="Invalid_Segment","Invalid",IFERROR(INDEX(Severity_Matrix!$C$3:$M$10,MATCH('Error Log'!$F119,Severity_Matrix!$B$3:$B$10,0),MATCH('Error Log'!$G119,Severity_Matrix!$C$2:$M$2,0)),"No errors"))</f>
        <v>Critical</v>
      </c>
      <c r="K119" s="79"/>
    </row>
    <row r="120" spans="1:11">
      <c r="A120" s="78" t="s">
        <v>289</v>
      </c>
      <c r="B120" s="18">
        <v>1</v>
      </c>
      <c r="C120" s="78" t="s">
        <v>290</v>
      </c>
      <c r="D120" s="78" t="s">
        <v>291</v>
      </c>
      <c r="E120" s="84" t="s">
        <v>21</v>
      </c>
      <c r="F120" s="84" t="s">
        <v>7</v>
      </c>
      <c r="G120" s="84" t="s">
        <v>292</v>
      </c>
      <c r="H120" s="84"/>
      <c r="I120" s="84"/>
      <c r="J120" s="15" t="str">
        <f>IF(E120="Invalid_Segment","Invalid",IFERROR(INDEX(Severity_Matrix!$C$3:$M$10,MATCH('Error Log'!$F120,Severity_Matrix!$B$3:$B$10,0),MATCH('Error Log'!$G120,Severity_Matrix!$C$2:$M$2,0)),"No errors"))</f>
        <v>Critical</v>
      </c>
    </row>
    <row r="121" spans="1:11">
      <c r="A121" s="78" t="s">
        <v>293</v>
      </c>
      <c r="B121" s="18">
        <v>2</v>
      </c>
      <c r="C121" s="78" t="s">
        <v>290</v>
      </c>
      <c r="D121" s="78" t="s">
        <v>291</v>
      </c>
      <c r="E121" s="84" t="s">
        <v>21</v>
      </c>
      <c r="F121" s="84" t="s">
        <v>22</v>
      </c>
      <c r="G121" s="84" t="s">
        <v>294</v>
      </c>
      <c r="H121" s="84" t="s">
        <v>295</v>
      </c>
      <c r="I121" s="84"/>
      <c r="J121" s="15" t="str">
        <f>IF(E121="Invalid_Segment","Invalid",IFERROR(INDEX(Severity_Matrix!$C$3:$M$10,MATCH('Error Log'!$F121,Severity_Matrix!$B$3:$B$10,0),MATCH('Error Log'!$G121,Severity_Matrix!$C$2:$M$2,0)),"No errors"))</f>
        <v>Major</v>
      </c>
    </row>
    <row r="122" spans="1:11">
      <c r="A122" s="78" t="s">
        <v>293</v>
      </c>
      <c r="B122" s="18">
        <v>3</v>
      </c>
      <c r="C122" s="78" t="s">
        <v>290</v>
      </c>
      <c r="D122" s="78" t="s">
        <v>291</v>
      </c>
      <c r="E122" s="84" t="s">
        <v>21</v>
      </c>
      <c r="F122" s="84" t="s">
        <v>22</v>
      </c>
      <c r="G122" s="84" t="s">
        <v>28</v>
      </c>
      <c r="H122" s="84" t="s">
        <v>296</v>
      </c>
      <c r="I122" s="84"/>
      <c r="J122" s="15" t="str">
        <f>IF(E122="Invalid_Segment","Invalid",IFERROR(INDEX(Severity_Matrix!$C$3:$M$10,MATCH('Error Log'!$F122,Severity_Matrix!$B$3:$B$10,0),MATCH('Error Log'!$G122,Severity_Matrix!$C$2:$M$2,0)),"No errors"))</f>
        <v>Major</v>
      </c>
    </row>
    <row r="123" spans="1:11">
      <c r="A123" s="78" t="s">
        <v>293</v>
      </c>
      <c r="B123" s="18">
        <v>4</v>
      </c>
      <c r="C123" s="78" t="s">
        <v>290</v>
      </c>
      <c r="D123" s="78" t="s">
        <v>291</v>
      </c>
      <c r="E123" s="84" t="s">
        <v>21</v>
      </c>
      <c r="F123" s="84" t="s">
        <v>22</v>
      </c>
      <c r="G123" s="84" t="s">
        <v>294</v>
      </c>
      <c r="H123" s="84" t="s">
        <v>297</v>
      </c>
      <c r="I123" s="84"/>
      <c r="J123" s="15" t="str">
        <f>IF(E123="Invalid_Segment","Invalid",IFERROR(INDEX(Severity_Matrix!$C$3:$M$10,MATCH('Error Log'!$F123,Severity_Matrix!$B$3:$B$10,0),MATCH('Error Log'!$G123,Severity_Matrix!$C$2:$M$2,0)),"No errors"))</f>
        <v>Major</v>
      </c>
    </row>
    <row r="124" spans="1:11">
      <c r="A124" s="78" t="s">
        <v>293</v>
      </c>
      <c r="B124" s="18">
        <v>5</v>
      </c>
      <c r="C124" s="78" t="s">
        <v>290</v>
      </c>
      <c r="D124" s="78" t="s">
        <v>291</v>
      </c>
      <c r="E124" s="84" t="s">
        <v>21</v>
      </c>
      <c r="F124" s="84" t="s">
        <v>22</v>
      </c>
      <c r="G124" s="84" t="s">
        <v>294</v>
      </c>
      <c r="H124" s="84" t="s">
        <v>298</v>
      </c>
      <c r="I124" s="84"/>
      <c r="J124" s="15" t="str">
        <f>IF(E124="Invalid_Segment","Invalid",IFERROR(INDEX(Severity_Matrix!$C$3:$M$10,MATCH('Error Log'!$F124,Severity_Matrix!$B$3:$B$10,0),MATCH('Error Log'!$G124,Severity_Matrix!$C$2:$M$2,0)),"No errors"))</f>
        <v>Major</v>
      </c>
    </row>
    <row r="125" spans="1:11">
      <c r="A125" s="78" t="s">
        <v>293</v>
      </c>
      <c r="B125" s="18">
        <v>6</v>
      </c>
      <c r="C125" s="78" t="s">
        <v>290</v>
      </c>
      <c r="D125" s="78" t="s">
        <v>291</v>
      </c>
      <c r="E125" s="84" t="s">
        <v>21</v>
      </c>
      <c r="F125" s="84" t="s">
        <v>7</v>
      </c>
      <c r="G125" s="84" t="s">
        <v>57</v>
      </c>
      <c r="H125" s="84" t="s">
        <v>299</v>
      </c>
      <c r="I125" s="84"/>
      <c r="J125" s="15" t="str">
        <f>IF(E125="Invalid_Segment","Invalid",IFERROR(INDEX(Severity_Matrix!$C$3:$M$10,MATCH('Error Log'!$F125,Severity_Matrix!$B$3:$B$10,0),MATCH('Error Log'!$G125,Severity_Matrix!$C$2:$M$2,0)),"No errors"))</f>
        <v>Critical</v>
      </c>
    </row>
    <row r="126" spans="1:11">
      <c r="A126" s="78" t="s">
        <v>293</v>
      </c>
      <c r="B126" s="18">
        <v>7</v>
      </c>
      <c r="C126" s="78" t="s">
        <v>290</v>
      </c>
      <c r="D126" s="78" t="s">
        <v>291</v>
      </c>
      <c r="E126" s="84" t="s">
        <v>21</v>
      </c>
      <c r="F126" s="84" t="s">
        <v>7</v>
      </c>
      <c r="G126" s="84" t="s">
        <v>57</v>
      </c>
      <c r="H126" s="84" t="s">
        <v>300</v>
      </c>
      <c r="I126" s="84"/>
      <c r="J126" s="15" t="str">
        <f>IF(E126="Invalid_Segment","Invalid",IFERROR(INDEX(Severity_Matrix!$C$3:$M$10,MATCH('Error Log'!$F126,Severity_Matrix!$B$3:$B$10,0),MATCH('Error Log'!$G126,Severity_Matrix!$C$2:$M$2,0)),"No errors"))</f>
        <v>Critical</v>
      </c>
    </row>
    <row r="127" spans="1:11">
      <c r="A127" s="78" t="s">
        <v>293</v>
      </c>
      <c r="B127" s="18">
        <v>8</v>
      </c>
      <c r="C127" s="78" t="s">
        <v>290</v>
      </c>
      <c r="D127" s="78" t="s">
        <v>291</v>
      </c>
      <c r="E127" s="84" t="s">
        <v>21</v>
      </c>
      <c r="F127" s="84" t="s">
        <v>7</v>
      </c>
      <c r="G127" s="84" t="s">
        <v>57</v>
      </c>
      <c r="H127" s="84" t="s">
        <v>301</v>
      </c>
      <c r="I127" s="84"/>
      <c r="J127" s="15" t="str">
        <f>IF(E127="Invalid_Segment","Invalid",IFERROR(INDEX(Severity_Matrix!$C$3:$M$10,MATCH('Error Log'!$F127,Severity_Matrix!$B$3:$B$10,0),MATCH('Error Log'!$G127,Severity_Matrix!$C$2:$M$2,0)),"No errors"))</f>
        <v>Critical</v>
      </c>
    </row>
    <row r="128" spans="1:11">
      <c r="A128" s="78" t="s">
        <v>293</v>
      </c>
      <c r="B128" s="18">
        <v>9</v>
      </c>
      <c r="C128" s="78" t="s">
        <v>290</v>
      </c>
      <c r="D128" s="78" t="s">
        <v>291</v>
      </c>
      <c r="E128" s="84" t="s">
        <v>21</v>
      </c>
      <c r="F128" s="84" t="s">
        <v>7</v>
      </c>
      <c r="G128" s="84" t="s">
        <v>57</v>
      </c>
      <c r="H128" s="84" t="s">
        <v>302</v>
      </c>
      <c r="I128" s="84"/>
      <c r="J128" s="15" t="str">
        <f>IF(E128="Invalid_Segment","Invalid",IFERROR(INDEX(Severity_Matrix!$C$3:$M$10,MATCH('Error Log'!$F128,Severity_Matrix!$B$3:$B$10,0),MATCH('Error Log'!$G128,Severity_Matrix!$C$2:$M$2,0)),"No errors"))</f>
        <v>Critical</v>
      </c>
    </row>
    <row r="129" spans="1:10">
      <c r="A129" s="78" t="s">
        <v>303</v>
      </c>
      <c r="B129" s="18">
        <v>1</v>
      </c>
      <c r="C129" s="78" t="s">
        <v>304</v>
      </c>
      <c r="D129" s="78" t="s">
        <v>305</v>
      </c>
      <c r="E129" s="84" t="s">
        <v>21</v>
      </c>
      <c r="F129" s="84" t="s">
        <v>22</v>
      </c>
      <c r="G129" s="84" t="s">
        <v>57</v>
      </c>
      <c r="H129" s="84" t="s">
        <v>306</v>
      </c>
      <c r="I129" s="84"/>
      <c r="J129" s="15" t="str">
        <f>IF(E129="Invalid_Segment","Invalid",IFERROR(INDEX(Severity_Matrix!$C$3:$M$10,MATCH('Error Log'!$F129,Severity_Matrix!$B$3:$B$10,0),MATCH('Error Log'!$G129,Severity_Matrix!$C$2:$M$2,0)),"No errors"))</f>
        <v>Major</v>
      </c>
    </row>
    <row r="130" spans="1:10">
      <c r="A130" s="78" t="s">
        <v>303</v>
      </c>
      <c r="B130" s="18">
        <v>2</v>
      </c>
      <c r="C130" s="78" t="s">
        <v>304</v>
      </c>
      <c r="D130" s="78" t="s">
        <v>305</v>
      </c>
      <c r="E130" s="84" t="s">
        <v>21</v>
      </c>
      <c r="F130" s="84" t="s">
        <v>7</v>
      </c>
      <c r="G130" s="84" t="s">
        <v>57</v>
      </c>
      <c r="H130" s="84" t="s">
        <v>307</v>
      </c>
      <c r="I130" s="84"/>
      <c r="J130" s="15" t="str">
        <f>IF(E130="Invalid_Segment","Invalid",IFERROR(INDEX(Severity_Matrix!$C$3:$M$10,MATCH('Error Log'!$F130,Severity_Matrix!$B$3:$B$10,0),MATCH('Error Log'!$G130,Severity_Matrix!$C$2:$M$2,0)),"No errors"))</f>
        <v>Critical</v>
      </c>
    </row>
    <row r="131" spans="1:10">
      <c r="A131" s="78" t="s">
        <v>308</v>
      </c>
      <c r="B131" s="18">
        <v>1</v>
      </c>
      <c r="C131" s="78" t="s">
        <v>309</v>
      </c>
      <c r="D131" s="78" t="s">
        <v>310</v>
      </c>
      <c r="E131" s="84" t="s">
        <v>21</v>
      </c>
      <c r="F131" s="84" t="s">
        <v>22</v>
      </c>
      <c r="G131" s="84" t="s">
        <v>57</v>
      </c>
      <c r="H131" s="84" t="s">
        <v>311</v>
      </c>
      <c r="I131" s="84"/>
      <c r="J131" s="15" t="str">
        <f>IF(E131="Invalid_Segment","Invalid",IFERROR(INDEX(Severity_Matrix!$C$3:$M$10,MATCH('Error Log'!$F131,Severity_Matrix!$B$3:$B$10,0),MATCH('Error Log'!$G131,Severity_Matrix!$C$2:$M$2,0)),"No errors"))</f>
        <v>Major</v>
      </c>
    </row>
    <row r="132" spans="1:10">
      <c r="A132" s="78" t="s">
        <v>308</v>
      </c>
      <c r="B132" s="18">
        <v>2</v>
      </c>
      <c r="C132" s="78" t="s">
        <v>309</v>
      </c>
      <c r="D132" s="78" t="s">
        <v>310</v>
      </c>
      <c r="E132" s="84" t="s">
        <v>2</v>
      </c>
      <c r="F132" s="84" t="s">
        <v>26</v>
      </c>
      <c r="G132" s="84" t="s">
        <v>57</v>
      </c>
      <c r="H132" s="84" t="s">
        <v>312</v>
      </c>
      <c r="I132" s="84"/>
      <c r="J132" s="15" t="str">
        <f>IF(E132="Invalid_Segment","Invalid",IFERROR(INDEX(Severity_Matrix!$C$3:$M$10,MATCH('Error Log'!$F132,Severity_Matrix!$B$3:$B$10,0),MATCH('Error Log'!$G132,Severity_Matrix!$C$2:$M$2,0)),"No errors"))</f>
        <v>Major</v>
      </c>
    </row>
    <row r="133" spans="1:10">
      <c r="A133" s="78" t="s">
        <v>313</v>
      </c>
      <c r="B133" s="18">
        <v>3</v>
      </c>
      <c r="C133" s="78" t="s">
        <v>309</v>
      </c>
      <c r="D133" s="78" t="s">
        <v>310</v>
      </c>
      <c r="E133" s="84" t="s">
        <v>21</v>
      </c>
      <c r="F133" s="84" t="s">
        <v>7</v>
      </c>
      <c r="G133" s="84" t="s">
        <v>57</v>
      </c>
      <c r="H133" s="84" t="s">
        <v>314</v>
      </c>
      <c r="I133" s="84"/>
      <c r="J133" s="15" t="str">
        <f>IF(E133="Invalid_Segment","Invalid",IFERROR(INDEX(Severity_Matrix!$C$3:$M$10,MATCH('Error Log'!$F133,Severity_Matrix!$B$3:$B$10,0),MATCH('Error Log'!$G133,Severity_Matrix!$C$2:$M$2,0)),"No errors"))</f>
        <v>Critical</v>
      </c>
    </row>
    <row r="134" spans="1:10">
      <c r="A134" s="78" t="s">
        <v>313</v>
      </c>
      <c r="B134" s="18">
        <v>4</v>
      </c>
      <c r="C134" s="78" t="s">
        <v>309</v>
      </c>
      <c r="D134" s="78" t="s">
        <v>310</v>
      </c>
      <c r="E134" s="84" t="s">
        <v>21</v>
      </c>
      <c r="F134" s="84" t="s">
        <v>7</v>
      </c>
      <c r="G134" s="84" t="s">
        <v>57</v>
      </c>
      <c r="H134" s="84" t="s">
        <v>315</v>
      </c>
      <c r="I134" s="84"/>
      <c r="J134" s="15" t="str">
        <f>IF(E134="Invalid_Segment","Invalid",IFERROR(INDEX(Severity_Matrix!$C$3:$M$10,MATCH('Error Log'!$F134,Severity_Matrix!$B$3:$B$10,0),MATCH('Error Log'!$G134,Severity_Matrix!$C$2:$M$2,0)),"No errors"))</f>
        <v>Critical</v>
      </c>
    </row>
    <row r="135" spans="1:10">
      <c r="A135" s="78" t="s">
        <v>316</v>
      </c>
      <c r="B135" s="18">
        <v>1</v>
      </c>
      <c r="C135" s="78" t="s">
        <v>317</v>
      </c>
      <c r="D135" s="78" t="s">
        <v>318</v>
      </c>
      <c r="E135" s="84" t="s">
        <v>21</v>
      </c>
      <c r="F135" s="84" t="s">
        <v>22</v>
      </c>
      <c r="G135" s="84" t="s">
        <v>57</v>
      </c>
      <c r="H135" s="84" t="s">
        <v>319</v>
      </c>
      <c r="I135" s="84"/>
      <c r="J135" s="15" t="str">
        <f>IF(E135="Invalid_Segment","Invalid",IFERROR(INDEX(Severity_Matrix!$C$3:$M$10,MATCH('Error Log'!$F135,Severity_Matrix!$B$3:$B$10,0),MATCH('Error Log'!$G135,Severity_Matrix!$C$2:$M$2,0)),"No errors"))</f>
        <v>Major</v>
      </c>
    </row>
    <row r="136" spans="1:10">
      <c r="A136" s="78" t="s">
        <v>316</v>
      </c>
      <c r="B136" s="18">
        <v>2</v>
      </c>
      <c r="C136" s="78" t="s">
        <v>317</v>
      </c>
      <c r="D136" s="78" t="s">
        <v>318</v>
      </c>
      <c r="E136" s="84" t="s">
        <v>21</v>
      </c>
      <c r="F136" s="84" t="s">
        <v>22</v>
      </c>
      <c r="G136" s="84" t="s">
        <v>57</v>
      </c>
      <c r="H136" s="84" t="s">
        <v>320</v>
      </c>
      <c r="I136" s="84"/>
      <c r="J136" s="15" t="str">
        <f>IF(E136="Invalid_Segment","Invalid",IFERROR(INDEX(Severity_Matrix!$C$3:$M$10,MATCH('Error Log'!$F136,Severity_Matrix!$B$3:$B$10,0),MATCH('Error Log'!$G136,Severity_Matrix!$C$2:$M$2,0)),"No errors"))</f>
        <v>Major</v>
      </c>
    </row>
    <row r="137" spans="1:10">
      <c r="A137" s="78" t="s">
        <v>321</v>
      </c>
      <c r="B137" s="18">
        <v>3</v>
      </c>
      <c r="C137" s="78" t="s">
        <v>317</v>
      </c>
      <c r="D137" s="78" t="s">
        <v>318</v>
      </c>
      <c r="E137" s="84" t="s">
        <v>21</v>
      </c>
      <c r="F137" s="84" t="s">
        <v>7</v>
      </c>
      <c r="G137" s="84" t="s">
        <v>57</v>
      </c>
      <c r="H137" s="84" t="s">
        <v>322</v>
      </c>
      <c r="I137" s="84"/>
      <c r="J137" s="15" t="str">
        <f>IF(E137="Invalid_Segment","Invalid",IFERROR(INDEX(Severity_Matrix!$C$3:$M$10,MATCH('Error Log'!$F137,Severity_Matrix!$B$3:$B$10,0),MATCH('Error Log'!$G137,Severity_Matrix!$C$2:$M$2,0)),"No errors"))</f>
        <v>Critical</v>
      </c>
    </row>
    <row r="138" spans="1:10">
      <c r="A138" s="78" t="s">
        <v>321</v>
      </c>
      <c r="B138" s="18">
        <v>4</v>
      </c>
      <c r="C138" s="78" t="s">
        <v>317</v>
      </c>
      <c r="D138" s="78" t="s">
        <v>318</v>
      </c>
      <c r="E138" s="84" t="s">
        <v>21</v>
      </c>
      <c r="F138" s="84" t="s">
        <v>7</v>
      </c>
      <c r="G138" s="84" t="s">
        <v>57</v>
      </c>
      <c r="H138" s="84" t="s">
        <v>323</v>
      </c>
      <c r="I138" s="84"/>
      <c r="J138" s="15" t="str">
        <f>IF(E138="Invalid_Segment","Invalid",IFERROR(INDEX(Severity_Matrix!$C$3:$M$10,MATCH('Error Log'!$F138,Severity_Matrix!$B$3:$B$10,0),MATCH('Error Log'!$G138,Severity_Matrix!$C$2:$M$2,0)),"No errors"))</f>
        <v>Critical</v>
      </c>
    </row>
    <row r="139" spans="1:10">
      <c r="A139" s="78" t="s">
        <v>324</v>
      </c>
      <c r="B139" s="18">
        <v>1</v>
      </c>
      <c r="C139" s="78" t="s">
        <v>325</v>
      </c>
      <c r="D139" s="78" t="s">
        <v>326</v>
      </c>
      <c r="E139" s="84" t="s">
        <v>21</v>
      </c>
      <c r="F139" s="84" t="s">
        <v>22</v>
      </c>
      <c r="G139" s="84" t="s">
        <v>28</v>
      </c>
      <c r="H139" s="84" t="s">
        <v>327</v>
      </c>
      <c r="I139" s="84"/>
      <c r="J139" s="15" t="str">
        <f>IF(E139="Invalid_Segment","Invalid",IFERROR(INDEX(Severity_Matrix!$C$3:$M$10,MATCH('Error Log'!$F139,Severity_Matrix!$B$3:$B$10,0),MATCH('Error Log'!$G139,Severity_Matrix!$C$2:$M$2,0)),"No errors"))</f>
        <v>Major</v>
      </c>
    </row>
    <row r="140" spans="1:10">
      <c r="A140" s="78" t="s">
        <v>324</v>
      </c>
      <c r="B140" s="18">
        <v>2</v>
      </c>
      <c r="C140" s="78" t="s">
        <v>325</v>
      </c>
      <c r="D140" s="78" t="s">
        <v>326</v>
      </c>
      <c r="E140" s="84" t="s">
        <v>21</v>
      </c>
      <c r="F140" s="84" t="s">
        <v>22</v>
      </c>
      <c r="G140" s="84" t="s">
        <v>57</v>
      </c>
      <c r="H140" s="84" t="s">
        <v>328</v>
      </c>
      <c r="I140" s="84"/>
      <c r="J140" s="15" t="str">
        <f>IF(E140="Invalid_Segment","Invalid",IFERROR(INDEX(Severity_Matrix!$C$3:$M$10,MATCH('Error Log'!$F140,Severity_Matrix!$B$3:$B$10,0),MATCH('Error Log'!$G140,Severity_Matrix!$C$2:$M$2,0)),"No errors"))</f>
        <v>Major</v>
      </c>
    </row>
    <row r="141" spans="1:10">
      <c r="A141" s="78" t="s">
        <v>329</v>
      </c>
      <c r="B141" s="18">
        <v>3</v>
      </c>
      <c r="C141" s="78" t="s">
        <v>325</v>
      </c>
      <c r="D141" s="78" t="s">
        <v>326</v>
      </c>
      <c r="E141" s="84" t="s">
        <v>21</v>
      </c>
      <c r="F141" s="84" t="s">
        <v>22</v>
      </c>
      <c r="G141" s="84" t="s">
        <v>57</v>
      </c>
      <c r="H141" s="84" t="s">
        <v>330</v>
      </c>
      <c r="I141" s="84"/>
      <c r="J141" s="15" t="str">
        <f>IF(E141="Invalid_Segment","Invalid",IFERROR(INDEX(Severity_Matrix!$C$3:$M$10,MATCH('Error Log'!$F141,Severity_Matrix!$B$3:$B$10,0),MATCH('Error Log'!$G141,Severity_Matrix!$C$2:$M$2,0)),"No errors"))</f>
        <v>Major</v>
      </c>
    </row>
    <row r="142" spans="1:10">
      <c r="A142" s="78" t="s">
        <v>329</v>
      </c>
      <c r="B142" s="18">
        <v>4</v>
      </c>
      <c r="C142" s="78" t="s">
        <v>325</v>
      </c>
      <c r="D142" s="78" t="s">
        <v>326</v>
      </c>
      <c r="E142" s="84" t="s">
        <v>21</v>
      </c>
      <c r="F142" s="84" t="s">
        <v>7</v>
      </c>
      <c r="G142" s="84" t="s">
        <v>57</v>
      </c>
      <c r="H142" s="84" t="s">
        <v>331</v>
      </c>
      <c r="I142" s="84"/>
      <c r="J142" s="15" t="str">
        <f>IF(E142="Invalid_Segment","Invalid",IFERROR(INDEX(Severity_Matrix!$C$3:$M$10,MATCH('Error Log'!$F142,Severity_Matrix!$B$3:$B$10,0),MATCH('Error Log'!$G142,Severity_Matrix!$C$2:$M$2,0)),"No errors"))</f>
        <v>Critical</v>
      </c>
    </row>
    <row r="143" spans="1:10">
      <c r="A143" s="78" t="s">
        <v>332</v>
      </c>
      <c r="B143" s="18">
        <v>1</v>
      </c>
      <c r="C143" s="78" t="s">
        <v>333</v>
      </c>
      <c r="D143" s="78" t="s">
        <v>334</v>
      </c>
      <c r="E143" s="84" t="s">
        <v>21</v>
      </c>
      <c r="F143" s="84" t="s">
        <v>22</v>
      </c>
      <c r="G143" s="84" t="s">
        <v>57</v>
      </c>
      <c r="H143" s="84" t="s">
        <v>335</v>
      </c>
      <c r="I143" s="84"/>
      <c r="J143" s="15" t="str">
        <f>IF(E143="Invalid_Segment","Invalid",IFERROR(INDEX(Severity_Matrix!$C$3:$M$10,MATCH('Error Log'!$F143,Severity_Matrix!$B$3:$B$10,0),MATCH('Error Log'!$G143,Severity_Matrix!$C$2:$M$2,0)),"No errors"))</f>
        <v>Major</v>
      </c>
    </row>
    <row r="144" spans="1:10">
      <c r="A144" s="78" t="s">
        <v>332</v>
      </c>
      <c r="B144" s="18">
        <v>2</v>
      </c>
      <c r="C144" s="78" t="s">
        <v>333</v>
      </c>
      <c r="D144" s="78" t="s">
        <v>334</v>
      </c>
      <c r="E144" s="84" t="s">
        <v>21</v>
      </c>
      <c r="F144" s="84" t="s">
        <v>7</v>
      </c>
      <c r="G144" s="84" t="s">
        <v>57</v>
      </c>
      <c r="H144" s="84" t="s">
        <v>336</v>
      </c>
      <c r="I144" s="84"/>
      <c r="J144" s="15" t="str">
        <f>IF(E144="Invalid_Segment","Invalid",IFERROR(INDEX(Severity_Matrix!$C$3:$M$10,MATCH('Error Log'!$F144,Severity_Matrix!$B$3:$B$10,0),MATCH('Error Log'!$G144,Severity_Matrix!$C$2:$M$2,0)),"No errors"))</f>
        <v>Critical</v>
      </c>
    </row>
    <row r="145" spans="1:10">
      <c r="A145" s="78" t="s">
        <v>337</v>
      </c>
      <c r="B145" s="18">
        <v>1</v>
      </c>
      <c r="C145" s="78" t="s">
        <v>338</v>
      </c>
      <c r="D145" s="78" t="s">
        <v>339</v>
      </c>
      <c r="E145" s="84" t="s">
        <v>21</v>
      </c>
      <c r="F145" s="84" t="s">
        <v>22</v>
      </c>
      <c r="G145" s="84" t="s">
        <v>28</v>
      </c>
      <c r="H145" s="84" t="s">
        <v>340</v>
      </c>
      <c r="I145" s="84"/>
      <c r="J145" s="15" t="str">
        <f>IF(E145="Invalid_Segment","Invalid",IFERROR(INDEX(Severity_Matrix!$C$3:$M$10,MATCH('Error Log'!$F145,Severity_Matrix!$B$3:$B$10,0),MATCH('Error Log'!$G145,Severity_Matrix!$C$2:$M$2,0)),"No errors"))</f>
        <v>Major</v>
      </c>
    </row>
    <row r="146" spans="1:10">
      <c r="A146" s="78" t="s">
        <v>337</v>
      </c>
      <c r="B146" s="18">
        <v>2</v>
      </c>
      <c r="C146" s="78" t="s">
        <v>338</v>
      </c>
      <c r="D146" s="78" t="s">
        <v>339</v>
      </c>
      <c r="E146" s="84" t="s">
        <v>21</v>
      </c>
      <c r="F146" s="84" t="s">
        <v>7</v>
      </c>
      <c r="G146" s="84" t="s">
        <v>57</v>
      </c>
      <c r="H146" s="84" t="s">
        <v>341</v>
      </c>
      <c r="I146" s="84"/>
      <c r="J146" s="15" t="str">
        <f>IF(E146="Invalid_Segment","Invalid",IFERROR(INDEX(Severity_Matrix!$C$3:$M$10,MATCH('Error Log'!$F146,Severity_Matrix!$B$3:$B$10,0),MATCH('Error Log'!$G146,Severity_Matrix!$C$2:$M$2,0)),"No errors"))</f>
        <v>Critical</v>
      </c>
    </row>
    <row r="147" spans="1:10">
      <c r="A147" s="78" t="s">
        <v>337</v>
      </c>
      <c r="B147" s="18">
        <v>3</v>
      </c>
      <c r="C147" s="78" t="s">
        <v>338</v>
      </c>
      <c r="D147" s="78" t="s">
        <v>339</v>
      </c>
      <c r="E147" s="84" t="s">
        <v>21</v>
      </c>
      <c r="F147" s="84" t="s">
        <v>7</v>
      </c>
      <c r="G147" s="84" t="s">
        <v>57</v>
      </c>
      <c r="H147" s="84" t="s">
        <v>342</v>
      </c>
      <c r="I147" s="84"/>
      <c r="J147" s="15" t="str">
        <f>IF(E147="Invalid_Segment","Invalid",IFERROR(INDEX(Severity_Matrix!$C$3:$M$10,MATCH('Error Log'!$F147,Severity_Matrix!$B$3:$B$10,0),MATCH('Error Log'!$G147,Severity_Matrix!$C$2:$M$2,0)),"No errors"))</f>
        <v>Critical</v>
      </c>
    </row>
    <row r="148" spans="1:10">
      <c r="A148" s="78" t="s">
        <v>343</v>
      </c>
      <c r="B148" s="18">
        <v>1</v>
      </c>
      <c r="C148" s="78" t="s">
        <v>344</v>
      </c>
      <c r="D148" s="78" t="s">
        <v>345</v>
      </c>
      <c r="E148" s="84" t="s">
        <v>21</v>
      </c>
      <c r="F148" s="84" t="s">
        <v>22</v>
      </c>
      <c r="G148" s="84" t="s">
        <v>28</v>
      </c>
      <c r="H148" s="84" t="s">
        <v>346</v>
      </c>
      <c r="I148" s="84"/>
      <c r="J148" s="15" t="str">
        <f>IF(E148="Invalid_Segment","Invalid",IFERROR(INDEX(Severity_Matrix!$C$3:$M$10,MATCH('Error Log'!$F148,Severity_Matrix!$B$3:$B$10,0),MATCH('Error Log'!$G148,Severity_Matrix!$C$2:$M$2,0)),"No errors"))</f>
        <v>Major</v>
      </c>
    </row>
    <row r="149" spans="1:10">
      <c r="A149" s="78" t="s">
        <v>343</v>
      </c>
      <c r="B149" s="18">
        <v>2</v>
      </c>
      <c r="C149" s="78" t="s">
        <v>344</v>
      </c>
      <c r="D149" s="78" t="s">
        <v>345</v>
      </c>
      <c r="E149" s="84" t="s">
        <v>21</v>
      </c>
      <c r="F149" s="84" t="s">
        <v>7</v>
      </c>
      <c r="G149" s="84" t="s">
        <v>57</v>
      </c>
      <c r="H149" s="84" t="s">
        <v>347</v>
      </c>
      <c r="I149" s="84"/>
      <c r="J149" s="15" t="str">
        <f>IF(E149="Invalid_Segment","Invalid",IFERROR(INDEX(Severity_Matrix!$C$3:$M$10,MATCH('Error Log'!$F149,Severity_Matrix!$B$3:$B$10,0),MATCH('Error Log'!$G149,Severity_Matrix!$C$2:$M$2,0)),"No errors"))</f>
        <v>Critical</v>
      </c>
    </row>
    <row r="150" spans="1:10">
      <c r="A150" s="78" t="s">
        <v>348</v>
      </c>
      <c r="B150" s="18">
        <v>1</v>
      </c>
      <c r="C150" s="78" t="s">
        <v>349</v>
      </c>
      <c r="D150" s="78" t="s">
        <v>350</v>
      </c>
      <c r="E150" s="84" t="s">
        <v>21</v>
      </c>
      <c r="F150" s="84" t="s">
        <v>22</v>
      </c>
      <c r="G150" s="84" t="s">
        <v>28</v>
      </c>
      <c r="H150" s="84" t="s">
        <v>351</v>
      </c>
      <c r="I150" s="84"/>
      <c r="J150" s="15" t="str">
        <f>IF(E150="Invalid_Segment","Invalid",IFERROR(INDEX(Severity_Matrix!$C$3:$M$10,MATCH('Error Log'!$F150,Severity_Matrix!$B$3:$B$10,0),MATCH('Error Log'!$G150,Severity_Matrix!$C$2:$M$2,0)),"No errors"))</f>
        <v>Major</v>
      </c>
    </row>
    <row r="151" spans="1:10">
      <c r="A151" s="78" t="s">
        <v>348</v>
      </c>
      <c r="B151" s="18">
        <v>2</v>
      </c>
      <c r="C151" s="78" t="s">
        <v>349</v>
      </c>
      <c r="D151" s="78" t="s">
        <v>350</v>
      </c>
      <c r="E151" s="84" t="s">
        <v>21</v>
      </c>
      <c r="F151" s="84" t="s">
        <v>7</v>
      </c>
      <c r="G151" s="84" t="s">
        <v>57</v>
      </c>
      <c r="H151" s="84" t="s">
        <v>352</v>
      </c>
      <c r="I151" s="84"/>
      <c r="J151" s="15" t="str">
        <f>IF(E151="Invalid_Segment","Invalid",IFERROR(INDEX(Severity_Matrix!$C$3:$M$10,MATCH('Error Log'!$F151,Severity_Matrix!$B$3:$B$10,0),MATCH('Error Log'!$G151,Severity_Matrix!$C$2:$M$2,0)),"No errors"))</f>
        <v>Critical</v>
      </c>
    </row>
    <row r="152" spans="1:10">
      <c r="A152" s="78" t="s">
        <v>353</v>
      </c>
      <c r="B152" s="18">
        <v>3</v>
      </c>
      <c r="C152" s="78" t="s">
        <v>349</v>
      </c>
      <c r="D152" s="78" t="s">
        <v>350</v>
      </c>
      <c r="E152" s="84" t="s">
        <v>21</v>
      </c>
      <c r="F152" s="84" t="s">
        <v>7</v>
      </c>
      <c r="G152" s="84" t="s">
        <v>57</v>
      </c>
      <c r="H152" s="84" t="s">
        <v>354</v>
      </c>
      <c r="I152" s="84"/>
      <c r="J152" s="15" t="str">
        <f>IF(E152="Invalid_Segment","Invalid",IFERROR(INDEX(Severity_Matrix!$C$3:$M$10,MATCH('Error Log'!$F152,Severity_Matrix!$B$3:$B$10,0),MATCH('Error Log'!$G152,Severity_Matrix!$C$2:$M$2,0)),"No errors"))</f>
        <v>Critical</v>
      </c>
    </row>
    <row r="153" spans="1:10">
      <c r="A153" s="78" t="s">
        <v>353</v>
      </c>
      <c r="B153" s="18">
        <v>4</v>
      </c>
      <c r="C153" s="78" t="s">
        <v>349</v>
      </c>
      <c r="D153" s="78" t="s">
        <v>350</v>
      </c>
      <c r="E153" s="84" t="s">
        <v>21</v>
      </c>
      <c r="F153" s="84" t="s">
        <v>7</v>
      </c>
      <c r="G153" s="84" t="s">
        <v>57</v>
      </c>
      <c r="H153" s="84" t="s">
        <v>355</v>
      </c>
      <c r="I153" s="84"/>
      <c r="J153" s="15" t="str">
        <f>IF(E153="Invalid_Segment","Invalid",IFERROR(INDEX(Severity_Matrix!$C$3:$M$10,MATCH('Error Log'!$F153,Severity_Matrix!$B$3:$B$10,0),MATCH('Error Log'!$G153,Severity_Matrix!$C$2:$M$2,0)),"No errors"))</f>
        <v>Critical</v>
      </c>
    </row>
    <row r="154" spans="1:10">
      <c r="A154" s="78" t="s">
        <v>356</v>
      </c>
      <c r="B154" s="18">
        <v>1</v>
      </c>
      <c r="C154" s="78" t="s">
        <v>357</v>
      </c>
      <c r="D154" s="78" t="s">
        <v>358</v>
      </c>
      <c r="E154" s="84" t="s">
        <v>21</v>
      </c>
      <c r="F154" s="84" t="s">
        <v>22</v>
      </c>
      <c r="G154" s="84" t="s">
        <v>57</v>
      </c>
      <c r="H154" s="84" t="s">
        <v>359</v>
      </c>
      <c r="I154" s="84"/>
      <c r="J154" s="15" t="str">
        <f>IF(E154="Invalid_Segment","Invalid",IFERROR(INDEX(Severity_Matrix!$C$3:$M$10,MATCH('Error Log'!$F154,Severity_Matrix!$B$3:$B$10,0),MATCH('Error Log'!$G154,Severity_Matrix!$C$2:$M$2,0)),"No errors"))</f>
        <v>Major</v>
      </c>
    </row>
    <row r="155" spans="1:10">
      <c r="A155" s="78" t="s">
        <v>356</v>
      </c>
      <c r="B155" s="18">
        <v>2</v>
      </c>
      <c r="C155" s="78" t="s">
        <v>357</v>
      </c>
      <c r="D155" s="78" t="s">
        <v>358</v>
      </c>
      <c r="E155" s="84" t="s">
        <v>21</v>
      </c>
      <c r="F155" s="84" t="s">
        <v>22</v>
      </c>
      <c r="G155" s="84" t="s">
        <v>57</v>
      </c>
      <c r="H155" s="84" t="s">
        <v>360</v>
      </c>
      <c r="I155" s="84"/>
      <c r="J155" s="15" t="str">
        <f>IF(E155="Invalid_Segment","Invalid",IFERROR(INDEX(Severity_Matrix!$C$3:$M$10,MATCH('Error Log'!$F155,Severity_Matrix!$B$3:$B$10,0),MATCH('Error Log'!$G155,Severity_Matrix!$C$2:$M$2,0)),"No errors"))</f>
        <v>Major</v>
      </c>
    </row>
    <row r="156" spans="1:10">
      <c r="A156" s="78" t="s">
        <v>361</v>
      </c>
      <c r="B156" s="18">
        <v>3</v>
      </c>
      <c r="C156" s="78" t="s">
        <v>357</v>
      </c>
      <c r="D156" s="78" t="s">
        <v>358</v>
      </c>
      <c r="E156" s="84" t="s">
        <v>21</v>
      </c>
      <c r="F156" s="84" t="s">
        <v>7</v>
      </c>
      <c r="G156" s="84" t="s">
        <v>57</v>
      </c>
      <c r="H156" s="84" t="s">
        <v>362</v>
      </c>
      <c r="I156" s="84"/>
      <c r="J156" s="15" t="str">
        <f>IF(E156="Invalid_Segment","Invalid",IFERROR(INDEX(Severity_Matrix!$C$3:$M$10,MATCH('Error Log'!$F156,Severity_Matrix!$B$3:$B$10,0),MATCH('Error Log'!$G156,Severity_Matrix!$C$2:$M$2,0)),"No errors"))</f>
        <v>Critical</v>
      </c>
    </row>
    <row r="157" spans="1:10">
      <c r="A157" s="78" t="s">
        <v>361</v>
      </c>
      <c r="B157" s="18">
        <v>4</v>
      </c>
      <c r="C157" s="78" t="s">
        <v>357</v>
      </c>
      <c r="D157" s="78" t="s">
        <v>358</v>
      </c>
      <c r="E157" s="84" t="s">
        <v>21</v>
      </c>
      <c r="F157" s="84" t="s">
        <v>7</v>
      </c>
      <c r="G157" s="84" t="s">
        <v>57</v>
      </c>
      <c r="H157" s="84" t="s">
        <v>363</v>
      </c>
      <c r="I157" s="84"/>
      <c r="J157" s="15" t="str">
        <f>IF(E157="Invalid_Segment","Invalid",IFERROR(INDEX(Severity_Matrix!$C$3:$M$10,MATCH('Error Log'!$F157,Severity_Matrix!$B$3:$B$10,0),MATCH('Error Log'!$G157,Severity_Matrix!$C$2:$M$2,0)),"No errors"))</f>
        <v>Critical</v>
      </c>
    </row>
    <row r="158" spans="1:10">
      <c r="A158" s="78" t="s">
        <v>364</v>
      </c>
      <c r="B158" s="18">
        <v>1</v>
      </c>
      <c r="C158" s="78" t="s">
        <v>365</v>
      </c>
      <c r="D158" s="78" t="s">
        <v>366</v>
      </c>
      <c r="E158" s="84" t="s">
        <v>21</v>
      </c>
      <c r="F158" s="84" t="s">
        <v>7</v>
      </c>
      <c r="G158" s="84" t="s">
        <v>57</v>
      </c>
      <c r="H158" s="84" t="s">
        <v>367</v>
      </c>
      <c r="I158" s="84"/>
      <c r="J158" s="15" t="str">
        <f>IF(E158="Invalid_Segment","Invalid",IFERROR(INDEX(Severity_Matrix!$C$3:$M$10,MATCH('Error Log'!$F158,Severity_Matrix!$B$3:$B$10,0),MATCH('Error Log'!$G158,Severity_Matrix!$C$2:$M$2,0)),"No errors"))</f>
        <v>Critical</v>
      </c>
    </row>
    <row r="159" spans="1:10">
      <c r="A159" s="78" t="s">
        <v>364</v>
      </c>
      <c r="B159" s="18">
        <v>2</v>
      </c>
      <c r="C159" s="78" t="s">
        <v>365</v>
      </c>
      <c r="D159" s="78" t="s">
        <v>366</v>
      </c>
      <c r="E159" s="84" t="s">
        <v>21</v>
      </c>
      <c r="F159" s="84" t="s">
        <v>22</v>
      </c>
      <c r="G159" s="84" t="s">
        <v>57</v>
      </c>
      <c r="H159" s="84" t="s">
        <v>368</v>
      </c>
      <c r="I159" s="84"/>
      <c r="J159" s="15" t="str">
        <f>IF(E159="Invalid_Segment","Invalid",IFERROR(INDEX(Severity_Matrix!$C$3:$M$10,MATCH('Error Log'!$F159,Severity_Matrix!$B$3:$B$10,0),MATCH('Error Log'!$G159,Severity_Matrix!$C$2:$M$2,0)),"No errors"))</f>
        <v>Major</v>
      </c>
    </row>
    <row r="160" spans="1:10">
      <c r="A160" s="78" t="s">
        <v>369</v>
      </c>
      <c r="B160" s="18">
        <v>3</v>
      </c>
      <c r="C160" s="78" t="s">
        <v>365</v>
      </c>
      <c r="D160" s="78" t="s">
        <v>366</v>
      </c>
      <c r="E160" s="84" t="s">
        <v>21</v>
      </c>
      <c r="F160" s="84" t="s">
        <v>7</v>
      </c>
      <c r="G160" s="84" t="s">
        <v>57</v>
      </c>
      <c r="H160" s="84" t="s">
        <v>370</v>
      </c>
      <c r="I160" s="84"/>
      <c r="J160" s="15" t="str">
        <f>IF(E160="Invalid_Segment","Invalid",IFERROR(INDEX(Severity_Matrix!$C$3:$M$10,MATCH('Error Log'!$F160,Severity_Matrix!$B$3:$B$10,0),MATCH('Error Log'!$G160,Severity_Matrix!$C$2:$M$2,0)),"No errors"))</f>
        <v>Critical</v>
      </c>
    </row>
    <row r="161" spans="1:10">
      <c r="A161" s="78" t="s">
        <v>369</v>
      </c>
      <c r="B161" s="18">
        <v>4</v>
      </c>
      <c r="C161" s="78" t="s">
        <v>365</v>
      </c>
      <c r="D161" s="78" t="s">
        <v>366</v>
      </c>
      <c r="E161" s="84" t="s">
        <v>21</v>
      </c>
      <c r="F161" s="84" t="s">
        <v>7</v>
      </c>
      <c r="G161" s="84" t="s">
        <v>57</v>
      </c>
      <c r="H161" s="84" t="s">
        <v>371</v>
      </c>
      <c r="I161" s="84"/>
      <c r="J161" s="15" t="str">
        <f>IF(E161="Invalid_Segment","Invalid",IFERROR(INDEX(Severity_Matrix!$C$3:$M$10,MATCH('Error Log'!$F161,Severity_Matrix!$B$3:$B$10,0),MATCH('Error Log'!$G161,Severity_Matrix!$C$2:$M$2,0)),"No errors"))</f>
        <v>Critical</v>
      </c>
    </row>
    <row r="162" spans="1:10">
      <c r="A162" s="78" t="s">
        <v>369</v>
      </c>
      <c r="B162" s="18">
        <v>5</v>
      </c>
      <c r="C162" s="78" t="s">
        <v>365</v>
      </c>
      <c r="D162" s="78" t="s">
        <v>366</v>
      </c>
      <c r="E162" s="84" t="s">
        <v>21</v>
      </c>
      <c r="F162" s="84" t="s">
        <v>7</v>
      </c>
      <c r="G162" s="84" t="s">
        <v>57</v>
      </c>
      <c r="H162" s="84" t="s">
        <v>372</v>
      </c>
      <c r="I162" s="84"/>
      <c r="J162" s="15" t="str">
        <f>IF(E162="Invalid_Segment","Invalid",IFERROR(INDEX(Severity_Matrix!$C$3:$M$10,MATCH('Error Log'!$F162,Severity_Matrix!$B$3:$B$10,0),MATCH('Error Log'!$G162,Severity_Matrix!$C$2:$M$2,0)),"No errors"))</f>
        <v>Critical</v>
      </c>
    </row>
    <row r="163" spans="1:10">
      <c r="A163" s="78" t="s">
        <v>373</v>
      </c>
      <c r="B163" s="18">
        <v>1</v>
      </c>
      <c r="C163" s="78" t="s">
        <v>374</v>
      </c>
      <c r="D163" s="78" t="s">
        <v>375</v>
      </c>
      <c r="E163" s="84" t="s">
        <v>21</v>
      </c>
      <c r="F163" s="84" t="s">
        <v>22</v>
      </c>
      <c r="G163" s="84" t="s">
        <v>57</v>
      </c>
      <c r="H163" s="84" t="s">
        <v>376</v>
      </c>
      <c r="I163" s="84"/>
      <c r="J163" s="15" t="str">
        <f>IF(E163="Invalid_Segment","Invalid",IFERROR(INDEX(Severity_Matrix!$C$3:$M$10,MATCH('Error Log'!$F163,Severity_Matrix!$B$3:$B$10,0),MATCH('Error Log'!$G163,Severity_Matrix!$C$2:$M$2,0)),"No errors"))</f>
        <v>Major</v>
      </c>
    </row>
    <row r="164" spans="1:10">
      <c r="A164" s="78" t="s">
        <v>373</v>
      </c>
      <c r="B164" s="18">
        <v>2</v>
      </c>
      <c r="C164" s="78" t="s">
        <v>374</v>
      </c>
      <c r="D164" s="78" t="s">
        <v>375</v>
      </c>
      <c r="E164" s="84" t="s">
        <v>21</v>
      </c>
      <c r="F164" s="84" t="s">
        <v>22</v>
      </c>
      <c r="G164" s="84" t="s">
        <v>57</v>
      </c>
      <c r="H164" s="84" t="s">
        <v>377</v>
      </c>
      <c r="I164" s="84"/>
      <c r="J164" s="15" t="str">
        <f>IF(E164="Invalid_Segment","Invalid",IFERROR(INDEX(Severity_Matrix!$C$3:$M$10,MATCH('Error Log'!$F164,Severity_Matrix!$B$3:$B$10,0),MATCH('Error Log'!$G164,Severity_Matrix!$C$2:$M$2,0)),"No errors"))</f>
        <v>Major</v>
      </c>
    </row>
    <row r="165" spans="1:10">
      <c r="A165" s="78" t="s">
        <v>378</v>
      </c>
      <c r="B165" s="18">
        <v>3</v>
      </c>
      <c r="C165" s="78" t="s">
        <v>374</v>
      </c>
      <c r="D165" s="78" t="s">
        <v>375</v>
      </c>
      <c r="E165" s="84" t="s">
        <v>21</v>
      </c>
      <c r="F165" s="84" t="s">
        <v>7</v>
      </c>
      <c r="G165" s="84" t="s">
        <v>57</v>
      </c>
      <c r="H165" s="84" t="s">
        <v>379</v>
      </c>
      <c r="I165" s="84"/>
      <c r="J165" s="15" t="str">
        <f>IF(E165="Invalid_Segment","Invalid",IFERROR(INDEX(Severity_Matrix!$C$3:$M$10,MATCH('Error Log'!$F165,Severity_Matrix!$B$3:$B$10,0),MATCH('Error Log'!$G165,Severity_Matrix!$C$2:$M$2,0)),"No errors"))</f>
        <v>Critical</v>
      </c>
    </row>
    <row r="166" spans="1:10">
      <c r="A166" s="78" t="s">
        <v>378</v>
      </c>
      <c r="B166" s="18">
        <v>4</v>
      </c>
      <c r="C166" s="78" t="s">
        <v>374</v>
      </c>
      <c r="D166" s="78" t="s">
        <v>375</v>
      </c>
      <c r="E166" s="84" t="s">
        <v>21</v>
      </c>
      <c r="F166" s="84" t="s">
        <v>7</v>
      </c>
      <c r="G166" s="84" t="s">
        <v>57</v>
      </c>
      <c r="H166" s="84" t="s">
        <v>380</v>
      </c>
      <c r="I166" s="84"/>
      <c r="J166" s="15" t="str">
        <f>IF(E166="Invalid_Segment","Invalid",IFERROR(INDEX(Severity_Matrix!$C$3:$M$10,MATCH('Error Log'!$F166,Severity_Matrix!$B$3:$B$10,0),MATCH('Error Log'!$G166,Severity_Matrix!$C$2:$M$2,0)),"No errors"))</f>
        <v>Critical</v>
      </c>
    </row>
    <row r="167" spans="1:10">
      <c r="A167" s="78" t="s">
        <v>378</v>
      </c>
      <c r="B167" s="18">
        <v>5</v>
      </c>
      <c r="C167" s="78" t="s">
        <v>374</v>
      </c>
      <c r="D167" s="78" t="s">
        <v>375</v>
      </c>
      <c r="E167" s="84" t="s">
        <v>21</v>
      </c>
      <c r="F167" s="84" t="s">
        <v>7</v>
      </c>
      <c r="G167" s="84" t="s">
        <v>57</v>
      </c>
      <c r="H167" s="84" t="s">
        <v>381</v>
      </c>
      <c r="I167" s="84"/>
      <c r="J167" s="15" t="str">
        <f>IF(E167="Invalid_Segment","Invalid",IFERROR(INDEX(Severity_Matrix!$C$3:$M$10,MATCH('Error Log'!$F167,Severity_Matrix!$B$3:$B$10,0),MATCH('Error Log'!$G167,Severity_Matrix!$C$2:$M$2,0)),"No errors"))</f>
        <v>Critical</v>
      </c>
    </row>
    <row r="168" spans="1:10">
      <c r="A168" s="78" t="s">
        <v>382</v>
      </c>
      <c r="B168" s="18">
        <v>1</v>
      </c>
      <c r="C168" s="78" t="s">
        <v>383</v>
      </c>
      <c r="D168" s="78" t="s">
        <v>384</v>
      </c>
      <c r="E168" s="84" t="s">
        <v>21</v>
      </c>
      <c r="F168" s="84" t="s">
        <v>7</v>
      </c>
      <c r="G168" s="84" t="s">
        <v>57</v>
      </c>
      <c r="H168" s="84" t="s">
        <v>385</v>
      </c>
      <c r="I168" s="84"/>
      <c r="J168" s="15" t="str">
        <f>IF(E168="Invalid_Segment","Invalid",IFERROR(INDEX(Severity_Matrix!$C$3:$M$10,MATCH('Error Log'!$F168,Severity_Matrix!$B$3:$B$10,0),MATCH('Error Log'!$G168,Severity_Matrix!$C$2:$M$2,0)),"No errors"))</f>
        <v>Critical</v>
      </c>
    </row>
    <row r="169" spans="1:10">
      <c r="A169" s="78" t="s">
        <v>382</v>
      </c>
      <c r="B169" s="18">
        <v>2</v>
      </c>
      <c r="C169" s="78" t="s">
        <v>383</v>
      </c>
      <c r="D169" s="78" t="s">
        <v>384</v>
      </c>
      <c r="E169" s="84" t="s">
        <v>21</v>
      </c>
      <c r="F169" s="84" t="s">
        <v>7</v>
      </c>
      <c r="G169" s="84" t="s">
        <v>57</v>
      </c>
      <c r="H169" s="84" t="s">
        <v>386</v>
      </c>
      <c r="I169" s="84"/>
      <c r="J169" s="15" t="str">
        <f>IF(E169="Invalid_Segment","Invalid",IFERROR(INDEX(Severity_Matrix!$C$3:$M$10,MATCH('Error Log'!$F169,Severity_Matrix!$B$3:$B$10,0),MATCH('Error Log'!$G169,Severity_Matrix!$C$2:$M$2,0)),"No errors"))</f>
        <v>Critical</v>
      </c>
    </row>
    <row r="170" spans="1:10">
      <c r="A170" s="78" t="s">
        <v>387</v>
      </c>
      <c r="B170" s="18">
        <v>3</v>
      </c>
      <c r="C170" s="78" t="s">
        <v>383</v>
      </c>
      <c r="D170" s="78" t="s">
        <v>384</v>
      </c>
      <c r="E170" s="84" t="s">
        <v>21</v>
      </c>
      <c r="F170" s="84" t="s">
        <v>7</v>
      </c>
      <c r="G170" s="84" t="s">
        <v>57</v>
      </c>
      <c r="H170" s="84" t="s">
        <v>388</v>
      </c>
      <c r="I170" s="84"/>
      <c r="J170" s="15" t="str">
        <f>IF(E170="Invalid_Segment","Invalid",IFERROR(INDEX(Severity_Matrix!$C$3:$M$10,MATCH('Error Log'!$F170,Severity_Matrix!$B$3:$B$10,0),MATCH('Error Log'!$G170,Severity_Matrix!$C$2:$M$2,0)),"No errors"))</f>
        <v>Critical</v>
      </c>
    </row>
    <row r="171" spans="1:10">
      <c r="A171" s="78" t="s">
        <v>389</v>
      </c>
      <c r="B171" s="18">
        <v>1</v>
      </c>
      <c r="C171" s="78" t="s">
        <v>390</v>
      </c>
      <c r="D171" s="78" t="s">
        <v>391</v>
      </c>
      <c r="E171" s="84" t="s">
        <v>21</v>
      </c>
      <c r="F171" s="84" t="s">
        <v>7</v>
      </c>
      <c r="G171" s="84" t="s">
        <v>57</v>
      </c>
      <c r="H171" s="84" t="s">
        <v>392</v>
      </c>
      <c r="I171" s="84"/>
      <c r="J171" s="15" t="str">
        <f>IF(E171="Invalid_Segment","Invalid",IFERROR(INDEX(Severity_Matrix!$C$3:$M$10,MATCH('Error Log'!$F171,Severity_Matrix!$B$3:$B$10,0),MATCH('Error Log'!$G171,Severity_Matrix!$C$2:$M$2,0)),"No errors"))</f>
        <v>Critical</v>
      </c>
    </row>
    <row r="172" spans="1:10">
      <c r="A172" s="78" t="s">
        <v>389</v>
      </c>
      <c r="B172" s="18">
        <v>2</v>
      </c>
      <c r="C172" s="78" t="s">
        <v>390</v>
      </c>
      <c r="D172" s="78" t="s">
        <v>391</v>
      </c>
      <c r="E172" s="84" t="s">
        <v>21</v>
      </c>
      <c r="F172" s="84" t="s">
        <v>7</v>
      </c>
      <c r="G172" s="84" t="s">
        <v>57</v>
      </c>
      <c r="H172" s="84" t="s">
        <v>393</v>
      </c>
      <c r="I172" s="84"/>
      <c r="J172" s="15" t="str">
        <f>IF(E172="Invalid_Segment","Invalid",IFERROR(INDEX(Severity_Matrix!$C$3:$M$10,MATCH('Error Log'!$F172,Severity_Matrix!$B$3:$B$10,0),MATCH('Error Log'!$G172,Severity_Matrix!$C$2:$M$2,0)),"No errors"))</f>
        <v>Critical</v>
      </c>
    </row>
    <row r="173" spans="1:10">
      <c r="A173" s="78" t="s">
        <v>394</v>
      </c>
      <c r="B173" s="18">
        <v>3</v>
      </c>
      <c r="C173" s="78" t="s">
        <v>390</v>
      </c>
      <c r="D173" s="78" t="s">
        <v>391</v>
      </c>
      <c r="E173" s="84" t="s">
        <v>21</v>
      </c>
      <c r="F173" s="84" t="s">
        <v>7</v>
      </c>
      <c r="G173" s="84" t="s">
        <v>57</v>
      </c>
      <c r="H173" s="84" t="s">
        <v>395</v>
      </c>
      <c r="I173" s="84"/>
      <c r="J173" s="15" t="str">
        <f>IF(E173="Invalid_Segment","Invalid",IFERROR(INDEX(Severity_Matrix!$C$3:$M$10,MATCH('Error Log'!$F173,Severity_Matrix!$B$3:$B$10,0),MATCH('Error Log'!$G173,Severity_Matrix!$C$2:$M$2,0)),"No errors"))</f>
        <v>Critical</v>
      </c>
    </row>
    <row r="174" spans="1:10">
      <c r="A174" s="78" t="s">
        <v>394</v>
      </c>
      <c r="B174" s="18">
        <v>4</v>
      </c>
      <c r="C174" s="78" t="s">
        <v>390</v>
      </c>
      <c r="D174" s="78" t="s">
        <v>391</v>
      </c>
      <c r="E174" s="84" t="s">
        <v>21</v>
      </c>
      <c r="F174" s="84" t="s">
        <v>22</v>
      </c>
      <c r="G174" s="84" t="s">
        <v>57</v>
      </c>
      <c r="H174" s="84" t="s">
        <v>396</v>
      </c>
      <c r="I174" s="84"/>
      <c r="J174" s="15" t="str">
        <f>IF(E174="Invalid_Segment","Invalid",IFERROR(INDEX(Severity_Matrix!$C$3:$M$10,MATCH('Error Log'!$F174,Severity_Matrix!$B$3:$B$10,0),MATCH('Error Log'!$G174,Severity_Matrix!$C$2:$M$2,0)),"No errors"))</f>
        <v>Major</v>
      </c>
    </row>
    <row r="175" spans="1:10">
      <c r="A175" s="78" t="s">
        <v>394</v>
      </c>
      <c r="B175" s="18">
        <v>5</v>
      </c>
      <c r="C175" s="78" t="s">
        <v>390</v>
      </c>
      <c r="D175" s="78" t="s">
        <v>391</v>
      </c>
      <c r="E175" s="84" t="s">
        <v>21</v>
      </c>
      <c r="F175" s="84" t="s">
        <v>22</v>
      </c>
      <c r="G175" s="84" t="s">
        <v>57</v>
      </c>
      <c r="H175" s="84" t="s">
        <v>397</v>
      </c>
      <c r="I175" s="84"/>
      <c r="J175" s="15" t="str">
        <f>IF(E175="Invalid_Segment","Invalid",IFERROR(INDEX(Severity_Matrix!$C$3:$M$10,MATCH('Error Log'!$F175,Severity_Matrix!$B$3:$B$10,0),MATCH('Error Log'!$G175,Severity_Matrix!$C$2:$M$2,0)),"No errors"))</f>
        <v>Major</v>
      </c>
    </row>
    <row r="176" spans="1:10">
      <c r="A176" s="78" t="s">
        <v>394</v>
      </c>
      <c r="B176" s="18">
        <v>6</v>
      </c>
      <c r="C176" s="78" t="s">
        <v>390</v>
      </c>
      <c r="D176" s="78" t="s">
        <v>391</v>
      </c>
      <c r="E176" s="84" t="s">
        <v>21</v>
      </c>
      <c r="F176" s="84" t="s">
        <v>22</v>
      </c>
      <c r="G176" s="84" t="s">
        <v>57</v>
      </c>
      <c r="H176" s="84" t="s">
        <v>398</v>
      </c>
      <c r="I176" s="84"/>
      <c r="J176" s="15" t="str">
        <f>IF(E176="Invalid_Segment","Invalid",IFERROR(INDEX(Severity_Matrix!$C$3:$M$10,MATCH('Error Log'!$F176,Severity_Matrix!$B$3:$B$10,0),MATCH('Error Log'!$G176,Severity_Matrix!$C$2:$M$2,0)),"No errors"))</f>
        <v>Major</v>
      </c>
    </row>
    <row r="177" spans="1:10">
      <c r="A177" s="78" t="s">
        <v>399</v>
      </c>
      <c r="B177" s="18">
        <v>1</v>
      </c>
      <c r="C177" s="78" t="s">
        <v>400</v>
      </c>
      <c r="D177" s="78" t="s">
        <v>401</v>
      </c>
      <c r="E177" s="84" t="s">
        <v>21</v>
      </c>
      <c r="F177" s="84" t="s">
        <v>22</v>
      </c>
      <c r="G177" s="84" t="s">
        <v>57</v>
      </c>
      <c r="H177" s="84" t="s">
        <v>402</v>
      </c>
      <c r="I177" s="84"/>
      <c r="J177" s="15" t="str">
        <f>IF(E177="Invalid_Segment","Invalid",IFERROR(INDEX(Severity_Matrix!$C$3:$M$10,MATCH('Error Log'!$F177,Severity_Matrix!$B$3:$B$10,0),MATCH('Error Log'!$G177,Severity_Matrix!$C$2:$M$2,0)),"No errors"))</f>
        <v>Major</v>
      </c>
    </row>
    <row r="178" spans="1:10">
      <c r="A178" s="78" t="s">
        <v>399</v>
      </c>
      <c r="B178" s="18">
        <v>2</v>
      </c>
      <c r="C178" s="78" t="s">
        <v>400</v>
      </c>
      <c r="D178" s="78" t="s">
        <v>401</v>
      </c>
      <c r="E178" s="84" t="s">
        <v>21</v>
      </c>
      <c r="F178" s="84" t="s">
        <v>7</v>
      </c>
      <c r="G178" s="84" t="s">
        <v>57</v>
      </c>
      <c r="H178" s="84" t="s">
        <v>403</v>
      </c>
      <c r="I178" s="84"/>
      <c r="J178" s="15" t="str">
        <f>IF(E178="Invalid_Segment","Invalid",IFERROR(INDEX(Severity_Matrix!$C$3:$M$10,MATCH('Error Log'!$F178,Severity_Matrix!$B$3:$B$10,0),MATCH('Error Log'!$G178,Severity_Matrix!$C$2:$M$2,0)),"No errors"))</f>
        <v>Critical</v>
      </c>
    </row>
    <row r="179" spans="1:10">
      <c r="A179" s="78" t="s">
        <v>404</v>
      </c>
      <c r="B179" s="18">
        <v>3</v>
      </c>
      <c r="C179" s="78" t="s">
        <v>400</v>
      </c>
      <c r="D179" s="78" t="s">
        <v>401</v>
      </c>
      <c r="E179" s="84" t="s">
        <v>21</v>
      </c>
      <c r="F179" s="84" t="s">
        <v>7</v>
      </c>
      <c r="G179" s="84" t="s">
        <v>57</v>
      </c>
      <c r="H179" s="84" t="s">
        <v>405</v>
      </c>
      <c r="I179" s="84"/>
      <c r="J179" s="15" t="str">
        <f>IF(E179="Invalid_Segment","Invalid",IFERROR(INDEX(Severity_Matrix!$C$3:$M$10,MATCH('Error Log'!$F179,Severity_Matrix!$B$3:$B$10,0),MATCH('Error Log'!$G179,Severity_Matrix!$C$2:$M$2,0)),"No errors"))</f>
        <v>Critical</v>
      </c>
    </row>
    <row r="180" spans="1:10">
      <c r="A180" s="78" t="s">
        <v>404</v>
      </c>
      <c r="B180" s="18">
        <v>4</v>
      </c>
      <c r="C180" s="78" t="s">
        <v>400</v>
      </c>
      <c r="D180" s="78" t="s">
        <v>401</v>
      </c>
      <c r="E180" s="84" t="s">
        <v>21</v>
      </c>
      <c r="F180" s="84" t="s">
        <v>7</v>
      </c>
      <c r="G180" s="84" t="s">
        <v>57</v>
      </c>
      <c r="H180" s="84" t="s">
        <v>406</v>
      </c>
      <c r="I180" s="84"/>
      <c r="J180" s="15" t="str">
        <f>IF(E180="Invalid_Segment","Invalid",IFERROR(INDEX(Severity_Matrix!$C$3:$M$10,MATCH('Error Log'!$F180,Severity_Matrix!$B$3:$B$10,0),MATCH('Error Log'!$G180,Severity_Matrix!$C$2:$M$2,0)),"No errors"))</f>
        <v>Critical</v>
      </c>
    </row>
    <row r="181" spans="1:10">
      <c r="A181" s="78" t="s">
        <v>407</v>
      </c>
      <c r="B181" s="18">
        <v>1</v>
      </c>
      <c r="C181" s="78" t="s">
        <v>400</v>
      </c>
      <c r="D181" s="78" t="s">
        <v>408</v>
      </c>
      <c r="E181" s="84" t="s">
        <v>21</v>
      </c>
      <c r="F181" s="84" t="s">
        <v>22</v>
      </c>
      <c r="G181" s="84" t="s">
        <v>57</v>
      </c>
      <c r="H181" s="84" t="s">
        <v>409</v>
      </c>
      <c r="I181" s="84"/>
      <c r="J181" s="15" t="str">
        <f>IF(E181="Invalid_Segment","Invalid",IFERROR(INDEX(Severity_Matrix!$C$3:$M$10,MATCH('Error Log'!$F181,Severity_Matrix!$B$3:$B$10,0),MATCH('Error Log'!$G181,Severity_Matrix!$C$2:$M$2,0)),"No errors"))</f>
        <v>Major</v>
      </c>
    </row>
    <row r="182" spans="1:10">
      <c r="A182" s="78" t="s">
        <v>407</v>
      </c>
      <c r="B182" s="18">
        <v>2</v>
      </c>
      <c r="C182" s="78" t="s">
        <v>400</v>
      </c>
      <c r="D182" s="78" t="s">
        <v>408</v>
      </c>
      <c r="E182" s="84" t="s">
        <v>21</v>
      </c>
      <c r="F182" s="84" t="s">
        <v>7</v>
      </c>
      <c r="G182" s="84" t="s">
        <v>57</v>
      </c>
      <c r="H182" s="84" t="s">
        <v>410</v>
      </c>
      <c r="I182" s="84"/>
      <c r="J182" s="15" t="str">
        <f>IF(E182="Invalid_Segment","Invalid",IFERROR(INDEX(Severity_Matrix!$C$3:$M$10,MATCH('Error Log'!$F182,Severity_Matrix!$B$3:$B$10,0),MATCH('Error Log'!$G182,Severity_Matrix!$C$2:$M$2,0)),"No errors"))</f>
        <v>Critical</v>
      </c>
    </row>
    <row r="183" spans="1:10">
      <c r="A183" s="78" t="s">
        <v>411</v>
      </c>
      <c r="B183" s="18">
        <v>3</v>
      </c>
      <c r="C183" s="78" t="s">
        <v>400</v>
      </c>
      <c r="D183" s="78" t="s">
        <v>408</v>
      </c>
      <c r="E183" s="84" t="s">
        <v>21</v>
      </c>
      <c r="F183" s="84" t="s">
        <v>7</v>
      </c>
      <c r="G183" s="84" t="s">
        <v>57</v>
      </c>
      <c r="H183" s="84" t="s">
        <v>412</v>
      </c>
      <c r="I183" s="84"/>
      <c r="J183" s="15" t="str">
        <f>IF(E183="Invalid_Segment","Invalid",IFERROR(INDEX(Severity_Matrix!$C$3:$M$10,MATCH('Error Log'!$F183,Severity_Matrix!$B$3:$B$10,0),MATCH('Error Log'!$G183,Severity_Matrix!$C$2:$M$2,0)),"No errors"))</f>
        <v>Critical</v>
      </c>
    </row>
    <row r="184" spans="1:10">
      <c r="A184" s="78" t="s">
        <v>411</v>
      </c>
      <c r="B184" s="18">
        <v>4</v>
      </c>
      <c r="C184" s="78" t="s">
        <v>400</v>
      </c>
      <c r="D184" s="78" t="s">
        <v>408</v>
      </c>
      <c r="E184" s="84" t="s">
        <v>21</v>
      </c>
      <c r="F184" s="84" t="s">
        <v>7</v>
      </c>
      <c r="G184" s="84" t="s">
        <v>57</v>
      </c>
      <c r="H184" s="84" t="s">
        <v>413</v>
      </c>
      <c r="I184" s="84"/>
      <c r="J184" s="15" t="str">
        <f>IF(E184="Invalid_Segment","Invalid",IFERROR(INDEX(Severity_Matrix!$C$3:$M$10,MATCH('Error Log'!$F184,Severity_Matrix!$B$3:$B$10,0),MATCH('Error Log'!$G184,Severity_Matrix!$C$2:$M$2,0)),"No errors"))</f>
        <v>Critical</v>
      </c>
    </row>
    <row r="185" spans="1:10">
      <c r="A185" s="78" t="s">
        <v>414</v>
      </c>
      <c r="B185" s="18">
        <v>1</v>
      </c>
      <c r="C185" s="78" t="s">
        <v>415</v>
      </c>
      <c r="D185" s="78" t="s">
        <v>416</v>
      </c>
      <c r="E185" s="84" t="s">
        <v>21</v>
      </c>
      <c r="F185" s="84" t="s">
        <v>22</v>
      </c>
      <c r="G185" s="84" t="s">
        <v>57</v>
      </c>
      <c r="H185" s="84" t="s">
        <v>417</v>
      </c>
      <c r="I185" s="84"/>
      <c r="J185" s="15" t="str">
        <f>IF(E185="Invalid_Segment","Invalid",IFERROR(INDEX(Severity_Matrix!$C$3:$M$10,MATCH('Error Log'!$F185,Severity_Matrix!$B$3:$B$10,0),MATCH('Error Log'!$G185,Severity_Matrix!$C$2:$M$2,0)),"No errors"))</f>
        <v>Major</v>
      </c>
    </row>
    <row r="186" spans="1:10">
      <c r="A186" s="78" t="s">
        <v>414</v>
      </c>
      <c r="B186" s="18">
        <v>2</v>
      </c>
      <c r="C186" s="78" t="s">
        <v>415</v>
      </c>
      <c r="D186" s="78" t="s">
        <v>416</v>
      </c>
      <c r="E186" s="84" t="s">
        <v>21</v>
      </c>
      <c r="F186" s="84" t="s">
        <v>7</v>
      </c>
      <c r="G186" s="84" t="s">
        <v>55</v>
      </c>
      <c r="H186" s="84" t="s">
        <v>418</v>
      </c>
      <c r="I186" s="84"/>
      <c r="J186" s="15" t="str">
        <f>IF(E186="Invalid_Segment","Invalid",IFERROR(INDEX(Severity_Matrix!$C$3:$M$10,MATCH('Error Log'!$F186,Severity_Matrix!$B$3:$B$10,0),MATCH('Error Log'!$G186,Severity_Matrix!$C$2:$M$2,0)),"No errors"))</f>
        <v>Critical</v>
      </c>
    </row>
    <row r="187" spans="1:10">
      <c r="A187" s="78" t="s">
        <v>419</v>
      </c>
      <c r="B187" s="18">
        <v>3</v>
      </c>
      <c r="C187" s="78" t="s">
        <v>415</v>
      </c>
      <c r="D187" s="78" t="s">
        <v>416</v>
      </c>
      <c r="E187" s="84" t="s">
        <v>21</v>
      </c>
      <c r="F187" s="84" t="s">
        <v>7</v>
      </c>
      <c r="G187" s="84" t="s">
        <v>57</v>
      </c>
      <c r="H187" s="84" t="s">
        <v>420</v>
      </c>
      <c r="I187" s="84"/>
      <c r="J187" s="15" t="str">
        <f>IF(E187="Invalid_Segment","Invalid",IFERROR(INDEX(Severity_Matrix!$C$3:$M$10,MATCH('Error Log'!$F187,Severity_Matrix!$B$3:$B$10,0),MATCH('Error Log'!$G187,Severity_Matrix!$C$2:$M$2,0)),"No errors"))</f>
        <v>Critical</v>
      </c>
    </row>
    <row r="188" spans="1:10">
      <c r="A188" s="78" t="s">
        <v>419</v>
      </c>
      <c r="B188" s="18">
        <v>4</v>
      </c>
      <c r="C188" s="78" t="s">
        <v>415</v>
      </c>
      <c r="D188" s="78" t="s">
        <v>416</v>
      </c>
      <c r="E188" s="84" t="s">
        <v>21</v>
      </c>
      <c r="F188" s="84" t="s">
        <v>7</v>
      </c>
      <c r="G188" s="84" t="s">
        <v>57</v>
      </c>
      <c r="H188" s="84" t="s">
        <v>421</v>
      </c>
      <c r="I188" s="84"/>
      <c r="J188" s="15" t="str">
        <f>IF(E188="Invalid_Segment","Invalid",IFERROR(INDEX(Severity_Matrix!$C$3:$M$10,MATCH('Error Log'!$F188,Severity_Matrix!$B$3:$B$10,0),MATCH('Error Log'!$G188,Severity_Matrix!$C$2:$M$2,0)),"No errors"))</f>
        <v>Critical</v>
      </c>
    </row>
    <row r="189" spans="1:10">
      <c r="A189" s="78" t="s">
        <v>419</v>
      </c>
      <c r="B189" s="18">
        <v>5</v>
      </c>
      <c r="C189" s="78" t="s">
        <v>415</v>
      </c>
      <c r="D189" s="78" t="s">
        <v>416</v>
      </c>
      <c r="E189" s="84" t="s">
        <v>21</v>
      </c>
      <c r="F189" s="84" t="s">
        <v>7</v>
      </c>
      <c r="G189" s="84" t="s">
        <v>57</v>
      </c>
      <c r="H189" s="84" t="s">
        <v>422</v>
      </c>
      <c r="I189" s="84"/>
      <c r="J189" s="15" t="str">
        <f>IF(E189="Invalid_Segment","Invalid",IFERROR(INDEX(Severity_Matrix!$C$3:$M$10,MATCH('Error Log'!$F189,Severity_Matrix!$B$3:$B$10,0),MATCH('Error Log'!$G189,Severity_Matrix!$C$2:$M$2,0)),"No errors"))</f>
        <v>Critical</v>
      </c>
    </row>
    <row r="190" spans="1:10">
      <c r="A190" s="78" t="s">
        <v>423</v>
      </c>
      <c r="B190" s="18">
        <v>1</v>
      </c>
      <c r="C190" s="78" t="s">
        <v>424</v>
      </c>
      <c r="D190" s="78" t="s">
        <v>425</v>
      </c>
      <c r="E190" s="84" t="s">
        <v>21</v>
      </c>
      <c r="F190" s="84" t="s">
        <v>22</v>
      </c>
      <c r="G190" s="84" t="s">
        <v>28</v>
      </c>
      <c r="H190" s="84" t="s">
        <v>426</v>
      </c>
      <c r="I190" s="84"/>
      <c r="J190" s="15" t="str">
        <f>IF(E190="Invalid_Segment","Invalid",IFERROR(INDEX(Severity_Matrix!$C$3:$M$10,MATCH('Error Log'!$F190,Severity_Matrix!$B$3:$B$10,0),MATCH('Error Log'!$G190,Severity_Matrix!$C$2:$M$2,0)),"No errors"))</f>
        <v>Major</v>
      </c>
    </row>
    <row r="191" spans="1:10">
      <c r="A191" s="78" t="s">
        <v>423</v>
      </c>
      <c r="B191" s="18">
        <v>2</v>
      </c>
      <c r="C191" s="78" t="s">
        <v>424</v>
      </c>
      <c r="D191" s="78" t="s">
        <v>425</v>
      </c>
      <c r="E191" s="84" t="s">
        <v>21</v>
      </c>
      <c r="F191" s="84" t="s">
        <v>22</v>
      </c>
      <c r="G191" s="84" t="s">
        <v>57</v>
      </c>
      <c r="H191" s="84" t="s">
        <v>427</v>
      </c>
      <c r="I191" s="84"/>
      <c r="J191" s="15" t="str">
        <f>IF(E191="Invalid_Segment","Invalid",IFERROR(INDEX(Severity_Matrix!$C$3:$M$10,MATCH('Error Log'!$F191,Severity_Matrix!$B$3:$B$10,0),MATCH('Error Log'!$G191,Severity_Matrix!$C$2:$M$2,0)),"No errors"))</f>
        <v>Major</v>
      </c>
    </row>
    <row r="192" spans="1:10">
      <c r="A192" s="78" t="s">
        <v>428</v>
      </c>
      <c r="B192" s="18">
        <v>3</v>
      </c>
      <c r="C192" s="78" t="s">
        <v>424</v>
      </c>
      <c r="D192" s="78" t="s">
        <v>425</v>
      </c>
      <c r="E192" s="84" t="s">
        <v>21</v>
      </c>
      <c r="F192" s="84" t="s">
        <v>22</v>
      </c>
      <c r="G192" s="84" t="s">
        <v>28</v>
      </c>
      <c r="H192" s="84" t="s">
        <v>429</v>
      </c>
      <c r="I192" s="84"/>
      <c r="J192" s="15" t="str">
        <f>IF(E192="Invalid_Segment","Invalid",IFERROR(INDEX(Severity_Matrix!$C$3:$M$10,MATCH('Error Log'!$F192,Severity_Matrix!$B$3:$B$10,0),MATCH('Error Log'!$G192,Severity_Matrix!$C$2:$M$2,0)),"No errors"))</f>
        <v>Major</v>
      </c>
    </row>
    <row r="193" spans="1:10">
      <c r="A193" s="78" t="s">
        <v>428</v>
      </c>
      <c r="B193" s="18">
        <v>4</v>
      </c>
      <c r="C193" s="78" t="s">
        <v>424</v>
      </c>
      <c r="D193" s="78" t="s">
        <v>425</v>
      </c>
      <c r="E193" s="84" t="s">
        <v>21</v>
      </c>
      <c r="F193" s="84" t="s">
        <v>22</v>
      </c>
      <c r="G193" s="84" t="s">
        <v>28</v>
      </c>
      <c r="H193" s="88" t="s">
        <v>430</v>
      </c>
      <c r="I193" s="84"/>
      <c r="J193" s="15" t="str">
        <f>IF(E193="Invalid_Segment","Invalid",IFERROR(INDEX(Severity_Matrix!$C$3:$M$10,MATCH('Error Log'!$F193,Severity_Matrix!$B$3:$B$10,0),MATCH('Error Log'!$G193,Severity_Matrix!$C$2:$M$2,0)),"No errors"))</f>
        <v>Major</v>
      </c>
    </row>
    <row r="194" spans="1:10">
      <c r="A194" s="78" t="s">
        <v>431</v>
      </c>
      <c r="B194" s="18">
        <v>1</v>
      </c>
      <c r="C194" s="78" t="s">
        <v>432</v>
      </c>
      <c r="D194" s="78" t="s">
        <v>433</v>
      </c>
      <c r="E194" s="84" t="s">
        <v>21</v>
      </c>
      <c r="F194" s="84" t="s">
        <v>22</v>
      </c>
      <c r="G194" s="84" t="s">
        <v>57</v>
      </c>
      <c r="H194" s="84" t="s">
        <v>434</v>
      </c>
      <c r="I194" s="84"/>
      <c r="J194" s="15" t="str">
        <f>IF(E194="Invalid_Segment","Invalid",IFERROR(INDEX(Severity_Matrix!$C$3:$M$10,MATCH('Error Log'!$F194,Severity_Matrix!$B$3:$B$10,0),MATCH('Error Log'!$G194,Severity_Matrix!$C$2:$M$2,0)),"No errors"))</f>
        <v>Major</v>
      </c>
    </row>
    <row r="195" spans="1:10">
      <c r="A195" s="78" t="s">
        <v>431</v>
      </c>
      <c r="B195" s="18">
        <v>2</v>
      </c>
      <c r="C195" s="78" t="s">
        <v>432</v>
      </c>
      <c r="D195" s="78" t="s">
        <v>433</v>
      </c>
      <c r="E195" s="84" t="s">
        <v>21</v>
      </c>
      <c r="F195" s="84" t="s">
        <v>22</v>
      </c>
      <c r="G195" s="84" t="s">
        <v>57</v>
      </c>
      <c r="H195" s="84" t="s">
        <v>435</v>
      </c>
      <c r="I195" s="84"/>
      <c r="J195" s="15" t="str">
        <f>IF(E195="Invalid_Segment","Invalid",IFERROR(INDEX(Severity_Matrix!$C$3:$M$10,MATCH('Error Log'!$F195,Severity_Matrix!$B$3:$B$10,0),MATCH('Error Log'!$G195,Severity_Matrix!$C$2:$M$2,0)),"No errors"))</f>
        <v>Major</v>
      </c>
    </row>
    <row r="196" spans="1:10">
      <c r="A196" s="78" t="s">
        <v>436</v>
      </c>
      <c r="B196" s="18">
        <v>3</v>
      </c>
      <c r="C196" s="78" t="s">
        <v>432</v>
      </c>
      <c r="D196" s="78" t="s">
        <v>433</v>
      </c>
      <c r="E196" s="84" t="s">
        <v>21</v>
      </c>
      <c r="F196" s="84" t="s">
        <v>22</v>
      </c>
      <c r="G196" s="84" t="s">
        <v>57</v>
      </c>
      <c r="H196" s="84" t="s">
        <v>437</v>
      </c>
      <c r="I196" s="84"/>
      <c r="J196" s="15" t="str">
        <f>IF(E196="Invalid_Segment","Invalid",IFERROR(INDEX(Severity_Matrix!$C$3:$M$10,MATCH('Error Log'!$F196,Severity_Matrix!$B$3:$B$10,0),MATCH('Error Log'!$G196,Severity_Matrix!$C$2:$M$2,0)),"No errors"))</f>
        <v>Major</v>
      </c>
    </row>
    <row r="197" spans="1:10">
      <c r="A197" s="78" t="s">
        <v>436</v>
      </c>
      <c r="B197" s="18">
        <v>4</v>
      </c>
      <c r="C197" s="78" t="s">
        <v>432</v>
      </c>
      <c r="D197" s="78" t="s">
        <v>433</v>
      </c>
      <c r="E197" s="84" t="s">
        <v>21</v>
      </c>
      <c r="F197" s="84" t="s">
        <v>7</v>
      </c>
      <c r="G197" s="84" t="s">
        <v>57</v>
      </c>
      <c r="H197" s="84" t="s">
        <v>438</v>
      </c>
      <c r="I197" s="84"/>
      <c r="J197" s="15" t="str">
        <f>IF(E197="Invalid_Segment","Invalid",IFERROR(INDEX(Severity_Matrix!$C$3:$M$10,MATCH('Error Log'!$F197,Severity_Matrix!$B$3:$B$10,0),MATCH('Error Log'!$G197,Severity_Matrix!$C$2:$M$2,0)),"No errors"))</f>
        <v>Critical</v>
      </c>
    </row>
    <row r="198" spans="1:10">
      <c r="A198" s="78" t="s">
        <v>436</v>
      </c>
      <c r="B198" s="18">
        <v>5</v>
      </c>
      <c r="C198" s="78" t="s">
        <v>439</v>
      </c>
      <c r="D198" s="78" t="s">
        <v>440</v>
      </c>
      <c r="E198" s="84" t="s">
        <v>21</v>
      </c>
      <c r="F198" s="84" t="s">
        <v>7</v>
      </c>
      <c r="G198" s="84" t="s">
        <v>57</v>
      </c>
      <c r="H198" s="84" t="s">
        <v>441</v>
      </c>
      <c r="I198" s="84"/>
      <c r="J198" s="15" t="str">
        <f>IF(E198="Invalid_Segment","Invalid",IFERROR(INDEX(Severity_Matrix!$C$3:$M$10,MATCH('Error Log'!$F198,Severity_Matrix!$B$3:$B$10,0),MATCH('Error Log'!$G198,Severity_Matrix!$C$2:$M$2,0)),"No errors"))</f>
        <v>Critical</v>
      </c>
    </row>
    <row r="199" spans="1:10">
      <c r="A199" s="78" t="s">
        <v>436</v>
      </c>
      <c r="B199" s="18">
        <v>6</v>
      </c>
      <c r="C199" s="78" t="s">
        <v>442</v>
      </c>
      <c r="D199" s="78" t="s">
        <v>443</v>
      </c>
      <c r="E199" s="84" t="s">
        <v>21</v>
      </c>
      <c r="F199" s="84" t="s">
        <v>7</v>
      </c>
      <c r="G199" s="84" t="s">
        <v>57</v>
      </c>
      <c r="H199" s="84" t="s">
        <v>444</v>
      </c>
      <c r="I199" s="84"/>
      <c r="J199" s="15" t="str">
        <f>IF(E199="Invalid_Segment","Invalid",IFERROR(INDEX(Severity_Matrix!$C$3:$M$10,MATCH('Error Log'!$F199,Severity_Matrix!$B$3:$B$10,0),MATCH('Error Log'!$G199,Severity_Matrix!$C$2:$M$2,0)),"No errors"))</f>
        <v>Critical</v>
      </c>
    </row>
    <row r="200" spans="1:10">
      <c r="A200" s="78" t="s">
        <v>436</v>
      </c>
      <c r="B200" s="18">
        <v>7</v>
      </c>
      <c r="C200" s="78" t="s">
        <v>445</v>
      </c>
      <c r="D200" s="78" t="s">
        <v>446</v>
      </c>
      <c r="E200" s="84" t="s">
        <v>21</v>
      </c>
      <c r="F200" s="84" t="s">
        <v>7</v>
      </c>
      <c r="G200" s="84" t="s">
        <v>57</v>
      </c>
      <c r="H200" s="84" t="s">
        <v>447</v>
      </c>
      <c r="I200" s="84"/>
      <c r="J200" s="15" t="str">
        <f>IF(E200="Invalid_Segment","Invalid",IFERROR(INDEX(Severity_Matrix!$C$3:$M$10,MATCH('Error Log'!$F200,Severity_Matrix!$B$3:$B$10,0),MATCH('Error Log'!$G200,Severity_Matrix!$C$2:$M$2,0)),"No errors"))</f>
        <v>Critical</v>
      </c>
    </row>
    <row r="201" spans="1:10">
      <c r="A201" s="78" t="s">
        <v>448</v>
      </c>
      <c r="B201" s="18">
        <v>1</v>
      </c>
      <c r="C201" s="78" t="s">
        <v>449</v>
      </c>
      <c r="D201" s="78" t="s">
        <v>450</v>
      </c>
      <c r="E201" s="84" t="s">
        <v>21</v>
      </c>
      <c r="F201" s="84" t="s">
        <v>22</v>
      </c>
      <c r="G201" s="84" t="s">
        <v>57</v>
      </c>
      <c r="H201" s="86" t="s">
        <v>451</v>
      </c>
      <c r="I201" s="84"/>
      <c r="J201" s="15" t="str">
        <f>IF(E201="Invalid_Segment","Invalid",IFERROR(INDEX(Severity_Matrix!$C$3:$M$10,MATCH('Error Log'!$F201,Severity_Matrix!$B$3:$B$10,0),MATCH('Error Log'!$G201,Severity_Matrix!$C$2:$M$2,0)),"No errors"))</f>
        <v>Major</v>
      </c>
    </row>
    <row r="202" spans="1:10">
      <c r="A202" s="78" t="s">
        <v>448</v>
      </c>
      <c r="B202" s="18">
        <v>2</v>
      </c>
      <c r="C202" s="78" t="s">
        <v>449</v>
      </c>
      <c r="D202" s="78" t="s">
        <v>450</v>
      </c>
      <c r="E202" s="84" t="s">
        <v>21</v>
      </c>
      <c r="F202" s="84" t="s">
        <v>22</v>
      </c>
      <c r="G202" s="84" t="s">
        <v>57</v>
      </c>
      <c r="H202" s="86" t="s">
        <v>452</v>
      </c>
      <c r="I202" s="84"/>
      <c r="J202" s="15" t="str">
        <f>IF(E202="Invalid_Segment","Invalid",IFERROR(INDEX(Severity_Matrix!$C$3:$M$10,MATCH('Error Log'!$F202,Severity_Matrix!$B$3:$B$10,0),MATCH('Error Log'!$G202,Severity_Matrix!$C$2:$M$2,0)),"No errors"))</f>
        <v>Major</v>
      </c>
    </row>
    <row r="203" spans="1:10">
      <c r="A203" s="78" t="s">
        <v>453</v>
      </c>
      <c r="B203" s="18">
        <v>3</v>
      </c>
      <c r="C203" s="78" t="s">
        <v>449</v>
      </c>
      <c r="D203" s="78" t="s">
        <v>450</v>
      </c>
      <c r="E203" s="84" t="s">
        <v>21</v>
      </c>
      <c r="F203" s="84" t="s">
        <v>22</v>
      </c>
      <c r="G203" s="84" t="s">
        <v>57</v>
      </c>
      <c r="H203" s="86" t="s">
        <v>454</v>
      </c>
      <c r="I203" s="84"/>
      <c r="J203" s="15" t="str">
        <f>IF(E203="Invalid_Segment","Invalid",IFERROR(INDEX(Severity_Matrix!$C$3:$M$10,MATCH('Error Log'!$F203,Severity_Matrix!$B$3:$B$10,0),MATCH('Error Log'!$G203,Severity_Matrix!$C$2:$M$2,0)),"No errors"))</f>
        <v>Major</v>
      </c>
    </row>
    <row r="204" spans="1:10">
      <c r="A204" s="78" t="s">
        <v>453</v>
      </c>
      <c r="B204" s="18">
        <v>4</v>
      </c>
      <c r="C204" s="78" t="s">
        <v>449</v>
      </c>
      <c r="D204" s="78" t="s">
        <v>450</v>
      </c>
      <c r="E204" s="84" t="s">
        <v>21</v>
      </c>
      <c r="F204" s="84" t="s">
        <v>7</v>
      </c>
      <c r="G204" s="84" t="s">
        <v>57</v>
      </c>
      <c r="H204" s="84" t="s">
        <v>455</v>
      </c>
      <c r="I204" s="84"/>
      <c r="J204" s="15" t="str">
        <f>IF(E204="Invalid_Segment","Invalid",IFERROR(INDEX(Severity_Matrix!$C$3:$M$10,MATCH('Error Log'!$F204,Severity_Matrix!$B$3:$B$10,0),MATCH('Error Log'!$G204,Severity_Matrix!$C$2:$M$2,0)),"No errors"))</f>
        <v>Critical</v>
      </c>
    </row>
    <row r="205" spans="1:10">
      <c r="A205" s="78" t="s">
        <v>453</v>
      </c>
      <c r="B205" s="18">
        <v>5</v>
      </c>
      <c r="C205" s="78" t="s">
        <v>449</v>
      </c>
      <c r="D205" s="78" t="s">
        <v>450</v>
      </c>
      <c r="E205" s="84" t="s">
        <v>21</v>
      </c>
      <c r="F205" s="84" t="s">
        <v>7</v>
      </c>
      <c r="G205" s="84" t="s">
        <v>57</v>
      </c>
      <c r="H205" s="84" t="s">
        <v>456</v>
      </c>
      <c r="I205" s="84"/>
      <c r="J205" s="15" t="str">
        <f>IF(E205="Invalid_Segment","Invalid",IFERROR(INDEX(Severity_Matrix!$C$3:$M$10,MATCH('Error Log'!$F205,Severity_Matrix!$B$3:$B$10,0),MATCH('Error Log'!$G205,Severity_Matrix!$C$2:$M$2,0)),"No errors"))</f>
        <v>Critical</v>
      </c>
    </row>
    <row r="206" spans="1:10">
      <c r="A206" s="78" t="s">
        <v>453</v>
      </c>
      <c r="B206" s="18">
        <v>6</v>
      </c>
      <c r="C206" s="78" t="s">
        <v>449</v>
      </c>
      <c r="D206" s="78" t="s">
        <v>450</v>
      </c>
      <c r="E206" s="84" t="s">
        <v>21</v>
      </c>
      <c r="F206" s="84" t="s">
        <v>7</v>
      </c>
      <c r="G206" s="84" t="s">
        <v>57</v>
      </c>
      <c r="H206" s="84" t="s">
        <v>457</v>
      </c>
      <c r="I206" s="84"/>
      <c r="J206" s="15" t="str">
        <f>IF(E206="Invalid_Segment","Invalid",IFERROR(INDEX(Severity_Matrix!$C$3:$M$10,MATCH('Error Log'!$F206,Severity_Matrix!$B$3:$B$10,0),MATCH('Error Log'!$G206,Severity_Matrix!$C$2:$M$2,0)),"No errors"))</f>
        <v>Critical</v>
      </c>
    </row>
    <row r="207" spans="1:10">
      <c r="A207" s="78" t="s">
        <v>458</v>
      </c>
      <c r="B207" s="18">
        <v>1</v>
      </c>
      <c r="C207" s="78" t="s">
        <v>459</v>
      </c>
      <c r="D207" s="78" t="s">
        <v>460</v>
      </c>
      <c r="E207" s="84" t="s">
        <v>21</v>
      </c>
      <c r="F207" s="84" t="s">
        <v>22</v>
      </c>
      <c r="G207" s="84" t="s">
        <v>28</v>
      </c>
      <c r="H207" s="84" t="s">
        <v>296</v>
      </c>
      <c r="I207" s="84"/>
      <c r="J207" s="15" t="str">
        <f>IF(E207="Invalid_Segment","Invalid",IFERROR(INDEX(Severity_Matrix!$C$3:$M$10,MATCH('Error Log'!$F207,Severity_Matrix!$B$3:$B$10,0),MATCH('Error Log'!$G207,Severity_Matrix!$C$2:$M$2,0)),"No errors"))</f>
        <v>Major</v>
      </c>
    </row>
    <row r="208" spans="1:10">
      <c r="A208" s="78" t="s">
        <v>458</v>
      </c>
      <c r="B208" s="18">
        <v>2</v>
      </c>
      <c r="C208" s="78" t="s">
        <v>459</v>
      </c>
      <c r="D208" s="78" t="s">
        <v>460</v>
      </c>
      <c r="E208" s="84" t="s">
        <v>21</v>
      </c>
      <c r="F208" s="84" t="s">
        <v>22</v>
      </c>
      <c r="G208" s="84" t="s">
        <v>57</v>
      </c>
      <c r="H208" s="84" t="s">
        <v>461</v>
      </c>
      <c r="I208" s="84"/>
      <c r="J208" s="15" t="str">
        <f>IF(E208="Invalid_Segment","Invalid",IFERROR(INDEX(Severity_Matrix!$C$3:$M$10,MATCH('Error Log'!$F208,Severity_Matrix!$B$3:$B$10,0),MATCH('Error Log'!$G208,Severity_Matrix!$C$2:$M$2,0)),"No errors"))</f>
        <v>Major</v>
      </c>
    </row>
    <row r="209" spans="1:10">
      <c r="A209" s="78" t="s">
        <v>462</v>
      </c>
      <c r="B209" s="18">
        <v>3</v>
      </c>
      <c r="C209" s="78" t="s">
        <v>459</v>
      </c>
      <c r="D209" s="78" t="s">
        <v>460</v>
      </c>
      <c r="E209" s="84" t="s">
        <v>21</v>
      </c>
      <c r="F209" s="84" t="s">
        <v>22</v>
      </c>
      <c r="G209" s="84" t="s">
        <v>57</v>
      </c>
      <c r="H209" s="84" t="s">
        <v>463</v>
      </c>
      <c r="I209" s="84"/>
      <c r="J209" s="15" t="str">
        <f>IF(E209="Invalid_Segment","Invalid",IFERROR(INDEX(Severity_Matrix!$C$3:$M$10,MATCH('Error Log'!$F209,Severity_Matrix!$B$3:$B$10,0),MATCH('Error Log'!$G209,Severity_Matrix!$C$2:$M$2,0)),"No errors"))</f>
        <v>Major</v>
      </c>
    </row>
    <row r="210" spans="1:10">
      <c r="A210" s="78" t="s">
        <v>462</v>
      </c>
      <c r="B210" s="18">
        <v>4</v>
      </c>
      <c r="C210" s="78" t="s">
        <v>459</v>
      </c>
      <c r="D210" s="78" t="s">
        <v>460</v>
      </c>
      <c r="E210" s="84" t="s">
        <v>21</v>
      </c>
      <c r="F210" s="84" t="s">
        <v>7</v>
      </c>
      <c r="G210" s="84" t="s">
        <v>28</v>
      </c>
      <c r="H210" s="84" t="s">
        <v>464</v>
      </c>
      <c r="I210" s="84"/>
      <c r="J210" s="15" t="str">
        <f>IF(E210="Invalid_Segment","Invalid",IFERROR(INDEX(Severity_Matrix!$C$3:$M$10,MATCH('Error Log'!$F210,Severity_Matrix!$B$3:$B$10,0),MATCH('Error Log'!$G210,Severity_Matrix!$C$2:$M$2,0)),"No errors"))</f>
        <v>Major</v>
      </c>
    </row>
    <row r="211" spans="1:10">
      <c r="A211" s="78" t="s">
        <v>462</v>
      </c>
      <c r="B211" s="18">
        <v>5</v>
      </c>
      <c r="C211" s="78" t="s">
        <v>459</v>
      </c>
      <c r="D211" s="78" t="s">
        <v>460</v>
      </c>
      <c r="E211" s="84" t="s">
        <v>21</v>
      </c>
      <c r="F211" s="84" t="s">
        <v>7</v>
      </c>
      <c r="G211" s="84" t="s">
        <v>58</v>
      </c>
      <c r="H211" s="84" t="s">
        <v>465</v>
      </c>
      <c r="I211" s="84"/>
      <c r="J211" s="15" t="str">
        <f>IF(E211="Invalid_Segment","Invalid",IFERROR(INDEX(Severity_Matrix!$C$3:$M$10,MATCH('Error Log'!$F211,Severity_Matrix!$B$3:$B$10,0),MATCH('Error Log'!$G211,Severity_Matrix!$C$2:$M$2,0)),"No errors"))</f>
        <v>Minor</v>
      </c>
    </row>
    <row r="212" spans="1:10">
      <c r="A212" s="78" t="s">
        <v>462</v>
      </c>
      <c r="B212" s="18">
        <v>6</v>
      </c>
      <c r="C212" s="78" t="s">
        <v>459</v>
      </c>
      <c r="D212" s="78" t="s">
        <v>460</v>
      </c>
      <c r="E212" s="84" t="s">
        <v>21</v>
      </c>
      <c r="F212" s="84" t="s">
        <v>7</v>
      </c>
      <c r="G212" s="84" t="s">
        <v>28</v>
      </c>
      <c r="H212" s="84" t="s">
        <v>466</v>
      </c>
      <c r="I212" s="84"/>
      <c r="J212" s="15" t="str">
        <f>IF(E212="Invalid_Segment","Invalid",IFERROR(INDEX(Severity_Matrix!$C$3:$M$10,MATCH('Error Log'!$F212,Severity_Matrix!$B$3:$B$10,0),MATCH('Error Log'!$G212,Severity_Matrix!$C$2:$M$2,0)),"No errors"))</f>
        <v>Major</v>
      </c>
    </row>
    <row r="213" spans="1:10">
      <c r="A213" s="78" t="s">
        <v>462</v>
      </c>
      <c r="B213" s="18">
        <v>7</v>
      </c>
      <c r="C213" s="78" t="s">
        <v>459</v>
      </c>
      <c r="D213" s="78" t="s">
        <v>460</v>
      </c>
      <c r="E213" s="84" t="s">
        <v>21</v>
      </c>
      <c r="F213" s="84" t="s">
        <v>7</v>
      </c>
      <c r="G213" s="84" t="s">
        <v>55</v>
      </c>
      <c r="H213" s="84" t="s">
        <v>467</v>
      </c>
      <c r="I213" s="84"/>
      <c r="J213" s="15" t="str">
        <f>IF(E213="Invalid_Segment","Invalid",IFERROR(INDEX(Severity_Matrix!$C$3:$M$10,MATCH('Error Log'!$F213,Severity_Matrix!$B$3:$B$10,0),MATCH('Error Log'!$G213,Severity_Matrix!$C$2:$M$2,0)),"No errors"))</f>
        <v>Critical</v>
      </c>
    </row>
    <row r="214" spans="1:10">
      <c r="A214" s="78" t="s">
        <v>462</v>
      </c>
      <c r="B214" s="18">
        <v>8</v>
      </c>
      <c r="C214" s="78" t="s">
        <v>459</v>
      </c>
      <c r="D214" s="78" t="s">
        <v>460</v>
      </c>
      <c r="E214" s="84" t="s">
        <v>21</v>
      </c>
      <c r="F214" s="84" t="s">
        <v>22</v>
      </c>
      <c r="G214" s="84" t="s">
        <v>57</v>
      </c>
      <c r="H214" s="84" t="s">
        <v>468</v>
      </c>
      <c r="I214" s="84"/>
      <c r="J214" s="15" t="str">
        <f>IF(E214="Invalid_Segment","Invalid",IFERROR(INDEX(Severity_Matrix!$C$3:$M$10,MATCH('Error Log'!$F214,Severity_Matrix!$B$3:$B$10,0),MATCH('Error Log'!$G214,Severity_Matrix!$C$2:$M$2,0)),"No errors"))</f>
        <v>Major</v>
      </c>
    </row>
    <row r="215" spans="1:10">
      <c r="A215" s="78" t="s">
        <v>462</v>
      </c>
      <c r="B215" s="18">
        <v>9</v>
      </c>
      <c r="C215" s="78" t="s">
        <v>459</v>
      </c>
      <c r="D215" s="78" t="s">
        <v>460</v>
      </c>
      <c r="E215" s="84" t="s">
        <v>21</v>
      </c>
      <c r="F215" s="84" t="s">
        <v>7</v>
      </c>
      <c r="G215" s="84" t="s">
        <v>57</v>
      </c>
      <c r="H215" s="84" t="s">
        <v>469</v>
      </c>
      <c r="I215" s="84"/>
      <c r="J215" s="15" t="str">
        <f>IF(E215="Invalid_Segment","Invalid",IFERROR(INDEX(Severity_Matrix!$C$3:$M$10,MATCH('Error Log'!$F215,Severity_Matrix!$B$3:$B$10,0),MATCH('Error Log'!$G215,Severity_Matrix!$C$2:$M$2,0)),"No errors"))</f>
        <v>Critical</v>
      </c>
    </row>
    <row r="216" spans="1:10">
      <c r="A216" s="78" t="s">
        <v>462</v>
      </c>
      <c r="B216" s="18">
        <v>10</v>
      </c>
      <c r="C216" s="78" t="s">
        <v>459</v>
      </c>
      <c r="D216" s="78" t="s">
        <v>460</v>
      </c>
      <c r="E216" s="84" t="s">
        <v>21</v>
      </c>
      <c r="F216" s="84" t="s">
        <v>7</v>
      </c>
      <c r="G216" s="84" t="s">
        <v>57</v>
      </c>
      <c r="H216" s="84" t="s">
        <v>470</v>
      </c>
      <c r="I216" s="84"/>
      <c r="J216" s="15" t="str">
        <f>IF(E216="Invalid_Segment","Invalid",IFERROR(INDEX(Severity_Matrix!$C$3:$M$10,MATCH('Error Log'!$F216,Severity_Matrix!$B$3:$B$10,0),MATCH('Error Log'!$G216,Severity_Matrix!$C$2:$M$2,0)),"No errors"))</f>
        <v>Critical</v>
      </c>
    </row>
    <row r="217" spans="1:10">
      <c r="A217" s="78" t="s">
        <v>462</v>
      </c>
      <c r="B217" s="18">
        <v>11</v>
      </c>
      <c r="C217" s="78" t="s">
        <v>459</v>
      </c>
      <c r="D217" s="78" t="s">
        <v>460</v>
      </c>
      <c r="E217" s="84" t="s">
        <v>21</v>
      </c>
      <c r="F217" s="84" t="s">
        <v>7</v>
      </c>
      <c r="G217" s="84" t="s">
        <v>57</v>
      </c>
      <c r="H217" s="84" t="s">
        <v>471</v>
      </c>
      <c r="I217" s="84"/>
      <c r="J217" s="15" t="str">
        <f>IF(E217="Invalid_Segment","Invalid",IFERROR(INDEX(Severity_Matrix!$C$3:$M$10,MATCH('Error Log'!$F217,Severity_Matrix!$B$3:$B$10,0),MATCH('Error Log'!$G217,Severity_Matrix!$C$2:$M$2,0)),"No errors"))</f>
        <v>Critical</v>
      </c>
    </row>
    <row r="218" spans="1:10">
      <c r="A218" s="78" t="s">
        <v>462</v>
      </c>
      <c r="B218" s="18">
        <v>12</v>
      </c>
      <c r="C218" s="78" t="s">
        <v>459</v>
      </c>
      <c r="D218" s="78" t="s">
        <v>460</v>
      </c>
      <c r="E218" s="84" t="s">
        <v>21</v>
      </c>
      <c r="F218" s="84" t="s">
        <v>7</v>
      </c>
      <c r="G218" s="84" t="s">
        <v>57</v>
      </c>
      <c r="H218" s="84" t="s">
        <v>472</v>
      </c>
      <c r="I218" s="84"/>
      <c r="J218" s="15" t="str">
        <f>IF(E218="Invalid_Segment","Invalid",IFERROR(INDEX(Severity_Matrix!$C$3:$M$10,MATCH('Error Log'!$F218,Severity_Matrix!$B$3:$B$10,0),MATCH('Error Log'!$G218,Severity_Matrix!$C$2:$M$2,0)),"No errors"))</f>
        <v>Critical</v>
      </c>
    </row>
    <row r="219" spans="1:10">
      <c r="A219" s="78" t="s">
        <v>473</v>
      </c>
      <c r="B219" s="18">
        <v>1</v>
      </c>
      <c r="C219" s="78" t="s">
        <v>474</v>
      </c>
      <c r="D219" s="78" t="s">
        <v>475</v>
      </c>
      <c r="E219" s="84" t="s">
        <v>21</v>
      </c>
      <c r="F219" s="84" t="s">
        <v>22</v>
      </c>
      <c r="G219" s="84" t="s">
        <v>57</v>
      </c>
      <c r="H219" s="84" t="s">
        <v>476</v>
      </c>
      <c r="I219" s="84"/>
      <c r="J219" s="15" t="str">
        <f>IF(E219="Invalid_Segment","Invalid",IFERROR(INDEX(Severity_Matrix!$C$3:$M$10,MATCH('Error Log'!$F219,Severity_Matrix!$B$3:$B$10,0),MATCH('Error Log'!$G219,Severity_Matrix!$C$2:$M$2,0)),"No errors"))</f>
        <v>Major</v>
      </c>
    </row>
    <row r="220" spans="1:10">
      <c r="A220" s="78" t="s">
        <v>473</v>
      </c>
      <c r="B220" s="18">
        <v>2</v>
      </c>
      <c r="C220" s="78" t="s">
        <v>474</v>
      </c>
      <c r="D220" s="78" t="s">
        <v>475</v>
      </c>
      <c r="E220" s="84" t="s">
        <v>21</v>
      </c>
      <c r="F220" s="84" t="s">
        <v>22</v>
      </c>
      <c r="G220" s="84" t="s">
        <v>57</v>
      </c>
      <c r="H220" s="84" t="s">
        <v>477</v>
      </c>
      <c r="I220" s="84"/>
      <c r="J220" s="15" t="str">
        <f>IF(E220="Invalid_Segment","Invalid",IFERROR(INDEX(Severity_Matrix!$C$3:$M$10,MATCH('Error Log'!$F220,Severity_Matrix!$B$3:$B$10,0),MATCH('Error Log'!$G220,Severity_Matrix!$C$2:$M$2,0)),"No errors"))</f>
        <v>Major</v>
      </c>
    </row>
    <row r="221" spans="1:10">
      <c r="A221" s="78" t="s">
        <v>478</v>
      </c>
      <c r="B221" s="18">
        <v>3</v>
      </c>
      <c r="C221" s="78" t="s">
        <v>474</v>
      </c>
      <c r="D221" s="78" t="s">
        <v>475</v>
      </c>
      <c r="E221" s="84" t="s">
        <v>21</v>
      </c>
      <c r="F221" s="84" t="s">
        <v>7</v>
      </c>
      <c r="G221" s="84" t="s">
        <v>57</v>
      </c>
      <c r="H221" s="84" t="s">
        <v>479</v>
      </c>
      <c r="I221" s="84"/>
      <c r="J221" s="15" t="str">
        <f>IF(E221="Invalid_Segment","Invalid",IFERROR(INDEX(Severity_Matrix!$C$3:$M$10,MATCH('Error Log'!$F221,Severity_Matrix!$B$3:$B$10,0),MATCH('Error Log'!$G221,Severity_Matrix!$C$2:$M$2,0)),"No errors"))</f>
        <v>Critical</v>
      </c>
    </row>
    <row r="222" spans="1:10">
      <c r="A222" s="78" t="s">
        <v>478</v>
      </c>
      <c r="B222" s="18">
        <v>4</v>
      </c>
      <c r="C222" s="78" t="s">
        <v>474</v>
      </c>
      <c r="D222" s="78" t="s">
        <v>475</v>
      </c>
      <c r="E222" s="84" t="s">
        <v>21</v>
      </c>
      <c r="F222" s="84" t="s">
        <v>7</v>
      </c>
      <c r="G222" s="84" t="s">
        <v>57</v>
      </c>
      <c r="H222" s="84" t="s">
        <v>480</v>
      </c>
      <c r="I222" s="84"/>
      <c r="J222" s="15" t="str">
        <f>IF(E222="Invalid_Segment","Invalid",IFERROR(INDEX(Severity_Matrix!$C$3:$M$10,MATCH('Error Log'!$F222,Severity_Matrix!$B$3:$B$10,0),MATCH('Error Log'!$G222,Severity_Matrix!$C$2:$M$2,0)),"No errors"))</f>
        <v>Critical</v>
      </c>
    </row>
    <row r="223" spans="1:10">
      <c r="A223" s="78" t="s">
        <v>481</v>
      </c>
      <c r="B223" s="18">
        <v>1</v>
      </c>
      <c r="C223" s="78" t="s">
        <v>482</v>
      </c>
      <c r="D223" s="78" t="s">
        <v>483</v>
      </c>
      <c r="E223" s="84" t="s">
        <v>21</v>
      </c>
      <c r="F223" s="84" t="s">
        <v>22</v>
      </c>
      <c r="G223" s="84" t="s">
        <v>57</v>
      </c>
      <c r="H223" s="84" t="s">
        <v>484</v>
      </c>
      <c r="I223" s="84"/>
      <c r="J223" s="15" t="str">
        <f>IF(E223="Invalid_Segment","Invalid",IFERROR(INDEX(Severity_Matrix!$C$3:$M$10,MATCH('Error Log'!$F223,Severity_Matrix!$B$3:$B$10,0),MATCH('Error Log'!$G223,Severity_Matrix!$C$2:$M$2,0)),"No errors"))</f>
        <v>Major</v>
      </c>
    </row>
    <row r="224" spans="1:10">
      <c r="A224" s="78" t="s">
        <v>481</v>
      </c>
      <c r="B224" s="18">
        <v>2</v>
      </c>
      <c r="C224" s="78" t="s">
        <v>482</v>
      </c>
      <c r="D224" s="78" t="s">
        <v>483</v>
      </c>
      <c r="E224" s="84" t="s">
        <v>21</v>
      </c>
      <c r="F224" s="84" t="s">
        <v>7</v>
      </c>
      <c r="G224" s="84" t="s">
        <v>57</v>
      </c>
      <c r="H224" s="84" t="s">
        <v>485</v>
      </c>
      <c r="I224" s="84"/>
      <c r="J224" s="15" t="str">
        <f>IF(E224="Invalid_Segment","Invalid",IFERROR(INDEX(Severity_Matrix!$C$3:$M$10,MATCH('Error Log'!$F224,Severity_Matrix!$B$3:$B$10,0),MATCH('Error Log'!$G224,Severity_Matrix!$C$2:$M$2,0)),"No errors"))</f>
        <v>Critical</v>
      </c>
    </row>
    <row r="225" spans="1:10">
      <c r="A225" s="78" t="s">
        <v>486</v>
      </c>
      <c r="B225" s="18">
        <v>3</v>
      </c>
      <c r="C225" s="78" t="s">
        <v>482</v>
      </c>
      <c r="D225" s="78" t="s">
        <v>483</v>
      </c>
      <c r="E225" s="84" t="s">
        <v>21</v>
      </c>
      <c r="F225" s="84" t="s">
        <v>7</v>
      </c>
      <c r="G225" s="84" t="s">
        <v>57</v>
      </c>
      <c r="H225" s="84" t="s">
        <v>487</v>
      </c>
      <c r="I225" s="84"/>
      <c r="J225" s="15" t="str">
        <f>IF(E225="Invalid_Segment","Invalid",IFERROR(INDEX(Severity_Matrix!$C$3:$M$10,MATCH('Error Log'!$F225,Severity_Matrix!$B$3:$B$10,0),MATCH('Error Log'!$G225,Severity_Matrix!$C$2:$M$2,0)),"No errors"))</f>
        <v>Critical</v>
      </c>
    </row>
    <row r="226" spans="1:10">
      <c r="A226" s="78" t="s">
        <v>488</v>
      </c>
      <c r="B226" s="18">
        <v>1</v>
      </c>
      <c r="C226" s="78" t="s">
        <v>489</v>
      </c>
      <c r="D226" s="78" t="s">
        <v>490</v>
      </c>
      <c r="E226" s="84" t="s">
        <v>21</v>
      </c>
      <c r="F226" s="84" t="s">
        <v>22</v>
      </c>
      <c r="G226" s="84" t="s">
        <v>28</v>
      </c>
      <c r="H226" s="84" t="s">
        <v>346</v>
      </c>
      <c r="I226" s="84"/>
      <c r="J226" s="15" t="str">
        <f>IF(E226="Invalid_Segment","Invalid",IFERROR(INDEX(Severity_Matrix!$C$3:$M$10,MATCH('Error Log'!$F226,Severity_Matrix!$B$3:$B$10,0),MATCH('Error Log'!$G226,Severity_Matrix!$C$2:$M$2,0)),"No errors"))</f>
        <v>Major</v>
      </c>
    </row>
    <row r="227" spans="1:10">
      <c r="A227" s="78" t="s">
        <v>488</v>
      </c>
      <c r="B227" s="18">
        <v>2</v>
      </c>
      <c r="C227" s="78" t="s">
        <v>489</v>
      </c>
      <c r="D227" s="78" t="s">
        <v>490</v>
      </c>
      <c r="E227" s="84" t="s">
        <v>21</v>
      </c>
      <c r="F227" s="84" t="s">
        <v>22</v>
      </c>
      <c r="G227" s="84" t="s">
        <v>28</v>
      </c>
      <c r="H227" s="84" t="s">
        <v>491</v>
      </c>
      <c r="I227" s="84"/>
      <c r="J227" s="15" t="str">
        <f>IF(E227="Invalid_Segment","Invalid",IFERROR(INDEX(Severity_Matrix!$C$3:$M$10,MATCH('Error Log'!$F227,Severity_Matrix!$B$3:$B$10,0),MATCH('Error Log'!$G227,Severity_Matrix!$C$2:$M$2,0)),"No errors"))</f>
        <v>Major</v>
      </c>
    </row>
    <row r="228" spans="1:10">
      <c r="A228" s="78" t="s">
        <v>492</v>
      </c>
      <c r="B228" s="18">
        <v>3</v>
      </c>
      <c r="C228" s="78" t="s">
        <v>489</v>
      </c>
      <c r="D228" s="78" t="s">
        <v>490</v>
      </c>
      <c r="E228" s="84" t="s">
        <v>21</v>
      </c>
      <c r="F228" s="84" t="s">
        <v>7</v>
      </c>
      <c r="G228" s="84" t="s">
        <v>57</v>
      </c>
      <c r="H228" s="84" t="s">
        <v>493</v>
      </c>
      <c r="I228" s="84"/>
      <c r="J228" s="15" t="str">
        <f>IF(E228="Invalid_Segment","Invalid",IFERROR(INDEX(Severity_Matrix!$C$3:$M$10,MATCH('Error Log'!$F228,Severity_Matrix!$B$3:$B$10,0),MATCH('Error Log'!$G228,Severity_Matrix!$C$2:$M$2,0)),"No errors"))</f>
        <v>Critical</v>
      </c>
    </row>
    <row r="229" spans="1:10">
      <c r="A229" s="78" t="s">
        <v>492</v>
      </c>
      <c r="B229" s="18">
        <v>4</v>
      </c>
      <c r="C229" s="78" t="s">
        <v>489</v>
      </c>
      <c r="D229" s="78" t="s">
        <v>490</v>
      </c>
      <c r="E229" s="84" t="s">
        <v>21</v>
      </c>
      <c r="F229" s="84" t="s">
        <v>7</v>
      </c>
      <c r="G229" s="84" t="s">
        <v>57</v>
      </c>
      <c r="H229" s="84" t="s">
        <v>494</v>
      </c>
      <c r="I229" s="84"/>
      <c r="J229" s="15" t="str">
        <f>IF(E229="Invalid_Segment","Invalid",IFERROR(INDEX(Severity_Matrix!$C$3:$M$10,MATCH('Error Log'!$F229,Severity_Matrix!$B$3:$B$10,0),MATCH('Error Log'!$G229,Severity_Matrix!$C$2:$M$2,0)),"No errors"))</f>
        <v>Critical</v>
      </c>
    </row>
    <row r="230" spans="1:10">
      <c r="A230" s="78" t="s">
        <v>492</v>
      </c>
      <c r="B230" s="18">
        <v>5</v>
      </c>
      <c r="C230" s="78" t="s">
        <v>489</v>
      </c>
      <c r="D230" s="78" t="s">
        <v>490</v>
      </c>
      <c r="E230" s="84" t="s">
        <v>21</v>
      </c>
      <c r="F230" s="84" t="s">
        <v>7</v>
      </c>
      <c r="G230" s="84" t="s">
        <v>57</v>
      </c>
      <c r="H230" s="84" t="s">
        <v>495</v>
      </c>
      <c r="I230" s="84"/>
      <c r="J230" s="15" t="str">
        <f>IF(E230="Invalid_Segment","Invalid",IFERROR(INDEX(Severity_Matrix!$C$3:$M$10,MATCH('Error Log'!$F230,Severity_Matrix!$B$3:$B$10,0),MATCH('Error Log'!$G230,Severity_Matrix!$C$2:$M$2,0)),"No errors"))</f>
        <v>Critical</v>
      </c>
    </row>
    <row r="231" spans="1:10">
      <c r="A231" s="78" t="s">
        <v>496</v>
      </c>
      <c r="B231" s="18">
        <v>1</v>
      </c>
      <c r="C231" s="78" t="s">
        <v>497</v>
      </c>
      <c r="D231" s="78" t="s">
        <v>498</v>
      </c>
      <c r="E231" s="84" t="s">
        <v>21</v>
      </c>
      <c r="F231" s="84" t="s">
        <v>22</v>
      </c>
      <c r="G231" s="84" t="s">
        <v>57</v>
      </c>
      <c r="H231" s="84" t="s">
        <v>499</v>
      </c>
      <c r="I231" s="84"/>
      <c r="J231" s="15" t="str">
        <f>IF(E231="Invalid_Segment","Invalid",IFERROR(INDEX(Severity_Matrix!$C$3:$M$10,MATCH('Error Log'!$F231,Severity_Matrix!$B$3:$B$10,0),MATCH('Error Log'!$G231,Severity_Matrix!$C$2:$M$2,0)),"No errors"))</f>
        <v>Major</v>
      </c>
    </row>
    <row r="232" spans="1:10">
      <c r="A232" s="78" t="s">
        <v>496</v>
      </c>
      <c r="B232" s="18">
        <v>2</v>
      </c>
      <c r="C232" s="78" t="s">
        <v>497</v>
      </c>
      <c r="D232" s="78" t="s">
        <v>498</v>
      </c>
      <c r="E232" s="84" t="s">
        <v>21</v>
      </c>
      <c r="F232" s="84" t="s">
        <v>22</v>
      </c>
      <c r="G232" s="84" t="s">
        <v>57</v>
      </c>
      <c r="H232" s="84" t="s">
        <v>500</v>
      </c>
      <c r="I232" s="84"/>
      <c r="J232" s="15" t="str">
        <f>IF(E232="Invalid_Segment","Invalid",IFERROR(INDEX(Severity_Matrix!$C$3:$M$10,MATCH('Error Log'!$F232,Severity_Matrix!$B$3:$B$10,0),MATCH('Error Log'!$G232,Severity_Matrix!$C$2:$M$2,0)),"No errors"))</f>
        <v>Major</v>
      </c>
    </row>
    <row r="233" spans="1:10">
      <c r="A233" s="78" t="s">
        <v>501</v>
      </c>
      <c r="B233" s="18">
        <v>3</v>
      </c>
      <c r="C233" s="78" t="s">
        <v>497</v>
      </c>
      <c r="D233" s="78" t="s">
        <v>498</v>
      </c>
      <c r="E233" s="84" t="s">
        <v>21</v>
      </c>
      <c r="F233" s="84" t="s">
        <v>7</v>
      </c>
      <c r="G233" s="84" t="s">
        <v>57</v>
      </c>
      <c r="H233" s="84" t="s">
        <v>502</v>
      </c>
      <c r="I233" s="84"/>
      <c r="J233" s="15" t="str">
        <f>IF(E233="Invalid_Segment","Invalid",IFERROR(INDEX(Severity_Matrix!$C$3:$M$10,MATCH('Error Log'!$F233,Severity_Matrix!$B$3:$B$10,0),MATCH('Error Log'!$G233,Severity_Matrix!$C$2:$M$2,0)),"No errors"))</f>
        <v>Critical</v>
      </c>
    </row>
    <row r="234" spans="1:10">
      <c r="A234" s="78" t="s">
        <v>501</v>
      </c>
      <c r="B234" s="18">
        <v>4</v>
      </c>
      <c r="C234" s="78" t="s">
        <v>497</v>
      </c>
      <c r="D234" s="78" t="s">
        <v>498</v>
      </c>
      <c r="E234" s="84" t="s">
        <v>21</v>
      </c>
      <c r="F234" s="84" t="s">
        <v>7</v>
      </c>
      <c r="G234" s="84" t="s">
        <v>57</v>
      </c>
      <c r="H234" s="84" t="s">
        <v>503</v>
      </c>
      <c r="I234" s="84"/>
      <c r="J234" s="15" t="str">
        <f>IF(E234="Invalid_Segment","Invalid",IFERROR(INDEX(Severity_Matrix!$C$3:$M$10,MATCH('Error Log'!$F234,Severity_Matrix!$B$3:$B$10,0),MATCH('Error Log'!$G234,Severity_Matrix!$C$2:$M$2,0)),"No errors"))</f>
        <v>Critical</v>
      </c>
    </row>
    <row r="235" spans="1:10">
      <c r="A235" s="78" t="s">
        <v>504</v>
      </c>
      <c r="B235" s="18">
        <v>1</v>
      </c>
      <c r="C235" s="78" t="s">
        <v>505</v>
      </c>
      <c r="D235" s="78" t="s">
        <v>506</v>
      </c>
      <c r="E235" s="84" t="s">
        <v>21</v>
      </c>
      <c r="F235" s="84" t="s">
        <v>7</v>
      </c>
      <c r="G235" s="84" t="s">
        <v>57</v>
      </c>
      <c r="H235" s="84" t="s">
        <v>507</v>
      </c>
      <c r="I235" s="84"/>
      <c r="J235" s="15" t="str">
        <f>IF(E235="Invalid_Segment","Invalid",IFERROR(INDEX(Severity_Matrix!$C$3:$M$10,MATCH('Error Log'!$F235,Severity_Matrix!$B$3:$B$10,0),MATCH('Error Log'!$G235,Severity_Matrix!$C$2:$M$2,0)),"No errors"))</f>
        <v>Critical</v>
      </c>
    </row>
    <row r="236" spans="1:10">
      <c r="A236" s="78" t="s">
        <v>504</v>
      </c>
      <c r="B236" s="18">
        <v>2</v>
      </c>
      <c r="C236" s="78" t="s">
        <v>505</v>
      </c>
      <c r="D236" s="78" t="s">
        <v>506</v>
      </c>
      <c r="E236" s="84" t="s">
        <v>21</v>
      </c>
      <c r="F236" s="84" t="s">
        <v>7</v>
      </c>
      <c r="G236" s="84" t="s">
        <v>57</v>
      </c>
      <c r="H236" s="84" t="s">
        <v>508</v>
      </c>
      <c r="I236" s="84"/>
      <c r="J236" s="15" t="str">
        <f>IF(E236="Invalid_Segment","Invalid",IFERROR(INDEX(Severity_Matrix!$C$3:$M$10,MATCH('Error Log'!$F236,Severity_Matrix!$B$3:$B$10,0),MATCH('Error Log'!$G236,Severity_Matrix!$C$2:$M$2,0)),"No errors"))</f>
        <v>Critical</v>
      </c>
    </row>
    <row r="237" spans="1:10">
      <c r="A237" s="78" t="s">
        <v>509</v>
      </c>
      <c r="B237" s="18">
        <v>3</v>
      </c>
      <c r="C237" s="78" t="s">
        <v>505</v>
      </c>
      <c r="D237" s="78" t="s">
        <v>506</v>
      </c>
      <c r="E237" s="84" t="s">
        <v>21</v>
      </c>
      <c r="F237" s="84" t="s">
        <v>7</v>
      </c>
      <c r="G237" s="84" t="s">
        <v>57</v>
      </c>
      <c r="H237" s="84" t="s">
        <v>510</v>
      </c>
      <c r="I237" s="84"/>
      <c r="J237" s="15" t="str">
        <f>IF(E237="Invalid_Segment","Invalid",IFERROR(INDEX(Severity_Matrix!$C$3:$M$10,MATCH('Error Log'!$F237,Severity_Matrix!$B$3:$B$10,0),MATCH('Error Log'!$G237,Severity_Matrix!$C$2:$M$2,0)),"No errors"))</f>
        <v>Critical</v>
      </c>
    </row>
    <row r="238" spans="1:10">
      <c r="A238" s="78" t="s">
        <v>509</v>
      </c>
      <c r="B238" s="18">
        <v>4</v>
      </c>
      <c r="C238" s="78" t="s">
        <v>505</v>
      </c>
      <c r="D238" s="78" t="s">
        <v>506</v>
      </c>
      <c r="E238" s="84" t="s">
        <v>21</v>
      </c>
      <c r="F238" s="84" t="s">
        <v>7</v>
      </c>
      <c r="G238" s="84" t="s">
        <v>57</v>
      </c>
      <c r="H238" s="84" t="s">
        <v>511</v>
      </c>
      <c r="I238" s="84"/>
      <c r="J238" s="15" t="str">
        <f>IF(E238="Invalid_Segment","Invalid",IFERROR(INDEX(Severity_Matrix!$C$3:$M$10,MATCH('Error Log'!$F238,Severity_Matrix!$B$3:$B$10,0),MATCH('Error Log'!$G238,Severity_Matrix!$C$2:$M$2,0)),"No errors"))</f>
        <v>Critical</v>
      </c>
    </row>
    <row r="239" spans="1:10">
      <c r="A239" s="78" t="s">
        <v>509</v>
      </c>
      <c r="B239" s="18">
        <v>5</v>
      </c>
      <c r="C239" s="78" t="s">
        <v>505</v>
      </c>
      <c r="D239" s="78" t="s">
        <v>506</v>
      </c>
      <c r="E239" s="84" t="s">
        <v>21</v>
      </c>
      <c r="F239" s="84" t="s">
        <v>22</v>
      </c>
      <c r="G239" s="84" t="s">
        <v>57</v>
      </c>
      <c r="H239" s="84" t="s">
        <v>512</v>
      </c>
      <c r="I239" s="84"/>
      <c r="J239" s="15" t="str">
        <f>IF(E239="Invalid_Segment","Invalid",IFERROR(INDEX(Severity_Matrix!$C$3:$M$10,MATCH('Error Log'!$F239,Severity_Matrix!$B$3:$B$10,0),MATCH('Error Log'!$G239,Severity_Matrix!$C$2:$M$2,0)),"No errors"))</f>
        <v>Major</v>
      </c>
    </row>
    <row r="240" spans="1:10">
      <c r="A240" s="78" t="s">
        <v>509</v>
      </c>
      <c r="B240" s="18">
        <v>6</v>
      </c>
      <c r="C240" s="78" t="s">
        <v>505</v>
      </c>
      <c r="D240" s="78" t="s">
        <v>506</v>
      </c>
      <c r="E240" s="84" t="s">
        <v>21</v>
      </c>
      <c r="F240" s="84" t="s">
        <v>22</v>
      </c>
      <c r="G240" s="84" t="s">
        <v>57</v>
      </c>
      <c r="H240" s="84" t="s">
        <v>513</v>
      </c>
      <c r="I240" s="84"/>
      <c r="J240" s="15" t="str">
        <f>IF(E240="Invalid_Segment","Invalid",IFERROR(INDEX(Severity_Matrix!$C$3:$M$10,MATCH('Error Log'!$F240,Severity_Matrix!$B$3:$B$10,0),MATCH('Error Log'!$G240,Severity_Matrix!$C$2:$M$2,0)),"No errors"))</f>
        <v>Major</v>
      </c>
    </row>
    <row r="241" spans="1:10">
      <c r="A241" s="78" t="s">
        <v>509</v>
      </c>
      <c r="B241" s="18">
        <v>7</v>
      </c>
      <c r="C241" s="78" t="s">
        <v>505</v>
      </c>
      <c r="D241" s="78" t="s">
        <v>506</v>
      </c>
      <c r="E241" s="84" t="s">
        <v>21</v>
      </c>
      <c r="F241" s="84" t="s">
        <v>22</v>
      </c>
      <c r="G241" s="84" t="s">
        <v>57</v>
      </c>
      <c r="H241" s="84" t="s">
        <v>514</v>
      </c>
      <c r="I241" s="84"/>
      <c r="J241" s="15" t="str">
        <f>IF(E241="Invalid_Segment","Invalid",IFERROR(INDEX(Severity_Matrix!$C$3:$M$10,MATCH('Error Log'!$F241,Severity_Matrix!$B$3:$B$10,0),MATCH('Error Log'!$G241,Severity_Matrix!$C$2:$M$2,0)),"No errors"))</f>
        <v>Major</v>
      </c>
    </row>
    <row r="242" spans="1:10">
      <c r="A242" s="78" t="s">
        <v>515</v>
      </c>
      <c r="B242" s="18">
        <v>1</v>
      </c>
      <c r="C242" s="78" t="s">
        <v>516</v>
      </c>
      <c r="D242" s="78" t="s">
        <v>517</v>
      </c>
      <c r="E242" s="84" t="s">
        <v>21</v>
      </c>
      <c r="F242" s="84" t="s">
        <v>7</v>
      </c>
      <c r="G242" s="84" t="s">
        <v>57</v>
      </c>
      <c r="H242" s="84" t="s">
        <v>518</v>
      </c>
      <c r="I242" s="84"/>
      <c r="J242" s="15" t="str">
        <f>IF(E242="Invalid_Segment","Invalid",IFERROR(INDEX(Severity_Matrix!$C$3:$M$10,MATCH('Error Log'!$F242,Severity_Matrix!$B$3:$B$10,0),MATCH('Error Log'!$G242,Severity_Matrix!$C$2:$M$2,0)),"No errors"))</f>
        <v>Critical</v>
      </c>
    </row>
    <row r="243" spans="1:10">
      <c r="A243" s="78" t="s">
        <v>515</v>
      </c>
      <c r="B243" s="18">
        <v>2</v>
      </c>
      <c r="C243" s="78" t="s">
        <v>516</v>
      </c>
      <c r="D243" s="78" t="s">
        <v>517</v>
      </c>
      <c r="E243" s="84" t="s">
        <v>21</v>
      </c>
      <c r="F243" s="84" t="s">
        <v>7</v>
      </c>
      <c r="G243" s="84" t="s">
        <v>57</v>
      </c>
      <c r="H243" s="84" t="s">
        <v>519</v>
      </c>
      <c r="I243" s="84"/>
      <c r="J243" s="15" t="str">
        <f>IF(E243="Invalid_Segment","Invalid",IFERROR(INDEX(Severity_Matrix!$C$3:$M$10,MATCH('Error Log'!$F243,Severity_Matrix!$B$3:$B$10,0),MATCH('Error Log'!$G243,Severity_Matrix!$C$2:$M$2,0)),"No errors"))</f>
        <v>Critical</v>
      </c>
    </row>
    <row r="244" spans="1:10">
      <c r="A244" s="78" t="s">
        <v>520</v>
      </c>
      <c r="B244" s="18">
        <v>3</v>
      </c>
      <c r="C244" s="78" t="s">
        <v>516</v>
      </c>
      <c r="D244" s="78" t="s">
        <v>517</v>
      </c>
      <c r="E244" s="84" t="s">
        <v>21</v>
      </c>
      <c r="F244" s="84" t="s">
        <v>7</v>
      </c>
      <c r="G244" s="84" t="s">
        <v>57</v>
      </c>
      <c r="H244" s="84" t="s">
        <v>521</v>
      </c>
      <c r="I244" s="84"/>
      <c r="J244" s="15" t="str">
        <f>IF(E244="Invalid_Segment","Invalid",IFERROR(INDEX(Severity_Matrix!$C$3:$M$10,MATCH('Error Log'!$F244,Severity_Matrix!$B$3:$B$10,0),MATCH('Error Log'!$G244,Severity_Matrix!$C$2:$M$2,0)),"No errors"))</f>
        <v>Critical</v>
      </c>
    </row>
    <row r="245" spans="1:10">
      <c r="A245" s="78" t="s">
        <v>520</v>
      </c>
      <c r="B245" s="18">
        <v>4</v>
      </c>
      <c r="C245" s="78" t="s">
        <v>516</v>
      </c>
      <c r="D245" s="78" t="s">
        <v>517</v>
      </c>
      <c r="E245" s="84" t="s">
        <v>21</v>
      </c>
      <c r="F245" s="84" t="s">
        <v>7</v>
      </c>
      <c r="G245" s="84" t="s">
        <v>57</v>
      </c>
      <c r="H245" s="84" t="s">
        <v>522</v>
      </c>
      <c r="I245" s="84"/>
      <c r="J245" s="15" t="str">
        <f>IF(E245="Invalid_Segment","Invalid",IFERROR(INDEX(Severity_Matrix!$C$3:$M$10,MATCH('Error Log'!$F245,Severity_Matrix!$B$3:$B$10,0),MATCH('Error Log'!$G245,Severity_Matrix!$C$2:$M$2,0)),"No errors"))</f>
        <v>Critical</v>
      </c>
    </row>
    <row r="246" spans="1:10">
      <c r="A246" s="78" t="s">
        <v>520</v>
      </c>
      <c r="B246" s="18">
        <v>5</v>
      </c>
      <c r="C246" s="78" t="s">
        <v>516</v>
      </c>
      <c r="D246" s="78" t="s">
        <v>517</v>
      </c>
      <c r="E246" s="84" t="s">
        <v>21</v>
      </c>
      <c r="F246" s="84" t="s">
        <v>22</v>
      </c>
      <c r="G246" s="84" t="s">
        <v>57</v>
      </c>
      <c r="H246" s="84" t="s">
        <v>523</v>
      </c>
      <c r="I246" s="84"/>
      <c r="J246" s="15" t="str">
        <f>IF(E246="Invalid_Segment","Invalid",IFERROR(INDEX(Severity_Matrix!$C$3:$M$10,MATCH('Error Log'!$F246,Severity_Matrix!$B$3:$B$10,0),MATCH('Error Log'!$G246,Severity_Matrix!$C$2:$M$2,0)),"No errors"))</f>
        <v>Major</v>
      </c>
    </row>
    <row r="247" spans="1:10">
      <c r="A247" s="78" t="s">
        <v>520</v>
      </c>
      <c r="B247" s="18">
        <v>6</v>
      </c>
      <c r="C247" s="78" t="s">
        <v>516</v>
      </c>
      <c r="D247" s="78" t="s">
        <v>517</v>
      </c>
      <c r="E247" s="84" t="s">
        <v>21</v>
      </c>
      <c r="F247" s="84" t="s">
        <v>22</v>
      </c>
      <c r="G247" s="84" t="s">
        <v>57</v>
      </c>
      <c r="H247" s="84" t="s">
        <v>524</v>
      </c>
      <c r="I247" s="84"/>
      <c r="J247" s="15" t="str">
        <f>IF(E247="Invalid_Segment","Invalid",IFERROR(INDEX(Severity_Matrix!$C$3:$M$10,MATCH('Error Log'!$F247,Severity_Matrix!$B$3:$B$10,0),MATCH('Error Log'!$G247,Severity_Matrix!$C$2:$M$2,0)),"No errors"))</f>
        <v>Major</v>
      </c>
    </row>
    <row r="248" spans="1:10">
      <c r="A248" s="79" t="s">
        <v>525</v>
      </c>
      <c r="B248" s="18">
        <v>1</v>
      </c>
      <c r="C248" s="83" t="s">
        <v>526</v>
      </c>
      <c r="D248" s="83" t="s">
        <v>527</v>
      </c>
      <c r="E248" s="84" t="s">
        <v>21</v>
      </c>
      <c r="F248" s="84" t="s">
        <v>22</v>
      </c>
      <c r="G248" s="84" t="s">
        <v>57</v>
      </c>
      <c r="H248" s="84" t="s">
        <v>528</v>
      </c>
      <c r="I248" s="84"/>
      <c r="J248" s="15" t="str">
        <f>IF(E248="Invalid_Segment","Invalid",IFERROR(INDEX(Severity_Matrix!$C$3:$M$10,MATCH('Error Log'!$F248,Severity_Matrix!$B$3:$B$10,0),MATCH('Error Log'!$G248,Severity_Matrix!$C$2:$M$2,0)),"No errors"))</f>
        <v>Major</v>
      </c>
    </row>
    <row r="249" spans="1:10">
      <c r="A249" s="79" t="s">
        <v>525</v>
      </c>
      <c r="B249" s="18">
        <v>2</v>
      </c>
      <c r="C249" s="83" t="s">
        <v>526</v>
      </c>
      <c r="D249" s="83" t="s">
        <v>527</v>
      </c>
      <c r="E249" s="84" t="s">
        <v>21</v>
      </c>
      <c r="F249" s="84" t="s">
        <v>22</v>
      </c>
      <c r="G249" s="84" t="s">
        <v>57</v>
      </c>
      <c r="H249" s="84" t="s">
        <v>529</v>
      </c>
      <c r="I249" s="84"/>
      <c r="J249" s="15" t="str">
        <f>IF(E249="Invalid_Segment","Invalid",IFERROR(INDEX(Severity_Matrix!$C$3:$M$10,MATCH('Error Log'!$F249,Severity_Matrix!$B$3:$B$10,0),MATCH('Error Log'!$G249,Severity_Matrix!$C$2:$M$2,0)),"No errors"))</f>
        <v>Major</v>
      </c>
    </row>
    <row r="250" spans="1:10">
      <c r="A250" s="79" t="s">
        <v>530</v>
      </c>
      <c r="B250" s="18">
        <v>3</v>
      </c>
      <c r="C250" s="83" t="s">
        <v>526</v>
      </c>
      <c r="D250" s="83" t="s">
        <v>527</v>
      </c>
      <c r="E250" s="84" t="s">
        <v>21</v>
      </c>
      <c r="F250" s="84" t="s">
        <v>22</v>
      </c>
      <c r="G250" s="84" t="s">
        <v>57</v>
      </c>
      <c r="H250" s="84" t="s">
        <v>531</v>
      </c>
      <c r="I250" s="84"/>
      <c r="J250" s="15" t="str">
        <f>IF(E250="Invalid_Segment","Invalid",IFERROR(INDEX(Severity_Matrix!$C$3:$M$10,MATCH('Error Log'!$F250,Severity_Matrix!$B$3:$B$10,0),MATCH('Error Log'!$G250,Severity_Matrix!$C$2:$M$2,0)),"No errors"))</f>
        <v>Major</v>
      </c>
    </row>
    <row r="251" spans="1:10">
      <c r="A251" s="79" t="s">
        <v>530</v>
      </c>
      <c r="B251" s="18">
        <v>4</v>
      </c>
      <c r="C251" s="83" t="s">
        <v>526</v>
      </c>
      <c r="D251" s="83" t="s">
        <v>527</v>
      </c>
      <c r="E251" s="84" t="s">
        <v>21</v>
      </c>
      <c r="F251" s="84" t="s">
        <v>7</v>
      </c>
      <c r="G251" s="84" t="s">
        <v>57</v>
      </c>
      <c r="H251" s="84" t="s">
        <v>532</v>
      </c>
      <c r="I251" s="84"/>
      <c r="J251" s="15" t="str">
        <f>IF(E251="Invalid_Segment","Invalid",IFERROR(INDEX(Severity_Matrix!$C$3:$M$10,MATCH('Error Log'!$F251,Severity_Matrix!$B$3:$B$10,0),MATCH('Error Log'!$G251,Severity_Matrix!$C$2:$M$2,0)),"No errors"))</f>
        <v>Critical</v>
      </c>
    </row>
    <row r="252" spans="1:10">
      <c r="A252" s="79" t="s">
        <v>530</v>
      </c>
      <c r="B252" s="18">
        <v>5</v>
      </c>
      <c r="C252" s="83" t="s">
        <v>526</v>
      </c>
      <c r="D252" s="83" t="s">
        <v>527</v>
      </c>
      <c r="E252" s="84" t="s">
        <v>21</v>
      </c>
      <c r="F252" s="84" t="s">
        <v>7</v>
      </c>
      <c r="G252" s="84" t="s">
        <v>57</v>
      </c>
      <c r="H252" s="84" t="s">
        <v>533</v>
      </c>
      <c r="I252" s="84"/>
      <c r="J252" s="15" t="str">
        <f>IF(E252="Invalid_Segment","Invalid",IFERROR(INDEX(Severity_Matrix!$C$3:$M$10,MATCH('Error Log'!$F252,Severity_Matrix!$B$3:$B$10,0),MATCH('Error Log'!$G252,Severity_Matrix!$C$2:$M$2,0)),"No errors"))</f>
        <v>Critical</v>
      </c>
    </row>
    <row r="253" spans="1:10">
      <c r="A253" s="79" t="s">
        <v>530</v>
      </c>
      <c r="B253" s="18">
        <v>6</v>
      </c>
      <c r="C253" s="83" t="s">
        <v>526</v>
      </c>
      <c r="D253" s="83" t="s">
        <v>527</v>
      </c>
      <c r="E253" s="84" t="s">
        <v>21</v>
      </c>
      <c r="F253" s="84" t="s">
        <v>7</v>
      </c>
      <c r="G253" s="84" t="s">
        <v>57</v>
      </c>
      <c r="H253" s="84" t="s">
        <v>534</v>
      </c>
      <c r="I253" s="84"/>
      <c r="J253" s="15" t="str">
        <f>IF(E253="Invalid_Segment","Invalid",IFERROR(INDEX(Severity_Matrix!$C$3:$M$10,MATCH('Error Log'!$F253,Severity_Matrix!$B$3:$B$10,0),MATCH('Error Log'!$G253,Severity_Matrix!$C$2:$M$2,0)),"No errors"))</f>
        <v>Critical</v>
      </c>
    </row>
    <row r="254" spans="1:10">
      <c r="A254" s="79" t="s">
        <v>530</v>
      </c>
      <c r="B254" s="18">
        <v>7</v>
      </c>
      <c r="C254" s="83" t="s">
        <v>535</v>
      </c>
      <c r="D254" s="83" t="s">
        <v>536</v>
      </c>
      <c r="E254" s="84" t="s">
        <v>21</v>
      </c>
      <c r="F254" s="84" t="s">
        <v>7</v>
      </c>
      <c r="G254" s="84" t="s">
        <v>57</v>
      </c>
      <c r="H254" s="84" t="s">
        <v>537</v>
      </c>
      <c r="I254" s="84"/>
      <c r="J254" s="15" t="str">
        <f>IF(E254="Invalid_Segment","Invalid",IFERROR(INDEX(Severity_Matrix!$C$3:$M$10,MATCH('Error Log'!$F254,Severity_Matrix!$B$3:$B$10,0),MATCH('Error Log'!$G254,Severity_Matrix!$C$2:$M$2,0)),"No errors"))</f>
        <v>Critical</v>
      </c>
    </row>
    <row r="255" spans="1:10">
      <c r="A255" s="79" t="s">
        <v>530</v>
      </c>
      <c r="B255" s="18">
        <v>8</v>
      </c>
      <c r="C255" s="83" t="s">
        <v>526</v>
      </c>
      <c r="D255" s="83" t="s">
        <v>527</v>
      </c>
      <c r="E255" s="84" t="s">
        <v>21</v>
      </c>
      <c r="F255" s="84" t="s">
        <v>7</v>
      </c>
      <c r="G255" s="84" t="s">
        <v>57</v>
      </c>
      <c r="H255" s="84" t="s">
        <v>538</v>
      </c>
      <c r="I255" s="84"/>
      <c r="J255" s="15" t="str">
        <f>IF(E255="Invalid_Segment","Invalid",IFERROR(INDEX(Severity_Matrix!$C$3:$M$10,MATCH('Error Log'!$F255,Severity_Matrix!$B$3:$B$10,0),MATCH('Error Log'!$G255,Severity_Matrix!$C$2:$M$2,0)),"No errors"))</f>
        <v>Critical</v>
      </c>
    </row>
    <row r="256" spans="1:10">
      <c r="A256" s="79" t="s">
        <v>539</v>
      </c>
      <c r="B256" s="18">
        <v>1</v>
      </c>
      <c r="C256" s="83" t="s">
        <v>540</v>
      </c>
      <c r="D256" s="83" t="s">
        <v>541</v>
      </c>
      <c r="E256" s="84" t="s">
        <v>21</v>
      </c>
      <c r="F256" s="84" t="s">
        <v>22</v>
      </c>
      <c r="G256" s="84" t="s">
        <v>57</v>
      </c>
      <c r="H256" s="84" t="s">
        <v>542</v>
      </c>
      <c r="I256" s="84"/>
      <c r="J256" s="15" t="str">
        <f>IF(E256="Invalid_Segment","Invalid",IFERROR(INDEX(Severity_Matrix!$C$3:$M$10,MATCH('Error Log'!$F256,Severity_Matrix!$B$3:$B$10,0),MATCH('Error Log'!$G256,Severity_Matrix!$C$2:$M$2,0)),"No errors"))</f>
        <v>Major</v>
      </c>
    </row>
    <row r="257" spans="1:10">
      <c r="A257" s="79" t="s">
        <v>539</v>
      </c>
      <c r="B257" s="18">
        <v>2</v>
      </c>
      <c r="C257" s="83" t="s">
        <v>540</v>
      </c>
      <c r="D257" s="83" t="s">
        <v>541</v>
      </c>
      <c r="E257" s="84" t="s">
        <v>21</v>
      </c>
      <c r="F257" s="84" t="s">
        <v>22</v>
      </c>
      <c r="G257" s="84" t="s">
        <v>57</v>
      </c>
      <c r="H257" s="84" t="s">
        <v>543</v>
      </c>
      <c r="I257" s="84"/>
      <c r="J257" s="15" t="str">
        <f>IF(E257="Invalid_Segment","Invalid",IFERROR(INDEX(Severity_Matrix!$C$3:$M$10,MATCH('Error Log'!$F257,Severity_Matrix!$B$3:$B$10,0),MATCH('Error Log'!$G257,Severity_Matrix!$C$2:$M$2,0)),"No errors"))</f>
        <v>Major</v>
      </c>
    </row>
    <row r="258" spans="1:10">
      <c r="A258" s="79" t="s">
        <v>544</v>
      </c>
      <c r="B258" s="18">
        <v>3</v>
      </c>
      <c r="C258" s="83" t="s">
        <v>540</v>
      </c>
      <c r="D258" s="83" t="s">
        <v>541</v>
      </c>
      <c r="E258" s="84" t="s">
        <v>21</v>
      </c>
      <c r="F258" s="84" t="s">
        <v>7</v>
      </c>
      <c r="G258" s="84" t="s">
        <v>57</v>
      </c>
      <c r="H258" s="84" t="s">
        <v>545</v>
      </c>
      <c r="I258" s="84"/>
      <c r="J258" s="15" t="str">
        <f>IF(E258="Invalid_Segment","Invalid",IFERROR(INDEX(Severity_Matrix!$C$3:$M$10,MATCH('Error Log'!$F258,Severity_Matrix!$B$3:$B$10,0),MATCH('Error Log'!$G258,Severity_Matrix!$C$2:$M$2,0)),"No errors"))</f>
        <v>Critical</v>
      </c>
    </row>
    <row r="259" spans="1:10">
      <c r="A259" s="79" t="s">
        <v>544</v>
      </c>
      <c r="B259" s="18">
        <v>4</v>
      </c>
      <c r="C259" s="83" t="s">
        <v>540</v>
      </c>
      <c r="D259" s="83" t="s">
        <v>541</v>
      </c>
      <c r="E259" s="84" t="s">
        <v>21</v>
      </c>
      <c r="F259" s="84" t="s">
        <v>7</v>
      </c>
      <c r="G259" s="84" t="s">
        <v>57</v>
      </c>
      <c r="H259" s="84" t="s">
        <v>546</v>
      </c>
      <c r="I259" s="84"/>
      <c r="J259" s="15" t="str">
        <f>IF(E259="Invalid_Segment","Invalid",IFERROR(INDEX(Severity_Matrix!$C$3:$M$10,MATCH('Error Log'!$F259,Severity_Matrix!$B$3:$B$10,0),MATCH('Error Log'!$G259,Severity_Matrix!$C$2:$M$2,0)),"No errors"))</f>
        <v>Critical</v>
      </c>
    </row>
    <row r="260" spans="1:10">
      <c r="A260" s="79" t="s">
        <v>544</v>
      </c>
      <c r="B260" s="18">
        <v>5</v>
      </c>
      <c r="C260" s="83" t="s">
        <v>540</v>
      </c>
      <c r="D260" s="83" t="s">
        <v>541</v>
      </c>
      <c r="E260" s="84" t="s">
        <v>21</v>
      </c>
      <c r="F260" s="84" t="s">
        <v>7</v>
      </c>
      <c r="G260" s="84" t="s">
        <v>57</v>
      </c>
      <c r="H260" s="84" t="s">
        <v>547</v>
      </c>
      <c r="I260" s="84"/>
      <c r="J260" s="15" t="str">
        <f>IF(E260="Invalid_Segment","Invalid",IFERROR(INDEX(Severity_Matrix!$C$3:$M$10,MATCH('Error Log'!$F260,Severity_Matrix!$B$3:$B$10,0),MATCH('Error Log'!$G260,Severity_Matrix!$C$2:$M$2,0)),"No errors"))</f>
        <v>Critical</v>
      </c>
    </row>
    <row r="261" spans="1:10">
      <c r="A261" s="79" t="s">
        <v>548</v>
      </c>
      <c r="B261" s="18">
        <v>1</v>
      </c>
      <c r="C261" s="83" t="s">
        <v>549</v>
      </c>
      <c r="D261" s="83" t="s">
        <v>550</v>
      </c>
      <c r="E261" s="84" t="s">
        <v>21</v>
      </c>
      <c r="F261" s="84" t="s">
        <v>22</v>
      </c>
      <c r="G261" s="84" t="s">
        <v>57</v>
      </c>
      <c r="H261" s="84" t="s">
        <v>551</v>
      </c>
      <c r="I261" s="84"/>
      <c r="J261" s="15" t="str">
        <f>IF(E261="Invalid_Segment","Invalid",IFERROR(INDEX(Severity_Matrix!$C$3:$M$10,MATCH('Error Log'!$F261,Severity_Matrix!$B$3:$B$10,0),MATCH('Error Log'!$G261,Severity_Matrix!$C$2:$M$2,0)),"No errors"))</f>
        <v>Major</v>
      </c>
    </row>
    <row r="262" spans="1:10">
      <c r="A262" s="79" t="s">
        <v>548</v>
      </c>
      <c r="B262" s="18">
        <v>2</v>
      </c>
      <c r="C262" s="83" t="s">
        <v>549</v>
      </c>
      <c r="D262" s="83" t="s">
        <v>550</v>
      </c>
      <c r="E262" s="84" t="s">
        <v>21</v>
      </c>
      <c r="F262" s="84" t="s">
        <v>22</v>
      </c>
      <c r="G262" s="84" t="s">
        <v>57</v>
      </c>
      <c r="H262" s="84" t="s">
        <v>552</v>
      </c>
      <c r="I262" s="84"/>
      <c r="J262" s="15" t="str">
        <f>IF(E262="Invalid_Segment","Invalid",IFERROR(INDEX(Severity_Matrix!$C$3:$M$10,MATCH('Error Log'!$F262,Severity_Matrix!$B$3:$B$10,0),MATCH('Error Log'!$G262,Severity_Matrix!$C$2:$M$2,0)),"No errors"))</f>
        <v>Major</v>
      </c>
    </row>
    <row r="263" spans="1:10">
      <c r="A263" s="79" t="s">
        <v>553</v>
      </c>
      <c r="B263" s="18">
        <v>3</v>
      </c>
      <c r="C263" s="83" t="s">
        <v>549</v>
      </c>
      <c r="D263" s="83" t="s">
        <v>550</v>
      </c>
      <c r="E263" s="84" t="s">
        <v>21</v>
      </c>
      <c r="F263" s="84" t="s">
        <v>22</v>
      </c>
      <c r="G263" s="84" t="s">
        <v>57</v>
      </c>
      <c r="H263" s="84" t="s">
        <v>554</v>
      </c>
      <c r="I263" s="84"/>
      <c r="J263" s="15" t="str">
        <f>IF(E263="Invalid_Segment","Invalid",IFERROR(INDEX(Severity_Matrix!$C$3:$M$10,MATCH('Error Log'!$F263,Severity_Matrix!$B$3:$B$10,0),MATCH('Error Log'!$G263,Severity_Matrix!$C$2:$M$2,0)),"No errors"))</f>
        <v>Major</v>
      </c>
    </row>
    <row r="264" spans="1:10">
      <c r="A264" s="79" t="s">
        <v>553</v>
      </c>
      <c r="B264" s="18">
        <v>4</v>
      </c>
      <c r="C264" s="83" t="s">
        <v>549</v>
      </c>
      <c r="D264" s="83" t="s">
        <v>550</v>
      </c>
      <c r="E264" s="84" t="s">
        <v>21</v>
      </c>
      <c r="F264" s="84" t="s">
        <v>7</v>
      </c>
      <c r="G264" s="84" t="s">
        <v>57</v>
      </c>
      <c r="H264" s="84" t="s">
        <v>555</v>
      </c>
      <c r="I264" s="84"/>
      <c r="J264" s="15" t="str">
        <f>IF(E264="Invalid_Segment","Invalid",IFERROR(INDEX(Severity_Matrix!$C$3:$M$10,MATCH('Error Log'!$F264,Severity_Matrix!$B$3:$B$10,0),MATCH('Error Log'!$G264,Severity_Matrix!$C$2:$M$2,0)),"No errors"))</f>
        <v>Critical</v>
      </c>
    </row>
    <row r="265" spans="1:10">
      <c r="A265" s="79" t="s">
        <v>553</v>
      </c>
      <c r="B265" s="18">
        <v>5</v>
      </c>
      <c r="C265" s="83" t="s">
        <v>549</v>
      </c>
      <c r="D265" s="83" t="s">
        <v>550</v>
      </c>
      <c r="E265" s="84" t="s">
        <v>21</v>
      </c>
      <c r="F265" s="84" t="s">
        <v>7</v>
      </c>
      <c r="G265" s="84" t="s">
        <v>57</v>
      </c>
      <c r="H265" s="84" t="s">
        <v>556</v>
      </c>
      <c r="I265" s="84"/>
      <c r="J265" s="15" t="str">
        <f>IF(E265="Invalid_Segment","Invalid",IFERROR(INDEX(Severity_Matrix!$C$3:$M$10,MATCH('Error Log'!$F265,Severity_Matrix!$B$3:$B$10,0),MATCH('Error Log'!$G265,Severity_Matrix!$C$2:$M$2,0)),"No errors"))</f>
        <v>Critical</v>
      </c>
    </row>
    <row r="266" spans="1:10">
      <c r="A266" s="79" t="s">
        <v>553</v>
      </c>
      <c r="B266" s="18">
        <v>6</v>
      </c>
      <c r="C266" s="83" t="s">
        <v>549</v>
      </c>
      <c r="D266" s="83" t="s">
        <v>550</v>
      </c>
      <c r="E266" s="84" t="s">
        <v>21</v>
      </c>
      <c r="F266" s="84" t="s">
        <v>7</v>
      </c>
      <c r="G266" s="84" t="s">
        <v>57</v>
      </c>
      <c r="H266" s="84" t="s">
        <v>557</v>
      </c>
      <c r="I266" s="84"/>
      <c r="J266" s="15" t="str">
        <f>IF(E266="Invalid_Segment","Invalid",IFERROR(INDEX(Severity_Matrix!$C$3:$M$10,MATCH('Error Log'!$F266,Severity_Matrix!$B$3:$B$10,0),MATCH('Error Log'!$G266,Severity_Matrix!$C$2:$M$2,0)),"No errors"))</f>
        <v>Critical</v>
      </c>
    </row>
    <row r="267" spans="1:10">
      <c r="A267" s="79" t="s">
        <v>553</v>
      </c>
      <c r="B267" s="18">
        <v>7</v>
      </c>
      <c r="C267" s="83" t="s">
        <v>549</v>
      </c>
      <c r="D267" s="83" t="s">
        <v>550</v>
      </c>
      <c r="E267" s="84" t="s">
        <v>21</v>
      </c>
      <c r="F267" s="84" t="s">
        <v>7</v>
      </c>
      <c r="G267" s="84" t="s">
        <v>57</v>
      </c>
      <c r="H267" s="84" t="s">
        <v>558</v>
      </c>
      <c r="I267" s="84"/>
      <c r="J267" s="15" t="str">
        <f>IF(E267="Invalid_Segment","Invalid",IFERROR(INDEX(Severity_Matrix!$C$3:$M$10,MATCH('Error Log'!$F267,Severity_Matrix!$B$3:$B$10,0),MATCH('Error Log'!$G267,Severity_Matrix!$C$2:$M$2,0)),"No errors"))</f>
        <v>Critical</v>
      </c>
    </row>
    <row r="268" spans="1:10">
      <c r="A268" s="79" t="s">
        <v>553</v>
      </c>
      <c r="B268" s="18">
        <v>8</v>
      </c>
      <c r="C268" s="83" t="s">
        <v>549</v>
      </c>
      <c r="D268" s="83" t="s">
        <v>550</v>
      </c>
      <c r="E268" s="84" t="s">
        <v>21</v>
      </c>
      <c r="F268" s="84" t="s">
        <v>7</v>
      </c>
      <c r="G268" s="84" t="s">
        <v>57</v>
      </c>
      <c r="H268" s="84" t="s">
        <v>559</v>
      </c>
      <c r="I268" s="84"/>
      <c r="J268" s="15" t="str">
        <f>IF(E268="Invalid_Segment","Invalid",IFERROR(INDEX(Severity_Matrix!$C$3:$M$10,MATCH('Error Log'!$F268,Severity_Matrix!$B$3:$B$10,0),MATCH('Error Log'!$G268,Severity_Matrix!$C$2:$M$2,0)),"No errors"))</f>
        <v>Critical</v>
      </c>
    </row>
    <row r="269" spans="1:10">
      <c r="A269" s="79" t="s">
        <v>560</v>
      </c>
      <c r="B269" s="18">
        <v>1</v>
      </c>
      <c r="C269" s="83" t="s">
        <v>561</v>
      </c>
      <c r="D269" s="83" t="s">
        <v>562</v>
      </c>
      <c r="E269" s="84" t="s">
        <v>21</v>
      </c>
      <c r="F269" s="84" t="s">
        <v>22</v>
      </c>
      <c r="G269" s="84" t="s">
        <v>57</v>
      </c>
      <c r="H269" s="84" t="s">
        <v>563</v>
      </c>
      <c r="I269" s="84"/>
      <c r="J269" s="15" t="str">
        <f>IF(E269="Invalid_Segment","Invalid",IFERROR(INDEX(Severity_Matrix!$C$3:$M$10,MATCH('Error Log'!$F269,Severity_Matrix!$B$3:$B$10,0),MATCH('Error Log'!$G269,Severity_Matrix!$C$2:$M$2,0)),"No errors"))</f>
        <v>Major</v>
      </c>
    </row>
    <row r="270" spans="1:10">
      <c r="A270" s="79" t="s">
        <v>560</v>
      </c>
      <c r="B270" s="18">
        <v>2</v>
      </c>
      <c r="C270" s="83" t="s">
        <v>561</v>
      </c>
      <c r="D270" s="83" t="s">
        <v>562</v>
      </c>
      <c r="E270" s="84" t="s">
        <v>21</v>
      </c>
      <c r="F270" s="84" t="s">
        <v>22</v>
      </c>
      <c r="G270" s="84" t="s">
        <v>28</v>
      </c>
      <c r="H270" s="84" t="s">
        <v>340</v>
      </c>
      <c r="I270" s="84"/>
      <c r="J270" s="15" t="str">
        <f>IF(E270="Invalid_Segment","Invalid",IFERROR(INDEX(Severity_Matrix!$C$3:$M$10,MATCH('Error Log'!$F270,Severity_Matrix!$B$3:$B$10,0),MATCH('Error Log'!$G270,Severity_Matrix!$C$2:$M$2,0)),"No errors"))</f>
        <v>Major</v>
      </c>
    </row>
    <row r="271" spans="1:10">
      <c r="A271" s="79" t="s">
        <v>564</v>
      </c>
      <c r="B271" s="18">
        <v>3</v>
      </c>
      <c r="C271" s="83" t="s">
        <v>561</v>
      </c>
      <c r="D271" s="83" t="s">
        <v>562</v>
      </c>
      <c r="E271" s="84" t="s">
        <v>21</v>
      </c>
      <c r="F271" s="84" t="s">
        <v>22</v>
      </c>
      <c r="G271" s="84" t="s">
        <v>57</v>
      </c>
      <c r="H271" s="84" t="s">
        <v>565</v>
      </c>
      <c r="I271" s="84"/>
      <c r="J271" s="15" t="str">
        <f>IF(E271="Invalid_Segment","Invalid",IFERROR(INDEX(Severity_Matrix!$C$3:$M$10,MATCH('Error Log'!$F271,Severity_Matrix!$B$3:$B$10,0),MATCH('Error Log'!$G271,Severity_Matrix!$C$2:$M$2,0)),"No errors"))</f>
        <v>Major</v>
      </c>
    </row>
    <row r="272" spans="1:10">
      <c r="A272" s="79" t="s">
        <v>564</v>
      </c>
      <c r="B272" s="18">
        <v>4</v>
      </c>
      <c r="C272" s="83" t="s">
        <v>561</v>
      </c>
      <c r="D272" s="83" t="s">
        <v>562</v>
      </c>
      <c r="E272" s="84" t="s">
        <v>21</v>
      </c>
      <c r="F272" s="84" t="s">
        <v>7</v>
      </c>
      <c r="G272" s="84" t="s">
        <v>57</v>
      </c>
      <c r="H272" s="84" t="s">
        <v>566</v>
      </c>
      <c r="I272" s="84"/>
      <c r="J272" s="15" t="str">
        <f>IF(E272="Invalid_Segment","Invalid",IFERROR(INDEX(Severity_Matrix!$C$3:$M$10,MATCH('Error Log'!$F272,Severity_Matrix!$B$3:$B$10,0),MATCH('Error Log'!$G272,Severity_Matrix!$C$2:$M$2,0)),"No errors"))</f>
        <v>Critical</v>
      </c>
    </row>
    <row r="273" spans="1:10">
      <c r="A273" s="79" t="s">
        <v>564</v>
      </c>
      <c r="B273" s="18">
        <v>5</v>
      </c>
      <c r="C273" s="83" t="s">
        <v>561</v>
      </c>
      <c r="D273" s="83" t="s">
        <v>562</v>
      </c>
      <c r="E273" s="84" t="s">
        <v>21</v>
      </c>
      <c r="F273" s="84" t="s">
        <v>7</v>
      </c>
      <c r="G273" s="84" t="s">
        <v>57</v>
      </c>
      <c r="H273" s="84" t="s">
        <v>567</v>
      </c>
      <c r="I273" s="84"/>
      <c r="J273" s="15" t="str">
        <f>IF(E273="Invalid_Segment","Invalid",IFERROR(INDEX(Severity_Matrix!$C$3:$M$10,MATCH('Error Log'!$F273,Severity_Matrix!$B$3:$B$10,0),MATCH('Error Log'!$G273,Severity_Matrix!$C$2:$M$2,0)),"No errors"))</f>
        <v>Critical</v>
      </c>
    </row>
    <row r="274" spans="1:10">
      <c r="A274" s="79" t="s">
        <v>568</v>
      </c>
      <c r="B274" s="18">
        <v>1</v>
      </c>
      <c r="C274" s="83" t="s">
        <v>569</v>
      </c>
      <c r="D274" s="83" t="s">
        <v>570</v>
      </c>
      <c r="E274" s="84" t="s">
        <v>21</v>
      </c>
      <c r="F274" s="84" t="s">
        <v>22</v>
      </c>
      <c r="G274" s="84" t="s">
        <v>57</v>
      </c>
      <c r="H274" s="84" t="s">
        <v>571</v>
      </c>
      <c r="I274" s="84"/>
      <c r="J274" s="15" t="str">
        <f>IF(E274="Invalid_Segment","Invalid",IFERROR(INDEX(Severity_Matrix!$C$3:$M$10,MATCH('Error Log'!$F274,Severity_Matrix!$B$3:$B$10,0),MATCH('Error Log'!$G274,Severity_Matrix!$C$2:$M$2,0)),"No errors"))</f>
        <v>Major</v>
      </c>
    </row>
    <row r="275" spans="1:10">
      <c r="A275" s="79" t="s">
        <v>568</v>
      </c>
      <c r="B275" s="18">
        <v>2</v>
      </c>
      <c r="C275" s="83" t="s">
        <v>569</v>
      </c>
      <c r="D275" s="83" t="s">
        <v>570</v>
      </c>
      <c r="E275" s="84" t="s">
        <v>21</v>
      </c>
      <c r="F275" s="84" t="s">
        <v>7</v>
      </c>
      <c r="G275" s="84" t="s">
        <v>55</v>
      </c>
      <c r="H275" s="84" t="s">
        <v>572</v>
      </c>
      <c r="I275" s="84"/>
      <c r="J275" s="15" t="str">
        <f>IF(E275="Invalid_Segment","Invalid",IFERROR(INDEX(Severity_Matrix!$C$3:$M$10,MATCH('Error Log'!$F275,Severity_Matrix!$B$3:$B$10,0),MATCH('Error Log'!$G275,Severity_Matrix!$C$2:$M$2,0)),"No errors"))</f>
        <v>Critical</v>
      </c>
    </row>
    <row r="276" spans="1:10">
      <c r="A276" s="79" t="s">
        <v>573</v>
      </c>
      <c r="B276" s="18">
        <v>3</v>
      </c>
      <c r="C276" s="83" t="s">
        <v>569</v>
      </c>
      <c r="D276" s="83" t="s">
        <v>570</v>
      </c>
      <c r="E276" s="84" t="s">
        <v>21</v>
      </c>
      <c r="F276" s="84" t="s">
        <v>7</v>
      </c>
      <c r="G276" s="84" t="s">
        <v>57</v>
      </c>
      <c r="H276" s="84" t="s">
        <v>574</v>
      </c>
      <c r="I276" s="84"/>
      <c r="J276" s="15" t="str">
        <f>IF(E276="Invalid_Segment","Invalid",IFERROR(INDEX(Severity_Matrix!$C$3:$M$10,MATCH('Error Log'!$F276,Severity_Matrix!$B$3:$B$10,0),MATCH('Error Log'!$G276,Severity_Matrix!$C$2:$M$2,0)),"No errors"))</f>
        <v>Critical</v>
      </c>
    </row>
    <row r="277" spans="1:10">
      <c r="A277" s="79" t="s">
        <v>573</v>
      </c>
      <c r="B277" s="18">
        <v>4</v>
      </c>
      <c r="C277" s="83" t="s">
        <v>569</v>
      </c>
      <c r="D277" s="83" t="s">
        <v>570</v>
      </c>
      <c r="E277" s="84" t="s">
        <v>21</v>
      </c>
      <c r="F277" s="84" t="s">
        <v>7</v>
      </c>
      <c r="G277" s="84" t="s">
        <v>57</v>
      </c>
      <c r="H277" s="84" t="s">
        <v>575</v>
      </c>
      <c r="I277" s="84"/>
      <c r="J277" s="15" t="str">
        <f>IF(E277="Invalid_Segment","Invalid",IFERROR(INDEX(Severity_Matrix!$C$3:$M$10,MATCH('Error Log'!$F277,Severity_Matrix!$B$3:$B$10,0),MATCH('Error Log'!$G277,Severity_Matrix!$C$2:$M$2,0)),"No errors"))</f>
        <v>Critical</v>
      </c>
    </row>
    <row r="278" spans="1:10">
      <c r="A278" s="79" t="s">
        <v>576</v>
      </c>
      <c r="B278" s="18">
        <v>1</v>
      </c>
      <c r="C278" s="83" t="s">
        <v>577</v>
      </c>
      <c r="D278" s="83" t="s">
        <v>578</v>
      </c>
      <c r="E278" s="84" t="s">
        <v>21</v>
      </c>
      <c r="F278" s="84" t="s">
        <v>22</v>
      </c>
      <c r="G278" s="84" t="s">
        <v>57</v>
      </c>
      <c r="H278" s="84" t="s">
        <v>579</v>
      </c>
      <c r="I278" s="84"/>
      <c r="J278" s="15" t="str">
        <f>IF(E278="Invalid_Segment","Invalid",IFERROR(INDEX(Severity_Matrix!$C$3:$M$10,MATCH('Error Log'!$F278,Severity_Matrix!$B$3:$B$10,0),MATCH('Error Log'!$G278,Severity_Matrix!$C$2:$M$2,0)),"No errors"))</f>
        <v>Major</v>
      </c>
    </row>
    <row r="279" spans="1:10">
      <c r="A279" s="79" t="s">
        <v>576</v>
      </c>
      <c r="B279" s="18">
        <v>2</v>
      </c>
      <c r="C279" s="83" t="s">
        <v>577</v>
      </c>
      <c r="D279" s="83" t="s">
        <v>578</v>
      </c>
      <c r="E279" s="84" t="s">
        <v>21</v>
      </c>
      <c r="F279" s="84" t="s">
        <v>22</v>
      </c>
      <c r="G279" s="84" t="s">
        <v>57</v>
      </c>
      <c r="H279" s="84" t="s">
        <v>580</v>
      </c>
      <c r="I279" s="84"/>
      <c r="J279" s="15" t="str">
        <f>IF(E279="Invalid_Segment","Invalid",IFERROR(INDEX(Severity_Matrix!$C$3:$M$10,MATCH('Error Log'!$F279,Severity_Matrix!$B$3:$B$10,0),MATCH('Error Log'!$G279,Severity_Matrix!$C$2:$M$2,0)),"No errors"))</f>
        <v>Major</v>
      </c>
    </row>
    <row r="280" spans="1:10">
      <c r="A280" s="79" t="s">
        <v>581</v>
      </c>
      <c r="B280" s="18">
        <v>3</v>
      </c>
      <c r="C280" s="83" t="s">
        <v>577</v>
      </c>
      <c r="D280" s="83" t="s">
        <v>578</v>
      </c>
      <c r="E280" s="84" t="s">
        <v>21</v>
      </c>
      <c r="F280" s="84" t="s">
        <v>22</v>
      </c>
      <c r="G280" s="84" t="s">
        <v>57</v>
      </c>
      <c r="H280" s="84" t="s">
        <v>582</v>
      </c>
      <c r="I280" s="84"/>
      <c r="J280" s="15" t="str">
        <f>IF(E280="Invalid_Segment","Invalid",IFERROR(INDEX(Severity_Matrix!$C$3:$M$10,MATCH('Error Log'!$F280,Severity_Matrix!$B$3:$B$10,0),MATCH('Error Log'!$G280,Severity_Matrix!$C$2:$M$2,0)),"No errors"))</f>
        <v>Major</v>
      </c>
    </row>
    <row r="281" spans="1:10">
      <c r="A281" s="79" t="s">
        <v>581</v>
      </c>
      <c r="B281" s="18">
        <v>4</v>
      </c>
      <c r="C281" s="83" t="s">
        <v>577</v>
      </c>
      <c r="D281" s="83" t="s">
        <v>578</v>
      </c>
      <c r="E281" s="84" t="s">
        <v>21</v>
      </c>
      <c r="F281" s="84" t="s">
        <v>7</v>
      </c>
      <c r="G281" s="84" t="s">
        <v>57</v>
      </c>
      <c r="H281" s="84" t="s">
        <v>583</v>
      </c>
      <c r="I281" s="84"/>
      <c r="J281" s="15" t="str">
        <f>IF(E281="Invalid_Segment","Invalid",IFERROR(INDEX(Severity_Matrix!$C$3:$M$10,MATCH('Error Log'!$F281,Severity_Matrix!$B$3:$B$10,0),MATCH('Error Log'!$G281,Severity_Matrix!$C$2:$M$2,0)),"No errors"))</f>
        <v>Critical</v>
      </c>
    </row>
    <row r="282" spans="1:10">
      <c r="A282" s="79" t="s">
        <v>581</v>
      </c>
      <c r="B282" s="18">
        <v>5</v>
      </c>
      <c r="C282" s="83" t="s">
        <v>577</v>
      </c>
      <c r="D282" s="83" t="s">
        <v>578</v>
      </c>
      <c r="E282" s="84" t="s">
        <v>21</v>
      </c>
      <c r="F282" s="84" t="s">
        <v>7</v>
      </c>
      <c r="G282" s="84" t="s">
        <v>57</v>
      </c>
      <c r="H282" s="84" t="s">
        <v>584</v>
      </c>
      <c r="I282" s="84"/>
      <c r="J282" s="15" t="str">
        <f>IF(E282="Invalid_Segment","Invalid",IFERROR(INDEX(Severity_Matrix!$C$3:$M$10,MATCH('Error Log'!$F282,Severity_Matrix!$B$3:$B$10,0),MATCH('Error Log'!$G282,Severity_Matrix!$C$2:$M$2,0)),"No errors"))</f>
        <v>Critical</v>
      </c>
    </row>
    <row r="283" spans="1:10">
      <c r="A283" s="79" t="s">
        <v>585</v>
      </c>
      <c r="B283" s="18">
        <v>1</v>
      </c>
      <c r="C283" s="83" t="s">
        <v>586</v>
      </c>
      <c r="D283" s="83" t="s">
        <v>587</v>
      </c>
      <c r="E283" s="84" t="s">
        <v>21</v>
      </c>
      <c r="F283" s="84" t="s">
        <v>22</v>
      </c>
      <c r="G283" s="84" t="s">
        <v>57</v>
      </c>
      <c r="H283" s="88" t="s">
        <v>588</v>
      </c>
      <c r="I283" s="84"/>
      <c r="J283" s="15" t="str">
        <f>IF(E283="Invalid_Segment","Invalid",IFERROR(INDEX(Severity_Matrix!$C$3:$M$10,MATCH('Error Log'!$F283,Severity_Matrix!$B$3:$B$10,0),MATCH('Error Log'!$G283,Severity_Matrix!$C$2:$M$2,0)),"No errors"))</f>
        <v>Major</v>
      </c>
    </row>
    <row r="284" spans="1:10">
      <c r="A284" s="79" t="s">
        <v>585</v>
      </c>
      <c r="B284" s="18">
        <v>2</v>
      </c>
      <c r="C284" s="83" t="s">
        <v>586</v>
      </c>
      <c r="D284" s="83" t="s">
        <v>587</v>
      </c>
      <c r="E284" s="84" t="s">
        <v>21</v>
      </c>
      <c r="F284" s="84" t="s">
        <v>22</v>
      </c>
      <c r="G284" s="84" t="s">
        <v>57</v>
      </c>
      <c r="H284" s="84" t="s">
        <v>589</v>
      </c>
      <c r="I284" s="84"/>
      <c r="J284" s="15" t="str">
        <f>IF(E284="Invalid_Segment","Invalid",IFERROR(INDEX(Severity_Matrix!$C$3:$M$10,MATCH('Error Log'!$F284,Severity_Matrix!$B$3:$B$10,0),MATCH('Error Log'!$G284,Severity_Matrix!$C$2:$M$2,0)),"No errors"))</f>
        <v>Major</v>
      </c>
    </row>
    <row r="285" spans="1:10">
      <c r="A285" s="79" t="s">
        <v>590</v>
      </c>
      <c r="B285" s="18">
        <v>3</v>
      </c>
      <c r="C285" s="83" t="s">
        <v>586</v>
      </c>
      <c r="D285" s="83" t="s">
        <v>587</v>
      </c>
      <c r="E285" s="84" t="s">
        <v>21</v>
      </c>
      <c r="F285" s="84" t="s">
        <v>22</v>
      </c>
      <c r="G285" s="84" t="s">
        <v>57</v>
      </c>
      <c r="H285" s="84" t="s">
        <v>591</v>
      </c>
      <c r="I285" s="84"/>
      <c r="J285" s="15" t="str">
        <f>IF(E285="Invalid_Segment","Invalid",IFERROR(INDEX(Severity_Matrix!$C$3:$M$10,MATCH('Error Log'!$F285,Severity_Matrix!$B$3:$B$10,0),MATCH('Error Log'!$G285,Severity_Matrix!$C$2:$M$2,0)),"No errors"))</f>
        <v>Major</v>
      </c>
    </row>
    <row r="286" spans="1:10">
      <c r="A286" s="79" t="s">
        <v>590</v>
      </c>
      <c r="B286" s="18">
        <v>4</v>
      </c>
      <c r="C286" s="83" t="s">
        <v>586</v>
      </c>
      <c r="D286" s="83" t="s">
        <v>587</v>
      </c>
      <c r="E286" s="84" t="s">
        <v>21</v>
      </c>
      <c r="F286" s="84" t="s">
        <v>7</v>
      </c>
      <c r="G286" s="84" t="s">
        <v>57</v>
      </c>
      <c r="H286" s="84" t="s">
        <v>592</v>
      </c>
      <c r="I286" s="84"/>
      <c r="J286" s="15" t="str">
        <f>IF(E286="Invalid_Segment","Invalid",IFERROR(INDEX(Severity_Matrix!$C$3:$M$10,MATCH('Error Log'!$F286,Severity_Matrix!$B$3:$B$10,0),MATCH('Error Log'!$G286,Severity_Matrix!$C$2:$M$2,0)),"No errors"))</f>
        <v>Critical</v>
      </c>
    </row>
    <row r="287" spans="1:10">
      <c r="A287" s="79" t="s">
        <v>590</v>
      </c>
      <c r="B287" s="18">
        <v>5</v>
      </c>
      <c r="C287" s="83" t="s">
        <v>586</v>
      </c>
      <c r="D287" s="83" t="s">
        <v>587</v>
      </c>
      <c r="E287" s="84" t="s">
        <v>21</v>
      </c>
      <c r="F287" s="84" t="s">
        <v>7</v>
      </c>
      <c r="G287" s="84" t="s">
        <v>57</v>
      </c>
      <c r="H287" s="84" t="s">
        <v>593</v>
      </c>
      <c r="I287" s="84"/>
      <c r="J287" s="15" t="str">
        <f>IF(E287="Invalid_Segment","Invalid",IFERROR(INDEX(Severity_Matrix!$C$3:$M$10,MATCH('Error Log'!$F287,Severity_Matrix!$B$3:$B$10,0),MATCH('Error Log'!$G287,Severity_Matrix!$C$2:$M$2,0)),"No errors"))</f>
        <v>Critical</v>
      </c>
    </row>
    <row r="288" spans="1:10">
      <c r="A288" s="79" t="s">
        <v>590</v>
      </c>
      <c r="B288" s="18">
        <v>6</v>
      </c>
      <c r="C288" s="83" t="s">
        <v>586</v>
      </c>
      <c r="D288" s="83" t="s">
        <v>587</v>
      </c>
      <c r="E288" s="84" t="s">
        <v>21</v>
      </c>
      <c r="F288" s="84" t="s">
        <v>7</v>
      </c>
      <c r="G288" s="84" t="s">
        <v>57</v>
      </c>
      <c r="H288" s="84" t="s">
        <v>594</v>
      </c>
      <c r="I288" s="84"/>
      <c r="J288" s="15" t="str">
        <f>IF(E288="Invalid_Segment","Invalid",IFERROR(INDEX(Severity_Matrix!$C$3:$M$10,MATCH('Error Log'!$F288,Severity_Matrix!$B$3:$B$10,0),MATCH('Error Log'!$G288,Severity_Matrix!$C$2:$M$2,0)),"No errors"))</f>
        <v>Critical</v>
      </c>
    </row>
    <row r="289" spans="1:10">
      <c r="A289" s="79" t="s">
        <v>590</v>
      </c>
      <c r="B289" s="18">
        <v>7</v>
      </c>
      <c r="C289" s="83" t="s">
        <v>586</v>
      </c>
      <c r="D289" s="83" t="s">
        <v>587</v>
      </c>
      <c r="E289" s="84" t="s">
        <v>21</v>
      </c>
      <c r="F289" s="84" t="s">
        <v>7</v>
      </c>
      <c r="G289" s="84" t="s">
        <v>57</v>
      </c>
      <c r="H289" s="84" t="s">
        <v>595</v>
      </c>
      <c r="I289" s="84"/>
      <c r="J289" s="15" t="str">
        <f>IF(E289="Invalid_Segment","Invalid",IFERROR(INDEX(Severity_Matrix!$C$3:$M$10,MATCH('Error Log'!$F289,Severity_Matrix!$B$3:$B$10,0),MATCH('Error Log'!$G289,Severity_Matrix!$C$2:$M$2,0)),"No errors"))</f>
        <v>Critical</v>
      </c>
    </row>
    <row r="290" spans="1:10">
      <c r="A290" s="79" t="s">
        <v>596</v>
      </c>
      <c r="B290" s="18">
        <v>1</v>
      </c>
      <c r="C290" s="83" t="s">
        <v>597</v>
      </c>
      <c r="D290" s="83" t="s">
        <v>598</v>
      </c>
      <c r="E290" s="84" t="s">
        <v>21</v>
      </c>
      <c r="F290" s="84" t="s">
        <v>22</v>
      </c>
      <c r="G290" s="84" t="s">
        <v>57</v>
      </c>
      <c r="H290" s="84" t="s">
        <v>599</v>
      </c>
      <c r="I290" s="84"/>
      <c r="J290" s="15" t="str">
        <f>IF(E290="Invalid_Segment","Invalid",IFERROR(INDEX(Severity_Matrix!$C$3:$M$10,MATCH('Error Log'!$F290,Severity_Matrix!$B$3:$B$10,0),MATCH('Error Log'!$G290,Severity_Matrix!$C$2:$M$2,0)),"No errors"))</f>
        <v>Major</v>
      </c>
    </row>
    <row r="291" spans="1:10">
      <c r="A291" s="79" t="s">
        <v>596</v>
      </c>
      <c r="B291" s="18">
        <v>2</v>
      </c>
      <c r="C291" s="83" t="s">
        <v>597</v>
      </c>
      <c r="D291" s="83" t="s">
        <v>598</v>
      </c>
      <c r="E291" s="84" t="s">
        <v>21</v>
      </c>
      <c r="F291" s="84" t="s">
        <v>22</v>
      </c>
      <c r="G291" s="84" t="s">
        <v>57</v>
      </c>
      <c r="H291" s="84" t="s">
        <v>600</v>
      </c>
      <c r="I291" s="84"/>
      <c r="J291" s="15" t="str">
        <f>IF(E291="Invalid_Segment","Invalid",IFERROR(INDEX(Severity_Matrix!$C$3:$M$10,MATCH('Error Log'!$F291,Severity_Matrix!$B$3:$B$10,0),MATCH('Error Log'!$G291,Severity_Matrix!$C$2:$M$2,0)),"No errors"))</f>
        <v>Major</v>
      </c>
    </row>
    <row r="292" spans="1:10">
      <c r="A292" s="79" t="s">
        <v>601</v>
      </c>
      <c r="B292" s="18">
        <v>3</v>
      </c>
      <c r="C292" s="83" t="s">
        <v>597</v>
      </c>
      <c r="D292" s="83" t="s">
        <v>598</v>
      </c>
      <c r="E292" s="84" t="s">
        <v>21</v>
      </c>
      <c r="F292" s="84" t="s">
        <v>22</v>
      </c>
      <c r="G292" s="84" t="s">
        <v>57</v>
      </c>
      <c r="H292" s="84" t="s">
        <v>602</v>
      </c>
      <c r="I292" s="84"/>
      <c r="J292" s="15" t="str">
        <f>IF(E292="Invalid_Segment","Invalid",IFERROR(INDEX(Severity_Matrix!$C$3:$M$10,MATCH('Error Log'!$F292,Severity_Matrix!$B$3:$B$10,0),MATCH('Error Log'!$G292,Severity_Matrix!$C$2:$M$2,0)),"No errors"))</f>
        <v>Major</v>
      </c>
    </row>
    <row r="293" spans="1:10">
      <c r="A293" s="79" t="s">
        <v>601</v>
      </c>
      <c r="B293" s="18">
        <v>4</v>
      </c>
      <c r="C293" s="83" t="s">
        <v>597</v>
      </c>
      <c r="D293" s="83" t="s">
        <v>598</v>
      </c>
      <c r="E293" s="84" t="s">
        <v>21</v>
      </c>
      <c r="F293" s="84" t="s">
        <v>7</v>
      </c>
      <c r="G293" s="84" t="s">
        <v>57</v>
      </c>
      <c r="H293" s="84" t="s">
        <v>603</v>
      </c>
      <c r="I293" s="84"/>
      <c r="J293" s="15" t="str">
        <f>IF(E293="Invalid_Segment","Invalid",IFERROR(INDEX(Severity_Matrix!$C$3:$M$10,MATCH('Error Log'!$F293,Severity_Matrix!$B$3:$B$10,0),MATCH('Error Log'!$G293,Severity_Matrix!$C$2:$M$2,0)),"No errors"))</f>
        <v>Critical</v>
      </c>
    </row>
    <row r="294" spans="1:10">
      <c r="A294" s="79" t="s">
        <v>601</v>
      </c>
      <c r="B294" s="18">
        <v>5</v>
      </c>
      <c r="C294" s="83" t="s">
        <v>597</v>
      </c>
      <c r="D294" s="83" t="s">
        <v>598</v>
      </c>
      <c r="E294" s="84" t="s">
        <v>21</v>
      </c>
      <c r="F294" s="84" t="s">
        <v>7</v>
      </c>
      <c r="G294" s="84" t="s">
        <v>57</v>
      </c>
      <c r="H294" s="84" t="s">
        <v>604</v>
      </c>
      <c r="I294" s="84"/>
      <c r="J294" s="15" t="str">
        <f>IF(E294="Invalid_Segment","Invalid",IFERROR(INDEX(Severity_Matrix!$C$3:$M$10,MATCH('Error Log'!$F294,Severity_Matrix!$B$3:$B$10,0),MATCH('Error Log'!$G294,Severity_Matrix!$C$2:$M$2,0)),"No errors"))</f>
        <v>Critical</v>
      </c>
    </row>
    <row r="295" spans="1:10">
      <c r="A295" s="79" t="s">
        <v>601</v>
      </c>
      <c r="B295" s="18">
        <v>6</v>
      </c>
      <c r="C295" s="83" t="s">
        <v>597</v>
      </c>
      <c r="D295" s="83" t="s">
        <v>598</v>
      </c>
      <c r="E295" s="84" t="s">
        <v>21</v>
      </c>
      <c r="F295" s="84" t="s">
        <v>7</v>
      </c>
      <c r="G295" s="84" t="s">
        <v>57</v>
      </c>
      <c r="H295" s="84" t="s">
        <v>605</v>
      </c>
      <c r="I295" s="84"/>
      <c r="J295" s="15" t="str">
        <f>IF(E295="Invalid_Segment","Invalid",IFERROR(INDEX(Severity_Matrix!$C$3:$M$10,MATCH('Error Log'!$F295,Severity_Matrix!$B$3:$B$10,0),MATCH('Error Log'!$G295,Severity_Matrix!$C$2:$M$2,0)),"No errors"))</f>
        <v>Critical</v>
      </c>
    </row>
    <row r="296" spans="1:10">
      <c r="A296" s="79" t="s">
        <v>606</v>
      </c>
      <c r="B296" s="18">
        <v>1</v>
      </c>
      <c r="C296" s="83" t="s">
        <v>607</v>
      </c>
      <c r="D296" s="83" t="s">
        <v>608</v>
      </c>
      <c r="E296" s="84" t="s">
        <v>21</v>
      </c>
      <c r="F296" s="84" t="s">
        <v>22</v>
      </c>
      <c r="G296" s="84" t="s">
        <v>57</v>
      </c>
      <c r="H296" s="84" t="s">
        <v>609</v>
      </c>
      <c r="I296" s="84"/>
      <c r="J296" s="15" t="str">
        <f>IF(E296="Invalid_Segment","Invalid",IFERROR(INDEX(Severity_Matrix!$C$3:$M$10,MATCH('Error Log'!$F296,Severity_Matrix!$B$3:$B$10,0),MATCH('Error Log'!$G296,Severity_Matrix!$C$2:$M$2,0)),"No errors"))</f>
        <v>Major</v>
      </c>
    </row>
    <row r="297" spans="1:10">
      <c r="A297" s="79" t="s">
        <v>606</v>
      </c>
      <c r="B297" s="18">
        <v>2</v>
      </c>
      <c r="C297" s="83" t="s">
        <v>607</v>
      </c>
      <c r="D297" s="83" t="s">
        <v>608</v>
      </c>
      <c r="E297" s="84" t="s">
        <v>21</v>
      </c>
      <c r="F297" s="84" t="s">
        <v>22</v>
      </c>
      <c r="G297" s="84" t="s">
        <v>57</v>
      </c>
      <c r="H297" s="84" t="s">
        <v>610</v>
      </c>
      <c r="I297" s="84"/>
      <c r="J297" s="15" t="str">
        <f>IF(E297="Invalid_Segment","Invalid",IFERROR(INDEX(Severity_Matrix!$C$3:$M$10,MATCH('Error Log'!$F297,Severity_Matrix!$B$3:$B$10,0),MATCH('Error Log'!$G297,Severity_Matrix!$C$2:$M$2,0)),"No errors"))</f>
        <v>Major</v>
      </c>
    </row>
    <row r="298" spans="1:10">
      <c r="A298" s="79" t="s">
        <v>611</v>
      </c>
      <c r="B298" s="18">
        <v>3</v>
      </c>
      <c r="C298" s="83" t="s">
        <v>607</v>
      </c>
      <c r="D298" s="83" t="s">
        <v>608</v>
      </c>
      <c r="E298" s="84" t="s">
        <v>21</v>
      </c>
      <c r="F298" s="84" t="s">
        <v>22</v>
      </c>
      <c r="G298" s="84" t="s">
        <v>57</v>
      </c>
      <c r="H298" s="84" t="s">
        <v>612</v>
      </c>
      <c r="I298" s="84"/>
      <c r="J298" s="15" t="str">
        <f>IF(E298="Invalid_Segment","Invalid",IFERROR(INDEX(Severity_Matrix!$C$3:$M$10,MATCH('Error Log'!$F298,Severity_Matrix!$B$3:$B$10,0),MATCH('Error Log'!$G298,Severity_Matrix!$C$2:$M$2,0)),"No errors"))</f>
        <v>Major</v>
      </c>
    </row>
    <row r="299" spans="1:10">
      <c r="A299" s="79" t="s">
        <v>611</v>
      </c>
      <c r="B299" s="18">
        <v>4</v>
      </c>
      <c r="C299" s="83" t="s">
        <v>607</v>
      </c>
      <c r="D299" s="83" t="s">
        <v>608</v>
      </c>
      <c r="E299" s="84" t="s">
        <v>21</v>
      </c>
      <c r="F299" s="84" t="s">
        <v>7</v>
      </c>
      <c r="G299" s="84" t="s">
        <v>57</v>
      </c>
      <c r="H299" s="84" t="s">
        <v>613</v>
      </c>
      <c r="I299" s="84"/>
      <c r="J299" s="15" t="str">
        <f>IF(E299="Invalid_Segment","Invalid",IFERROR(INDEX(Severity_Matrix!$C$3:$M$10,MATCH('Error Log'!$F299,Severity_Matrix!$B$3:$B$10,0),MATCH('Error Log'!$G299,Severity_Matrix!$C$2:$M$2,0)),"No errors"))</f>
        <v>Critical</v>
      </c>
    </row>
    <row r="300" spans="1:10">
      <c r="A300" s="79" t="s">
        <v>611</v>
      </c>
      <c r="B300" s="18">
        <v>5</v>
      </c>
      <c r="C300" s="83" t="s">
        <v>607</v>
      </c>
      <c r="D300" s="83" t="s">
        <v>608</v>
      </c>
      <c r="E300" s="84" t="s">
        <v>21</v>
      </c>
      <c r="F300" s="84" t="s">
        <v>7</v>
      </c>
      <c r="G300" s="84" t="s">
        <v>57</v>
      </c>
      <c r="H300" s="84" t="s">
        <v>614</v>
      </c>
      <c r="I300" s="84"/>
      <c r="J300" s="15" t="str">
        <f>IF(E300="Invalid_Segment","Invalid",IFERROR(INDEX(Severity_Matrix!$C$3:$M$10,MATCH('Error Log'!$F300,Severity_Matrix!$B$3:$B$10,0),MATCH('Error Log'!$G300,Severity_Matrix!$C$2:$M$2,0)),"No errors"))</f>
        <v>Critical</v>
      </c>
    </row>
    <row r="301" spans="1:10">
      <c r="A301" s="79" t="s">
        <v>611</v>
      </c>
      <c r="B301" s="18">
        <v>6</v>
      </c>
      <c r="C301" s="83" t="s">
        <v>607</v>
      </c>
      <c r="D301" s="83" t="s">
        <v>608</v>
      </c>
      <c r="E301" s="84" t="s">
        <v>21</v>
      </c>
      <c r="F301" s="84" t="s">
        <v>7</v>
      </c>
      <c r="G301" s="84" t="s">
        <v>57</v>
      </c>
      <c r="H301" s="84" t="s">
        <v>615</v>
      </c>
      <c r="I301" s="84"/>
      <c r="J301" s="15" t="str">
        <f>IF(E301="Invalid_Segment","Invalid",IFERROR(INDEX(Severity_Matrix!$C$3:$M$10,MATCH('Error Log'!$F301,Severity_Matrix!$B$3:$B$10,0),MATCH('Error Log'!$G301,Severity_Matrix!$C$2:$M$2,0)),"No errors"))</f>
        <v>Critical</v>
      </c>
    </row>
    <row r="302" spans="1:10">
      <c r="A302" s="79" t="s">
        <v>611</v>
      </c>
      <c r="B302" s="18">
        <v>7</v>
      </c>
      <c r="C302" s="83" t="s">
        <v>607</v>
      </c>
      <c r="D302" s="83" t="s">
        <v>608</v>
      </c>
      <c r="E302" s="84" t="s">
        <v>21</v>
      </c>
      <c r="F302" s="84" t="s">
        <v>7</v>
      </c>
      <c r="G302" s="84" t="s">
        <v>57</v>
      </c>
      <c r="H302" s="84" t="s">
        <v>616</v>
      </c>
      <c r="I302" s="84"/>
      <c r="J302" s="15" t="str">
        <f>IF(E302="Invalid_Segment","Invalid",IFERROR(INDEX(Severity_Matrix!$C$3:$M$10,MATCH('Error Log'!$F302,Severity_Matrix!$B$3:$B$10,0),MATCH('Error Log'!$G302,Severity_Matrix!$C$2:$M$2,0)),"No errors"))</f>
        <v>Critical</v>
      </c>
    </row>
    <row r="303" spans="1:10">
      <c r="A303" s="79" t="s">
        <v>617</v>
      </c>
      <c r="B303" s="18">
        <v>1</v>
      </c>
      <c r="C303" s="83" t="s">
        <v>618</v>
      </c>
      <c r="D303" s="83" t="s">
        <v>619</v>
      </c>
      <c r="E303" s="84" t="s">
        <v>21</v>
      </c>
      <c r="F303" s="84" t="s">
        <v>22</v>
      </c>
      <c r="G303" s="84" t="s">
        <v>28</v>
      </c>
      <c r="H303" s="84" t="s">
        <v>620</v>
      </c>
      <c r="I303" s="84"/>
      <c r="J303" s="15" t="str">
        <f>IF(E303="Invalid_Segment","Invalid",IFERROR(INDEX(Severity_Matrix!$C$3:$M$10,MATCH('Error Log'!$F303,Severity_Matrix!$B$3:$B$10,0),MATCH('Error Log'!$G303,Severity_Matrix!$C$2:$M$2,0)),"No errors"))</f>
        <v>Major</v>
      </c>
    </row>
    <row r="304" spans="1:10">
      <c r="A304" s="79" t="s">
        <v>617</v>
      </c>
      <c r="B304" s="18">
        <v>2</v>
      </c>
      <c r="C304" s="83" t="s">
        <v>618</v>
      </c>
      <c r="D304" s="83" t="s">
        <v>619</v>
      </c>
      <c r="E304" s="84" t="s">
        <v>21</v>
      </c>
      <c r="F304" s="84" t="s">
        <v>22</v>
      </c>
      <c r="G304" s="84" t="s">
        <v>28</v>
      </c>
      <c r="H304" s="84" t="s">
        <v>621</v>
      </c>
      <c r="I304" s="84"/>
      <c r="J304" s="15" t="str">
        <f>IF(E304="Invalid_Segment","Invalid",IFERROR(INDEX(Severity_Matrix!$C$3:$M$10,MATCH('Error Log'!$F304,Severity_Matrix!$B$3:$B$10,0),MATCH('Error Log'!$G304,Severity_Matrix!$C$2:$M$2,0)),"No errors"))</f>
        <v>Major</v>
      </c>
    </row>
    <row r="305" spans="1:10">
      <c r="A305" s="79" t="s">
        <v>622</v>
      </c>
      <c r="B305" s="18">
        <v>3</v>
      </c>
      <c r="C305" s="83" t="s">
        <v>618</v>
      </c>
      <c r="D305" s="83" t="s">
        <v>619</v>
      </c>
      <c r="E305" s="84" t="s">
        <v>21</v>
      </c>
      <c r="F305" s="84" t="s">
        <v>22</v>
      </c>
      <c r="G305" s="84" t="s">
        <v>28</v>
      </c>
      <c r="H305" s="84" t="s">
        <v>623</v>
      </c>
      <c r="I305" s="84"/>
      <c r="J305" s="15" t="str">
        <f>IF(E305="Invalid_Segment","Invalid",IFERROR(INDEX(Severity_Matrix!$C$3:$M$10,MATCH('Error Log'!$F305,Severity_Matrix!$B$3:$B$10,0),MATCH('Error Log'!$G305,Severity_Matrix!$C$2:$M$2,0)),"No errors"))</f>
        <v>Major</v>
      </c>
    </row>
    <row r="306" spans="1:10">
      <c r="A306" s="79" t="s">
        <v>622</v>
      </c>
      <c r="B306" s="18">
        <v>4</v>
      </c>
      <c r="C306" s="83" t="s">
        <v>618</v>
      </c>
      <c r="D306" s="83" t="s">
        <v>619</v>
      </c>
      <c r="E306" s="84" t="s">
        <v>21</v>
      </c>
      <c r="F306" s="84" t="s">
        <v>22</v>
      </c>
      <c r="G306" s="84" t="s">
        <v>28</v>
      </c>
      <c r="H306" s="84" t="s">
        <v>624</v>
      </c>
      <c r="I306" s="84"/>
      <c r="J306" s="15" t="str">
        <f>IF(E306="Invalid_Segment","Invalid",IFERROR(INDEX(Severity_Matrix!$C$3:$M$10,MATCH('Error Log'!$F306,Severity_Matrix!$B$3:$B$10,0),MATCH('Error Log'!$G306,Severity_Matrix!$C$2:$M$2,0)),"No errors"))</f>
        <v>Major</v>
      </c>
    </row>
    <row r="307" spans="1:10">
      <c r="A307" s="79" t="s">
        <v>622</v>
      </c>
      <c r="B307" s="18">
        <v>5</v>
      </c>
      <c r="C307" s="83" t="s">
        <v>618</v>
      </c>
      <c r="D307" s="83" t="s">
        <v>619</v>
      </c>
      <c r="E307" s="84" t="s">
        <v>21</v>
      </c>
      <c r="F307" s="84" t="s">
        <v>22</v>
      </c>
      <c r="G307" s="84" t="s">
        <v>57</v>
      </c>
      <c r="H307" s="84" t="s">
        <v>625</v>
      </c>
      <c r="I307" s="84"/>
      <c r="J307" s="15" t="str">
        <f>IF(E307="Invalid_Segment","Invalid",IFERROR(INDEX(Severity_Matrix!$C$3:$M$10,MATCH('Error Log'!$F307,Severity_Matrix!$B$3:$B$10,0),MATCH('Error Log'!$G307,Severity_Matrix!$C$2:$M$2,0)),"No errors"))</f>
        <v>Major</v>
      </c>
    </row>
    <row r="308" spans="1:10">
      <c r="A308" s="79" t="s">
        <v>622</v>
      </c>
      <c r="B308" s="18">
        <v>6</v>
      </c>
      <c r="C308" s="83" t="s">
        <v>618</v>
      </c>
      <c r="D308" s="83" t="s">
        <v>619</v>
      </c>
      <c r="E308" s="84" t="s">
        <v>21</v>
      </c>
      <c r="F308" s="84" t="s">
        <v>7</v>
      </c>
      <c r="G308" s="84" t="s">
        <v>57</v>
      </c>
      <c r="H308" s="84" t="s">
        <v>626</v>
      </c>
      <c r="I308" s="84"/>
      <c r="J308" s="15" t="str">
        <f>IF(E308="Invalid_Segment","Invalid",IFERROR(INDEX(Severity_Matrix!$C$3:$M$10,MATCH('Error Log'!$F308,Severity_Matrix!$B$3:$B$10,0),MATCH('Error Log'!$G308,Severity_Matrix!$C$2:$M$2,0)),"No errors"))</f>
        <v>Critical</v>
      </c>
    </row>
    <row r="309" spans="1:10">
      <c r="A309" s="78" t="s">
        <v>627</v>
      </c>
      <c r="B309" s="18">
        <v>1</v>
      </c>
      <c r="C309" s="78" t="s">
        <v>628</v>
      </c>
      <c r="D309" s="78" t="s">
        <v>629</v>
      </c>
      <c r="E309" s="84" t="s">
        <v>21</v>
      </c>
      <c r="F309" s="84" t="s">
        <v>22</v>
      </c>
      <c r="G309" s="84" t="s">
        <v>57</v>
      </c>
      <c r="H309" s="84" t="s">
        <v>630</v>
      </c>
      <c r="I309" s="84"/>
      <c r="J309" s="15" t="str">
        <f>IF(E309="Invalid_Segment","Invalid",IFERROR(INDEX(Severity_Matrix!$C$3:$M$10,MATCH('Error Log'!$F309,Severity_Matrix!$B$3:$B$10,0),MATCH('Error Log'!$G309,Severity_Matrix!$C$2:$M$2,0)),"No errors"))</f>
        <v>Major</v>
      </c>
    </row>
    <row r="310" spans="1:10">
      <c r="A310" s="78" t="s">
        <v>627</v>
      </c>
      <c r="B310" s="18">
        <v>2</v>
      </c>
      <c r="C310" s="78" t="s">
        <v>631</v>
      </c>
      <c r="D310" s="78" t="s">
        <v>632</v>
      </c>
      <c r="E310" s="84" t="s">
        <v>21</v>
      </c>
      <c r="F310" s="84" t="s">
        <v>7</v>
      </c>
      <c r="G310" s="84" t="s">
        <v>28</v>
      </c>
      <c r="H310" s="84" t="s">
        <v>633</v>
      </c>
      <c r="I310" s="84"/>
      <c r="J310" s="15" t="str">
        <f>IF(E310="Invalid_Segment","Invalid",IFERROR(INDEX(Severity_Matrix!$C$3:$M$10,MATCH('Error Log'!$F310,Severity_Matrix!$B$3:$B$10,0),MATCH('Error Log'!$G310,Severity_Matrix!$C$2:$M$2,0)),"No errors"))</f>
        <v>Major</v>
      </c>
    </row>
    <row r="311" spans="1:10">
      <c r="A311" s="78" t="s">
        <v>634</v>
      </c>
      <c r="B311" s="18">
        <v>3</v>
      </c>
      <c r="C311" s="78" t="s">
        <v>635</v>
      </c>
      <c r="D311" s="78" t="s">
        <v>636</v>
      </c>
      <c r="E311" s="84" t="s">
        <v>21</v>
      </c>
      <c r="F311" s="84" t="s">
        <v>7</v>
      </c>
      <c r="G311" s="84" t="s">
        <v>57</v>
      </c>
      <c r="H311" s="84" t="s">
        <v>637</v>
      </c>
      <c r="I311" s="84"/>
      <c r="J311" s="15" t="str">
        <f>IF(E311="Invalid_Segment","Invalid",IFERROR(INDEX(Severity_Matrix!$C$3:$M$10,MATCH('Error Log'!$F311,Severity_Matrix!$B$3:$B$10,0),MATCH('Error Log'!$G311,Severity_Matrix!$C$2:$M$2,0)),"No errors"))</f>
        <v>Critical</v>
      </c>
    </row>
    <row r="312" spans="1:10">
      <c r="A312" s="78" t="s">
        <v>638</v>
      </c>
      <c r="B312" s="18">
        <v>1</v>
      </c>
      <c r="C312" s="78" t="s">
        <v>639</v>
      </c>
      <c r="D312" s="78" t="s">
        <v>640</v>
      </c>
      <c r="E312" s="84" t="s">
        <v>21</v>
      </c>
      <c r="F312" s="84" t="s">
        <v>22</v>
      </c>
      <c r="G312" s="84" t="s">
        <v>57</v>
      </c>
      <c r="H312" s="84" t="s">
        <v>641</v>
      </c>
      <c r="I312" s="84"/>
      <c r="J312" s="15" t="str">
        <f>IF(E312="Invalid_Segment","Invalid",IFERROR(INDEX(Severity_Matrix!$C$3:$M$10,MATCH('Error Log'!$F312,Severity_Matrix!$B$3:$B$10,0),MATCH('Error Log'!$G312,Severity_Matrix!$C$2:$M$2,0)),"No errors"))</f>
        <v>Major</v>
      </c>
    </row>
    <row r="313" spans="1:10">
      <c r="A313" s="78" t="s">
        <v>638</v>
      </c>
      <c r="B313" s="18">
        <v>2</v>
      </c>
      <c r="C313" s="78" t="s">
        <v>642</v>
      </c>
      <c r="D313" s="78" t="s">
        <v>640</v>
      </c>
      <c r="E313" s="84" t="s">
        <v>21</v>
      </c>
      <c r="F313" s="84" t="s">
        <v>22</v>
      </c>
      <c r="G313" s="84" t="s">
        <v>57</v>
      </c>
      <c r="H313" s="84" t="s">
        <v>643</v>
      </c>
      <c r="I313" s="84"/>
      <c r="J313" s="15" t="str">
        <f>IF(E313="Invalid_Segment","Invalid",IFERROR(INDEX(Severity_Matrix!$C$3:$M$10,MATCH('Error Log'!$F313,Severity_Matrix!$B$3:$B$10,0),MATCH('Error Log'!$G313,Severity_Matrix!$C$2:$M$2,0)),"No errors"))</f>
        <v>Major</v>
      </c>
    </row>
    <row r="314" spans="1:10">
      <c r="A314" s="78" t="s">
        <v>644</v>
      </c>
      <c r="B314" s="18">
        <v>3</v>
      </c>
      <c r="C314" s="78" t="s">
        <v>645</v>
      </c>
      <c r="D314" s="78" t="s">
        <v>640</v>
      </c>
      <c r="E314" s="84" t="s">
        <v>21</v>
      </c>
      <c r="F314" s="84" t="s">
        <v>22</v>
      </c>
      <c r="G314" s="84" t="s">
        <v>57</v>
      </c>
      <c r="H314" s="84" t="s">
        <v>646</v>
      </c>
      <c r="I314" s="84"/>
      <c r="J314" s="15" t="str">
        <f>IF(E314="Invalid_Segment","Invalid",IFERROR(INDEX(Severity_Matrix!$C$3:$M$10,MATCH('Error Log'!$F314,Severity_Matrix!$B$3:$B$10,0),MATCH('Error Log'!$G314,Severity_Matrix!$C$2:$M$2,0)),"No errors"))</f>
        <v>Major</v>
      </c>
    </row>
    <row r="315" spans="1:10">
      <c r="A315" s="78" t="s">
        <v>644</v>
      </c>
      <c r="B315" s="18">
        <v>4</v>
      </c>
      <c r="C315" s="78" t="s">
        <v>647</v>
      </c>
      <c r="D315" s="78" t="s">
        <v>640</v>
      </c>
      <c r="E315" s="84" t="s">
        <v>21</v>
      </c>
      <c r="F315" s="84" t="s">
        <v>7</v>
      </c>
      <c r="G315" s="84" t="s">
        <v>57</v>
      </c>
      <c r="H315" s="84" t="s">
        <v>648</v>
      </c>
      <c r="I315" s="84"/>
      <c r="J315" s="15" t="str">
        <f>IF(E315="Invalid_Segment","Invalid",IFERROR(INDEX(Severity_Matrix!$C$3:$M$10,MATCH('Error Log'!$F315,Severity_Matrix!$B$3:$B$10,0),MATCH('Error Log'!$G315,Severity_Matrix!$C$2:$M$2,0)),"No errors"))</f>
        <v>Critical</v>
      </c>
    </row>
    <row r="316" spans="1:10">
      <c r="A316" s="78" t="s">
        <v>644</v>
      </c>
      <c r="B316" s="18">
        <v>5</v>
      </c>
      <c r="C316" s="78" t="s">
        <v>649</v>
      </c>
      <c r="D316" s="78" t="s">
        <v>640</v>
      </c>
      <c r="E316" s="84" t="s">
        <v>21</v>
      </c>
      <c r="F316" s="84" t="s">
        <v>7</v>
      </c>
      <c r="G316" s="84" t="s">
        <v>57</v>
      </c>
      <c r="H316" s="84" t="s">
        <v>650</v>
      </c>
      <c r="I316" s="84"/>
      <c r="J316" s="15" t="str">
        <f>IF(E316="Invalid_Segment","Invalid",IFERROR(INDEX(Severity_Matrix!$C$3:$M$10,MATCH('Error Log'!$F316,Severity_Matrix!$B$3:$B$10,0),MATCH('Error Log'!$G316,Severity_Matrix!$C$2:$M$2,0)),"No errors"))</f>
        <v>Critical</v>
      </c>
    </row>
    <row r="317" spans="1:10">
      <c r="A317" s="78" t="s">
        <v>644</v>
      </c>
      <c r="B317" s="18">
        <v>6</v>
      </c>
      <c r="C317" s="78" t="s">
        <v>651</v>
      </c>
      <c r="D317" s="78" t="s">
        <v>640</v>
      </c>
      <c r="E317" s="84" t="s">
        <v>21</v>
      </c>
      <c r="F317" s="84" t="s">
        <v>7</v>
      </c>
      <c r="G317" s="84" t="s">
        <v>57</v>
      </c>
      <c r="H317" s="84" t="s">
        <v>652</v>
      </c>
      <c r="I317" s="84"/>
      <c r="J317" s="15" t="str">
        <f>IF(E317="Invalid_Segment","Invalid",IFERROR(INDEX(Severity_Matrix!$C$3:$M$10,MATCH('Error Log'!$F317,Severity_Matrix!$B$3:$B$10,0),MATCH('Error Log'!$G317,Severity_Matrix!$C$2:$M$2,0)),"No errors"))</f>
        <v>Critical</v>
      </c>
    </row>
    <row r="318" spans="1:10">
      <c r="A318" s="78" t="s">
        <v>644</v>
      </c>
      <c r="B318" s="18">
        <v>7</v>
      </c>
      <c r="C318" s="78" t="s">
        <v>653</v>
      </c>
      <c r="D318" s="78" t="s">
        <v>640</v>
      </c>
      <c r="E318" s="84" t="s">
        <v>21</v>
      </c>
      <c r="F318" s="84" t="s">
        <v>7</v>
      </c>
      <c r="G318" s="84" t="s">
        <v>57</v>
      </c>
      <c r="H318" s="84" t="s">
        <v>654</v>
      </c>
      <c r="I318" s="84"/>
      <c r="J318" s="15" t="str">
        <f>IF(E318="Invalid_Segment","Invalid",IFERROR(INDEX(Severity_Matrix!$C$3:$M$10,MATCH('Error Log'!$F318,Severity_Matrix!$B$3:$B$10,0),MATCH('Error Log'!$G318,Severity_Matrix!$C$2:$M$2,0)),"No errors"))</f>
        <v>Critical</v>
      </c>
    </row>
    <row r="319" spans="1:10">
      <c r="A319" s="78" t="s">
        <v>644</v>
      </c>
      <c r="B319" s="18">
        <v>8</v>
      </c>
      <c r="C319" s="78" t="s">
        <v>655</v>
      </c>
      <c r="D319" s="78" t="s">
        <v>640</v>
      </c>
      <c r="E319" s="84" t="s">
        <v>21</v>
      </c>
      <c r="F319" s="84" t="s">
        <v>7</v>
      </c>
      <c r="G319" s="84" t="s">
        <v>57</v>
      </c>
      <c r="H319" s="84" t="s">
        <v>656</v>
      </c>
      <c r="I319" s="84"/>
      <c r="J319" s="15" t="str">
        <f>IF(E319="Invalid_Segment","Invalid",IFERROR(INDEX(Severity_Matrix!$C$3:$M$10,MATCH('Error Log'!$F319,Severity_Matrix!$B$3:$B$10,0),MATCH('Error Log'!$G319,Severity_Matrix!$C$2:$M$2,0)),"No errors"))</f>
        <v>Critical</v>
      </c>
    </row>
    <row r="320" spans="1:10">
      <c r="A320" s="78" t="s">
        <v>657</v>
      </c>
      <c r="B320" s="18">
        <v>1</v>
      </c>
      <c r="C320" s="78" t="s">
        <v>658</v>
      </c>
      <c r="D320" s="78" t="s">
        <v>659</v>
      </c>
      <c r="E320" s="84" t="s">
        <v>21</v>
      </c>
      <c r="F320" s="84" t="s">
        <v>22</v>
      </c>
      <c r="G320" s="84" t="s">
        <v>57</v>
      </c>
      <c r="H320" s="84" t="s">
        <v>660</v>
      </c>
      <c r="I320" s="84"/>
      <c r="J320" s="15" t="str">
        <f>IF(E320="Invalid_Segment","Invalid",IFERROR(INDEX(Severity_Matrix!$C$3:$M$10,MATCH('Error Log'!$F320,Severity_Matrix!$B$3:$B$10,0),MATCH('Error Log'!$G320,Severity_Matrix!$C$2:$M$2,0)),"No errors"))</f>
        <v>Major</v>
      </c>
    </row>
    <row r="321" spans="1:10">
      <c r="A321" s="78" t="s">
        <v>657</v>
      </c>
      <c r="B321" s="18">
        <v>2</v>
      </c>
      <c r="C321" s="78" t="s">
        <v>661</v>
      </c>
      <c r="D321" s="78" t="s">
        <v>662</v>
      </c>
      <c r="E321" s="84" t="s">
        <v>21</v>
      </c>
      <c r="F321" s="84" t="s">
        <v>22</v>
      </c>
      <c r="G321" s="84" t="s">
        <v>57</v>
      </c>
      <c r="H321" s="84" t="s">
        <v>663</v>
      </c>
      <c r="I321" s="84"/>
      <c r="J321" s="15" t="str">
        <f>IF(E321="Invalid_Segment","Invalid",IFERROR(INDEX(Severity_Matrix!$C$3:$M$10,MATCH('Error Log'!$F321,Severity_Matrix!$B$3:$B$10,0),MATCH('Error Log'!$G321,Severity_Matrix!$C$2:$M$2,0)),"No errors"))</f>
        <v>Major</v>
      </c>
    </row>
    <row r="322" spans="1:10">
      <c r="A322" s="78" t="s">
        <v>664</v>
      </c>
      <c r="B322" s="18">
        <v>3</v>
      </c>
      <c r="C322" s="78" t="s">
        <v>665</v>
      </c>
      <c r="D322" s="78" t="s">
        <v>666</v>
      </c>
      <c r="E322" s="84" t="s">
        <v>21</v>
      </c>
      <c r="F322" s="84" t="s">
        <v>22</v>
      </c>
      <c r="G322" s="84" t="s">
        <v>57</v>
      </c>
      <c r="H322" s="84" t="s">
        <v>667</v>
      </c>
      <c r="I322" s="84"/>
      <c r="J322" s="15" t="str">
        <f>IF(E322="Invalid_Segment","Invalid",IFERROR(INDEX(Severity_Matrix!$C$3:$M$10,MATCH('Error Log'!$F322,Severity_Matrix!$B$3:$B$10,0),MATCH('Error Log'!$G322,Severity_Matrix!$C$2:$M$2,0)),"No errors"))</f>
        <v>Major</v>
      </c>
    </row>
    <row r="323" spans="1:10">
      <c r="A323" s="78" t="s">
        <v>664</v>
      </c>
      <c r="B323" s="18">
        <v>4</v>
      </c>
      <c r="C323" s="78" t="s">
        <v>668</v>
      </c>
      <c r="D323" s="78" t="s">
        <v>669</v>
      </c>
      <c r="E323" s="84" t="s">
        <v>21</v>
      </c>
      <c r="F323" s="84" t="s">
        <v>7</v>
      </c>
      <c r="G323" s="84" t="s">
        <v>57</v>
      </c>
      <c r="H323" s="84" t="s">
        <v>670</v>
      </c>
      <c r="I323" s="84"/>
      <c r="J323" s="15" t="str">
        <f>IF(E323="Invalid_Segment","Invalid",IFERROR(INDEX(Severity_Matrix!$C$3:$M$10,MATCH('Error Log'!$F323,Severity_Matrix!$B$3:$B$10,0),MATCH('Error Log'!$G323,Severity_Matrix!$C$2:$M$2,0)),"No errors"))</f>
        <v>Critical</v>
      </c>
    </row>
    <row r="324" spans="1:10">
      <c r="A324" s="78" t="s">
        <v>664</v>
      </c>
      <c r="B324" s="18">
        <v>5</v>
      </c>
      <c r="C324" s="78" t="s">
        <v>671</v>
      </c>
      <c r="D324" s="78" t="s">
        <v>672</v>
      </c>
      <c r="E324" s="84" t="s">
        <v>21</v>
      </c>
      <c r="F324" s="84" t="s">
        <v>7</v>
      </c>
      <c r="G324" s="84" t="s">
        <v>57</v>
      </c>
      <c r="H324" s="84" t="s">
        <v>673</v>
      </c>
      <c r="I324" s="84"/>
      <c r="J324" s="15" t="str">
        <f>IF(E324="Invalid_Segment","Invalid",IFERROR(INDEX(Severity_Matrix!$C$3:$M$10,MATCH('Error Log'!$F324,Severity_Matrix!$B$3:$B$10,0),MATCH('Error Log'!$G324,Severity_Matrix!$C$2:$M$2,0)),"No errors"))</f>
        <v>Critical</v>
      </c>
    </row>
    <row r="325" spans="1:10">
      <c r="A325" s="78" t="s">
        <v>674</v>
      </c>
      <c r="B325" s="18">
        <v>1</v>
      </c>
      <c r="C325" s="78" t="s">
        <v>675</v>
      </c>
      <c r="D325" s="78" t="s">
        <v>676</v>
      </c>
      <c r="E325" s="84" t="s">
        <v>21</v>
      </c>
      <c r="F325" s="84" t="s">
        <v>22</v>
      </c>
      <c r="G325" s="84" t="s">
        <v>57</v>
      </c>
      <c r="H325" s="84" t="s">
        <v>677</v>
      </c>
      <c r="I325" s="84"/>
      <c r="J325" s="15" t="str">
        <f>IF(E325="Invalid_Segment","Invalid",IFERROR(INDEX(Severity_Matrix!$C$3:$M$10,MATCH('Error Log'!$F325,Severity_Matrix!$B$3:$B$10,0),MATCH('Error Log'!$G325,Severity_Matrix!$C$2:$M$2,0)),"No errors"))</f>
        <v>Major</v>
      </c>
    </row>
    <row r="326" spans="1:10">
      <c r="A326" s="78" t="s">
        <v>674</v>
      </c>
      <c r="B326" s="18">
        <v>2</v>
      </c>
      <c r="C326" s="78" t="s">
        <v>678</v>
      </c>
      <c r="D326" s="78" t="s">
        <v>679</v>
      </c>
      <c r="E326" s="84" t="s">
        <v>21</v>
      </c>
      <c r="F326" s="84" t="s">
        <v>22</v>
      </c>
      <c r="G326" s="84" t="s">
        <v>57</v>
      </c>
      <c r="H326" s="84" t="s">
        <v>680</v>
      </c>
      <c r="I326" s="84"/>
      <c r="J326" s="15" t="str">
        <f>IF(E326="Invalid_Segment","Invalid",IFERROR(INDEX(Severity_Matrix!$C$3:$M$10,MATCH('Error Log'!$F326,Severity_Matrix!$B$3:$B$10,0),MATCH('Error Log'!$G326,Severity_Matrix!$C$2:$M$2,0)),"No errors"))</f>
        <v>Major</v>
      </c>
    </row>
    <row r="327" spans="1:10">
      <c r="A327" s="78" t="s">
        <v>681</v>
      </c>
      <c r="B327" s="18">
        <v>3</v>
      </c>
      <c r="C327" s="78" t="s">
        <v>682</v>
      </c>
      <c r="D327" s="78" t="s">
        <v>683</v>
      </c>
      <c r="E327" s="84" t="s">
        <v>21</v>
      </c>
      <c r="F327" s="84" t="s">
        <v>7</v>
      </c>
      <c r="G327" s="84" t="s">
        <v>55</v>
      </c>
      <c r="H327" s="84" t="s">
        <v>684</v>
      </c>
      <c r="I327" s="84"/>
      <c r="J327" s="15" t="str">
        <f>IF(E327="Invalid_Segment","Invalid",IFERROR(INDEX(Severity_Matrix!$C$3:$M$10,MATCH('Error Log'!$F327,Severity_Matrix!$B$3:$B$10,0),MATCH('Error Log'!$G327,Severity_Matrix!$C$2:$M$2,0)),"No errors"))</f>
        <v>Critical</v>
      </c>
    </row>
    <row r="328" spans="1:10">
      <c r="A328" s="78" t="s">
        <v>681</v>
      </c>
      <c r="B328" s="18">
        <v>4</v>
      </c>
      <c r="C328" s="78" t="s">
        <v>685</v>
      </c>
      <c r="D328" s="78" t="s">
        <v>686</v>
      </c>
      <c r="E328" s="84" t="s">
        <v>21</v>
      </c>
      <c r="F328" s="84" t="s">
        <v>7</v>
      </c>
      <c r="G328" s="84" t="s">
        <v>57</v>
      </c>
      <c r="H328" s="84" t="s">
        <v>687</v>
      </c>
      <c r="I328" s="84"/>
      <c r="J328" s="15" t="str">
        <f>IF(E328="Invalid_Segment","Invalid",IFERROR(INDEX(Severity_Matrix!$C$3:$M$10,MATCH('Error Log'!$F328,Severity_Matrix!$B$3:$B$10,0),MATCH('Error Log'!$G328,Severity_Matrix!$C$2:$M$2,0)),"No errors"))</f>
        <v>Critical</v>
      </c>
    </row>
    <row r="329" spans="1:10">
      <c r="A329" s="78" t="s">
        <v>681</v>
      </c>
      <c r="B329" s="18">
        <v>5</v>
      </c>
      <c r="C329" s="78" t="s">
        <v>688</v>
      </c>
      <c r="D329" s="78" t="s">
        <v>689</v>
      </c>
      <c r="E329" s="84" t="s">
        <v>21</v>
      </c>
      <c r="F329" s="84" t="s">
        <v>7</v>
      </c>
      <c r="G329" s="84" t="s">
        <v>57</v>
      </c>
      <c r="H329" s="84" t="s">
        <v>690</v>
      </c>
      <c r="I329" s="84"/>
      <c r="J329" s="15" t="str">
        <f>IF(E329="Invalid_Segment","Invalid",IFERROR(INDEX(Severity_Matrix!$C$3:$M$10,MATCH('Error Log'!$F329,Severity_Matrix!$B$3:$B$10,0),MATCH('Error Log'!$G329,Severity_Matrix!$C$2:$M$2,0)),"No errors"))</f>
        <v>Critical</v>
      </c>
    </row>
    <row r="330" spans="1:10">
      <c r="A330" s="78" t="s">
        <v>691</v>
      </c>
      <c r="B330" s="18">
        <v>1</v>
      </c>
      <c r="C330" s="78" t="s">
        <v>692</v>
      </c>
      <c r="D330" s="78" t="s">
        <v>693</v>
      </c>
      <c r="E330" s="84" t="s">
        <v>21</v>
      </c>
      <c r="F330" s="84" t="s">
        <v>22</v>
      </c>
      <c r="G330" s="84" t="s">
        <v>57</v>
      </c>
      <c r="H330" s="84" t="s">
        <v>694</v>
      </c>
      <c r="I330" s="84"/>
      <c r="J330" s="15" t="str">
        <f>IF(E330="Invalid_Segment","Invalid",IFERROR(INDEX(Severity_Matrix!$C$3:$M$10,MATCH('Error Log'!$F330,Severity_Matrix!$B$3:$B$10,0),MATCH('Error Log'!$G330,Severity_Matrix!$C$2:$M$2,0)),"No errors"))</f>
        <v>Major</v>
      </c>
    </row>
    <row r="331" spans="1:10">
      <c r="A331" s="78" t="s">
        <v>691</v>
      </c>
      <c r="B331" s="18">
        <v>2</v>
      </c>
      <c r="C331" s="78" t="s">
        <v>695</v>
      </c>
      <c r="D331" s="78" t="s">
        <v>696</v>
      </c>
      <c r="E331" s="84" t="s">
        <v>21</v>
      </c>
      <c r="F331" s="84" t="s">
        <v>22</v>
      </c>
      <c r="G331" s="84" t="s">
        <v>57</v>
      </c>
      <c r="H331" s="84" t="s">
        <v>697</v>
      </c>
      <c r="I331" s="84"/>
      <c r="J331" s="15" t="str">
        <f>IF(E331="Invalid_Segment","Invalid",IFERROR(INDEX(Severity_Matrix!$C$3:$M$10,MATCH('Error Log'!$F331,Severity_Matrix!$B$3:$B$10,0),MATCH('Error Log'!$G331,Severity_Matrix!$C$2:$M$2,0)),"No errors"))</f>
        <v>Major</v>
      </c>
    </row>
    <row r="332" spans="1:10">
      <c r="A332" s="78" t="s">
        <v>698</v>
      </c>
      <c r="B332" s="18">
        <v>3</v>
      </c>
      <c r="C332" s="78" t="s">
        <v>699</v>
      </c>
      <c r="D332" s="78" t="s">
        <v>700</v>
      </c>
      <c r="E332" s="84" t="s">
        <v>21</v>
      </c>
      <c r="F332" s="84" t="s">
        <v>22</v>
      </c>
      <c r="G332" s="84" t="s">
        <v>28</v>
      </c>
      <c r="H332" s="84" t="s">
        <v>491</v>
      </c>
      <c r="I332" s="84"/>
      <c r="J332" s="15" t="str">
        <f>IF(E332="Invalid_Segment","Invalid",IFERROR(INDEX(Severity_Matrix!$C$3:$M$10,MATCH('Error Log'!$F332,Severity_Matrix!$B$3:$B$10,0),MATCH('Error Log'!$G332,Severity_Matrix!$C$2:$M$2,0)),"No errors"))</f>
        <v>Major</v>
      </c>
    </row>
    <row r="333" spans="1:10">
      <c r="A333" s="78" t="s">
        <v>698</v>
      </c>
      <c r="B333" s="18">
        <v>4</v>
      </c>
      <c r="C333" s="78" t="s">
        <v>701</v>
      </c>
      <c r="D333" s="78" t="s">
        <v>702</v>
      </c>
      <c r="E333" s="84" t="s">
        <v>21</v>
      </c>
      <c r="F333" s="84" t="s">
        <v>22</v>
      </c>
      <c r="G333" s="84" t="s">
        <v>28</v>
      </c>
      <c r="H333" s="84" t="s">
        <v>491</v>
      </c>
      <c r="I333" s="84"/>
      <c r="J333" s="15" t="str">
        <f>IF(E333="Invalid_Segment","Invalid",IFERROR(INDEX(Severity_Matrix!$C$3:$M$10,MATCH('Error Log'!$F333,Severity_Matrix!$B$3:$B$10,0),MATCH('Error Log'!$G333,Severity_Matrix!$C$2:$M$2,0)),"No errors"))</f>
        <v>Major</v>
      </c>
    </row>
    <row r="334" spans="1:10">
      <c r="A334" s="78" t="s">
        <v>698</v>
      </c>
      <c r="B334" s="18">
        <v>5</v>
      </c>
      <c r="C334" s="78" t="s">
        <v>703</v>
      </c>
      <c r="D334" s="78" t="s">
        <v>704</v>
      </c>
      <c r="E334" s="84" t="s">
        <v>21</v>
      </c>
      <c r="F334" s="84" t="s">
        <v>22</v>
      </c>
      <c r="G334" s="84" t="s">
        <v>28</v>
      </c>
      <c r="H334" s="84" t="s">
        <v>491</v>
      </c>
      <c r="I334" s="84"/>
      <c r="J334" s="15" t="str">
        <f>IF(E334="Invalid_Segment","Invalid",IFERROR(INDEX(Severity_Matrix!$C$3:$M$10,MATCH('Error Log'!$F334,Severity_Matrix!$B$3:$B$10,0),MATCH('Error Log'!$G334,Severity_Matrix!$C$2:$M$2,0)),"No errors"))</f>
        <v>Major</v>
      </c>
    </row>
    <row r="335" spans="1:10">
      <c r="A335" s="78" t="s">
        <v>698</v>
      </c>
      <c r="B335" s="18">
        <v>6</v>
      </c>
      <c r="C335" s="78" t="s">
        <v>705</v>
      </c>
      <c r="D335" s="78" t="s">
        <v>706</v>
      </c>
      <c r="E335" s="84" t="s">
        <v>21</v>
      </c>
      <c r="F335" s="84" t="s">
        <v>7</v>
      </c>
      <c r="G335" s="84" t="s">
        <v>57</v>
      </c>
      <c r="H335" s="84" t="s">
        <v>707</v>
      </c>
      <c r="I335" s="84"/>
      <c r="J335" s="15" t="str">
        <f>IF(E335="Invalid_Segment","Invalid",IFERROR(INDEX(Severity_Matrix!$C$3:$M$10,MATCH('Error Log'!$F335,Severity_Matrix!$B$3:$B$10,0),MATCH('Error Log'!$G335,Severity_Matrix!$C$2:$M$2,0)),"No errors"))</f>
        <v>Critical</v>
      </c>
    </row>
    <row r="336" spans="1:10">
      <c r="A336" s="78" t="s">
        <v>698</v>
      </c>
      <c r="B336" s="18">
        <v>7</v>
      </c>
      <c r="C336" s="78" t="s">
        <v>708</v>
      </c>
      <c r="D336" s="78" t="s">
        <v>709</v>
      </c>
      <c r="E336" s="84" t="s">
        <v>21</v>
      </c>
      <c r="F336" s="84" t="s">
        <v>7</v>
      </c>
      <c r="G336" s="84" t="s">
        <v>57</v>
      </c>
      <c r="H336" s="84" t="s">
        <v>710</v>
      </c>
      <c r="I336" s="84"/>
      <c r="J336" s="15" t="str">
        <f>IF(E336="Invalid_Segment","Invalid",IFERROR(INDEX(Severity_Matrix!$C$3:$M$10,MATCH('Error Log'!$F336,Severity_Matrix!$B$3:$B$10,0),MATCH('Error Log'!$G336,Severity_Matrix!$C$2:$M$2,0)),"No errors"))</f>
        <v>Critical</v>
      </c>
    </row>
    <row r="337" spans="1:10">
      <c r="A337" s="78" t="s">
        <v>698</v>
      </c>
      <c r="B337" s="18">
        <v>8</v>
      </c>
      <c r="C337" s="78" t="s">
        <v>711</v>
      </c>
      <c r="D337" s="78" t="s">
        <v>712</v>
      </c>
      <c r="E337" s="84" t="s">
        <v>21</v>
      </c>
      <c r="F337" s="84" t="s">
        <v>7</v>
      </c>
      <c r="G337" s="84" t="s">
        <v>57</v>
      </c>
      <c r="H337" s="84" t="s">
        <v>713</v>
      </c>
      <c r="I337" s="84"/>
      <c r="J337" s="15" t="str">
        <f>IF(E337="Invalid_Segment","Invalid",IFERROR(INDEX(Severity_Matrix!$C$3:$M$10,MATCH('Error Log'!$F337,Severity_Matrix!$B$3:$B$10,0),MATCH('Error Log'!$G337,Severity_Matrix!$C$2:$M$2,0)),"No errors"))</f>
        <v>Critical</v>
      </c>
    </row>
    <row r="338" spans="1:10">
      <c r="A338" s="78" t="s">
        <v>714</v>
      </c>
      <c r="B338" s="18">
        <v>1</v>
      </c>
      <c r="C338" s="78" t="s">
        <v>715</v>
      </c>
      <c r="D338" s="78" t="s">
        <v>716</v>
      </c>
      <c r="E338" s="84" t="s">
        <v>21</v>
      </c>
      <c r="F338" s="84" t="s">
        <v>22</v>
      </c>
      <c r="G338" s="84" t="s">
        <v>57</v>
      </c>
      <c r="H338" s="84" t="s">
        <v>717</v>
      </c>
      <c r="I338" s="84"/>
      <c r="J338" s="15" t="str">
        <f>IF(E338="Invalid_Segment","Invalid",IFERROR(INDEX(Severity_Matrix!$C$3:$M$10,MATCH('Error Log'!$F338,Severity_Matrix!$B$3:$B$10,0),MATCH('Error Log'!$G338,Severity_Matrix!$C$2:$M$2,0)),"No errors"))</f>
        <v>Major</v>
      </c>
    </row>
    <row r="339" spans="1:10">
      <c r="A339" s="78" t="s">
        <v>714</v>
      </c>
      <c r="B339" s="18">
        <v>2</v>
      </c>
      <c r="C339" s="78" t="s">
        <v>718</v>
      </c>
      <c r="D339" s="78" t="s">
        <v>719</v>
      </c>
      <c r="E339" s="84" t="s">
        <v>21</v>
      </c>
      <c r="F339" s="84" t="s">
        <v>7</v>
      </c>
      <c r="G339" s="84" t="s">
        <v>57</v>
      </c>
      <c r="H339" s="84" t="s">
        <v>720</v>
      </c>
      <c r="I339" s="84"/>
      <c r="J339" s="15" t="str">
        <f>IF(E339="Invalid_Segment","Invalid",IFERROR(INDEX(Severity_Matrix!$C$3:$M$10,MATCH('Error Log'!$F339,Severity_Matrix!$B$3:$B$10,0),MATCH('Error Log'!$G339,Severity_Matrix!$C$2:$M$2,0)),"No errors"))</f>
        <v>Critical</v>
      </c>
    </row>
    <row r="340" spans="1:10">
      <c r="A340" s="78" t="s">
        <v>721</v>
      </c>
      <c r="B340" s="18">
        <v>3</v>
      </c>
      <c r="C340" s="78" t="s">
        <v>722</v>
      </c>
      <c r="D340" s="78" t="s">
        <v>723</v>
      </c>
      <c r="E340" s="84" t="s">
        <v>21</v>
      </c>
      <c r="F340" s="84" t="s">
        <v>7</v>
      </c>
      <c r="G340" s="84" t="s">
        <v>57</v>
      </c>
      <c r="H340" s="84" t="s">
        <v>724</v>
      </c>
      <c r="I340" s="84"/>
      <c r="J340" s="15" t="str">
        <f>IF(E340="Invalid_Segment","Invalid",IFERROR(INDEX(Severity_Matrix!$C$3:$M$10,MATCH('Error Log'!$F340,Severity_Matrix!$B$3:$B$10,0),MATCH('Error Log'!$G340,Severity_Matrix!$C$2:$M$2,0)),"No errors"))</f>
        <v>Critical</v>
      </c>
    </row>
    <row r="341" spans="1:10">
      <c r="A341" s="78" t="s">
        <v>721</v>
      </c>
      <c r="B341" s="18">
        <v>4</v>
      </c>
      <c r="C341" s="78" t="s">
        <v>725</v>
      </c>
      <c r="D341" s="78" t="s">
        <v>726</v>
      </c>
      <c r="E341" s="84" t="s">
        <v>21</v>
      </c>
      <c r="F341" s="84" t="s">
        <v>7</v>
      </c>
      <c r="G341" s="84" t="s">
        <v>57</v>
      </c>
      <c r="H341" s="84" t="s">
        <v>727</v>
      </c>
      <c r="I341" s="84"/>
      <c r="J341" s="15" t="str">
        <f>IF(E341="Invalid_Segment","Invalid",IFERROR(INDEX(Severity_Matrix!$C$3:$M$10,MATCH('Error Log'!$F341,Severity_Matrix!$B$3:$B$10,0),MATCH('Error Log'!$G341,Severity_Matrix!$C$2:$M$2,0)),"No errors"))</f>
        <v>Critical</v>
      </c>
    </row>
    <row r="342" spans="1:10">
      <c r="A342" s="78" t="s">
        <v>728</v>
      </c>
      <c r="B342" s="18">
        <v>1</v>
      </c>
      <c r="C342" s="78" t="s">
        <v>729</v>
      </c>
      <c r="D342" s="78" t="s">
        <v>730</v>
      </c>
      <c r="E342" s="84" t="s">
        <v>21</v>
      </c>
      <c r="F342" s="84" t="s">
        <v>22</v>
      </c>
      <c r="G342" s="84" t="s">
        <v>57</v>
      </c>
      <c r="H342" s="84" t="s">
        <v>731</v>
      </c>
      <c r="I342" s="84"/>
      <c r="J342" s="15" t="str">
        <f>IF(E342="Invalid_Segment","Invalid",IFERROR(INDEX(Severity_Matrix!$C$3:$M$10,MATCH('Error Log'!$F342,Severity_Matrix!$B$3:$B$10,0),MATCH('Error Log'!$G342,Severity_Matrix!$C$2:$M$2,0)),"No errors"))</f>
        <v>Major</v>
      </c>
    </row>
    <row r="343" spans="1:10">
      <c r="A343" s="78" t="s">
        <v>728</v>
      </c>
      <c r="B343" s="18">
        <v>2</v>
      </c>
      <c r="C343" s="78" t="s">
        <v>732</v>
      </c>
      <c r="D343" s="78" t="s">
        <v>730</v>
      </c>
      <c r="E343" s="84" t="s">
        <v>21</v>
      </c>
      <c r="F343" s="84" t="s">
        <v>22</v>
      </c>
      <c r="G343" s="84" t="s">
        <v>57</v>
      </c>
      <c r="H343" s="84" t="s">
        <v>733</v>
      </c>
      <c r="I343" s="84"/>
      <c r="J343" s="15" t="str">
        <f>IF(E343="Invalid_Segment","Invalid",IFERROR(INDEX(Severity_Matrix!$C$3:$M$10,MATCH('Error Log'!$F343,Severity_Matrix!$B$3:$B$10,0),MATCH('Error Log'!$G343,Severity_Matrix!$C$2:$M$2,0)),"No errors"))</f>
        <v>Major</v>
      </c>
    </row>
    <row r="344" spans="1:10">
      <c r="A344" s="78" t="s">
        <v>734</v>
      </c>
      <c r="B344" s="18">
        <v>3</v>
      </c>
      <c r="C344" s="78" t="s">
        <v>735</v>
      </c>
      <c r="D344" s="78" t="s">
        <v>730</v>
      </c>
      <c r="E344" s="84" t="s">
        <v>21</v>
      </c>
      <c r="F344" s="84" t="s">
        <v>22</v>
      </c>
      <c r="G344" s="84" t="s">
        <v>57</v>
      </c>
      <c r="H344" s="84" t="s">
        <v>736</v>
      </c>
      <c r="I344" s="84"/>
      <c r="J344" s="15" t="str">
        <f>IF(E344="Invalid_Segment","Invalid",IFERROR(INDEX(Severity_Matrix!$C$3:$M$10,MATCH('Error Log'!$F344,Severity_Matrix!$B$3:$B$10,0),MATCH('Error Log'!$G344,Severity_Matrix!$C$2:$M$2,0)),"No errors"))</f>
        <v>Major</v>
      </c>
    </row>
    <row r="345" spans="1:10">
      <c r="A345" s="78" t="s">
        <v>734</v>
      </c>
      <c r="B345" s="18">
        <v>4</v>
      </c>
      <c r="C345" s="78" t="s">
        <v>737</v>
      </c>
      <c r="D345" s="78" t="s">
        <v>730</v>
      </c>
      <c r="E345" s="84" t="s">
        <v>21</v>
      </c>
      <c r="F345" s="84" t="s">
        <v>7</v>
      </c>
      <c r="G345" s="84" t="s">
        <v>57</v>
      </c>
      <c r="H345" s="84" t="s">
        <v>738</v>
      </c>
      <c r="I345" s="84"/>
      <c r="J345" s="15" t="str">
        <f>IF(E345="Invalid_Segment","Invalid",IFERROR(INDEX(Severity_Matrix!$C$3:$M$10,MATCH('Error Log'!$F345,Severity_Matrix!$B$3:$B$10,0),MATCH('Error Log'!$G345,Severity_Matrix!$C$2:$M$2,0)),"No errors"))</f>
        <v>Critical</v>
      </c>
    </row>
    <row r="346" spans="1:10">
      <c r="A346" s="78" t="s">
        <v>734</v>
      </c>
      <c r="B346" s="18">
        <v>5</v>
      </c>
      <c r="C346" s="78" t="s">
        <v>739</v>
      </c>
      <c r="D346" s="78" t="s">
        <v>730</v>
      </c>
      <c r="E346" s="84" t="s">
        <v>21</v>
      </c>
      <c r="F346" s="84" t="s">
        <v>7</v>
      </c>
      <c r="G346" s="84" t="s">
        <v>57</v>
      </c>
      <c r="H346" s="84" t="s">
        <v>740</v>
      </c>
      <c r="I346" s="84"/>
      <c r="J346" s="15" t="str">
        <f>IF(E346="Invalid_Segment","Invalid",IFERROR(INDEX(Severity_Matrix!$C$3:$M$10,MATCH('Error Log'!$F346,Severity_Matrix!$B$3:$B$10,0),MATCH('Error Log'!$G346,Severity_Matrix!$C$2:$M$2,0)),"No errors"))</f>
        <v>Critical</v>
      </c>
    </row>
    <row r="347" spans="1:10">
      <c r="A347" s="78" t="s">
        <v>734</v>
      </c>
      <c r="B347" s="18">
        <v>6</v>
      </c>
      <c r="C347" s="78" t="s">
        <v>741</v>
      </c>
      <c r="D347" s="78" t="s">
        <v>730</v>
      </c>
      <c r="E347" s="84" t="s">
        <v>21</v>
      </c>
      <c r="F347" s="84" t="s">
        <v>7</v>
      </c>
      <c r="G347" s="84" t="s">
        <v>57</v>
      </c>
      <c r="H347" s="84" t="s">
        <v>742</v>
      </c>
      <c r="I347" s="84"/>
      <c r="J347" s="15" t="str">
        <f>IF(E347="Invalid_Segment","Invalid",IFERROR(INDEX(Severity_Matrix!$C$3:$M$10,MATCH('Error Log'!$F347,Severity_Matrix!$B$3:$B$10,0),MATCH('Error Log'!$G347,Severity_Matrix!$C$2:$M$2,0)),"No errors"))</f>
        <v>Critical</v>
      </c>
    </row>
    <row r="348" spans="1:10">
      <c r="A348" s="78" t="s">
        <v>743</v>
      </c>
      <c r="B348" s="18">
        <v>1</v>
      </c>
      <c r="C348" s="78" t="s">
        <v>744</v>
      </c>
      <c r="D348" s="78" t="s">
        <v>745</v>
      </c>
      <c r="E348" s="84" t="s">
        <v>21</v>
      </c>
      <c r="F348" s="84" t="s">
        <v>22</v>
      </c>
      <c r="G348" s="84" t="s">
        <v>57</v>
      </c>
      <c r="H348" s="84" t="s">
        <v>746</v>
      </c>
      <c r="I348" s="84"/>
      <c r="J348" s="15" t="str">
        <f>IF(E348="Invalid_Segment","Invalid",IFERROR(INDEX(Severity_Matrix!$C$3:$M$10,MATCH('Error Log'!$F348,Severity_Matrix!$B$3:$B$10,0),MATCH('Error Log'!$G348,Severity_Matrix!$C$2:$M$2,0)),"No errors"))</f>
        <v>Major</v>
      </c>
    </row>
    <row r="349" spans="1:10">
      <c r="A349" s="78" t="s">
        <v>743</v>
      </c>
      <c r="B349" s="18">
        <v>2</v>
      </c>
      <c r="C349" s="78" t="s">
        <v>744</v>
      </c>
      <c r="D349" s="78" t="s">
        <v>745</v>
      </c>
      <c r="E349" s="84" t="s">
        <v>21</v>
      </c>
      <c r="F349" s="84" t="s">
        <v>7</v>
      </c>
      <c r="G349" s="84" t="s">
        <v>57</v>
      </c>
      <c r="H349" s="84" t="s">
        <v>747</v>
      </c>
      <c r="I349" s="84"/>
      <c r="J349" s="15" t="str">
        <f>IF(E349="Invalid_Segment","Invalid",IFERROR(INDEX(Severity_Matrix!$C$3:$M$10,MATCH('Error Log'!$F349,Severity_Matrix!$B$3:$B$10,0),MATCH('Error Log'!$G349,Severity_Matrix!$C$2:$M$2,0)),"No errors"))</f>
        <v>Critical</v>
      </c>
    </row>
    <row r="350" spans="1:10">
      <c r="A350" s="78" t="s">
        <v>748</v>
      </c>
      <c r="B350" s="18">
        <v>3</v>
      </c>
      <c r="C350" s="78" t="s">
        <v>749</v>
      </c>
      <c r="D350" s="78" t="s">
        <v>750</v>
      </c>
      <c r="E350" s="84" t="s">
        <v>21</v>
      </c>
      <c r="F350" s="84" t="s">
        <v>7</v>
      </c>
      <c r="G350" s="84" t="s">
        <v>57</v>
      </c>
      <c r="H350" s="84" t="s">
        <v>751</v>
      </c>
      <c r="I350" s="84"/>
      <c r="J350" s="15" t="str">
        <f>IF(E350="Invalid_Segment","Invalid",IFERROR(INDEX(Severity_Matrix!$C$3:$M$10,MATCH('Error Log'!$F350,Severity_Matrix!$B$3:$B$10,0),MATCH('Error Log'!$G350,Severity_Matrix!$C$2:$M$2,0)),"No errors"))</f>
        <v>Critical</v>
      </c>
    </row>
    <row r="351" spans="1:10">
      <c r="A351" s="78" t="s">
        <v>752</v>
      </c>
      <c r="B351" s="18">
        <v>1</v>
      </c>
      <c r="C351" s="78" t="s">
        <v>753</v>
      </c>
      <c r="D351" s="78" t="s">
        <v>754</v>
      </c>
      <c r="E351" s="84" t="s">
        <v>21</v>
      </c>
      <c r="F351" s="84" t="s">
        <v>22</v>
      </c>
      <c r="G351" s="84" t="s">
        <v>57</v>
      </c>
      <c r="H351" s="84" t="s">
        <v>755</v>
      </c>
      <c r="I351" s="84"/>
      <c r="J351" s="15" t="str">
        <f>IF(E351="Invalid_Segment","Invalid",IFERROR(INDEX(Severity_Matrix!$C$3:$M$10,MATCH('Error Log'!$F351,Severity_Matrix!$B$3:$B$10,0),MATCH('Error Log'!$G351,Severity_Matrix!$C$2:$M$2,0)),"No errors"))</f>
        <v>Major</v>
      </c>
    </row>
    <row r="352" spans="1:10">
      <c r="A352" s="78" t="s">
        <v>752</v>
      </c>
      <c r="B352" s="18">
        <v>2</v>
      </c>
      <c r="C352" s="78" t="s">
        <v>756</v>
      </c>
      <c r="D352" s="78" t="s">
        <v>757</v>
      </c>
      <c r="E352" s="84" t="s">
        <v>21</v>
      </c>
      <c r="F352" s="84" t="s">
        <v>22</v>
      </c>
      <c r="G352" s="84" t="s">
        <v>57</v>
      </c>
      <c r="H352" s="84" t="s">
        <v>758</v>
      </c>
      <c r="I352" s="84"/>
      <c r="J352" s="15" t="str">
        <f>IF(E352="Invalid_Segment","Invalid",IFERROR(INDEX(Severity_Matrix!$C$3:$M$10,MATCH('Error Log'!$F352,Severity_Matrix!$B$3:$B$10,0),MATCH('Error Log'!$G352,Severity_Matrix!$C$2:$M$2,0)),"No errors"))</f>
        <v>Major</v>
      </c>
    </row>
    <row r="353" spans="1:10">
      <c r="A353" s="78" t="s">
        <v>759</v>
      </c>
      <c r="B353" s="18">
        <v>3</v>
      </c>
      <c r="C353" s="78" t="s">
        <v>760</v>
      </c>
      <c r="D353" s="78" t="s">
        <v>761</v>
      </c>
      <c r="E353" s="84" t="s">
        <v>21</v>
      </c>
      <c r="F353" s="84" t="s">
        <v>7</v>
      </c>
      <c r="G353" s="84" t="s">
        <v>57</v>
      </c>
      <c r="H353" s="84" t="s">
        <v>762</v>
      </c>
      <c r="I353" s="84"/>
      <c r="J353" s="15" t="str">
        <f>IF(E353="Invalid_Segment","Invalid",IFERROR(INDEX(Severity_Matrix!$C$3:$M$10,MATCH('Error Log'!$F353,Severity_Matrix!$B$3:$B$10,0),MATCH('Error Log'!$G353,Severity_Matrix!$C$2:$M$2,0)),"No errors"))</f>
        <v>Critical</v>
      </c>
    </row>
    <row r="354" spans="1:10">
      <c r="A354" s="78" t="s">
        <v>759</v>
      </c>
      <c r="B354" s="18">
        <v>4</v>
      </c>
      <c r="C354" s="78" t="s">
        <v>763</v>
      </c>
      <c r="D354" s="78" t="s">
        <v>764</v>
      </c>
      <c r="E354" s="84" t="s">
        <v>21</v>
      </c>
      <c r="F354" s="84" t="s">
        <v>7</v>
      </c>
      <c r="G354" s="84" t="s">
        <v>57</v>
      </c>
      <c r="H354" s="84" t="s">
        <v>765</v>
      </c>
      <c r="I354" s="84"/>
      <c r="J354" s="15" t="str">
        <f>IF(E354="Invalid_Segment","Invalid",IFERROR(INDEX(Severity_Matrix!$C$3:$M$10,MATCH('Error Log'!$F354,Severity_Matrix!$B$3:$B$10,0),MATCH('Error Log'!$G354,Severity_Matrix!$C$2:$M$2,0)),"No errors"))</f>
        <v>Critical</v>
      </c>
    </row>
    <row r="355" spans="1:10">
      <c r="A355" s="78" t="s">
        <v>759</v>
      </c>
      <c r="B355" s="18">
        <v>5</v>
      </c>
      <c r="C355" s="78" t="s">
        <v>766</v>
      </c>
      <c r="D355" s="78" t="s">
        <v>767</v>
      </c>
      <c r="E355" s="84" t="s">
        <v>21</v>
      </c>
      <c r="F355" s="84" t="s">
        <v>7</v>
      </c>
      <c r="G355" s="84" t="s">
        <v>57</v>
      </c>
      <c r="H355" s="84" t="s">
        <v>768</v>
      </c>
      <c r="I355" s="84"/>
      <c r="J355" s="15" t="str">
        <f>IF(E355="Invalid_Segment","Invalid",IFERROR(INDEX(Severity_Matrix!$C$3:$M$10,MATCH('Error Log'!$F355,Severity_Matrix!$B$3:$B$10,0),MATCH('Error Log'!$G355,Severity_Matrix!$C$2:$M$2,0)),"No errors"))</f>
        <v>Critical</v>
      </c>
    </row>
    <row r="356" spans="1:10">
      <c r="A356" s="79" t="s">
        <v>769</v>
      </c>
      <c r="B356" s="18">
        <v>1</v>
      </c>
      <c r="C356" s="78" t="s">
        <v>770</v>
      </c>
      <c r="D356" s="83" t="s">
        <v>771</v>
      </c>
      <c r="E356" s="84" t="s">
        <v>21</v>
      </c>
      <c r="F356" s="84" t="s">
        <v>22</v>
      </c>
      <c r="G356" s="84" t="s">
        <v>57</v>
      </c>
      <c r="H356" s="84" t="s">
        <v>772</v>
      </c>
      <c r="I356" s="84"/>
      <c r="J356" s="15" t="str">
        <f>IF(E356="Invalid_Segment","Invalid",IFERROR(INDEX(Severity_Matrix!$C$3:$M$10,MATCH('Error Log'!$F356,Severity_Matrix!$B$3:$B$10,0),MATCH('Error Log'!$G356,Severity_Matrix!$C$2:$M$2,0)),"No errors"))</f>
        <v>Major</v>
      </c>
    </row>
    <row r="357" spans="1:10">
      <c r="A357" s="79" t="s">
        <v>769</v>
      </c>
      <c r="B357" s="18">
        <v>2</v>
      </c>
      <c r="C357" s="78" t="s">
        <v>770</v>
      </c>
      <c r="D357" s="83" t="s">
        <v>771</v>
      </c>
      <c r="E357" s="84" t="s">
        <v>21</v>
      </c>
      <c r="F357" s="84" t="s">
        <v>7</v>
      </c>
      <c r="G357" s="84" t="s">
        <v>57</v>
      </c>
      <c r="H357" s="84" t="s">
        <v>773</v>
      </c>
      <c r="I357" s="84"/>
      <c r="J357" s="15" t="str">
        <f>IF(E357="Invalid_Segment","Invalid",IFERROR(INDEX(Severity_Matrix!$C$3:$M$10,MATCH('Error Log'!$F357,Severity_Matrix!$B$3:$B$10,0),MATCH('Error Log'!$G357,Severity_Matrix!$C$2:$M$2,0)),"No errors"))</f>
        <v>Critical</v>
      </c>
    </row>
    <row r="358" spans="1:10">
      <c r="A358" s="79" t="s">
        <v>774</v>
      </c>
      <c r="B358" s="18">
        <v>1</v>
      </c>
      <c r="C358" s="83" t="s">
        <v>775</v>
      </c>
      <c r="D358" s="83" t="s">
        <v>776</v>
      </c>
      <c r="E358" s="84" t="s">
        <v>21</v>
      </c>
      <c r="F358" s="84" t="s">
        <v>22</v>
      </c>
      <c r="G358" s="84" t="s">
        <v>57</v>
      </c>
      <c r="H358" s="84" t="s">
        <v>777</v>
      </c>
      <c r="I358" s="84"/>
      <c r="J358" s="15" t="str">
        <f>IF(E358="Invalid_Segment","Invalid",IFERROR(INDEX(Severity_Matrix!$C$3:$M$10,MATCH('Error Log'!$F358,Severity_Matrix!$B$3:$B$10,0),MATCH('Error Log'!$G358,Severity_Matrix!$C$2:$M$2,0)),"No errors"))</f>
        <v>Major</v>
      </c>
    </row>
    <row r="359" spans="1:10">
      <c r="A359" s="79" t="s">
        <v>774</v>
      </c>
      <c r="B359" s="18">
        <v>2</v>
      </c>
      <c r="C359" s="83" t="s">
        <v>778</v>
      </c>
      <c r="D359" s="83" t="s">
        <v>776</v>
      </c>
      <c r="E359" s="84" t="s">
        <v>21</v>
      </c>
      <c r="F359" s="84" t="s">
        <v>22</v>
      </c>
      <c r="G359" s="84" t="s">
        <v>57</v>
      </c>
      <c r="H359" s="84" t="s">
        <v>779</v>
      </c>
      <c r="I359" s="84"/>
      <c r="J359" s="15" t="str">
        <f>IF(E359="Invalid_Segment","Invalid",IFERROR(INDEX(Severity_Matrix!$C$3:$M$10,MATCH('Error Log'!$F359,Severity_Matrix!$B$3:$B$10,0),MATCH('Error Log'!$G359,Severity_Matrix!$C$2:$M$2,0)),"No errors"))</f>
        <v>Major</v>
      </c>
    </row>
    <row r="360" spans="1:10">
      <c r="A360" s="79" t="s">
        <v>780</v>
      </c>
      <c r="B360" s="18">
        <v>3</v>
      </c>
      <c r="C360" s="83" t="s">
        <v>781</v>
      </c>
      <c r="D360" s="83" t="s">
        <v>776</v>
      </c>
      <c r="E360" s="84" t="s">
        <v>21</v>
      </c>
      <c r="F360" s="84" t="s">
        <v>7</v>
      </c>
      <c r="G360" s="84" t="s">
        <v>57</v>
      </c>
      <c r="H360" s="84" t="s">
        <v>782</v>
      </c>
      <c r="I360" s="84"/>
      <c r="J360" s="15" t="str">
        <f>IF(E360="Invalid_Segment","Invalid",IFERROR(INDEX(Severity_Matrix!$C$3:$M$10,MATCH('Error Log'!$F360,Severity_Matrix!$B$3:$B$10,0),MATCH('Error Log'!$G360,Severity_Matrix!$C$2:$M$2,0)),"No errors"))</f>
        <v>Critical</v>
      </c>
    </row>
    <row r="361" spans="1:10">
      <c r="A361" s="79" t="s">
        <v>780</v>
      </c>
      <c r="B361" s="18">
        <v>4</v>
      </c>
      <c r="C361" s="83" t="s">
        <v>783</v>
      </c>
      <c r="D361" s="83" t="s">
        <v>776</v>
      </c>
      <c r="E361" s="84" t="s">
        <v>21</v>
      </c>
      <c r="F361" s="84" t="s">
        <v>7</v>
      </c>
      <c r="G361" s="84" t="s">
        <v>57</v>
      </c>
      <c r="H361" s="84" t="s">
        <v>784</v>
      </c>
      <c r="I361" s="84"/>
      <c r="J361" s="15" t="str">
        <f>IF(E361="Invalid_Segment","Invalid",IFERROR(INDEX(Severity_Matrix!$C$3:$M$10,MATCH('Error Log'!$F361,Severity_Matrix!$B$3:$B$10,0),MATCH('Error Log'!$G361,Severity_Matrix!$C$2:$M$2,0)),"No errors"))</f>
        <v>Critical</v>
      </c>
    </row>
    <row r="362" spans="1:10">
      <c r="A362" s="79" t="s">
        <v>785</v>
      </c>
      <c r="B362" s="18">
        <v>1</v>
      </c>
      <c r="C362" s="83" t="s">
        <v>786</v>
      </c>
      <c r="D362" s="83" t="s">
        <v>787</v>
      </c>
      <c r="E362" s="84" t="s">
        <v>2</v>
      </c>
      <c r="F362" s="84" t="s">
        <v>26</v>
      </c>
      <c r="G362" s="84" t="s">
        <v>57</v>
      </c>
      <c r="H362" s="84" t="s">
        <v>788</v>
      </c>
      <c r="I362" s="84"/>
      <c r="J362" s="15" t="str">
        <f>IF(E362="Invalid_Segment","Invalid",IFERROR(INDEX(Severity_Matrix!$C$3:$M$10,MATCH('Error Log'!$F362,Severity_Matrix!$B$3:$B$10,0),MATCH('Error Log'!$G362,Severity_Matrix!$C$2:$M$2,0)),"No errors"))</f>
        <v>Major</v>
      </c>
    </row>
    <row r="363" spans="1:10">
      <c r="A363" s="79" t="s">
        <v>785</v>
      </c>
      <c r="B363" s="18">
        <v>2</v>
      </c>
      <c r="C363" s="83" t="s">
        <v>786</v>
      </c>
      <c r="D363" s="83" t="s">
        <v>787</v>
      </c>
      <c r="E363" s="84" t="s">
        <v>21</v>
      </c>
      <c r="F363" s="84" t="s">
        <v>7</v>
      </c>
      <c r="G363" s="84" t="s">
        <v>57</v>
      </c>
      <c r="H363" s="84" t="s">
        <v>789</v>
      </c>
      <c r="I363" s="84"/>
      <c r="J363" s="15" t="str">
        <f>IF(E363="Invalid_Segment","Invalid",IFERROR(INDEX(Severity_Matrix!$C$3:$M$10,MATCH('Error Log'!$F363,Severity_Matrix!$B$3:$B$10,0),MATCH('Error Log'!$G363,Severity_Matrix!$C$2:$M$2,0)),"No errors"))</f>
        <v>Critical</v>
      </c>
    </row>
    <row r="364" spans="1:10">
      <c r="A364" s="79" t="s">
        <v>790</v>
      </c>
      <c r="B364" s="18">
        <v>1</v>
      </c>
      <c r="C364" s="83" t="s">
        <v>791</v>
      </c>
      <c r="D364" s="83" t="s">
        <v>792</v>
      </c>
      <c r="E364" s="84" t="s">
        <v>21</v>
      </c>
      <c r="F364" s="84" t="s">
        <v>22</v>
      </c>
      <c r="G364" s="84" t="s">
        <v>57</v>
      </c>
      <c r="H364" s="84" t="s">
        <v>793</v>
      </c>
      <c r="I364" s="84"/>
      <c r="J364" s="15" t="str">
        <f>IF(E364="Invalid_Segment","Invalid",IFERROR(INDEX(Severity_Matrix!$C$3:$M$10,MATCH('Error Log'!$F364,Severity_Matrix!$B$3:$B$10,0),MATCH('Error Log'!$G364,Severity_Matrix!$C$2:$M$2,0)),"No errors"))</f>
        <v>Major</v>
      </c>
    </row>
    <row r="365" spans="1:10">
      <c r="A365" s="79" t="s">
        <v>790</v>
      </c>
      <c r="B365" s="18">
        <v>2</v>
      </c>
      <c r="C365" s="83" t="s">
        <v>791</v>
      </c>
      <c r="D365" s="83" t="s">
        <v>792</v>
      </c>
      <c r="E365" s="84" t="s">
        <v>21</v>
      </c>
      <c r="F365" s="84" t="s">
        <v>7</v>
      </c>
      <c r="G365" s="84" t="s">
        <v>57</v>
      </c>
      <c r="H365" s="84" t="s">
        <v>794</v>
      </c>
      <c r="I365" s="84"/>
      <c r="J365" s="15" t="str">
        <f>IF(E365="Invalid_Segment","Invalid",IFERROR(INDEX(Severity_Matrix!$C$3:$M$10,MATCH('Error Log'!$F365,Severity_Matrix!$B$3:$B$10,0),MATCH('Error Log'!$G365,Severity_Matrix!$C$2:$M$2,0)),"No errors"))</f>
        <v>Critical</v>
      </c>
    </row>
    <row r="366" spans="1:10">
      <c r="A366" s="79" t="s">
        <v>795</v>
      </c>
      <c r="B366" s="18">
        <v>1</v>
      </c>
      <c r="C366" s="83" t="s">
        <v>796</v>
      </c>
      <c r="D366" s="83" t="s">
        <v>797</v>
      </c>
      <c r="E366" s="84" t="s">
        <v>21</v>
      </c>
      <c r="F366" s="84" t="s">
        <v>7</v>
      </c>
      <c r="G366" s="84" t="s">
        <v>55</v>
      </c>
      <c r="H366" s="84" t="s">
        <v>798</v>
      </c>
      <c r="I366" s="84"/>
      <c r="J366" s="15" t="str">
        <f>IF(E366="Invalid_Segment","Invalid",IFERROR(INDEX(Severity_Matrix!$C$3:$M$10,MATCH('Error Log'!$F366,Severity_Matrix!$B$3:$B$10,0),MATCH('Error Log'!$G366,Severity_Matrix!$C$2:$M$2,0)),"No errors"))</f>
        <v>Critical</v>
      </c>
    </row>
    <row r="367" spans="1:10">
      <c r="A367" s="79" t="s">
        <v>795</v>
      </c>
      <c r="B367" s="18">
        <v>2</v>
      </c>
      <c r="C367" s="83" t="s">
        <v>796</v>
      </c>
      <c r="D367" s="83" t="s">
        <v>797</v>
      </c>
      <c r="E367" s="84" t="s">
        <v>21</v>
      </c>
      <c r="F367" s="84" t="s">
        <v>22</v>
      </c>
      <c r="G367" s="84" t="s">
        <v>57</v>
      </c>
      <c r="H367" s="84" t="s">
        <v>799</v>
      </c>
      <c r="I367" s="84"/>
      <c r="J367" s="15" t="str">
        <f>IF(E367="Invalid_Segment","Invalid",IFERROR(INDEX(Severity_Matrix!$C$3:$M$10,MATCH('Error Log'!$F367,Severity_Matrix!$B$3:$B$10,0),MATCH('Error Log'!$G367,Severity_Matrix!$C$2:$M$2,0)),"No errors"))</f>
        <v>Major</v>
      </c>
    </row>
    <row r="368" spans="1:10">
      <c r="A368" s="79" t="s">
        <v>800</v>
      </c>
      <c r="B368" s="18">
        <v>3</v>
      </c>
      <c r="C368" s="83" t="s">
        <v>796</v>
      </c>
      <c r="D368" s="83" t="s">
        <v>797</v>
      </c>
      <c r="E368" s="84" t="s">
        <v>21</v>
      </c>
      <c r="F368" s="84" t="s">
        <v>7</v>
      </c>
      <c r="G368" s="84" t="s">
        <v>57</v>
      </c>
      <c r="H368" s="84" t="s">
        <v>801</v>
      </c>
      <c r="I368" s="84"/>
      <c r="J368" s="15" t="str">
        <f>IF(E368="Invalid_Segment","Invalid",IFERROR(INDEX(Severity_Matrix!$C$3:$M$10,MATCH('Error Log'!$F368,Severity_Matrix!$B$3:$B$10,0),MATCH('Error Log'!$G368,Severity_Matrix!$C$2:$M$2,0)),"No errors"))</f>
        <v>Critical</v>
      </c>
    </row>
    <row r="369" spans="1:10">
      <c r="A369" s="79" t="s">
        <v>802</v>
      </c>
      <c r="B369" s="18">
        <v>1</v>
      </c>
      <c r="C369" s="83" t="s">
        <v>803</v>
      </c>
      <c r="D369" s="83" t="s">
        <v>804</v>
      </c>
      <c r="E369" s="84" t="s">
        <v>21</v>
      </c>
      <c r="F369" s="84" t="s">
        <v>22</v>
      </c>
      <c r="G369" s="84" t="s">
        <v>57</v>
      </c>
      <c r="H369" s="88" t="s">
        <v>805</v>
      </c>
      <c r="I369" s="84"/>
      <c r="J369" s="15" t="str">
        <f>IF(E369="Invalid_Segment","Invalid",IFERROR(INDEX(Severity_Matrix!$C$3:$M$10,MATCH('Error Log'!$F369,Severity_Matrix!$B$3:$B$10,0),MATCH('Error Log'!$G369,Severity_Matrix!$C$2:$M$2,0)),"No errors"))</f>
        <v>Major</v>
      </c>
    </row>
    <row r="370" spans="1:10">
      <c r="A370" s="79" t="s">
        <v>802</v>
      </c>
      <c r="B370" s="18">
        <v>2</v>
      </c>
      <c r="C370" s="83" t="s">
        <v>806</v>
      </c>
      <c r="D370" s="83" t="s">
        <v>807</v>
      </c>
      <c r="E370" s="84" t="s">
        <v>21</v>
      </c>
      <c r="F370" s="84" t="s">
        <v>22</v>
      </c>
      <c r="G370" s="84" t="s">
        <v>57</v>
      </c>
      <c r="H370" s="84" t="s">
        <v>808</v>
      </c>
      <c r="I370" s="84"/>
      <c r="J370" s="15" t="str">
        <f>IF(E370="Invalid_Segment","Invalid",IFERROR(INDEX(Severity_Matrix!$C$3:$M$10,MATCH('Error Log'!$F370,Severity_Matrix!$B$3:$B$10,0),MATCH('Error Log'!$G370,Severity_Matrix!$C$2:$M$2,0)),"No errors"))</f>
        <v>Major</v>
      </c>
    </row>
    <row r="371" spans="1:10">
      <c r="A371" s="79" t="s">
        <v>809</v>
      </c>
      <c r="B371" s="18">
        <v>3</v>
      </c>
      <c r="C371" s="83" t="s">
        <v>810</v>
      </c>
      <c r="D371" s="83" t="s">
        <v>811</v>
      </c>
      <c r="E371" s="84" t="s">
        <v>21</v>
      </c>
      <c r="F371" s="84" t="s">
        <v>22</v>
      </c>
      <c r="G371" s="84" t="s">
        <v>57</v>
      </c>
      <c r="H371" s="84" t="s">
        <v>812</v>
      </c>
      <c r="I371" s="84"/>
      <c r="J371" s="15" t="str">
        <f>IF(E371="Invalid_Segment","Invalid",IFERROR(INDEX(Severity_Matrix!$C$3:$M$10,MATCH('Error Log'!$F371,Severity_Matrix!$B$3:$B$10,0),MATCH('Error Log'!$G371,Severity_Matrix!$C$2:$M$2,0)),"No errors"))</f>
        <v>Major</v>
      </c>
    </row>
    <row r="372" spans="1:10">
      <c r="A372" s="79" t="s">
        <v>809</v>
      </c>
      <c r="B372" s="18">
        <v>4</v>
      </c>
      <c r="C372" s="83" t="s">
        <v>813</v>
      </c>
      <c r="D372" s="83" t="s">
        <v>814</v>
      </c>
      <c r="E372" s="84" t="s">
        <v>21</v>
      </c>
      <c r="F372" s="84" t="s">
        <v>7</v>
      </c>
      <c r="G372" s="84" t="s">
        <v>57</v>
      </c>
      <c r="H372" s="84" t="s">
        <v>815</v>
      </c>
      <c r="I372" s="84"/>
      <c r="J372" s="15" t="str">
        <f>IF(E372="Invalid_Segment","Invalid",IFERROR(INDEX(Severity_Matrix!$C$3:$M$10,MATCH('Error Log'!$F372,Severity_Matrix!$B$3:$B$10,0),MATCH('Error Log'!$G372,Severity_Matrix!$C$2:$M$2,0)),"No errors"))</f>
        <v>Critical</v>
      </c>
    </row>
    <row r="373" spans="1:10">
      <c r="A373" s="79" t="s">
        <v>809</v>
      </c>
      <c r="B373" s="18">
        <v>5</v>
      </c>
      <c r="C373" s="83" t="s">
        <v>816</v>
      </c>
      <c r="D373" s="83" t="s">
        <v>817</v>
      </c>
      <c r="E373" s="84" t="s">
        <v>21</v>
      </c>
      <c r="F373" s="84" t="s">
        <v>7</v>
      </c>
      <c r="G373" s="84" t="s">
        <v>57</v>
      </c>
      <c r="H373" s="84" t="s">
        <v>818</v>
      </c>
      <c r="I373" s="84"/>
      <c r="J373" s="15" t="str">
        <f>IF(E373="Invalid_Segment","Invalid",IFERROR(INDEX(Severity_Matrix!$C$3:$M$10,MATCH('Error Log'!$F373,Severity_Matrix!$B$3:$B$10,0),MATCH('Error Log'!$G373,Severity_Matrix!$C$2:$M$2,0)),"No errors"))</f>
        <v>Critical</v>
      </c>
    </row>
    <row r="374" spans="1:10">
      <c r="A374" s="79" t="s">
        <v>819</v>
      </c>
      <c r="B374" s="18">
        <v>1</v>
      </c>
      <c r="C374" s="83" t="s">
        <v>820</v>
      </c>
      <c r="D374" s="83" t="s">
        <v>821</v>
      </c>
      <c r="E374" s="84" t="s">
        <v>21</v>
      </c>
      <c r="F374" s="84" t="s">
        <v>22</v>
      </c>
      <c r="G374" s="84" t="s">
        <v>57</v>
      </c>
      <c r="H374" s="84" t="s">
        <v>822</v>
      </c>
      <c r="I374" s="84"/>
      <c r="J374" s="15" t="str">
        <f>IF(E374="Invalid_Segment","Invalid",IFERROR(INDEX(Severity_Matrix!$C$3:$M$10,MATCH('Error Log'!$F374,Severity_Matrix!$B$3:$B$10,0),MATCH('Error Log'!$G374,Severity_Matrix!$C$2:$M$2,0)),"No errors"))</f>
        <v>Major</v>
      </c>
    </row>
    <row r="375" spans="1:10">
      <c r="A375" s="79" t="s">
        <v>819</v>
      </c>
      <c r="B375" s="18">
        <v>2</v>
      </c>
      <c r="C375" s="83" t="s">
        <v>823</v>
      </c>
      <c r="D375" s="83" t="s">
        <v>824</v>
      </c>
      <c r="E375" s="84" t="s">
        <v>21</v>
      </c>
      <c r="F375" s="84" t="s">
        <v>22</v>
      </c>
      <c r="G375" s="84" t="s">
        <v>57</v>
      </c>
      <c r="H375" s="84" t="s">
        <v>825</v>
      </c>
      <c r="I375" s="84"/>
      <c r="J375" s="15" t="str">
        <f>IF(E375="Invalid_Segment","Invalid",IFERROR(INDEX(Severity_Matrix!$C$3:$M$10,MATCH('Error Log'!$F375,Severity_Matrix!$B$3:$B$10,0),MATCH('Error Log'!$G375,Severity_Matrix!$C$2:$M$2,0)),"No errors"))</f>
        <v>Major</v>
      </c>
    </row>
    <row r="376" spans="1:10">
      <c r="A376" s="79" t="s">
        <v>826</v>
      </c>
      <c r="B376" s="18">
        <v>3</v>
      </c>
      <c r="C376" s="83" t="s">
        <v>827</v>
      </c>
      <c r="D376" s="83" t="s">
        <v>828</v>
      </c>
      <c r="E376" s="84" t="s">
        <v>21</v>
      </c>
      <c r="F376" s="84" t="s">
        <v>22</v>
      </c>
      <c r="G376" s="84" t="s">
        <v>57</v>
      </c>
      <c r="H376" s="84" t="s">
        <v>829</v>
      </c>
      <c r="I376" s="84"/>
      <c r="J376" s="15" t="str">
        <f>IF(E376="Invalid_Segment","Invalid",IFERROR(INDEX(Severity_Matrix!$C$3:$M$10,MATCH('Error Log'!$F376,Severity_Matrix!$B$3:$B$10,0),MATCH('Error Log'!$G376,Severity_Matrix!$C$2:$M$2,0)),"No errors"))</f>
        <v>Major</v>
      </c>
    </row>
    <row r="377" spans="1:10">
      <c r="A377" s="79" t="s">
        <v>826</v>
      </c>
      <c r="B377" s="18">
        <v>4</v>
      </c>
      <c r="C377" s="83" t="s">
        <v>830</v>
      </c>
      <c r="D377" s="83" t="s">
        <v>831</v>
      </c>
      <c r="E377" s="84" t="s">
        <v>21</v>
      </c>
      <c r="F377" s="84" t="s">
        <v>7</v>
      </c>
      <c r="G377" s="84" t="s">
        <v>57</v>
      </c>
      <c r="H377" s="84" t="s">
        <v>832</v>
      </c>
      <c r="I377" s="84"/>
      <c r="J377" s="15" t="str">
        <f>IF(E377="Invalid_Segment","Invalid",IFERROR(INDEX(Severity_Matrix!$C$3:$M$10,MATCH('Error Log'!$F377,Severity_Matrix!$B$3:$B$10,0),MATCH('Error Log'!$G377,Severity_Matrix!$C$2:$M$2,0)),"No errors"))</f>
        <v>Critical</v>
      </c>
    </row>
    <row r="378" spans="1:10" ht="14.4">
      <c r="A378" s="79" t="s">
        <v>826</v>
      </c>
      <c r="B378" s="18">
        <v>5</v>
      </c>
      <c r="C378" s="83" t="s">
        <v>833</v>
      </c>
      <c r="D378" s="83" t="s">
        <v>834</v>
      </c>
      <c r="E378" s="84" t="s">
        <v>21</v>
      </c>
      <c r="F378" s="84" t="s">
        <v>7</v>
      </c>
      <c r="G378" s="84" t="s">
        <v>57</v>
      </c>
      <c r="H378" s="84" t="s">
        <v>835</v>
      </c>
      <c r="I378" s="84"/>
      <c r="J378" s="15" t="str">
        <f>IF(E378="Invalid_Segment","Invalid",IFERROR(INDEX(Severity_Matrix!$C$3:$M$10,MATCH('Error Log'!$F378,Severity_Matrix!$B$3:$B$10,0),MATCH('Error Log'!$G378,Severity_Matrix!$C$2:$M$2,0)),"No errors"))</f>
        <v>Critical</v>
      </c>
    </row>
    <row r="379" spans="1:10">
      <c r="A379" s="79" t="s">
        <v>826</v>
      </c>
      <c r="B379" s="18">
        <v>6</v>
      </c>
      <c r="C379" s="83" t="s">
        <v>836</v>
      </c>
      <c r="D379" s="83" t="s">
        <v>837</v>
      </c>
      <c r="E379" s="84" t="s">
        <v>21</v>
      </c>
      <c r="F379" s="84" t="s">
        <v>7</v>
      </c>
      <c r="G379" s="84" t="s">
        <v>57</v>
      </c>
      <c r="H379" s="84" t="s">
        <v>838</v>
      </c>
      <c r="I379" s="84"/>
      <c r="J379" s="15" t="str">
        <f>IF(E379="Invalid_Segment","Invalid",IFERROR(INDEX(Severity_Matrix!$C$3:$M$10,MATCH('Error Log'!$F379,Severity_Matrix!$B$3:$B$10,0),MATCH('Error Log'!$G379,Severity_Matrix!$C$2:$M$2,0)),"No errors"))</f>
        <v>Critical</v>
      </c>
    </row>
    <row r="380" spans="1:10">
      <c r="A380" s="79" t="s">
        <v>839</v>
      </c>
      <c r="B380" s="18">
        <v>1</v>
      </c>
      <c r="C380" s="83" t="s">
        <v>840</v>
      </c>
      <c r="D380" s="83" t="s">
        <v>841</v>
      </c>
      <c r="E380" s="84" t="s">
        <v>21</v>
      </c>
      <c r="F380" s="84" t="s">
        <v>22</v>
      </c>
      <c r="G380" s="84" t="s">
        <v>57</v>
      </c>
      <c r="H380" s="84" t="s">
        <v>842</v>
      </c>
      <c r="I380" s="84"/>
      <c r="J380" s="15" t="str">
        <f>IF(E380="Invalid_Segment","Invalid",IFERROR(INDEX(Severity_Matrix!$C$3:$M$10,MATCH('Error Log'!$F380,Severity_Matrix!$B$3:$B$10,0),MATCH('Error Log'!$G380,Severity_Matrix!$C$2:$M$2,0)),"No errors"))</f>
        <v>Major</v>
      </c>
    </row>
    <row r="381" spans="1:10">
      <c r="A381" s="79" t="s">
        <v>839</v>
      </c>
      <c r="B381" s="18">
        <v>2</v>
      </c>
      <c r="C381" s="83" t="s">
        <v>843</v>
      </c>
      <c r="D381" s="83" t="s">
        <v>841</v>
      </c>
      <c r="E381" s="84" t="s">
        <v>21</v>
      </c>
      <c r="F381" s="84" t="s">
        <v>22</v>
      </c>
      <c r="G381" s="84" t="s">
        <v>57</v>
      </c>
      <c r="H381" s="84" t="s">
        <v>844</v>
      </c>
      <c r="I381" s="84"/>
      <c r="J381" s="15" t="str">
        <f>IF(E381="Invalid_Segment","Invalid",IFERROR(INDEX(Severity_Matrix!$C$3:$M$10,MATCH('Error Log'!$F381,Severity_Matrix!$B$3:$B$10,0),MATCH('Error Log'!$G381,Severity_Matrix!$C$2:$M$2,0)),"No errors"))</f>
        <v>Major</v>
      </c>
    </row>
    <row r="382" spans="1:10">
      <c r="A382" s="79" t="s">
        <v>845</v>
      </c>
      <c r="B382" s="18">
        <v>3</v>
      </c>
      <c r="C382" s="83" t="s">
        <v>846</v>
      </c>
      <c r="D382" s="83" t="s">
        <v>841</v>
      </c>
      <c r="E382" s="84" t="s">
        <v>21</v>
      </c>
      <c r="F382" s="84" t="s">
        <v>22</v>
      </c>
      <c r="G382" s="84" t="s">
        <v>28</v>
      </c>
      <c r="H382" s="84" t="s">
        <v>847</v>
      </c>
      <c r="I382" s="84"/>
      <c r="J382" s="15" t="str">
        <f>IF(E382="Invalid_Segment","Invalid",IFERROR(INDEX(Severity_Matrix!$C$3:$M$10,MATCH('Error Log'!$F382,Severity_Matrix!$B$3:$B$10,0),MATCH('Error Log'!$G382,Severity_Matrix!$C$2:$M$2,0)),"No errors"))</f>
        <v>Major</v>
      </c>
    </row>
    <row r="383" spans="1:10">
      <c r="A383" s="79" t="s">
        <v>845</v>
      </c>
      <c r="B383" s="18">
        <v>4</v>
      </c>
      <c r="C383" s="83" t="s">
        <v>848</v>
      </c>
      <c r="D383" s="83" t="s">
        <v>841</v>
      </c>
      <c r="E383" s="84" t="s">
        <v>21</v>
      </c>
      <c r="F383" s="84" t="s">
        <v>22</v>
      </c>
      <c r="G383" s="84" t="s">
        <v>28</v>
      </c>
      <c r="H383" s="84" t="s">
        <v>847</v>
      </c>
      <c r="I383" s="84"/>
      <c r="J383" s="15" t="str">
        <f>IF(E383="Invalid_Segment","Invalid",IFERROR(INDEX(Severity_Matrix!$C$3:$M$10,MATCH('Error Log'!$F383,Severity_Matrix!$B$3:$B$10,0),MATCH('Error Log'!$G383,Severity_Matrix!$C$2:$M$2,0)),"No errors"))</f>
        <v>Major</v>
      </c>
    </row>
    <row r="384" spans="1:10">
      <c r="A384" s="79" t="s">
        <v>845</v>
      </c>
      <c r="B384" s="18">
        <v>5</v>
      </c>
      <c r="C384" s="83" t="s">
        <v>849</v>
      </c>
      <c r="D384" s="83" t="s">
        <v>841</v>
      </c>
      <c r="E384" s="84" t="s">
        <v>21</v>
      </c>
      <c r="F384" s="84" t="s">
        <v>7</v>
      </c>
      <c r="G384" s="84" t="s">
        <v>57</v>
      </c>
      <c r="H384" s="84" t="s">
        <v>850</v>
      </c>
      <c r="I384" s="84"/>
      <c r="J384" s="15" t="str">
        <f>IF(E384="Invalid_Segment","Invalid",IFERROR(INDEX(Severity_Matrix!$C$3:$M$10,MATCH('Error Log'!$F384,Severity_Matrix!$B$3:$B$10,0),MATCH('Error Log'!$G384,Severity_Matrix!$C$2:$M$2,0)),"No errors"))</f>
        <v>Critical</v>
      </c>
    </row>
    <row r="385" spans="1:10">
      <c r="A385" s="79" t="s">
        <v>845</v>
      </c>
      <c r="B385" s="18">
        <v>6</v>
      </c>
      <c r="C385" s="83" t="s">
        <v>851</v>
      </c>
      <c r="D385" s="83" t="s">
        <v>841</v>
      </c>
      <c r="E385" s="84" t="s">
        <v>21</v>
      </c>
      <c r="F385" s="84" t="s">
        <v>7</v>
      </c>
      <c r="G385" s="84" t="s">
        <v>57</v>
      </c>
      <c r="H385" s="84" t="s">
        <v>852</v>
      </c>
      <c r="I385" s="84"/>
      <c r="J385" s="15" t="str">
        <f>IF(E385="Invalid_Segment","Invalid",IFERROR(INDEX(Severity_Matrix!$C$3:$M$10,MATCH('Error Log'!$F385,Severity_Matrix!$B$3:$B$10,0),MATCH('Error Log'!$G385,Severity_Matrix!$C$2:$M$2,0)),"No errors"))</f>
        <v>Critical</v>
      </c>
    </row>
    <row r="386" spans="1:10">
      <c r="A386" s="79" t="s">
        <v>853</v>
      </c>
      <c r="B386" s="18">
        <v>1</v>
      </c>
      <c r="C386" s="83" t="s">
        <v>854</v>
      </c>
      <c r="D386" s="83" t="s">
        <v>855</v>
      </c>
      <c r="E386" s="84" t="s">
        <v>21</v>
      </c>
      <c r="F386" s="84" t="s">
        <v>22</v>
      </c>
      <c r="G386" s="84" t="s">
        <v>57</v>
      </c>
      <c r="H386" s="84" t="s">
        <v>856</v>
      </c>
      <c r="I386" s="84"/>
      <c r="J386" s="15" t="str">
        <f>IF(E386="Invalid_Segment","Invalid",IFERROR(INDEX(Severity_Matrix!$C$3:$M$10,MATCH('Error Log'!$F386,Severity_Matrix!$B$3:$B$10,0),MATCH('Error Log'!$G386,Severity_Matrix!$C$2:$M$2,0)),"No errors"))</f>
        <v>Major</v>
      </c>
    </row>
    <row r="387" spans="1:10">
      <c r="A387" s="79" t="s">
        <v>853</v>
      </c>
      <c r="B387" s="18">
        <v>2</v>
      </c>
      <c r="C387" s="83" t="s">
        <v>854</v>
      </c>
      <c r="D387" s="83" t="s">
        <v>855</v>
      </c>
      <c r="E387" s="84" t="s">
        <v>21</v>
      </c>
      <c r="F387" s="84" t="s">
        <v>22</v>
      </c>
      <c r="G387" s="84" t="s">
        <v>57</v>
      </c>
      <c r="H387" s="84" t="s">
        <v>857</v>
      </c>
      <c r="I387" s="84"/>
      <c r="J387" s="15" t="str">
        <f>IF(E387="Invalid_Segment","Invalid",IFERROR(INDEX(Severity_Matrix!$C$3:$M$10,MATCH('Error Log'!$F387,Severity_Matrix!$B$3:$B$10,0),MATCH('Error Log'!$G387,Severity_Matrix!$C$2:$M$2,0)),"No errors"))</f>
        <v>Major</v>
      </c>
    </row>
    <row r="388" spans="1:10">
      <c r="A388" s="79" t="s">
        <v>858</v>
      </c>
      <c r="B388" s="18">
        <v>3</v>
      </c>
      <c r="C388" s="83" t="s">
        <v>854</v>
      </c>
      <c r="D388" s="83" t="s">
        <v>855</v>
      </c>
      <c r="E388" s="84" t="s">
        <v>21</v>
      </c>
      <c r="F388" s="84" t="s">
        <v>7</v>
      </c>
      <c r="G388" s="84" t="s">
        <v>57</v>
      </c>
      <c r="H388" s="84" t="s">
        <v>859</v>
      </c>
      <c r="I388" s="84"/>
      <c r="J388" s="15" t="str">
        <f>IF(E388="Invalid_Segment","Invalid",IFERROR(INDEX(Severity_Matrix!$C$3:$M$10,MATCH('Error Log'!$F388,Severity_Matrix!$B$3:$B$10,0),MATCH('Error Log'!$G388,Severity_Matrix!$C$2:$M$2,0)),"No errors"))</f>
        <v>Critical</v>
      </c>
    </row>
    <row r="389" spans="1:10">
      <c r="A389" s="79" t="s">
        <v>858</v>
      </c>
      <c r="B389" s="18">
        <v>4</v>
      </c>
      <c r="C389" s="83" t="s">
        <v>854</v>
      </c>
      <c r="D389" s="83" t="s">
        <v>855</v>
      </c>
      <c r="E389" s="84" t="s">
        <v>21</v>
      </c>
      <c r="F389" s="84" t="s">
        <v>7</v>
      </c>
      <c r="G389" s="84" t="s">
        <v>57</v>
      </c>
      <c r="H389" s="84" t="s">
        <v>860</v>
      </c>
      <c r="I389" s="84"/>
      <c r="J389" s="15" t="str">
        <f>IF(E389="Invalid_Segment","Invalid",IFERROR(INDEX(Severity_Matrix!$C$3:$M$10,MATCH('Error Log'!$F389,Severity_Matrix!$B$3:$B$10,0),MATCH('Error Log'!$G389,Severity_Matrix!$C$2:$M$2,0)),"No errors"))</f>
        <v>Critical</v>
      </c>
    </row>
    <row r="390" spans="1:10">
      <c r="A390" s="79" t="s">
        <v>861</v>
      </c>
      <c r="B390" s="18">
        <v>1</v>
      </c>
      <c r="C390" s="83" t="s">
        <v>862</v>
      </c>
      <c r="D390" s="83" t="s">
        <v>863</v>
      </c>
      <c r="E390" s="84" t="s">
        <v>21</v>
      </c>
      <c r="F390" s="84" t="s">
        <v>22</v>
      </c>
      <c r="G390" s="84" t="s">
        <v>57</v>
      </c>
      <c r="H390" s="84" t="s">
        <v>864</v>
      </c>
      <c r="I390" s="84"/>
      <c r="J390" s="15" t="str">
        <f>IF(E390="Invalid_Segment","Invalid",IFERROR(INDEX(Severity_Matrix!$C$3:$M$10,MATCH('Error Log'!$F390,Severity_Matrix!$B$3:$B$10,0),MATCH('Error Log'!$G390,Severity_Matrix!$C$2:$M$2,0)),"No errors"))</f>
        <v>Major</v>
      </c>
    </row>
    <row r="391" spans="1:10">
      <c r="A391" s="79" t="s">
        <v>861</v>
      </c>
      <c r="B391" s="18">
        <v>2</v>
      </c>
      <c r="C391" s="83" t="s">
        <v>865</v>
      </c>
      <c r="D391" s="83" t="s">
        <v>863</v>
      </c>
      <c r="E391" s="84" t="s">
        <v>21</v>
      </c>
      <c r="F391" s="84" t="s">
        <v>22</v>
      </c>
      <c r="G391" s="84" t="s">
        <v>57</v>
      </c>
      <c r="H391" s="84" t="s">
        <v>866</v>
      </c>
      <c r="I391" s="84"/>
      <c r="J391" s="15" t="str">
        <f>IF(E391="Invalid_Segment","Invalid",IFERROR(INDEX(Severity_Matrix!$C$3:$M$10,MATCH('Error Log'!$F391,Severity_Matrix!$B$3:$B$10,0),MATCH('Error Log'!$G391,Severity_Matrix!$C$2:$M$2,0)),"No errors"))</f>
        <v>Major</v>
      </c>
    </row>
    <row r="392" spans="1:10">
      <c r="A392" s="79" t="s">
        <v>867</v>
      </c>
      <c r="B392" s="18">
        <v>3</v>
      </c>
      <c r="C392" s="83" t="s">
        <v>868</v>
      </c>
      <c r="D392" s="83" t="s">
        <v>863</v>
      </c>
      <c r="E392" s="84" t="s">
        <v>21</v>
      </c>
      <c r="F392" s="84" t="s">
        <v>22</v>
      </c>
      <c r="G392" s="84" t="s">
        <v>57</v>
      </c>
      <c r="H392" s="84" t="s">
        <v>869</v>
      </c>
      <c r="I392" s="84"/>
      <c r="J392" s="15" t="str">
        <f>IF(E392="Invalid_Segment","Invalid",IFERROR(INDEX(Severity_Matrix!$C$3:$M$10,MATCH('Error Log'!$F392,Severity_Matrix!$B$3:$B$10,0),MATCH('Error Log'!$G392,Severity_Matrix!$C$2:$M$2,0)),"No errors"))</f>
        <v>Major</v>
      </c>
    </row>
    <row r="393" spans="1:10">
      <c r="A393" s="79" t="s">
        <v>867</v>
      </c>
      <c r="B393" s="18">
        <v>4</v>
      </c>
      <c r="C393" s="83" t="s">
        <v>870</v>
      </c>
      <c r="D393" s="83" t="s">
        <v>863</v>
      </c>
      <c r="E393" s="84" t="s">
        <v>21</v>
      </c>
      <c r="F393" s="84" t="s">
        <v>7</v>
      </c>
      <c r="G393" s="84" t="s">
        <v>57</v>
      </c>
      <c r="H393" s="84" t="s">
        <v>871</v>
      </c>
      <c r="I393" s="84"/>
      <c r="J393" s="15" t="str">
        <f>IF(E393="Invalid_Segment","Invalid",IFERROR(INDEX(Severity_Matrix!$C$3:$M$10,MATCH('Error Log'!$F393,Severity_Matrix!$B$3:$B$10,0),MATCH('Error Log'!$G393,Severity_Matrix!$C$2:$M$2,0)),"No errors"))</f>
        <v>Critical</v>
      </c>
    </row>
    <row r="394" spans="1:10">
      <c r="A394" s="79" t="s">
        <v>867</v>
      </c>
      <c r="B394" s="18">
        <v>5</v>
      </c>
      <c r="C394" s="83" t="s">
        <v>872</v>
      </c>
      <c r="D394" s="83" t="s">
        <v>863</v>
      </c>
      <c r="E394" s="84" t="s">
        <v>21</v>
      </c>
      <c r="F394" s="84" t="s">
        <v>7</v>
      </c>
      <c r="G394" s="84" t="s">
        <v>57</v>
      </c>
      <c r="H394" s="84" t="s">
        <v>873</v>
      </c>
      <c r="I394" s="84"/>
      <c r="J394" s="15" t="str">
        <f>IF(E394="Invalid_Segment","Invalid",IFERROR(INDEX(Severity_Matrix!$C$3:$M$10,MATCH('Error Log'!$F394,Severity_Matrix!$B$3:$B$10,0),MATCH('Error Log'!$G394,Severity_Matrix!$C$2:$M$2,0)),"No errors"))</f>
        <v>Critical</v>
      </c>
    </row>
    <row r="395" spans="1:10">
      <c r="A395" s="79" t="s">
        <v>867</v>
      </c>
      <c r="B395" s="18">
        <v>6</v>
      </c>
      <c r="C395" s="83" t="s">
        <v>874</v>
      </c>
      <c r="D395" s="83" t="s">
        <v>863</v>
      </c>
      <c r="E395" s="84" t="s">
        <v>21</v>
      </c>
      <c r="F395" s="84" t="s">
        <v>7</v>
      </c>
      <c r="G395" s="84" t="s">
        <v>57</v>
      </c>
      <c r="H395" s="84" t="s">
        <v>875</v>
      </c>
      <c r="I395" s="84"/>
      <c r="J395" s="15" t="str">
        <f>IF(E395="Invalid_Segment","Invalid",IFERROR(INDEX(Severity_Matrix!$C$3:$M$10,MATCH('Error Log'!$F395,Severity_Matrix!$B$3:$B$10,0),MATCH('Error Log'!$G395,Severity_Matrix!$C$2:$M$2,0)),"No errors"))</f>
        <v>Critical</v>
      </c>
    </row>
    <row r="396" spans="1:10">
      <c r="A396" s="79" t="s">
        <v>867</v>
      </c>
      <c r="B396" s="18">
        <v>7</v>
      </c>
      <c r="C396" s="83" t="s">
        <v>876</v>
      </c>
      <c r="D396" s="83" t="s">
        <v>863</v>
      </c>
      <c r="E396" s="84" t="s">
        <v>21</v>
      </c>
      <c r="F396" s="84" t="s">
        <v>7</v>
      </c>
      <c r="G396" s="84" t="s">
        <v>57</v>
      </c>
      <c r="H396" s="84" t="s">
        <v>877</v>
      </c>
      <c r="I396" s="84"/>
      <c r="J396" s="15" t="str">
        <f>IF(E396="Invalid_Segment","Invalid",IFERROR(INDEX(Severity_Matrix!$C$3:$M$10,MATCH('Error Log'!$F396,Severity_Matrix!$B$3:$B$10,0),MATCH('Error Log'!$G396,Severity_Matrix!$C$2:$M$2,0)),"No errors"))</f>
        <v>Critical</v>
      </c>
    </row>
    <row r="397" spans="1:10">
      <c r="A397" s="79" t="s">
        <v>878</v>
      </c>
      <c r="B397" s="18">
        <v>1</v>
      </c>
      <c r="C397" s="83" t="s">
        <v>879</v>
      </c>
      <c r="D397" s="83" t="s">
        <v>880</v>
      </c>
      <c r="E397" s="84" t="s">
        <v>21</v>
      </c>
      <c r="F397" s="84" t="s">
        <v>22</v>
      </c>
      <c r="G397" s="84" t="s">
        <v>57</v>
      </c>
      <c r="H397" s="84" t="s">
        <v>881</v>
      </c>
      <c r="I397" s="84"/>
      <c r="J397" s="15" t="str">
        <f>IF(E397="Invalid_Segment","Invalid",IFERROR(INDEX(Severity_Matrix!$C$3:$M$10,MATCH('Error Log'!$F397,Severity_Matrix!$B$3:$B$10,0),MATCH('Error Log'!$G397,Severity_Matrix!$C$2:$M$2,0)),"No errors"))</f>
        <v>Major</v>
      </c>
    </row>
    <row r="398" spans="1:10">
      <c r="A398" s="79" t="s">
        <v>878</v>
      </c>
      <c r="B398" s="18">
        <v>2</v>
      </c>
      <c r="C398" s="83" t="s">
        <v>879</v>
      </c>
      <c r="D398" s="83" t="s">
        <v>880</v>
      </c>
      <c r="E398" s="84" t="s">
        <v>21</v>
      </c>
      <c r="F398" s="84" t="s">
        <v>7</v>
      </c>
      <c r="G398" s="84" t="s">
        <v>57</v>
      </c>
      <c r="H398" s="84" t="s">
        <v>882</v>
      </c>
      <c r="I398" s="84"/>
      <c r="J398" s="15" t="str">
        <f>IF(E398="Invalid_Segment","Invalid",IFERROR(INDEX(Severity_Matrix!$C$3:$M$10,MATCH('Error Log'!$F398,Severity_Matrix!$B$3:$B$10,0),MATCH('Error Log'!$G398,Severity_Matrix!$C$2:$M$2,0)),"No errors"))</f>
        <v>Critical</v>
      </c>
    </row>
    <row r="399" spans="1:10">
      <c r="A399" s="79" t="s">
        <v>883</v>
      </c>
      <c r="B399" s="18">
        <v>1</v>
      </c>
      <c r="C399" s="83" t="s">
        <v>884</v>
      </c>
      <c r="D399" s="83" t="s">
        <v>885</v>
      </c>
      <c r="E399" s="84" t="s">
        <v>21</v>
      </c>
      <c r="F399" s="84" t="s">
        <v>22</v>
      </c>
      <c r="G399" s="84" t="s">
        <v>57</v>
      </c>
      <c r="H399" s="88" t="s">
        <v>886</v>
      </c>
      <c r="I399" s="84"/>
      <c r="J399" s="15" t="str">
        <f>IF(E399="Invalid_Segment","Invalid",IFERROR(INDEX(Severity_Matrix!$C$3:$M$10,MATCH('Error Log'!$F399,Severity_Matrix!$B$3:$B$10,0),MATCH('Error Log'!$G399,Severity_Matrix!$C$2:$M$2,0)),"No errors"))</f>
        <v>Major</v>
      </c>
    </row>
    <row r="400" spans="1:10">
      <c r="A400" s="79" t="s">
        <v>883</v>
      </c>
      <c r="B400" s="18">
        <v>2</v>
      </c>
      <c r="C400" s="83" t="s">
        <v>884</v>
      </c>
      <c r="D400" s="83" t="s">
        <v>887</v>
      </c>
      <c r="E400" s="84" t="s">
        <v>21</v>
      </c>
      <c r="F400" s="84" t="s">
        <v>7</v>
      </c>
      <c r="G400" s="84" t="s">
        <v>57</v>
      </c>
      <c r="H400" s="84" t="s">
        <v>888</v>
      </c>
      <c r="I400" s="84"/>
      <c r="J400" s="15" t="str">
        <f>IF(E400="Invalid_Segment","Invalid",IFERROR(INDEX(Severity_Matrix!$C$3:$M$10,MATCH('Error Log'!$F400,Severity_Matrix!$B$3:$B$10,0),MATCH('Error Log'!$G400,Severity_Matrix!$C$2:$M$2,0)),"No errors"))</f>
        <v>Critical</v>
      </c>
    </row>
    <row r="401" spans="1:10">
      <c r="A401" s="79" t="s">
        <v>889</v>
      </c>
      <c r="B401" s="18">
        <v>3</v>
      </c>
      <c r="C401" s="83" t="s">
        <v>884</v>
      </c>
      <c r="D401" s="83" t="s">
        <v>887</v>
      </c>
      <c r="E401" s="84" t="s">
        <v>21</v>
      </c>
      <c r="F401" s="84" t="s">
        <v>7</v>
      </c>
      <c r="G401" s="84" t="s">
        <v>57</v>
      </c>
      <c r="H401" s="84" t="s">
        <v>890</v>
      </c>
      <c r="I401" s="84"/>
      <c r="J401" s="15" t="str">
        <f>IF(E401="Invalid_Segment","Invalid",IFERROR(INDEX(Severity_Matrix!$C$3:$M$10,MATCH('Error Log'!$F401,Severity_Matrix!$B$3:$B$10,0),MATCH('Error Log'!$G401,Severity_Matrix!$C$2:$M$2,0)),"No errors"))</f>
        <v>Critical</v>
      </c>
    </row>
    <row r="402" spans="1:10">
      <c r="A402" s="79" t="s">
        <v>891</v>
      </c>
      <c r="B402" s="18">
        <v>1</v>
      </c>
      <c r="C402" s="83" t="s">
        <v>892</v>
      </c>
      <c r="D402" s="83" t="s">
        <v>893</v>
      </c>
      <c r="E402" s="84" t="s">
        <v>21</v>
      </c>
      <c r="F402" s="84" t="s">
        <v>22</v>
      </c>
      <c r="G402" s="84" t="s">
        <v>57</v>
      </c>
      <c r="H402" s="84" t="s">
        <v>894</v>
      </c>
      <c r="I402" s="84"/>
      <c r="J402" s="15" t="str">
        <f>IF(E402="Invalid_Segment","Invalid",IFERROR(INDEX(Severity_Matrix!$C$3:$M$10,MATCH('Error Log'!$F402,Severity_Matrix!$B$3:$B$10,0),MATCH('Error Log'!$G402,Severity_Matrix!$C$2:$M$2,0)),"No errors"))</f>
        <v>Major</v>
      </c>
    </row>
    <row r="403" spans="1:10">
      <c r="A403" s="79" t="s">
        <v>891</v>
      </c>
      <c r="B403" s="18">
        <v>2</v>
      </c>
      <c r="C403" s="83" t="s">
        <v>892</v>
      </c>
      <c r="D403" s="83" t="s">
        <v>893</v>
      </c>
      <c r="E403" s="84" t="s">
        <v>21</v>
      </c>
      <c r="F403" s="84" t="s">
        <v>22</v>
      </c>
      <c r="G403" s="84" t="s">
        <v>57</v>
      </c>
      <c r="H403" s="84" t="s">
        <v>895</v>
      </c>
      <c r="I403" s="84"/>
      <c r="J403" s="15" t="str">
        <f>IF(E403="Invalid_Segment","Invalid",IFERROR(INDEX(Severity_Matrix!$C$3:$M$10,MATCH('Error Log'!$F403,Severity_Matrix!$B$3:$B$10,0),MATCH('Error Log'!$G403,Severity_Matrix!$C$2:$M$2,0)),"No errors"))</f>
        <v>Major</v>
      </c>
    </row>
    <row r="404" spans="1:10">
      <c r="A404" s="79" t="s">
        <v>896</v>
      </c>
      <c r="B404" s="18">
        <v>3</v>
      </c>
      <c r="C404" s="83" t="s">
        <v>892</v>
      </c>
      <c r="D404" s="83" t="s">
        <v>893</v>
      </c>
      <c r="E404" s="84" t="s">
        <v>21</v>
      </c>
      <c r="F404" s="84" t="s">
        <v>7</v>
      </c>
      <c r="G404" s="84" t="s">
        <v>57</v>
      </c>
      <c r="H404" s="88" t="s">
        <v>897</v>
      </c>
      <c r="I404" s="84"/>
      <c r="J404" s="15" t="str">
        <f>IF(E404="Invalid_Segment","Invalid",IFERROR(INDEX(Severity_Matrix!$C$3:$M$10,MATCH('Error Log'!$F404,Severity_Matrix!$B$3:$B$10,0),MATCH('Error Log'!$G404,Severity_Matrix!$C$2:$M$2,0)),"No errors"))</f>
        <v>Critical</v>
      </c>
    </row>
    <row r="405" spans="1:10">
      <c r="A405" s="79" t="s">
        <v>896</v>
      </c>
      <c r="B405" s="18">
        <v>4</v>
      </c>
      <c r="C405" s="83" t="s">
        <v>892</v>
      </c>
      <c r="D405" s="83" t="s">
        <v>893</v>
      </c>
      <c r="E405" s="84" t="s">
        <v>21</v>
      </c>
      <c r="F405" s="84" t="s">
        <v>7</v>
      </c>
      <c r="G405" s="84" t="s">
        <v>57</v>
      </c>
      <c r="H405" s="84" t="s">
        <v>898</v>
      </c>
      <c r="I405" s="84"/>
      <c r="J405" s="15" t="str">
        <f>IF(E405="Invalid_Segment","Invalid",IFERROR(INDEX(Severity_Matrix!$C$3:$M$10,MATCH('Error Log'!$F405,Severity_Matrix!$B$3:$B$10,0),MATCH('Error Log'!$G405,Severity_Matrix!$C$2:$M$2,0)),"No errors"))</f>
        <v>Critical</v>
      </c>
    </row>
    <row r="406" spans="1:10">
      <c r="A406" s="79" t="s">
        <v>896</v>
      </c>
      <c r="B406" s="18">
        <v>5</v>
      </c>
      <c r="C406" s="83" t="s">
        <v>892</v>
      </c>
      <c r="D406" s="83" t="s">
        <v>893</v>
      </c>
      <c r="E406" s="84" t="s">
        <v>21</v>
      </c>
      <c r="F406" s="84" t="s">
        <v>7</v>
      </c>
      <c r="G406" s="84" t="s">
        <v>57</v>
      </c>
      <c r="H406" s="84" t="s">
        <v>899</v>
      </c>
      <c r="I406" s="84"/>
      <c r="J406" s="15" t="str">
        <f>IF(E406="Invalid_Segment","Invalid",IFERROR(INDEX(Severity_Matrix!$C$3:$M$10,MATCH('Error Log'!$F406,Severity_Matrix!$B$3:$B$10,0),MATCH('Error Log'!$G406,Severity_Matrix!$C$2:$M$2,0)),"No errors"))</f>
        <v>Critical</v>
      </c>
    </row>
    <row r="407" spans="1:10">
      <c r="A407" s="79" t="s">
        <v>900</v>
      </c>
      <c r="B407" s="18">
        <v>1</v>
      </c>
      <c r="C407" s="83" t="s">
        <v>901</v>
      </c>
      <c r="D407" s="83" t="s">
        <v>902</v>
      </c>
      <c r="E407" s="84" t="s">
        <v>21</v>
      </c>
      <c r="F407" s="84" t="s">
        <v>22</v>
      </c>
      <c r="G407" s="84" t="s">
        <v>57</v>
      </c>
      <c r="H407" s="84" t="s">
        <v>903</v>
      </c>
      <c r="I407" s="84"/>
      <c r="J407" s="15" t="str">
        <f>IF(E407="Invalid_Segment","Invalid",IFERROR(INDEX(Severity_Matrix!$C$3:$M$10,MATCH('Error Log'!$F407,Severity_Matrix!$B$3:$B$10,0),MATCH('Error Log'!$G407,Severity_Matrix!$C$2:$M$2,0)),"No errors"))</f>
        <v>Major</v>
      </c>
    </row>
    <row r="408" spans="1:10">
      <c r="A408" s="79" t="s">
        <v>900</v>
      </c>
      <c r="B408" s="18">
        <v>2</v>
      </c>
      <c r="C408" s="83" t="s">
        <v>904</v>
      </c>
      <c r="D408" s="83" t="s">
        <v>905</v>
      </c>
      <c r="E408" s="84" t="s">
        <v>21</v>
      </c>
      <c r="F408" s="84" t="s">
        <v>22</v>
      </c>
      <c r="G408" s="84" t="s">
        <v>57</v>
      </c>
      <c r="H408" s="84" t="s">
        <v>906</v>
      </c>
      <c r="I408" s="84"/>
      <c r="J408" s="15" t="str">
        <f>IF(E408="Invalid_Segment","Invalid",IFERROR(INDEX(Severity_Matrix!$C$3:$M$10,MATCH('Error Log'!$F408,Severity_Matrix!$B$3:$B$10,0),MATCH('Error Log'!$G408,Severity_Matrix!$C$2:$M$2,0)),"No errors"))</f>
        <v>Major</v>
      </c>
    </row>
    <row r="409" spans="1:10">
      <c r="A409" s="79" t="s">
        <v>907</v>
      </c>
      <c r="B409" s="18">
        <v>3</v>
      </c>
      <c r="C409" s="83" t="s">
        <v>908</v>
      </c>
      <c r="D409" s="83" t="s">
        <v>909</v>
      </c>
      <c r="E409" s="84" t="s">
        <v>21</v>
      </c>
      <c r="F409" s="84" t="s">
        <v>22</v>
      </c>
      <c r="G409" s="84" t="s">
        <v>57</v>
      </c>
      <c r="H409" s="84" t="s">
        <v>910</v>
      </c>
      <c r="I409" s="84"/>
      <c r="J409" s="15" t="str">
        <f>IF(E409="Invalid_Segment","Invalid",IFERROR(INDEX(Severity_Matrix!$C$3:$M$10,MATCH('Error Log'!$F409,Severity_Matrix!$B$3:$B$10,0),MATCH('Error Log'!$G409,Severity_Matrix!$C$2:$M$2,0)),"No errors"))</f>
        <v>Major</v>
      </c>
    </row>
    <row r="410" spans="1:10">
      <c r="A410" s="79" t="s">
        <v>907</v>
      </c>
      <c r="B410" s="18">
        <v>4</v>
      </c>
      <c r="C410" s="83" t="s">
        <v>911</v>
      </c>
      <c r="D410" s="83" t="s">
        <v>912</v>
      </c>
      <c r="E410" s="84" t="s">
        <v>21</v>
      </c>
      <c r="F410" s="84" t="s">
        <v>7</v>
      </c>
      <c r="G410" s="84" t="s">
        <v>57</v>
      </c>
      <c r="H410" s="84" t="s">
        <v>913</v>
      </c>
      <c r="I410" s="84"/>
      <c r="J410" s="15" t="str">
        <f>IF(E410="Invalid_Segment","Invalid",IFERROR(INDEX(Severity_Matrix!$C$3:$M$10,MATCH('Error Log'!$F410,Severity_Matrix!$B$3:$B$10,0),MATCH('Error Log'!$G410,Severity_Matrix!$C$2:$M$2,0)),"No errors"))</f>
        <v>Critical</v>
      </c>
    </row>
    <row r="411" spans="1:10">
      <c r="A411" s="79" t="s">
        <v>907</v>
      </c>
      <c r="B411" s="18">
        <v>5</v>
      </c>
      <c r="C411" s="83" t="s">
        <v>914</v>
      </c>
      <c r="D411" s="83" t="s">
        <v>915</v>
      </c>
      <c r="E411" s="84" t="s">
        <v>21</v>
      </c>
      <c r="F411" s="84" t="s">
        <v>7</v>
      </c>
      <c r="G411" s="84" t="s">
        <v>57</v>
      </c>
      <c r="H411" s="84" t="s">
        <v>916</v>
      </c>
      <c r="I411" s="84"/>
      <c r="J411" s="15" t="str">
        <f>IF(E411="Invalid_Segment","Invalid",IFERROR(INDEX(Severity_Matrix!$C$3:$M$10,MATCH('Error Log'!$F411,Severity_Matrix!$B$3:$B$10,0),MATCH('Error Log'!$G411,Severity_Matrix!$C$2:$M$2,0)),"No errors"))</f>
        <v>Critical</v>
      </c>
    </row>
    <row r="412" spans="1:10">
      <c r="A412" s="79" t="s">
        <v>907</v>
      </c>
      <c r="B412" s="18">
        <v>6</v>
      </c>
      <c r="C412" s="83" t="s">
        <v>917</v>
      </c>
      <c r="D412" s="83" t="s">
        <v>918</v>
      </c>
      <c r="E412" s="84" t="s">
        <v>21</v>
      </c>
      <c r="F412" s="84" t="s">
        <v>7</v>
      </c>
      <c r="G412" s="84" t="s">
        <v>57</v>
      </c>
      <c r="H412" s="88" t="s">
        <v>919</v>
      </c>
      <c r="I412" s="84"/>
      <c r="J412" s="15" t="str">
        <f>IF(E412="Invalid_Segment","Invalid",IFERROR(INDEX(Severity_Matrix!$C$3:$M$10,MATCH('Error Log'!$F412,Severity_Matrix!$B$3:$B$10,0),MATCH('Error Log'!$G412,Severity_Matrix!$C$2:$M$2,0)),"No errors"))</f>
        <v>Critical</v>
      </c>
    </row>
    <row r="413" spans="1:10">
      <c r="A413" s="79" t="s">
        <v>907</v>
      </c>
      <c r="B413" s="18">
        <v>7</v>
      </c>
      <c r="C413" s="83" t="s">
        <v>920</v>
      </c>
      <c r="D413" s="83" t="s">
        <v>921</v>
      </c>
      <c r="E413" s="84" t="s">
        <v>21</v>
      </c>
      <c r="F413" s="84" t="s">
        <v>7</v>
      </c>
      <c r="G413" s="84" t="s">
        <v>57</v>
      </c>
      <c r="H413" s="84" t="s">
        <v>922</v>
      </c>
      <c r="I413" s="84"/>
      <c r="J413" s="15" t="str">
        <f>IF(E413="Invalid_Segment","Invalid",IFERROR(INDEX(Severity_Matrix!$C$3:$M$10,MATCH('Error Log'!$F413,Severity_Matrix!$B$3:$B$10,0),MATCH('Error Log'!$G413,Severity_Matrix!$C$2:$M$2,0)),"No errors"))</f>
        <v>Critical</v>
      </c>
    </row>
    <row r="414" spans="1:10">
      <c r="A414" s="79" t="s">
        <v>923</v>
      </c>
      <c r="B414" s="18">
        <v>1</v>
      </c>
      <c r="C414" s="83" t="s">
        <v>924</v>
      </c>
      <c r="D414" s="83" t="s">
        <v>925</v>
      </c>
      <c r="E414" s="84" t="s">
        <v>21</v>
      </c>
      <c r="F414" s="84" t="s">
        <v>22</v>
      </c>
      <c r="G414" s="84" t="s">
        <v>57</v>
      </c>
      <c r="H414" s="84" t="s">
        <v>926</v>
      </c>
      <c r="I414" s="84"/>
      <c r="J414" s="15" t="str">
        <f>IF(E414="Invalid_Segment","Invalid",IFERROR(INDEX(Severity_Matrix!$C$3:$M$10,MATCH('Error Log'!$F414,Severity_Matrix!$B$3:$B$10,0),MATCH('Error Log'!$G414,Severity_Matrix!$C$2:$M$2,0)),"No errors"))</f>
        <v>Major</v>
      </c>
    </row>
    <row r="415" spans="1:10">
      <c r="A415" s="79" t="s">
        <v>923</v>
      </c>
      <c r="B415" s="18">
        <v>2</v>
      </c>
      <c r="C415" s="83" t="s">
        <v>924</v>
      </c>
      <c r="D415" s="83" t="s">
        <v>925</v>
      </c>
      <c r="E415" s="84" t="s">
        <v>21</v>
      </c>
      <c r="F415" s="84" t="s">
        <v>7</v>
      </c>
      <c r="G415" s="84" t="s">
        <v>57</v>
      </c>
      <c r="H415" s="84" t="s">
        <v>927</v>
      </c>
      <c r="I415" s="84"/>
      <c r="J415" s="15" t="str">
        <f>IF(E415="Invalid_Segment","Invalid",IFERROR(INDEX(Severity_Matrix!$C$3:$M$10,MATCH('Error Log'!$F415,Severity_Matrix!$B$3:$B$10,0),MATCH('Error Log'!$G415,Severity_Matrix!$C$2:$M$2,0)),"No errors"))</f>
        <v>Critical</v>
      </c>
    </row>
    <row r="416" spans="1:10">
      <c r="A416" s="79" t="s">
        <v>928</v>
      </c>
      <c r="B416" s="18">
        <v>1</v>
      </c>
      <c r="C416" s="83" t="s">
        <v>929</v>
      </c>
      <c r="D416" s="83" t="s">
        <v>930</v>
      </c>
      <c r="E416" s="84" t="s">
        <v>21</v>
      </c>
      <c r="F416" s="84" t="s">
        <v>22</v>
      </c>
      <c r="G416" s="84" t="s">
        <v>57</v>
      </c>
      <c r="H416" s="84" t="s">
        <v>931</v>
      </c>
      <c r="I416" s="84"/>
      <c r="J416" s="15" t="str">
        <f>IF(E416="Invalid_Segment","Invalid",IFERROR(INDEX(Severity_Matrix!$C$3:$M$10,MATCH('Error Log'!$F416,Severity_Matrix!$B$3:$B$10,0),MATCH('Error Log'!$G416,Severity_Matrix!$C$2:$M$2,0)),"No errors"))</f>
        <v>Major</v>
      </c>
    </row>
    <row r="417" spans="1:10">
      <c r="A417" s="79" t="s">
        <v>928</v>
      </c>
      <c r="B417" s="18">
        <v>2</v>
      </c>
      <c r="C417" s="83" t="s">
        <v>929</v>
      </c>
      <c r="D417" s="83" t="s">
        <v>930</v>
      </c>
      <c r="E417" s="84" t="s">
        <v>21</v>
      </c>
      <c r="F417" s="84" t="s">
        <v>22</v>
      </c>
      <c r="G417" s="84" t="s">
        <v>57</v>
      </c>
      <c r="H417" s="84" t="s">
        <v>932</v>
      </c>
      <c r="I417" s="84"/>
      <c r="J417" s="15" t="str">
        <f>IF(E417="Invalid_Segment","Invalid",IFERROR(INDEX(Severity_Matrix!$C$3:$M$10,MATCH('Error Log'!$F417,Severity_Matrix!$B$3:$B$10,0),MATCH('Error Log'!$G417,Severity_Matrix!$C$2:$M$2,0)),"No errors"))</f>
        <v>Major</v>
      </c>
    </row>
    <row r="418" spans="1:10">
      <c r="A418" s="79" t="s">
        <v>933</v>
      </c>
      <c r="B418" s="18">
        <v>3</v>
      </c>
      <c r="C418" s="83" t="s">
        <v>929</v>
      </c>
      <c r="D418" s="83" t="s">
        <v>930</v>
      </c>
      <c r="E418" s="84" t="s">
        <v>21</v>
      </c>
      <c r="F418" s="84" t="s">
        <v>7</v>
      </c>
      <c r="G418" s="84" t="s">
        <v>57</v>
      </c>
      <c r="H418" s="84" t="s">
        <v>934</v>
      </c>
      <c r="I418" s="84"/>
      <c r="J418" s="15" t="str">
        <f>IF(E418="Invalid_Segment","Invalid",IFERROR(INDEX(Severity_Matrix!$C$3:$M$10,MATCH('Error Log'!$F418,Severity_Matrix!$B$3:$B$10,0),MATCH('Error Log'!$G418,Severity_Matrix!$C$2:$M$2,0)),"No errors"))</f>
        <v>Critical</v>
      </c>
    </row>
    <row r="419" spans="1:10">
      <c r="A419" s="79" t="s">
        <v>933</v>
      </c>
      <c r="B419" s="18">
        <v>4</v>
      </c>
      <c r="C419" s="83" t="s">
        <v>929</v>
      </c>
      <c r="D419" s="83" t="s">
        <v>930</v>
      </c>
      <c r="E419" s="84" t="s">
        <v>21</v>
      </c>
      <c r="F419" s="84" t="s">
        <v>7</v>
      </c>
      <c r="G419" s="84" t="s">
        <v>57</v>
      </c>
      <c r="H419" s="84" t="s">
        <v>935</v>
      </c>
      <c r="I419" s="84"/>
      <c r="J419" s="15" t="str">
        <f>IF(E419="Invalid_Segment","Invalid",IFERROR(INDEX(Severity_Matrix!$C$3:$M$10,MATCH('Error Log'!$F419,Severity_Matrix!$B$3:$B$10,0),MATCH('Error Log'!$G419,Severity_Matrix!$C$2:$M$2,0)),"No errors"))</f>
        <v>Critical</v>
      </c>
    </row>
    <row r="420" spans="1:10">
      <c r="A420" s="79" t="s">
        <v>936</v>
      </c>
      <c r="B420" s="18">
        <v>1</v>
      </c>
      <c r="C420" s="83" t="s">
        <v>937</v>
      </c>
      <c r="D420" s="83" t="s">
        <v>938</v>
      </c>
      <c r="E420" s="84" t="s">
        <v>21</v>
      </c>
      <c r="F420" s="84" t="s">
        <v>22</v>
      </c>
      <c r="G420" s="84" t="s">
        <v>57</v>
      </c>
      <c r="H420" s="84" t="s">
        <v>939</v>
      </c>
      <c r="I420" s="84"/>
      <c r="J420" s="15" t="str">
        <f>IF(E420="Invalid_Segment","Invalid",IFERROR(INDEX(Severity_Matrix!$C$3:$M$10,MATCH('Error Log'!$F420,Severity_Matrix!$B$3:$B$10,0),MATCH('Error Log'!$G420,Severity_Matrix!$C$2:$M$2,0)),"No errors"))</f>
        <v>Major</v>
      </c>
    </row>
    <row r="421" spans="1:10">
      <c r="A421" s="79" t="s">
        <v>936</v>
      </c>
      <c r="B421" s="18">
        <v>2</v>
      </c>
      <c r="C421" s="83" t="s">
        <v>940</v>
      </c>
      <c r="D421" s="83" t="s">
        <v>941</v>
      </c>
      <c r="E421" s="84" t="s">
        <v>21</v>
      </c>
      <c r="F421" s="84" t="s">
        <v>22</v>
      </c>
      <c r="G421" s="84" t="s">
        <v>57</v>
      </c>
      <c r="H421" s="84" t="s">
        <v>942</v>
      </c>
      <c r="I421" s="84"/>
      <c r="J421" s="15" t="str">
        <f>IF(E421="Invalid_Segment","Invalid",IFERROR(INDEX(Severity_Matrix!$C$3:$M$10,MATCH('Error Log'!$F421,Severity_Matrix!$B$3:$B$10,0),MATCH('Error Log'!$G421,Severity_Matrix!$C$2:$M$2,0)),"No errors"))</f>
        <v>Major</v>
      </c>
    </row>
    <row r="422" spans="1:10">
      <c r="A422" s="79" t="s">
        <v>943</v>
      </c>
      <c r="B422" s="18">
        <v>3</v>
      </c>
      <c r="C422" s="83" t="s">
        <v>944</v>
      </c>
      <c r="D422" s="83" t="s">
        <v>945</v>
      </c>
      <c r="E422" s="84" t="s">
        <v>946</v>
      </c>
      <c r="F422" s="84" t="s">
        <v>7</v>
      </c>
      <c r="G422" s="84" t="s">
        <v>57</v>
      </c>
      <c r="H422" s="84" t="s">
        <v>947</v>
      </c>
      <c r="I422" s="84"/>
      <c r="J422" s="15" t="str">
        <f>IF(E422="Invalid_Segment","Invalid",IFERROR(INDEX(Severity_Matrix!$C$3:$M$10,MATCH('Error Log'!$F422,Severity_Matrix!$B$3:$B$10,0),MATCH('Error Log'!$G422,Severity_Matrix!$C$2:$M$2,0)),"No errors"))</f>
        <v>Critical</v>
      </c>
    </row>
    <row r="423" spans="1:10">
      <c r="A423" s="79" t="s">
        <v>943</v>
      </c>
      <c r="B423" s="18">
        <v>4</v>
      </c>
      <c r="C423" s="83" t="s">
        <v>948</v>
      </c>
      <c r="D423" s="83" t="s">
        <v>949</v>
      </c>
      <c r="E423" s="84" t="s">
        <v>946</v>
      </c>
      <c r="F423" s="84" t="s">
        <v>7</v>
      </c>
      <c r="G423" s="84" t="s">
        <v>57</v>
      </c>
      <c r="H423" s="84" t="s">
        <v>950</v>
      </c>
      <c r="I423" s="84"/>
      <c r="J423" s="15" t="str">
        <f>IF(E423="Invalid_Segment","Invalid",IFERROR(INDEX(Severity_Matrix!$C$3:$M$10,MATCH('Error Log'!$F423,Severity_Matrix!$B$3:$B$10,0),MATCH('Error Log'!$G423,Severity_Matrix!$C$2:$M$2,0)),"No errors"))</f>
        <v>Critical</v>
      </c>
    </row>
    <row r="424" spans="1:10">
      <c r="A424" s="79" t="s">
        <v>943</v>
      </c>
      <c r="B424" s="18">
        <v>5</v>
      </c>
      <c r="C424" s="83" t="s">
        <v>951</v>
      </c>
      <c r="D424" s="83" t="s">
        <v>952</v>
      </c>
      <c r="E424" s="84" t="s">
        <v>946</v>
      </c>
      <c r="F424" s="84" t="s">
        <v>7</v>
      </c>
      <c r="G424" s="84" t="s">
        <v>57</v>
      </c>
      <c r="H424" s="84" t="s">
        <v>953</v>
      </c>
      <c r="I424" s="84"/>
      <c r="J424" s="15" t="str">
        <f>IF(E424="Invalid_Segment","Invalid",IFERROR(INDEX(Severity_Matrix!$C$3:$M$10,MATCH('Error Log'!$F424,Severity_Matrix!$B$3:$B$10,0),MATCH('Error Log'!$G424,Severity_Matrix!$C$2:$M$2,0)),"No errors"))</f>
        <v>Critical</v>
      </c>
    </row>
    <row r="425" spans="1:10">
      <c r="A425" s="79" t="s">
        <v>235</v>
      </c>
      <c r="B425" s="18">
        <v>1</v>
      </c>
      <c r="C425" s="83" t="s">
        <v>236</v>
      </c>
      <c r="D425" s="83" t="s">
        <v>954</v>
      </c>
      <c r="E425" s="84" t="s">
        <v>21</v>
      </c>
      <c r="F425" s="84" t="s">
        <v>22</v>
      </c>
      <c r="G425" s="84" t="s">
        <v>28</v>
      </c>
      <c r="H425" s="84" t="s">
        <v>955</v>
      </c>
      <c r="I425" s="84"/>
      <c r="J425" s="15" t="str">
        <f>IF(E425="Invalid_Segment","Invalid",IFERROR(INDEX(Severity_Matrix!$C$3:$M$10,MATCH('Error Log'!$F425,Severity_Matrix!$B$3:$B$10,0),MATCH('Error Log'!$G425,Severity_Matrix!$C$2:$M$2,0)),"No errors"))</f>
        <v>Major</v>
      </c>
    </row>
    <row r="426" spans="1:10">
      <c r="A426" s="79" t="s">
        <v>235</v>
      </c>
      <c r="B426" s="18">
        <v>2</v>
      </c>
      <c r="C426" s="83" t="s">
        <v>236</v>
      </c>
      <c r="D426" s="83" t="s">
        <v>954</v>
      </c>
      <c r="E426" s="84" t="s">
        <v>21</v>
      </c>
      <c r="F426" s="84" t="s">
        <v>22</v>
      </c>
      <c r="G426" s="84" t="s">
        <v>28</v>
      </c>
      <c r="H426" s="84" t="s">
        <v>346</v>
      </c>
      <c r="I426" s="84"/>
      <c r="J426" s="15" t="str">
        <f>IF(E426="Invalid_Segment","Invalid",IFERROR(INDEX(Severity_Matrix!$C$3:$M$10,MATCH('Error Log'!$F426,Severity_Matrix!$B$3:$B$10,0),MATCH('Error Log'!$G426,Severity_Matrix!$C$2:$M$2,0)),"No errors"))</f>
        <v>Major</v>
      </c>
    </row>
    <row r="427" spans="1:10">
      <c r="A427" s="79" t="s">
        <v>238</v>
      </c>
      <c r="B427" s="18">
        <v>3</v>
      </c>
      <c r="C427" s="83" t="s">
        <v>236</v>
      </c>
      <c r="D427" s="83" t="s">
        <v>954</v>
      </c>
      <c r="E427" s="84" t="s">
        <v>21</v>
      </c>
      <c r="F427" s="84" t="s">
        <v>7</v>
      </c>
      <c r="G427" s="84" t="s">
        <v>58</v>
      </c>
      <c r="H427" s="84" t="s">
        <v>465</v>
      </c>
      <c r="I427" s="84"/>
      <c r="J427" s="15" t="str">
        <f>IF(E427="Invalid_Segment","Invalid",IFERROR(INDEX(Severity_Matrix!$C$3:$M$10,MATCH('Error Log'!$F427,Severity_Matrix!$B$3:$B$10,0),MATCH('Error Log'!$G427,Severity_Matrix!$C$2:$M$2,0)),"No errors"))</f>
        <v>Minor</v>
      </c>
    </row>
    <row r="428" spans="1:10">
      <c r="A428" s="79" t="s">
        <v>238</v>
      </c>
      <c r="B428" s="18">
        <v>4</v>
      </c>
      <c r="C428" s="83" t="s">
        <v>236</v>
      </c>
      <c r="D428" s="83" t="s">
        <v>954</v>
      </c>
      <c r="E428" s="84" t="s">
        <v>21</v>
      </c>
      <c r="F428" s="84" t="s">
        <v>7</v>
      </c>
      <c r="G428" s="84" t="s">
        <v>54</v>
      </c>
      <c r="H428" s="84" t="s">
        <v>956</v>
      </c>
      <c r="I428" s="84"/>
      <c r="J428" s="15" t="str">
        <f>IF(E428="Invalid_Segment","Invalid",IFERROR(INDEX(Severity_Matrix!$C$3:$M$10,MATCH('Error Log'!$F428,Severity_Matrix!$B$3:$B$10,0),MATCH('Error Log'!$G428,Severity_Matrix!$C$2:$M$2,0)),"No errors"))</f>
        <v>Critical</v>
      </c>
    </row>
    <row r="429" spans="1:10">
      <c r="A429" s="79" t="s">
        <v>238</v>
      </c>
      <c r="B429" s="18">
        <v>5</v>
      </c>
      <c r="C429" s="83" t="s">
        <v>236</v>
      </c>
      <c r="D429" s="83" t="s">
        <v>954</v>
      </c>
      <c r="E429" s="84" t="s">
        <v>21</v>
      </c>
      <c r="F429" s="84" t="s">
        <v>7</v>
      </c>
      <c r="G429" s="84" t="s">
        <v>57</v>
      </c>
      <c r="H429" s="86" t="s">
        <v>237</v>
      </c>
      <c r="I429" s="84"/>
      <c r="J429" s="15" t="str">
        <f>IF(E429="Invalid_Segment","Invalid",IFERROR(INDEX(Severity_Matrix!$C$3:$M$10,MATCH('Error Log'!$F429,Severity_Matrix!$B$3:$B$10,0),MATCH('Error Log'!$G429,Severity_Matrix!$C$2:$M$2,0)),"No errors"))</f>
        <v>Critical</v>
      </c>
    </row>
    <row r="430" spans="1:10">
      <c r="A430" s="79" t="s">
        <v>238</v>
      </c>
      <c r="B430" s="18">
        <v>6</v>
      </c>
      <c r="C430" s="83" t="s">
        <v>236</v>
      </c>
      <c r="D430" s="83" t="s">
        <v>954</v>
      </c>
      <c r="E430" s="84" t="s">
        <v>21</v>
      </c>
      <c r="F430" s="84" t="s">
        <v>7</v>
      </c>
      <c r="G430" s="84" t="s">
        <v>57</v>
      </c>
      <c r="H430" s="84" t="s">
        <v>239</v>
      </c>
      <c r="I430" s="84"/>
      <c r="J430" s="15" t="str">
        <f>IF(E430="Invalid_Segment","Invalid",IFERROR(INDEX(Severity_Matrix!$C$3:$M$10,MATCH('Error Log'!$F430,Severity_Matrix!$B$3:$B$10,0),MATCH('Error Log'!$G430,Severity_Matrix!$C$2:$M$2,0)),"No errors"))</f>
        <v>Critical</v>
      </c>
    </row>
    <row r="431" spans="1:10">
      <c r="A431" s="79" t="s">
        <v>238</v>
      </c>
      <c r="B431" s="18">
        <v>7</v>
      </c>
      <c r="C431" s="83" t="s">
        <v>236</v>
      </c>
      <c r="D431" s="83" t="s">
        <v>954</v>
      </c>
      <c r="E431" s="84" t="s">
        <v>21</v>
      </c>
      <c r="F431" s="84" t="s">
        <v>7</v>
      </c>
      <c r="G431" s="84" t="s">
        <v>57</v>
      </c>
      <c r="H431" s="84" t="s">
        <v>240</v>
      </c>
      <c r="I431" s="84"/>
      <c r="J431" s="15" t="str">
        <f>IF(E431="Invalid_Segment","Invalid",IFERROR(INDEX(Severity_Matrix!$C$3:$M$10,MATCH('Error Log'!$F431,Severity_Matrix!$B$3:$B$10,0),MATCH('Error Log'!$G431,Severity_Matrix!$C$2:$M$2,0)),"No errors"))</f>
        <v>Critical</v>
      </c>
    </row>
    <row r="432" spans="1:10">
      <c r="A432" s="79" t="s">
        <v>238</v>
      </c>
      <c r="B432" s="18">
        <v>8</v>
      </c>
      <c r="C432" s="83" t="s">
        <v>236</v>
      </c>
      <c r="D432" s="83" t="s">
        <v>954</v>
      </c>
      <c r="E432" s="84" t="s">
        <v>21</v>
      </c>
      <c r="F432" s="84" t="s">
        <v>7</v>
      </c>
      <c r="G432" s="84" t="s">
        <v>57</v>
      </c>
      <c r="H432" s="84" t="s">
        <v>241</v>
      </c>
      <c r="I432" s="84"/>
      <c r="J432" s="15" t="str">
        <f>IF(E432="Invalid_Segment","Invalid",IFERROR(INDEX(Severity_Matrix!$C$3:$M$10,MATCH('Error Log'!$F432,Severity_Matrix!$B$3:$B$10,0),MATCH('Error Log'!$G432,Severity_Matrix!$C$2:$M$2,0)),"No errors"))</f>
        <v>Critical</v>
      </c>
    </row>
    <row r="433" spans="1:10">
      <c r="A433" s="78" t="s">
        <v>1212</v>
      </c>
      <c r="B433" s="18">
        <v>1</v>
      </c>
      <c r="C433" s="78" t="s">
        <v>957</v>
      </c>
      <c r="D433" s="78" t="s">
        <v>958</v>
      </c>
      <c r="E433" s="84" t="s">
        <v>21</v>
      </c>
      <c r="F433" s="84" t="s">
        <v>22</v>
      </c>
      <c r="G433" s="84" t="s">
        <v>57</v>
      </c>
      <c r="H433" s="85" t="s">
        <v>959</v>
      </c>
      <c r="I433" s="84"/>
      <c r="J433" s="15" t="str">
        <f>IF(E433="Invalid_Segment","Invalid",IFERROR(INDEX(Severity_Matrix!$C$3:$M$10,MATCH('Error Log'!$F433,Severity_Matrix!$B$3:$B$10,0),MATCH('Error Log'!$G433,Severity_Matrix!$C$2:$M$2,0)),"No errors"))</f>
        <v>Major</v>
      </c>
    </row>
    <row r="434" spans="1:10">
      <c r="A434" s="78" t="s">
        <v>1212</v>
      </c>
      <c r="B434" s="18">
        <v>2</v>
      </c>
      <c r="C434" s="78" t="s">
        <v>957</v>
      </c>
      <c r="D434" s="78" t="s">
        <v>958</v>
      </c>
      <c r="E434" s="84" t="s">
        <v>21</v>
      </c>
      <c r="F434" s="84" t="s">
        <v>22</v>
      </c>
      <c r="G434" s="84" t="s">
        <v>28</v>
      </c>
      <c r="H434" s="84" t="s">
        <v>960</v>
      </c>
      <c r="I434" s="84"/>
      <c r="J434" s="15" t="str">
        <f>IF(E434="Invalid_Segment","Invalid",IFERROR(INDEX(Severity_Matrix!$C$3:$M$10,MATCH('Error Log'!$F434,Severity_Matrix!$B$3:$B$10,0),MATCH('Error Log'!$G434,Severity_Matrix!$C$2:$M$2,0)),"No errors"))</f>
        <v>Major</v>
      </c>
    </row>
    <row r="435" spans="1:10">
      <c r="A435" s="78" t="s">
        <v>1212</v>
      </c>
      <c r="B435" s="18">
        <v>3</v>
      </c>
      <c r="C435" s="78" t="s">
        <v>957</v>
      </c>
      <c r="D435" s="78" t="s">
        <v>958</v>
      </c>
      <c r="E435" s="84" t="s">
        <v>21</v>
      </c>
      <c r="F435" s="84" t="s">
        <v>7</v>
      </c>
      <c r="G435" s="84" t="s">
        <v>57</v>
      </c>
      <c r="H435" s="84" t="s">
        <v>961</v>
      </c>
      <c r="I435" s="84"/>
      <c r="J435" s="15" t="str">
        <f>IF(E435="Invalid_Segment","Invalid",IFERROR(INDEX(Severity_Matrix!$C$3:$M$10,MATCH('Error Log'!$F435,Severity_Matrix!$B$3:$B$10,0),MATCH('Error Log'!$G435,Severity_Matrix!$C$2:$M$2,0)),"No errors"))</f>
        <v>Critical</v>
      </c>
    </row>
    <row r="436" spans="1:10">
      <c r="A436" s="78" t="s">
        <v>1213</v>
      </c>
      <c r="B436" s="18">
        <v>1</v>
      </c>
      <c r="C436" s="78" t="s">
        <v>962</v>
      </c>
      <c r="D436" s="78" t="s">
        <v>963</v>
      </c>
      <c r="E436" s="84" t="s">
        <v>21</v>
      </c>
      <c r="F436" s="84" t="s">
        <v>22</v>
      </c>
      <c r="G436" s="84" t="s">
        <v>57</v>
      </c>
      <c r="H436" s="84" t="s">
        <v>964</v>
      </c>
      <c r="I436" s="84"/>
      <c r="J436" s="15" t="str">
        <f>IF(E436="Invalid_Segment","Invalid",IFERROR(INDEX(Severity_Matrix!$C$3:$M$10,MATCH('Error Log'!$F436,Severity_Matrix!$B$3:$B$10,0),MATCH('Error Log'!$G436,Severity_Matrix!$C$2:$M$2,0)),"No errors"))</f>
        <v>Major</v>
      </c>
    </row>
    <row r="437" spans="1:10">
      <c r="A437" s="78" t="s">
        <v>1213</v>
      </c>
      <c r="B437" s="18">
        <v>2</v>
      </c>
      <c r="C437" s="78" t="s">
        <v>962</v>
      </c>
      <c r="D437" s="78" t="s">
        <v>963</v>
      </c>
      <c r="E437" s="84" t="s">
        <v>21</v>
      </c>
      <c r="F437" s="84" t="s">
        <v>7</v>
      </c>
      <c r="G437" s="84" t="s">
        <v>57</v>
      </c>
      <c r="H437" s="84" t="s">
        <v>965</v>
      </c>
      <c r="I437" s="84"/>
      <c r="J437" s="15" t="str">
        <f>IF(E437="Invalid_Segment","Invalid",IFERROR(INDEX(Severity_Matrix!$C$3:$M$10,MATCH('Error Log'!$F437,Severity_Matrix!$B$3:$B$10,0),MATCH('Error Log'!$G437,Severity_Matrix!$C$2:$M$2,0)),"No errors"))</f>
        <v>Critical</v>
      </c>
    </row>
    <row r="438" spans="1:10">
      <c r="A438" s="78" t="s">
        <v>1213</v>
      </c>
      <c r="B438" s="18">
        <v>3</v>
      </c>
      <c r="C438" s="78" t="s">
        <v>962</v>
      </c>
      <c r="D438" s="78" t="s">
        <v>963</v>
      </c>
      <c r="E438" s="84" t="s">
        <v>21</v>
      </c>
      <c r="F438" s="84" t="s">
        <v>7</v>
      </c>
      <c r="G438" s="84" t="s">
        <v>57</v>
      </c>
      <c r="H438" s="84" t="s">
        <v>966</v>
      </c>
      <c r="I438" s="84"/>
      <c r="J438" s="15" t="str">
        <f>IF(E438="Invalid_Segment","Invalid",IFERROR(INDEX(Severity_Matrix!$C$3:$M$10,MATCH('Error Log'!$F438,Severity_Matrix!$B$3:$B$10,0),MATCH('Error Log'!$G438,Severity_Matrix!$C$2:$M$2,0)),"No errors"))</f>
        <v>Critical</v>
      </c>
    </row>
    <row r="439" spans="1:10">
      <c r="A439" s="78" t="s">
        <v>1214</v>
      </c>
      <c r="B439" s="18">
        <v>1</v>
      </c>
      <c r="C439" s="78" t="s">
        <v>967</v>
      </c>
      <c r="D439" s="78" t="s">
        <v>968</v>
      </c>
      <c r="E439" s="84" t="s">
        <v>21</v>
      </c>
      <c r="F439" s="84" t="s">
        <v>22</v>
      </c>
      <c r="G439" s="84" t="s">
        <v>28</v>
      </c>
      <c r="H439" s="84" t="s">
        <v>969</v>
      </c>
      <c r="I439" s="84"/>
      <c r="J439" s="15" t="str">
        <f>IF(E439="Invalid_Segment","Invalid",IFERROR(INDEX(Severity_Matrix!$C$3:$M$10,MATCH('Error Log'!$F439,Severity_Matrix!$B$3:$B$10,0),MATCH('Error Log'!$G439,Severity_Matrix!$C$2:$M$2,0)),"No errors"))</f>
        <v>Major</v>
      </c>
    </row>
    <row r="440" spans="1:10">
      <c r="A440" s="78" t="s">
        <v>1214</v>
      </c>
      <c r="B440" s="18">
        <v>2</v>
      </c>
      <c r="C440" s="78" t="s">
        <v>967</v>
      </c>
      <c r="D440" s="78" t="s">
        <v>968</v>
      </c>
      <c r="E440" s="84" t="s">
        <v>21</v>
      </c>
      <c r="F440" s="84" t="s">
        <v>22</v>
      </c>
      <c r="G440" s="84" t="s">
        <v>28</v>
      </c>
      <c r="H440" s="84" t="s">
        <v>969</v>
      </c>
      <c r="I440" s="84"/>
      <c r="J440" s="15" t="str">
        <f>IF(E440="Invalid_Segment","Invalid",IFERROR(INDEX(Severity_Matrix!$C$3:$M$10,MATCH('Error Log'!$F440,Severity_Matrix!$B$3:$B$10,0),MATCH('Error Log'!$G440,Severity_Matrix!$C$2:$M$2,0)),"No errors"))</f>
        <v>Major</v>
      </c>
    </row>
    <row r="441" spans="1:10">
      <c r="A441" s="78" t="s">
        <v>1214</v>
      </c>
      <c r="B441" s="18">
        <v>3</v>
      </c>
      <c r="C441" s="78" t="s">
        <v>967</v>
      </c>
      <c r="D441" s="78" t="s">
        <v>968</v>
      </c>
      <c r="E441" s="84" t="s">
        <v>2</v>
      </c>
      <c r="F441" s="84" t="s">
        <v>26</v>
      </c>
      <c r="G441" s="84" t="s">
        <v>57</v>
      </c>
      <c r="H441" s="84" t="s">
        <v>970</v>
      </c>
      <c r="I441" s="84"/>
      <c r="J441" s="15" t="str">
        <f>IF(E441="Invalid_Segment","Invalid",IFERROR(INDEX(Severity_Matrix!$C$3:$M$10,MATCH('Error Log'!$F441,Severity_Matrix!$B$3:$B$10,0),MATCH('Error Log'!$G441,Severity_Matrix!$C$2:$M$2,0)),"No errors"))</f>
        <v>Major</v>
      </c>
    </row>
    <row r="442" spans="1:10">
      <c r="A442" s="78" t="s">
        <v>1214</v>
      </c>
      <c r="B442" s="18">
        <v>4</v>
      </c>
      <c r="C442" s="78" t="s">
        <v>967</v>
      </c>
      <c r="D442" s="78" t="s">
        <v>968</v>
      </c>
      <c r="E442" s="84" t="s">
        <v>21</v>
      </c>
      <c r="F442" s="84" t="s">
        <v>22</v>
      </c>
      <c r="G442" s="84" t="s">
        <v>57</v>
      </c>
      <c r="H442" s="84" t="s">
        <v>971</v>
      </c>
      <c r="I442" s="84"/>
      <c r="J442" s="15" t="str">
        <f>IF(E442="Invalid_Segment","Invalid",IFERROR(INDEX(Severity_Matrix!$C$3:$M$10,MATCH('Error Log'!$F442,Severity_Matrix!$B$3:$B$10,0),MATCH('Error Log'!$G442,Severity_Matrix!$C$2:$M$2,0)),"No errors"))</f>
        <v>Major</v>
      </c>
    </row>
    <row r="443" spans="1:10">
      <c r="A443" s="78" t="s">
        <v>1215</v>
      </c>
      <c r="B443" s="18">
        <v>1</v>
      </c>
      <c r="C443" s="78" t="s">
        <v>972</v>
      </c>
      <c r="D443" s="78" t="s">
        <v>973</v>
      </c>
      <c r="E443" s="84" t="s">
        <v>21</v>
      </c>
      <c r="F443" s="84" t="s">
        <v>22</v>
      </c>
      <c r="G443" s="84" t="s">
        <v>57</v>
      </c>
      <c r="H443" s="84" t="s">
        <v>974</v>
      </c>
      <c r="I443" s="84"/>
      <c r="J443" s="15" t="str">
        <f>IF(E443="Invalid_Segment","Invalid",IFERROR(INDEX(Severity_Matrix!$C$3:$M$10,MATCH('Error Log'!$F443,Severity_Matrix!$B$3:$B$10,0),MATCH('Error Log'!$G443,Severity_Matrix!$C$2:$M$2,0)),"No errors"))</f>
        <v>Major</v>
      </c>
    </row>
    <row r="444" spans="1:10">
      <c r="A444" s="78" t="s">
        <v>1215</v>
      </c>
      <c r="B444" s="18">
        <v>2</v>
      </c>
      <c r="C444" s="78" t="s">
        <v>972</v>
      </c>
      <c r="D444" s="78" t="s">
        <v>973</v>
      </c>
      <c r="E444" s="84" t="s">
        <v>21</v>
      </c>
      <c r="F444" s="84" t="s">
        <v>7</v>
      </c>
      <c r="G444" s="84" t="s">
        <v>57</v>
      </c>
      <c r="H444" s="84" t="s">
        <v>975</v>
      </c>
      <c r="I444" s="84"/>
      <c r="J444" s="15" t="str">
        <f>IF(E444="Invalid_Segment","Invalid",IFERROR(INDEX(Severity_Matrix!$C$3:$M$10,MATCH('Error Log'!$F444,Severity_Matrix!$B$3:$B$10,0),MATCH('Error Log'!$G444,Severity_Matrix!$C$2:$M$2,0)),"No errors"))</f>
        <v>Critical</v>
      </c>
    </row>
    <row r="445" spans="1:10">
      <c r="A445" s="78" t="s">
        <v>1216</v>
      </c>
      <c r="B445" s="18">
        <v>1</v>
      </c>
      <c r="C445" s="78" t="s">
        <v>976</v>
      </c>
      <c r="D445" s="78" t="s">
        <v>977</v>
      </c>
      <c r="E445" s="84" t="s">
        <v>21</v>
      </c>
      <c r="F445" s="84" t="s">
        <v>22</v>
      </c>
      <c r="G445" s="84" t="s">
        <v>57</v>
      </c>
      <c r="H445" s="84" t="s">
        <v>978</v>
      </c>
      <c r="I445" s="84"/>
      <c r="J445" s="15" t="str">
        <f>IF(E445="Invalid_Segment","Invalid",IFERROR(INDEX(Severity_Matrix!$C$3:$M$10,MATCH('Error Log'!$F445,Severity_Matrix!$B$3:$B$10,0),MATCH('Error Log'!$G445,Severity_Matrix!$C$2:$M$2,0)),"No errors"))</f>
        <v>Major</v>
      </c>
    </row>
    <row r="446" spans="1:10">
      <c r="A446" s="78" t="s">
        <v>1216</v>
      </c>
      <c r="B446" s="18">
        <v>2</v>
      </c>
      <c r="C446" s="78" t="s">
        <v>976</v>
      </c>
      <c r="D446" s="78" t="s">
        <v>977</v>
      </c>
      <c r="E446" s="84" t="s">
        <v>21</v>
      </c>
      <c r="F446" s="84" t="s">
        <v>22</v>
      </c>
      <c r="G446" s="84" t="s">
        <v>28</v>
      </c>
      <c r="H446" s="84" t="s">
        <v>979</v>
      </c>
      <c r="I446" s="84"/>
      <c r="J446" s="15" t="str">
        <f>IF(E446="Invalid_Segment","Invalid",IFERROR(INDEX(Severity_Matrix!$C$3:$M$10,MATCH('Error Log'!$F446,Severity_Matrix!$B$3:$B$10,0),MATCH('Error Log'!$G446,Severity_Matrix!$C$2:$M$2,0)),"No errors"))</f>
        <v>Major</v>
      </c>
    </row>
    <row r="447" spans="1:10">
      <c r="A447" s="78" t="s">
        <v>1217</v>
      </c>
      <c r="B447" s="18">
        <v>1</v>
      </c>
      <c r="C447" s="78" t="s">
        <v>980</v>
      </c>
      <c r="D447" s="78" t="s">
        <v>981</v>
      </c>
      <c r="E447" s="84" t="s">
        <v>21</v>
      </c>
      <c r="F447" s="84" t="s">
        <v>7</v>
      </c>
      <c r="G447" s="84" t="s">
        <v>57</v>
      </c>
      <c r="H447" s="84" t="s">
        <v>982</v>
      </c>
      <c r="I447" s="84"/>
      <c r="J447" s="15" t="str">
        <f>IF(E447="Invalid_Segment","Invalid",IFERROR(INDEX(Severity_Matrix!$C$3:$M$10,MATCH('Error Log'!$F447,Severity_Matrix!$B$3:$B$10,0),MATCH('Error Log'!$G447,Severity_Matrix!$C$2:$M$2,0)),"No errors"))</f>
        <v>Critical</v>
      </c>
    </row>
    <row r="448" spans="1:10">
      <c r="A448" s="78" t="s">
        <v>1217</v>
      </c>
      <c r="B448" s="18">
        <v>2</v>
      </c>
      <c r="C448" s="78" t="s">
        <v>980</v>
      </c>
      <c r="D448" s="78" t="s">
        <v>981</v>
      </c>
      <c r="E448" s="84" t="s">
        <v>21</v>
      </c>
      <c r="F448" s="84" t="s">
        <v>7</v>
      </c>
      <c r="G448" s="84" t="s">
        <v>57</v>
      </c>
      <c r="H448" s="84" t="s">
        <v>983</v>
      </c>
      <c r="I448" s="84"/>
      <c r="J448" s="15" t="str">
        <f>IF(E448="Invalid_Segment","Invalid",IFERROR(INDEX(Severity_Matrix!$C$3:$M$10,MATCH('Error Log'!$F448,Severity_Matrix!$B$3:$B$10,0),MATCH('Error Log'!$G448,Severity_Matrix!$C$2:$M$2,0)),"No errors"))</f>
        <v>Critical</v>
      </c>
    </row>
    <row r="449" spans="1:10">
      <c r="A449" s="78" t="s">
        <v>1217</v>
      </c>
      <c r="B449" s="18">
        <v>3</v>
      </c>
      <c r="C449" s="78" t="s">
        <v>980</v>
      </c>
      <c r="D449" s="78" t="s">
        <v>981</v>
      </c>
      <c r="E449" s="84" t="s">
        <v>21</v>
      </c>
      <c r="F449" s="84" t="s">
        <v>22</v>
      </c>
      <c r="G449" s="84" t="s">
        <v>57</v>
      </c>
      <c r="H449" s="84" t="s">
        <v>984</v>
      </c>
      <c r="I449" s="84"/>
      <c r="J449" s="15" t="str">
        <f>IF(E449="Invalid_Segment","Invalid",IFERROR(INDEX(Severity_Matrix!$C$3:$M$10,MATCH('Error Log'!$F449,Severity_Matrix!$B$3:$B$10,0),MATCH('Error Log'!$G449,Severity_Matrix!$C$2:$M$2,0)),"No errors"))</f>
        <v>Major</v>
      </c>
    </row>
    <row r="450" spans="1:10">
      <c r="A450" s="78" t="s">
        <v>1217</v>
      </c>
      <c r="B450" s="18">
        <v>4</v>
      </c>
      <c r="C450" s="78" t="s">
        <v>980</v>
      </c>
      <c r="D450" s="78" t="s">
        <v>981</v>
      </c>
      <c r="E450" s="84" t="s">
        <v>21</v>
      </c>
      <c r="F450" s="84" t="s">
        <v>22</v>
      </c>
      <c r="G450" s="84" t="s">
        <v>57</v>
      </c>
      <c r="H450" s="84" t="s">
        <v>985</v>
      </c>
      <c r="I450" s="84"/>
      <c r="J450" s="15" t="str">
        <f>IF(E450="Invalid_Segment","Invalid",IFERROR(INDEX(Severity_Matrix!$C$3:$M$10,MATCH('Error Log'!$F450,Severity_Matrix!$B$3:$B$10,0),MATCH('Error Log'!$G450,Severity_Matrix!$C$2:$M$2,0)),"No errors"))</f>
        <v>Major</v>
      </c>
    </row>
    <row r="451" spans="1:10">
      <c r="A451" s="78" t="s">
        <v>1218</v>
      </c>
      <c r="B451" s="18">
        <v>1</v>
      </c>
      <c r="C451" s="78" t="s">
        <v>986</v>
      </c>
      <c r="D451" s="78" t="s">
        <v>987</v>
      </c>
      <c r="E451" s="84" t="s">
        <v>21</v>
      </c>
      <c r="F451" s="84" t="s">
        <v>22</v>
      </c>
      <c r="G451" s="84" t="s">
        <v>57</v>
      </c>
      <c r="H451" s="84" t="s">
        <v>988</v>
      </c>
      <c r="I451" s="84"/>
      <c r="J451" s="15" t="str">
        <f>IF(E451="Invalid_Segment","Invalid",IFERROR(INDEX(Severity_Matrix!$C$3:$M$10,MATCH('Error Log'!$F451,Severity_Matrix!$B$3:$B$10,0),MATCH('Error Log'!$G451,Severity_Matrix!$C$2:$M$2,0)),"No errors"))</f>
        <v>Major</v>
      </c>
    </row>
    <row r="452" spans="1:10">
      <c r="A452" s="78" t="s">
        <v>1218</v>
      </c>
      <c r="B452" s="18">
        <v>2</v>
      </c>
      <c r="C452" s="78" t="s">
        <v>986</v>
      </c>
      <c r="D452" s="78" t="s">
        <v>987</v>
      </c>
      <c r="E452" s="84" t="s">
        <v>21</v>
      </c>
      <c r="F452" s="84" t="s">
        <v>22</v>
      </c>
      <c r="G452" s="84" t="s">
        <v>57</v>
      </c>
      <c r="H452" s="84" t="s">
        <v>989</v>
      </c>
      <c r="I452" s="84"/>
      <c r="J452" s="15" t="str">
        <f>IF(E452="Invalid_Segment","Invalid",IFERROR(INDEX(Severity_Matrix!$C$3:$M$10,MATCH('Error Log'!$F452,Severity_Matrix!$B$3:$B$10,0),MATCH('Error Log'!$G452,Severity_Matrix!$C$2:$M$2,0)),"No errors"))</f>
        <v>Major</v>
      </c>
    </row>
    <row r="453" spans="1:10">
      <c r="A453" s="78" t="s">
        <v>1218</v>
      </c>
      <c r="B453" s="18">
        <v>3</v>
      </c>
      <c r="C453" s="78" t="s">
        <v>986</v>
      </c>
      <c r="D453" s="78" t="s">
        <v>987</v>
      </c>
      <c r="E453" s="84" t="s">
        <v>21</v>
      </c>
      <c r="F453" s="84" t="s">
        <v>7</v>
      </c>
      <c r="G453" s="84" t="s">
        <v>57</v>
      </c>
      <c r="H453" s="84" t="s">
        <v>990</v>
      </c>
      <c r="I453" s="84"/>
      <c r="J453" s="15" t="str">
        <f>IF(E453="Invalid_Segment","Invalid",IFERROR(INDEX(Severity_Matrix!$C$3:$M$10,MATCH('Error Log'!$F453,Severity_Matrix!$B$3:$B$10,0),MATCH('Error Log'!$G453,Severity_Matrix!$C$2:$M$2,0)),"No errors"))</f>
        <v>Critical</v>
      </c>
    </row>
    <row r="454" spans="1:10">
      <c r="A454" s="78" t="s">
        <v>1219</v>
      </c>
      <c r="B454" s="18">
        <v>1</v>
      </c>
      <c r="C454" s="78" t="s">
        <v>991</v>
      </c>
      <c r="D454" s="78" t="s">
        <v>992</v>
      </c>
      <c r="E454" s="84" t="s">
        <v>21</v>
      </c>
      <c r="F454" s="84" t="s">
        <v>22</v>
      </c>
      <c r="G454" s="84" t="s">
        <v>57</v>
      </c>
      <c r="H454" s="84" t="s">
        <v>993</v>
      </c>
      <c r="I454" s="84"/>
      <c r="J454" s="15" t="str">
        <f>IF(E454="Invalid_Segment","Invalid",IFERROR(INDEX(Severity_Matrix!$C$3:$M$10,MATCH('Error Log'!$F454,Severity_Matrix!$B$3:$B$10,0),MATCH('Error Log'!$G454,Severity_Matrix!$C$2:$M$2,0)),"No errors"))</f>
        <v>Major</v>
      </c>
    </row>
    <row r="455" spans="1:10">
      <c r="A455" s="78" t="s">
        <v>1219</v>
      </c>
      <c r="B455" s="18">
        <v>2</v>
      </c>
      <c r="C455" s="78" t="s">
        <v>991</v>
      </c>
      <c r="D455" s="78" t="s">
        <v>992</v>
      </c>
      <c r="E455" s="84" t="s">
        <v>21</v>
      </c>
      <c r="F455" s="84" t="s">
        <v>22</v>
      </c>
      <c r="G455" s="84" t="s">
        <v>57</v>
      </c>
      <c r="H455" s="84" t="s">
        <v>994</v>
      </c>
      <c r="I455" s="84"/>
      <c r="J455" s="15" t="str">
        <f>IF(E455="Invalid_Segment","Invalid",IFERROR(INDEX(Severity_Matrix!$C$3:$M$10,MATCH('Error Log'!$F455,Severity_Matrix!$B$3:$B$10,0),MATCH('Error Log'!$G455,Severity_Matrix!$C$2:$M$2,0)),"No errors"))</f>
        <v>Major</v>
      </c>
    </row>
    <row r="456" spans="1:10">
      <c r="A456" s="78" t="s">
        <v>1219</v>
      </c>
      <c r="B456" s="18">
        <v>3</v>
      </c>
      <c r="C456" s="78" t="s">
        <v>991</v>
      </c>
      <c r="D456" s="78" t="s">
        <v>992</v>
      </c>
      <c r="E456" s="84" t="s">
        <v>21</v>
      </c>
      <c r="F456" s="84" t="s">
        <v>7</v>
      </c>
      <c r="G456" s="84" t="s">
        <v>57</v>
      </c>
      <c r="H456" s="84" t="s">
        <v>995</v>
      </c>
      <c r="I456" s="84"/>
      <c r="J456" s="15" t="str">
        <f>IF(E456="Invalid_Segment","Invalid",IFERROR(INDEX(Severity_Matrix!$C$3:$M$10,MATCH('Error Log'!$F456,Severity_Matrix!$B$3:$B$10,0),MATCH('Error Log'!$G456,Severity_Matrix!$C$2:$M$2,0)),"No errors"))</f>
        <v>Critical</v>
      </c>
    </row>
    <row r="457" spans="1:10">
      <c r="A457" s="78" t="s">
        <v>1220</v>
      </c>
      <c r="B457" s="18">
        <v>1</v>
      </c>
      <c r="C457" s="78" t="s">
        <v>996</v>
      </c>
      <c r="D457" s="78" t="s">
        <v>997</v>
      </c>
      <c r="E457" s="84" t="s">
        <v>21</v>
      </c>
      <c r="F457" s="84" t="s">
        <v>22</v>
      </c>
      <c r="G457" s="84" t="s">
        <v>57</v>
      </c>
      <c r="H457" s="84" t="s">
        <v>998</v>
      </c>
      <c r="I457" s="84"/>
      <c r="J457" s="15" t="str">
        <f>IF(E457="Invalid_Segment","Invalid",IFERROR(INDEX(Severity_Matrix!$C$3:$M$10,MATCH('Error Log'!$F457,Severity_Matrix!$B$3:$B$10,0),MATCH('Error Log'!$G457,Severity_Matrix!$C$2:$M$2,0)),"No errors"))</f>
        <v>Major</v>
      </c>
    </row>
    <row r="458" spans="1:10">
      <c r="A458" s="78" t="s">
        <v>1220</v>
      </c>
      <c r="B458" s="18">
        <v>2</v>
      </c>
      <c r="C458" s="78" t="s">
        <v>996</v>
      </c>
      <c r="D458" s="78" t="s">
        <v>997</v>
      </c>
      <c r="E458" s="84" t="s">
        <v>21</v>
      </c>
      <c r="F458" s="84" t="s">
        <v>22</v>
      </c>
      <c r="G458" s="84" t="s">
        <v>57</v>
      </c>
      <c r="H458" s="84" t="s">
        <v>999</v>
      </c>
      <c r="I458" s="84"/>
      <c r="J458" s="15" t="str">
        <f>IF(E458="Invalid_Segment","Invalid",IFERROR(INDEX(Severity_Matrix!$C$3:$M$10,MATCH('Error Log'!$F458,Severity_Matrix!$B$3:$B$10,0),MATCH('Error Log'!$G458,Severity_Matrix!$C$2:$M$2,0)),"No errors"))</f>
        <v>Major</v>
      </c>
    </row>
    <row r="459" spans="1:10">
      <c r="A459" s="78" t="s">
        <v>1220</v>
      </c>
      <c r="B459" s="18">
        <v>3</v>
      </c>
      <c r="C459" s="78" t="s">
        <v>996</v>
      </c>
      <c r="D459" s="78" t="s">
        <v>997</v>
      </c>
      <c r="E459" s="84" t="s">
        <v>21</v>
      </c>
      <c r="F459" s="84" t="s">
        <v>7</v>
      </c>
      <c r="G459" s="84" t="s">
        <v>57</v>
      </c>
      <c r="H459" s="84" t="s">
        <v>1000</v>
      </c>
      <c r="I459" s="84"/>
      <c r="J459" s="15" t="str">
        <f>IF(E459="Invalid_Segment","Invalid",IFERROR(INDEX(Severity_Matrix!$C$3:$M$10,MATCH('Error Log'!$F459,Severity_Matrix!$B$3:$B$10,0),MATCH('Error Log'!$G459,Severity_Matrix!$C$2:$M$2,0)),"No errors"))</f>
        <v>Critical</v>
      </c>
    </row>
    <row r="460" spans="1:10">
      <c r="A460" s="78" t="s">
        <v>1220</v>
      </c>
      <c r="B460" s="18">
        <v>4</v>
      </c>
      <c r="C460" s="78" t="s">
        <v>996</v>
      </c>
      <c r="D460" s="78" t="s">
        <v>997</v>
      </c>
      <c r="E460" s="84" t="s">
        <v>21</v>
      </c>
      <c r="F460" s="84" t="s">
        <v>7</v>
      </c>
      <c r="G460" s="84" t="s">
        <v>57</v>
      </c>
      <c r="H460" s="84" t="s">
        <v>1001</v>
      </c>
      <c r="I460" s="84"/>
      <c r="J460" s="15" t="str">
        <f>IF(E460="Invalid_Segment","Invalid",IFERROR(INDEX(Severity_Matrix!$C$3:$M$10,MATCH('Error Log'!$F460,Severity_Matrix!$B$3:$B$10,0),MATCH('Error Log'!$G460,Severity_Matrix!$C$2:$M$2,0)),"No errors"))</f>
        <v>Critical</v>
      </c>
    </row>
    <row r="461" spans="1:10">
      <c r="A461" s="78" t="s">
        <v>1220</v>
      </c>
      <c r="B461" s="18">
        <v>5</v>
      </c>
      <c r="C461" s="78" t="s">
        <v>996</v>
      </c>
      <c r="D461" s="78" t="s">
        <v>997</v>
      </c>
      <c r="E461" s="84" t="s">
        <v>21</v>
      </c>
      <c r="F461" s="84" t="s">
        <v>7</v>
      </c>
      <c r="G461" s="84" t="s">
        <v>57</v>
      </c>
      <c r="H461" s="84" t="s">
        <v>1002</v>
      </c>
      <c r="I461" s="84"/>
      <c r="J461" s="15" t="str">
        <f>IF(E461="Invalid_Segment","Invalid",IFERROR(INDEX(Severity_Matrix!$C$3:$M$10,MATCH('Error Log'!$F461,Severity_Matrix!$B$3:$B$10,0),MATCH('Error Log'!$G461,Severity_Matrix!$C$2:$M$2,0)),"No errors"))</f>
        <v>Critical</v>
      </c>
    </row>
    <row r="462" spans="1:10">
      <c r="A462" s="78" t="s">
        <v>1221</v>
      </c>
      <c r="B462" s="18">
        <v>1</v>
      </c>
      <c r="C462" s="78" t="s">
        <v>1003</v>
      </c>
      <c r="D462" s="78" t="s">
        <v>1004</v>
      </c>
      <c r="E462" s="84" t="s">
        <v>21</v>
      </c>
      <c r="F462" s="84" t="s">
        <v>22</v>
      </c>
      <c r="G462" s="84" t="s">
        <v>57</v>
      </c>
      <c r="H462" s="84" t="s">
        <v>1005</v>
      </c>
      <c r="I462" s="84"/>
      <c r="J462" s="15" t="str">
        <f>IF(E462="Invalid_Segment","Invalid",IFERROR(INDEX(Severity_Matrix!$C$3:$M$10,MATCH('Error Log'!$F462,Severity_Matrix!$B$3:$B$10,0),MATCH('Error Log'!$G462,Severity_Matrix!$C$2:$M$2,0)),"No errors"))</f>
        <v>Major</v>
      </c>
    </row>
    <row r="463" spans="1:10">
      <c r="A463" s="78" t="s">
        <v>1221</v>
      </c>
      <c r="B463" s="18">
        <v>2</v>
      </c>
      <c r="C463" s="78" t="s">
        <v>1003</v>
      </c>
      <c r="D463" s="78" t="s">
        <v>1004</v>
      </c>
      <c r="E463" s="84" t="s">
        <v>21</v>
      </c>
      <c r="F463" s="84" t="s">
        <v>7</v>
      </c>
      <c r="G463" s="84" t="s">
        <v>57</v>
      </c>
      <c r="H463" s="84" t="s">
        <v>1006</v>
      </c>
      <c r="I463" s="84"/>
      <c r="J463" s="15" t="str">
        <f>IF(E463="Invalid_Segment","Invalid",IFERROR(INDEX(Severity_Matrix!$C$3:$M$10,MATCH('Error Log'!$F463,Severity_Matrix!$B$3:$B$10,0),MATCH('Error Log'!$G463,Severity_Matrix!$C$2:$M$2,0)),"No errors"))</f>
        <v>Critical</v>
      </c>
    </row>
    <row r="464" spans="1:10">
      <c r="A464" s="78" t="s">
        <v>1222</v>
      </c>
      <c r="B464" s="18">
        <v>1</v>
      </c>
      <c r="C464" s="78" t="s">
        <v>1007</v>
      </c>
      <c r="D464" s="78" t="s">
        <v>1008</v>
      </c>
      <c r="E464" s="84" t="s">
        <v>21</v>
      </c>
      <c r="F464" s="84" t="s">
        <v>22</v>
      </c>
      <c r="G464" s="84" t="s">
        <v>57</v>
      </c>
      <c r="H464" s="84" t="s">
        <v>1009</v>
      </c>
      <c r="I464" s="84"/>
      <c r="J464" s="15" t="str">
        <f>IF(E464="Invalid_Segment","Invalid",IFERROR(INDEX(Severity_Matrix!$C$3:$M$10,MATCH('Error Log'!$F464,Severity_Matrix!$B$3:$B$10,0),MATCH('Error Log'!$G464,Severity_Matrix!$C$2:$M$2,0)),"No errors"))</f>
        <v>Major</v>
      </c>
    </row>
    <row r="465" spans="1:10">
      <c r="A465" s="78" t="s">
        <v>1222</v>
      </c>
      <c r="B465" s="18">
        <v>2</v>
      </c>
      <c r="C465" s="78" t="s">
        <v>1007</v>
      </c>
      <c r="D465" s="78" t="s">
        <v>1008</v>
      </c>
      <c r="E465" s="84" t="s">
        <v>21</v>
      </c>
      <c r="F465" s="84" t="s">
        <v>22</v>
      </c>
      <c r="G465" s="84" t="s">
        <v>57</v>
      </c>
      <c r="H465" s="84" t="s">
        <v>1010</v>
      </c>
      <c r="I465" s="84"/>
      <c r="J465" s="15" t="str">
        <f>IF(E465="Invalid_Segment","Invalid",IFERROR(INDEX(Severity_Matrix!$C$3:$M$10,MATCH('Error Log'!$F465,Severity_Matrix!$B$3:$B$10,0),MATCH('Error Log'!$G465,Severity_Matrix!$C$2:$M$2,0)),"No errors"))</f>
        <v>Major</v>
      </c>
    </row>
    <row r="466" spans="1:10">
      <c r="A466" s="78" t="s">
        <v>1222</v>
      </c>
      <c r="B466" s="18">
        <v>3</v>
      </c>
      <c r="C466" s="78" t="s">
        <v>1007</v>
      </c>
      <c r="D466" s="78" t="s">
        <v>1008</v>
      </c>
      <c r="E466" s="84" t="s">
        <v>21</v>
      </c>
      <c r="F466" s="84" t="s">
        <v>22</v>
      </c>
      <c r="G466" s="84" t="s">
        <v>57</v>
      </c>
      <c r="H466" s="84" t="s">
        <v>1011</v>
      </c>
      <c r="I466" s="84"/>
      <c r="J466" s="15" t="str">
        <f>IF(E466="Invalid_Segment","Invalid",IFERROR(INDEX(Severity_Matrix!$C$3:$M$10,MATCH('Error Log'!$F466,Severity_Matrix!$B$3:$B$10,0),MATCH('Error Log'!$G466,Severity_Matrix!$C$2:$M$2,0)),"No errors"))</f>
        <v>Major</v>
      </c>
    </row>
    <row r="467" spans="1:10">
      <c r="A467" s="78" t="s">
        <v>1222</v>
      </c>
      <c r="B467" s="18">
        <v>4</v>
      </c>
      <c r="C467" s="78" t="s">
        <v>1007</v>
      </c>
      <c r="D467" s="78" t="s">
        <v>1008</v>
      </c>
      <c r="E467" s="84" t="s">
        <v>21</v>
      </c>
      <c r="F467" s="84" t="s">
        <v>22</v>
      </c>
      <c r="G467" s="84" t="s">
        <v>28</v>
      </c>
      <c r="H467" s="84" t="s">
        <v>491</v>
      </c>
      <c r="I467" s="84"/>
      <c r="J467" s="15" t="str">
        <f>IF(E467="Invalid_Segment","Invalid",IFERROR(INDEX(Severity_Matrix!$C$3:$M$10,MATCH('Error Log'!$F467,Severity_Matrix!$B$3:$B$10,0),MATCH('Error Log'!$G467,Severity_Matrix!$C$2:$M$2,0)),"No errors"))</f>
        <v>Major</v>
      </c>
    </row>
    <row r="468" spans="1:10">
      <c r="A468" s="78" t="s">
        <v>1222</v>
      </c>
      <c r="B468" s="18">
        <v>5</v>
      </c>
      <c r="C468" s="78" t="s">
        <v>1007</v>
      </c>
      <c r="D468" s="78" t="s">
        <v>1008</v>
      </c>
      <c r="E468" s="84" t="s">
        <v>21</v>
      </c>
      <c r="F468" s="84" t="s">
        <v>7</v>
      </c>
      <c r="G468" s="84" t="s">
        <v>57</v>
      </c>
      <c r="H468" s="84" t="s">
        <v>1012</v>
      </c>
      <c r="I468" s="84"/>
      <c r="J468" s="15" t="str">
        <f>IF(E468="Invalid_Segment","Invalid",IFERROR(INDEX(Severity_Matrix!$C$3:$M$10,MATCH('Error Log'!$F468,Severity_Matrix!$B$3:$B$10,0),MATCH('Error Log'!$G468,Severity_Matrix!$C$2:$M$2,0)),"No errors"))</f>
        <v>Critical</v>
      </c>
    </row>
    <row r="469" spans="1:10">
      <c r="A469" s="78" t="s">
        <v>1222</v>
      </c>
      <c r="B469" s="18">
        <v>6</v>
      </c>
      <c r="C469" s="78" t="s">
        <v>1007</v>
      </c>
      <c r="D469" s="78" t="s">
        <v>1008</v>
      </c>
      <c r="E469" s="84" t="s">
        <v>21</v>
      </c>
      <c r="F469" s="84" t="s">
        <v>7</v>
      </c>
      <c r="G469" s="84" t="s">
        <v>57</v>
      </c>
      <c r="H469" s="84" t="s">
        <v>1013</v>
      </c>
      <c r="I469" s="84"/>
      <c r="J469" s="15" t="str">
        <f>IF(E469="Invalid_Segment","Invalid",IFERROR(INDEX(Severity_Matrix!$C$3:$M$10,MATCH('Error Log'!$F469,Severity_Matrix!$B$3:$B$10,0),MATCH('Error Log'!$G469,Severity_Matrix!$C$2:$M$2,0)),"No errors"))</f>
        <v>Critical</v>
      </c>
    </row>
    <row r="470" spans="1:10">
      <c r="A470" s="78" t="s">
        <v>1223</v>
      </c>
      <c r="B470" s="18">
        <v>1</v>
      </c>
      <c r="C470" s="78" t="s">
        <v>1014</v>
      </c>
      <c r="D470" s="78" t="s">
        <v>1015</v>
      </c>
      <c r="E470" s="84" t="s">
        <v>21</v>
      </c>
      <c r="F470" s="84" t="s">
        <v>22</v>
      </c>
      <c r="G470" s="84" t="s">
        <v>57</v>
      </c>
      <c r="H470" s="84" t="s">
        <v>1016</v>
      </c>
      <c r="I470" s="84"/>
      <c r="J470" s="15" t="str">
        <f>IF(E470="Invalid_Segment","Invalid",IFERROR(INDEX(Severity_Matrix!$C$3:$M$10,MATCH('Error Log'!$F470,Severity_Matrix!$B$3:$B$10,0),MATCH('Error Log'!$G470,Severity_Matrix!$C$2:$M$2,0)),"No errors"))</f>
        <v>Major</v>
      </c>
    </row>
    <row r="471" spans="1:10">
      <c r="A471" s="78" t="s">
        <v>1223</v>
      </c>
      <c r="B471" s="18">
        <v>2</v>
      </c>
      <c r="C471" s="78" t="s">
        <v>1014</v>
      </c>
      <c r="D471" s="78" t="s">
        <v>1015</v>
      </c>
      <c r="E471" s="84" t="s">
        <v>21</v>
      </c>
      <c r="F471" s="84" t="s">
        <v>22</v>
      </c>
      <c r="G471" s="84" t="s">
        <v>57</v>
      </c>
      <c r="H471" s="84" t="s">
        <v>1017</v>
      </c>
      <c r="I471" s="84"/>
      <c r="J471" s="15" t="str">
        <f>IF(E471="Invalid_Segment","Invalid",IFERROR(INDEX(Severity_Matrix!$C$3:$M$10,MATCH('Error Log'!$F471,Severity_Matrix!$B$3:$B$10,0),MATCH('Error Log'!$G471,Severity_Matrix!$C$2:$M$2,0)),"No errors"))</f>
        <v>Major</v>
      </c>
    </row>
    <row r="472" spans="1:10">
      <c r="A472" s="78" t="s">
        <v>1223</v>
      </c>
      <c r="B472" s="18">
        <v>3</v>
      </c>
      <c r="C472" s="78" t="s">
        <v>1014</v>
      </c>
      <c r="D472" s="78" t="s">
        <v>1015</v>
      </c>
      <c r="E472" s="84" t="s">
        <v>21</v>
      </c>
      <c r="F472" s="84" t="s">
        <v>22</v>
      </c>
      <c r="G472" s="84" t="s">
        <v>57</v>
      </c>
      <c r="H472" s="84" t="s">
        <v>1018</v>
      </c>
      <c r="I472" s="84"/>
      <c r="J472" s="15" t="str">
        <f>IF(E472="Invalid_Segment","Invalid",IFERROR(INDEX(Severity_Matrix!$C$3:$M$10,MATCH('Error Log'!$F472,Severity_Matrix!$B$3:$B$10,0),MATCH('Error Log'!$G472,Severity_Matrix!$C$2:$M$2,0)),"No errors"))</f>
        <v>Major</v>
      </c>
    </row>
    <row r="473" spans="1:10">
      <c r="A473" s="78" t="s">
        <v>1223</v>
      </c>
      <c r="B473" s="18">
        <v>4</v>
      </c>
      <c r="C473" s="78" t="s">
        <v>1014</v>
      </c>
      <c r="D473" s="78" t="s">
        <v>1015</v>
      </c>
      <c r="E473" s="84" t="s">
        <v>21</v>
      </c>
      <c r="F473" s="84" t="s">
        <v>7</v>
      </c>
      <c r="G473" s="84" t="s">
        <v>57</v>
      </c>
      <c r="H473" s="84" t="s">
        <v>1019</v>
      </c>
      <c r="I473" s="84"/>
      <c r="J473" s="15" t="str">
        <f>IF(E473="Invalid_Segment","Invalid",IFERROR(INDEX(Severity_Matrix!$C$3:$M$10,MATCH('Error Log'!$F473,Severity_Matrix!$B$3:$B$10,0),MATCH('Error Log'!$G473,Severity_Matrix!$C$2:$M$2,0)),"No errors"))</f>
        <v>Critical</v>
      </c>
    </row>
    <row r="474" spans="1:10">
      <c r="A474" s="78" t="s">
        <v>1223</v>
      </c>
      <c r="B474" s="18">
        <v>5</v>
      </c>
      <c r="C474" s="78" t="s">
        <v>1014</v>
      </c>
      <c r="D474" s="78" t="s">
        <v>1015</v>
      </c>
      <c r="E474" s="84" t="s">
        <v>21</v>
      </c>
      <c r="F474" s="84" t="s">
        <v>7</v>
      </c>
      <c r="G474" s="84" t="s">
        <v>57</v>
      </c>
      <c r="H474" s="84" t="s">
        <v>1020</v>
      </c>
      <c r="I474" s="84"/>
      <c r="J474" s="15" t="str">
        <f>IF(E474="Invalid_Segment","Invalid",IFERROR(INDEX(Severity_Matrix!$C$3:$M$10,MATCH('Error Log'!$F474,Severity_Matrix!$B$3:$B$10,0),MATCH('Error Log'!$G474,Severity_Matrix!$C$2:$M$2,0)),"No errors"))</f>
        <v>Critical</v>
      </c>
    </row>
    <row r="475" spans="1:10">
      <c r="A475" s="78" t="s">
        <v>1223</v>
      </c>
      <c r="B475" s="18">
        <v>6</v>
      </c>
      <c r="C475" s="78" t="s">
        <v>1014</v>
      </c>
      <c r="D475" s="78" t="s">
        <v>1015</v>
      </c>
      <c r="E475" s="84" t="s">
        <v>21</v>
      </c>
      <c r="F475" s="84" t="s">
        <v>7</v>
      </c>
      <c r="G475" s="84" t="s">
        <v>57</v>
      </c>
      <c r="H475" s="84" t="s">
        <v>1021</v>
      </c>
      <c r="I475" s="84"/>
      <c r="J475" s="15" t="str">
        <f>IF(E475="Invalid_Segment","Invalid",IFERROR(INDEX(Severity_Matrix!$C$3:$M$10,MATCH('Error Log'!$F475,Severity_Matrix!$B$3:$B$10,0),MATCH('Error Log'!$G475,Severity_Matrix!$C$2:$M$2,0)),"No errors"))</f>
        <v>Critical</v>
      </c>
    </row>
    <row r="476" spans="1:10">
      <c r="A476" s="78" t="s">
        <v>1223</v>
      </c>
      <c r="B476" s="18">
        <v>7</v>
      </c>
      <c r="C476" s="78" t="s">
        <v>1014</v>
      </c>
      <c r="D476" s="78" t="s">
        <v>1015</v>
      </c>
      <c r="E476" s="84" t="s">
        <v>21</v>
      </c>
      <c r="F476" s="84" t="s">
        <v>7</v>
      </c>
      <c r="G476" s="84" t="s">
        <v>57</v>
      </c>
      <c r="H476" s="84" t="s">
        <v>1022</v>
      </c>
      <c r="I476" s="84"/>
      <c r="J476" s="15" t="str">
        <f>IF(E476="Invalid_Segment","Invalid",IFERROR(INDEX(Severity_Matrix!$C$3:$M$10,MATCH('Error Log'!$F476,Severity_Matrix!$B$3:$B$10,0),MATCH('Error Log'!$G476,Severity_Matrix!$C$2:$M$2,0)),"No errors"))</f>
        <v>Critical</v>
      </c>
    </row>
    <row r="477" spans="1:10">
      <c r="A477" s="78" t="s">
        <v>1224</v>
      </c>
      <c r="B477" s="18">
        <v>1</v>
      </c>
      <c r="C477" s="78" t="s">
        <v>1023</v>
      </c>
      <c r="D477" s="78" t="s">
        <v>1024</v>
      </c>
      <c r="E477" s="84" t="s">
        <v>21</v>
      </c>
      <c r="F477" s="84" t="s">
        <v>22</v>
      </c>
      <c r="G477" s="84" t="s">
        <v>28</v>
      </c>
      <c r="H477" s="84" t="s">
        <v>1025</v>
      </c>
      <c r="I477" s="84"/>
      <c r="J477" s="15" t="str">
        <f>IF(E477="Invalid_Segment","Invalid",IFERROR(INDEX(Severity_Matrix!$C$3:$M$10,MATCH('Error Log'!$F477,Severity_Matrix!$B$3:$B$10,0),MATCH('Error Log'!$G477,Severity_Matrix!$C$2:$M$2,0)),"No errors"))</f>
        <v>Major</v>
      </c>
    </row>
    <row r="478" spans="1:10">
      <c r="A478" s="78" t="s">
        <v>1224</v>
      </c>
      <c r="B478" s="18">
        <v>2</v>
      </c>
      <c r="C478" s="78" t="s">
        <v>1023</v>
      </c>
      <c r="D478" s="78" t="s">
        <v>1024</v>
      </c>
      <c r="E478" s="84" t="s">
        <v>21</v>
      </c>
      <c r="F478" s="84" t="s">
        <v>22</v>
      </c>
      <c r="G478" s="84" t="s">
        <v>57</v>
      </c>
      <c r="H478" s="84" t="s">
        <v>1026</v>
      </c>
      <c r="I478" s="84"/>
      <c r="J478" s="15" t="str">
        <f>IF(E478="Invalid_Segment","Invalid",IFERROR(INDEX(Severity_Matrix!$C$3:$M$10,MATCH('Error Log'!$F478,Severity_Matrix!$B$3:$B$10,0),MATCH('Error Log'!$G478,Severity_Matrix!$C$2:$M$2,0)),"No errors"))</f>
        <v>Major</v>
      </c>
    </row>
    <row r="479" spans="1:10">
      <c r="A479" s="78" t="s">
        <v>1224</v>
      </c>
      <c r="B479" s="18">
        <v>3</v>
      </c>
      <c r="C479" s="78" t="s">
        <v>1023</v>
      </c>
      <c r="D479" s="78" t="s">
        <v>1024</v>
      </c>
      <c r="E479" s="84" t="s">
        <v>21</v>
      </c>
      <c r="F479" s="84" t="s">
        <v>7</v>
      </c>
      <c r="G479" s="84" t="s">
        <v>57</v>
      </c>
      <c r="H479" s="84" t="s">
        <v>1027</v>
      </c>
      <c r="I479" s="84"/>
      <c r="J479" s="15" t="str">
        <f>IF(E479="Invalid_Segment","Invalid",IFERROR(INDEX(Severity_Matrix!$C$3:$M$10,MATCH('Error Log'!$F479,Severity_Matrix!$B$3:$B$10,0),MATCH('Error Log'!$G479,Severity_Matrix!$C$2:$M$2,0)),"No errors"))</f>
        <v>Critical</v>
      </c>
    </row>
    <row r="480" spans="1:10">
      <c r="A480" s="79" t="s">
        <v>1225</v>
      </c>
      <c r="B480" s="18">
        <v>1</v>
      </c>
      <c r="C480" s="78" t="s">
        <v>1028</v>
      </c>
      <c r="D480" s="83" t="s">
        <v>1029</v>
      </c>
      <c r="E480" s="84" t="s">
        <v>21</v>
      </c>
      <c r="F480" s="84" t="s">
        <v>22</v>
      </c>
      <c r="G480" s="84" t="s">
        <v>57</v>
      </c>
      <c r="H480" s="84" t="s">
        <v>1030</v>
      </c>
      <c r="I480" s="84"/>
      <c r="J480" s="15" t="str">
        <f>IF(E480="Invalid_Segment","Invalid",IFERROR(INDEX(Severity_Matrix!$C$3:$M$10,MATCH('Error Log'!$F480,Severity_Matrix!$B$3:$B$10,0),MATCH('Error Log'!$G480,Severity_Matrix!$C$2:$M$2,0)),"No errors"))</f>
        <v>Major</v>
      </c>
    </row>
    <row r="481" spans="1:10">
      <c r="A481" s="79" t="s">
        <v>1225</v>
      </c>
      <c r="B481" s="18">
        <v>2</v>
      </c>
      <c r="C481" s="78" t="s">
        <v>1028</v>
      </c>
      <c r="D481" s="83" t="s">
        <v>1029</v>
      </c>
      <c r="E481" s="84" t="s">
        <v>21</v>
      </c>
      <c r="F481" s="84" t="s">
        <v>22</v>
      </c>
      <c r="G481" s="84" t="s">
        <v>57</v>
      </c>
      <c r="H481" s="84" t="s">
        <v>1031</v>
      </c>
      <c r="I481" s="84"/>
      <c r="J481" s="15" t="str">
        <f>IF(E481="Invalid_Segment","Invalid",IFERROR(INDEX(Severity_Matrix!$C$3:$M$10,MATCH('Error Log'!$F481,Severity_Matrix!$B$3:$B$10,0),MATCH('Error Log'!$G481,Severity_Matrix!$C$2:$M$2,0)),"No errors"))</f>
        <v>Major</v>
      </c>
    </row>
    <row r="482" spans="1:10">
      <c r="A482" s="79" t="s">
        <v>1225</v>
      </c>
      <c r="B482" s="18">
        <v>3</v>
      </c>
      <c r="C482" s="78" t="s">
        <v>1028</v>
      </c>
      <c r="D482" s="83" t="s">
        <v>1029</v>
      </c>
      <c r="E482" s="84" t="s">
        <v>21</v>
      </c>
      <c r="F482" s="84" t="s">
        <v>7</v>
      </c>
      <c r="G482" s="84" t="s">
        <v>57</v>
      </c>
      <c r="H482" s="84" t="s">
        <v>1032</v>
      </c>
      <c r="I482" s="84"/>
      <c r="J482" s="15" t="str">
        <f>IF(E482="Invalid_Segment","Invalid",IFERROR(INDEX(Severity_Matrix!$C$3:$M$10,MATCH('Error Log'!$F482,Severity_Matrix!$B$3:$B$10,0),MATCH('Error Log'!$G482,Severity_Matrix!$C$2:$M$2,0)),"No errors"))</f>
        <v>Critical</v>
      </c>
    </row>
    <row r="483" spans="1:10">
      <c r="A483" s="79" t="s">
        <v>1225</v>
      </c>
      <c r="B483" s="18">
        <v>4</v>
      </c>
      <c r="C483" s="78" t="s">
        <v>1028</v>
      </c>
      <c r="D483" s="83" t="s">
        <v>1029</v>
      </c>
      <c r="E483" s="84" t="s">
        <v>21</v>
      </c>
      <c r="F483" s="84" t="s">
        <v>7</v>
      </c>
      <c r="G483" s="84" t="s">
        <v>27</v>
      </c>
      <c r="H483" s="84" t="s">
        <v>1033</v>
      </c>
      <c r="I483" s="84"/>
      <c r="J483" s="15" t="str">
        <f>IF(E483="Invalid_Segment","Invalid",IFERROR(INDEX(Severity_Matrix!$C$3:$M$10,MATCH('Error Log'!$F483,Severity_Matrix!$B$3:$B$10,0),MATCH('Error Log'!$G483,Severity_Matrix!$C$2:$M$2,0)),"No errors"))</f>
        <v>Major</v>
      </c>
    </row>
    <row r="484" spans="1:10">
      <c r="A484" s="79" t="s">
        <v>1226</v>
      </c>
      <c r="B484" s="18">
        <v>1</v>
      </c>
      <c r="C484" s="83" t="s">
        <v>1034</v>
      </c>
      <c r="D484" s="83" t="s">
        <v>1035</v>
      </c>
      <c r="E484" s="84" t="s">
        <v>21</v>
      </c>
      <c r="F484" s="84" t="s">
        <v>22</v>
      </c>
      <c r="G484" s="84" t="s">
        <v>57</v>
      </c>
      <c r="H484" s="84" t="s">
        <v>1036</v>
      </c>
      <c r="I484" s="84"/>
      <c r="J484" s="15" t="str">
        <f>IF(E484="Invalid_Segment","Invalid",IFERROR(INDEX(Severity_Matrix!$C$3:$M$10,MATCH('Error Log'!$F484,Severity_Matrix!$B$3:$B$10,0),MATCH('Error Log'!$G484,Severity_Matrix!$C$2:$M$2,0)),"No errors"))</f>
        <v>Major</v>
      </c>
    </row>
    <row r="485" spans="1:10">
      <c r="A485" s="79" t="s">
        <v>1226</v>
      </c>
      <c r="B485" s="18">
        <v>2</v>
      </c>
      <c r="C485" s="83" t="s">
        <v>1034</v>
      </c>
      <c r="D485" s="83" t="s">
        <v>1035</v>
      </c>
      <c r="E485" s="84" t="s">
        <v>21</v>
      </c>
      <c r="F485" s="84" t="s">
        <v>7</v>
      </c>
      <c r="G485" s="84" t="s">
        <v>57</v>
      </c>
      <c r="H485" s="84" t="s">
        <v>1037</v>
      </c>
      <c r="I485" s="84"/>
      <c r="J485" s="15" t="str">
        <f>IF(E485="Invalid_Segment","Invalid",IFERROR(INDEX(Severity_Matrix!$C$3:$M$10,MATCH('Error Log'!$F485,Severity_Matrix!$B$3:$B$10,0),MATCH('Error Log'!$G485,Severity_Matrix!$C$2:$M$2,0)),"No errors"))</f>
        <v>Critical</v>
      </c>
    </row>
    <row r="486" spans="1:10">
      <c r="A486" s="79" t="s">
        <v>1226</v>
      </c>
      <c r="B486" s="18">
        <v>3</v>
      </c>
      <c r="C486" s="83" t="s">
        <v>1034</v>
      </c>
      <c r="D486" s="83" t="s">
        <v>1035</v>
      </c>
      <c r="E486" s="84" t="s">
        <v>21</v>
      </c>
      <c r="F486" s="84" t="s">
        <v>7</v>
      </c>
      <c r="G486" s="84" t="s">
        <v>57</v>
      </c>
      <c r="H486" s="84" t="s">
        <v>1038</v>
      </c>
      <c r="I486" s="84"/>
      <c r="J486" s="15" t="str">
        <f>IF(E486="Invalid_Segment","Invalid",IFERROR(INDEX(Severity_Matrix!$C$3:$M$10,MATCH('Error Log'!$F486,Severity_Matrix!$B$3:$B$10,0),MATCH('Error Log'!$G486,Severity_Matrix!$C$2:$M$2,0)),"No errors"))</f>
        <v>Critical</v>
      </c>
    </row>
    <row r="487" spans="1:10">
      <c r="A487" s="79" t="s">
        <v>1227</v>
      </c>
      <c r="B487" s="18">
        <v>1</v>
      </c>
      <c r="C487" s="83" t="s">
        <v>1039</v>
      </c>
      <c r="D487" s="83" t="s">
        <v>1040</v>
      </c>
      <c r="E487" s="84" t="s">
        <v>21</v>
      </c>
      <c r="F487" s="84" t="s">
        <v>22</v>
      </c>
      <c r="G487" s="84" t="s">
        <v>57</v>
      </c>
      <c r="H487" s="84" t="s">
        <v>1041</v>
      </c>
      <c r="I487" s="84"/>
      <c r="J487" s="15" t="str">
        <f>IF(E487="Invalid_Segment","Invalid",IFERROR(INDEX(Severity_Matrix!$C$3:$M$10,MATCH('Error Log'!$F487,Severity_Matrix!$B$3:$B$10,0),MATCH('Error Log'!$G487,Severity_Matrix!$C$2:$M$2,0)),"No errors"))</f>
        <v>Major</v>
      </c>
    </row>
    <row r="488" spans="1:10">
      <c r="A488" s="79" t="s">
        <v>1227</v>
      </c>
      <c r="B488" s="18">
        <v>2</v>
      </c>
      <c r="C488" s="83" t="s">
        <v>1039</v>
      </c>
      <c r="D488" s="83" t="s">
        <v>1040</v>
      </c>
      <c r="E488" s="84" t="s">
        <v>21</v>
      </c>
      <c r="F488" s="84" t="s">
        <v>22</v>
      </c>
      <c r="G488" s="84" t="s">
        <v>57</v>
      </c>
      <c r="H488" s="84" t="s">
        <v>1042</v>
      </c>
      <c r="I488" s="84"/>
      <c r="J488" s="15" t="str">
        <f>IF(E488="Invalid_Segment","Invalid",IFERROR(INDEX(Severity_Matrix!$C$3:$M$10,MATCH('Error Log'!$F488,Severity_Matrix!$B$3:$B$10,0),MATCH('Error Log'!$G488,Severity_Matrix!$C$2:$M$2,0)),"No errors"))</f>
        <v>Major</v>
      </c>
    </row>
    <row r="489" spans="1:10">
      <c r="A489" s="79" t="s">
        <v>1227</v>
      </c>
      <c r="B489" s="18">
        <v>3</v>
      </c>
      <c r="C489" s="83" t="s">
        <v>1039</v>
      </c>
      <c r="D489" s="83" t="s">
        <v>1040</v>
      </c>
      <c r="E489" s="84" t="s">
        <v>21</v>
      </c>
      <c r="F489" s="84" t="s">
        <v>7</v>
      </c>
      <c r="G489" s="84" t="s">
        <v>57</v>
      </c>
      <c r="H489" s="84" t="s">
        <v>1043</v>
      </c>
      <c r="I489" s="84"/>
      <c r="J489" s="15" t="str">
        <f>IF(E489="Invalid_Segment","Invalid",IFERROR(INDEX(Severity_Matrix!$C$3:$M$10,MATCH('Error Log'!$F489,Severity_Matrix!$B$3:$B$10,0),MATCH('Error Log'!$G489,Severity_Matrix!$C$2:$M$2,0)),"No errors"))</f>
        <v>Critical</v>
      </c>
    </row>
    <row r="490" spans="1:10">
      <c r="A490" s="79" t="s">
        <v>1227</v>
      </c>
      <c r="B490" s="18">
        <v>4</v>
      </c>
      <c r="C490" s="83" t="s">
        <v>1039</v>
      </c>
      <c r="D490" s="83" t="s">
        <v>1040</v>
      </c>
      <c r="E490" s="84" t="s">
        <v>21</v>
      </c>
      <c r="F490" s="84" t="s">
        <v>7</v>
      </c>
      <c r="G490" s="84" t="s">
        <v>57</v>
      </c>
      <c r="H490" s="84" t="s">
        <v>1044</v>
      </c>
      <c r="I490" s="84"/>
      <c r="J490" s="15" t="str">
        <f>IF(E490="Invalid_Segment","Invalid",IFERROR(INDEX(Severity_Matrix!$C$3:$M$10,MATCH('Error Log'!$F490,Severity_Matrix!$B$3:$B$10,0),MATCH('Error Log'!$G490,Severity_Matrix!$C$2:$M$2,0)),"No errors"))</f>
        <v>Critical</v>
      </c>
    </row>
    <row r="491" spans="1:10">
      <c r="A491" s="79" t="s">
        <v>1228</v>
      </c>
      <c r="B491" s="18">
        <v>1</v>
      </c>
      <c r="C491" s="83" t="s">
        <v>1045</v>
      </c>
      <c r="D491" s="83" t="s">
        <v>1046</v>
      </c>
      <c r="E491" s="84" t="s">
        <v>21</v>
      </c>
      <c r="F491" s="84" t="s">
        <v>22</v>
      </c>
      <c r="G491" s="84" t="s">
        <v>57</v>
      </c>
      <c r="H491" s="84" t="s">
        <v>1047</v>
      </c>
      <c r="I491" s="84"/>
      <c r="J491" s="15" t="str">
        <f>IF(E491="Invalid_Segment","Invalid",IFERROR(INDEX(Severity_Matrix!$C$3:$M$10,MATCH('Error Log'!$F491,Severity_Matrix!$B$3:$B$10,0),MATCH('Error Log'!$G491,Severity_Matrix!$C$2:$M$2,0)),"No errors"))</f>
        <v>Major</v>
      </c>
    </row>
    <row r="492" spans="1:10">
      <c r="A492" s="79" t="s">
        <v>1228</v>
      </c>
      <c r="B492" s="18">
        <v>2</v>
      </c>
      <c r="C492" s="83" t="s">
        <v>1045</v>
      </c>
      <c r="D492" s="83" t="s">
        <v>1046</v>
      </c>
      <c r="E492" s="84" t="s">
        <v>21</v>
      </c>
      <c r="F492" s="84" t="s">
        <v>22</v>
      </c>
      <c r="G492" s="84" t="s">
        <v>57</v>
      </c>
      <c r="H492" s="84" t="s">
        <v>1048</v>
      </c>
      <c r="I492" s="84"/>
      <c r="J492" s="15" t="str">
        <f>IF(E492="Invalid_Segment","Invalid",IFERROR(INDEX(Severity_Matrix!$C$3:$M$10,MATCH('Error Log'!$F492,Severity_Matrix!$B$3:$B$10,0),MATCH('Error Log'!$G492,Severity_Matrix!$C$2:$M$2,0)),"No errors"))</f>
        <v>Major</v>
      </c>
    </row>
    <row r="493" spans="1:10">
      <c r="A493" s="79" t="s">
        <v>1228</v>
      </c>
      <c r="B493" s="18">
        <v>3</v>
      </c>
      <c r="C493" s="83" t="s">
        <v>1045</v>
      </c>
      <c r="D493" s="83" t="s">
        <v>1046</v>
      </c>
      <c r="E493" s="84" t="s">
        <v>21</v>
      </c>
      <c r="F493" s="84" t="s">
        <v>7</v>
      </c>
      <c r="G493" s="84" t="s">
        <v>57</v>
      </c>
      <c r="H493" s="84" t="s">
        <v>1049</v>
      </c>
      <c r="I493" s="84"/>
      <c r="J493" s="15" t="str">
        <f>IF(E493="Invalid_Segment","Invalid",IFERROR(INDEX(Severity_Matrix!$C$3:$M$10,MATCH('Error Log'!$F493,Severity_Matrix!$B$3:$B$10,0),MATCH('Error Log'!$G493,Severity_Matrix!$C$2:$M$2,0)),"No errors"))</f>
        <v>Critical</v>
      </c>
    </row>
    <row r="494" spans="1:10">
      <c r="A494" s="79" t="s">
        <v>1228</v>
      </c>
      <c r="B494" s="18">
        <v>4</v>
      </c>
      <c r="C494" s="83" t="s">
        <v>1045</v>
      </c>
      <c r="D494" s="83" t="s">
        <v>1046</v>
      </c>
      <c r="E494" s="84" t="s">
        <v>21</v>
      </c>
      <c r="F494" s="84" t="s">
        <v>7</v>
      </c>
      <c r="G494" s="84" t="s">
        <v>57</v>
      </c>
      <c r="H494" s="84" t="s">
        <v>1050</v>
      </c>
      <c r="I494" s="84"/>
      <c r="J494" s="15" t="str">
        <f>IF(E494="Invalid_Segment","Invalid",IFERROR(INDEX(Severity_Matrix!$C$3:$M$10,MATCH('Error Log'!$F494,Severity_Matrix!$B$3:$B$10,0),MATCH('Error Log'!$G494,Severity_Matrix!$C$2:$M$2,0)),"No errors"))</f>
        <v>Critical</v>
      </c>
    </row>
    <row r="495" spans="1:10">
      <c r="A495" s="79" t="s">
        <v>1229</v>
      </c>
      <c r="B495" s="18">
        <v>1</v>
      </c>
      <c r="C495" s="83" t="s">
        <v>1051</v>
      </c>
      <c r="D495" s="83" t="s">
        <v>1052</v>
      </c>
      <c r="E495" s="90"/>
      <c r="F495" s="90"/>
      <c r="G495" s="90"/>
      <c r="H495" s="90"/>
      <c r="I495" s="84"/>
      <c r="J495" s="15" t="str">
        <f>IF(E495="Invalid_Segment","Invalid",IFERROR(INDEX(Severity_Matrix!$C$3:$M$10,MATCH('Error Log'!$F495,Severity_Matrix!$B$3:$B$10,0),MATCH('Error Log'!$G495,Severity_Matrix!$C$2:$M$2,0)),"No errors"))</f>
        <v>No errors</v>
      </c>
    </row>
    <row r="496" spans="1:10">
      <c r="A496" s="79" t="s">
        <v>1230</v>
      </c>
      <c r="B496" s="18">
        <v>1</v>
      </c>
      <c r="C496" s="83" t="s">
        <v>1053</v>
      </c>
      <c r="D496" s="83" t="s">
        <v>1054</v>
      </c>
      <c r="E496" s="84" t="s">
        <v>21</v>
      </c>
      <c r="F496" s="84" t="s">
        <v>22</v>
      </c>
      <c r="G496" s="84" t="s">
        <v>28</v>
      </c>
      <c r="H496" s="84" t="s">
        <v>491</v>
      </c>
      <c r="I496" s="84"/>
      <c r="J496" s="15" t="str">
        <f>IF(E496="Invalid_Segment","Invalid",IFERROR(INDEX(Severity_Matrix!$C$3:$M$10,MATCH('Error Log'!$F496,Severity_Matrix!$B$3:$B$10,0),MATCH('Error Log'!$G496,Severity_Matrix!$C$2:$M$2,0)),"No errors"))</f>
        <v>Major</v>
      </c>
    </row>
    <row r="497" spans="1:10">
      <c r="A497" s="79" t="s">
        <v>1230</v>
      </c>
      <c r="B497" s="18">
        <v>2</v>
      </c>
      <c r="C497" s="83" t="s">
        <v>1053</v>
      </c>
      <c r="D497" s="83" t="s">
        <v>1054</v>
      </c>
      <c r="E497" s="84" t="s">
        <v>21</v>
      </c>
      <c r="F497" s="84" t="s">
        <v>22</v>
      </c>
      <c r="G497" s="84" t="s">
        <v>57</v>
      </c>
      <c r="H497" s="84" t="s">
        <v>1055</v>
      </c>
      <c r="I497" s="84"/>
      <c r="J497" s="15" t="str">
        <f>IF(E497="Invalid_Segment","Invalid",IFERROR(INDEX(Severity_Matrix!$C$3:$M$10,MATCH('Error Log'!$F497,Severity_Matrix!$B$3:$B$10,0),MATCH('Error Log'!$G497,Severity_Matrix!$C$2:$M$2,0)),"No errors"))</f>
        <v>Major</v>
      </c>
    </row>
    <row r="498" spans="1:10">
      <c r="A498" s="79" t="s">
        <v>1230</v>
      </c>
      <c r="B498" s="18">
        <v>3</v>
      </c>
      <c r="C498" s="83" t="s">
        <v>1053</v>
      </c>
      <c r="D498" s="83" t="s">
        <v>1054</v>
      </c>
      <c r="E498" s="84" t="s">
        <v>21</v>
      </c>
      <c r="F498" s="84" t="s">
        <v>22</v>
      </c>
      <c r="G498" s="84" t="s">
        <v>57</v>
      </c>
      <c r="H498" s="84" t="s">
        <v>1056</v>
      </c>
      <c r="I498" s="84"/>
      <c r="J498" s="15" t="str">
        <f>IF(E498="Invalid_Segment","Invalid",IFERROR(INDEX(Severity_Matrix!$C$3:$M$10,MATCH('Error Log'!$F498,Severity_Matrix!$B$3:$B$10,0),MATCH('Error Log'!$G498,Severity_Matrix!$C$2:$M$2,0)),"No errors"))</f>
        <v>Major</v>
      </c>
    </row>
    <row r="499" spans="1:10">
      <c r="A499" s="79" t="s">
        <v>1232</v>
      </c>
      <c r="B499" s="18">
        <v>1</v>
      </c>
      <c r="C499" s="83" t="s">
        <v>1057</v>
      </c>
      <c r="D499" s="83" t="s">
        <v>1058</v>
      </c>
      <c r="E499" s="84" t="s">
        <v>21</v>
      </c>
      <c r="F499" s="84" t="s">
        <v>22</v>
      </c>
      <c r="G499" s="84" t="s">
        <v>57</v>
      </c>
      <c r="H499" s="84" t="s">
        <v>1059</v>
      </c>
      <c r="I499" s="84"/>
      <c r="J499" s="15" t="str">
        <f>IF(E499="Invalid_Segment","Invalid",IFERROR(INDEX(Severity_Matrix!$C$3:$M$10,MATCH('Error Log'!$F499,Severity_Matrix!$B$3:$B$10,0),MATCH('Error Log'!$G499,Severity_Matrix!$C$2:$M$2,0)),"No errors"))</f>
        <v>Major</v>
      </c>
    </row>
    <row r="500" spans="1:10">
      <c r="A500" s="79" t="s">
        <v>1231</v>
      </c>
      <c r="B500" s="18">
        <v>1</v>
      </c>
      <c r="C500" s="83" t="s">
        <v>1060</v>
      </c>
      <c r="D500" s="83" t="s">
        <v>1061</v>
      </c>
      <c r="E500" s="84" t="s">
        <v>21</v>
      </c>
      <c r="F500" s="84" t="s">
        <v>22</v>
      </c>
      <c r="G500" s="84" t="s">
        <v>28</v>
      </c>
      <c r="H500" s="84" t="s">
        <v>979</v>
      </c>
      <c r="I500" s="84"/>
      <c r="J500" s="15" t="str">
        <f>IF(E500="Invalid_Segment","Invalid",IFERROR(INDEX(Severity_Matrix!$C$3:$M$10,MATCH('Error Log'!$F500,Severity_Matrix!$B$3:$B$10,0),MATCH('Error Log'!$G500,Severity_Matrix!$C$2:$M$2,0)),"No errors"))</f>
        <v>Major</v>
      </c>
    </row>
    <row r="501" spans="1:10">
      <c r="A501" s="79" t="s">
        <v>1231</v>
      </c>
      <c r="B501" s="18">
        <v>2</v>
      </c>
      <c r="C501" s="83" t="s">
        <v>1060</v>
      </c>
      <c r="D501" s="83" t="s">
        <v>1061</v>
      </c>
      <c r="E501" s="84" t="s">
        <v>21</v>
      </c>
      <c r="F501" s="84" t="s">
        <v>22</v>
      </c>
      <c r="G501" s="84" t="s">
        <v>57</v>
      </c>
      <c r="H501" s="84" t="s">
        <v>1062</v>
      </c>
      <c r="I501" s="84"/>
      <c r="J501" s="15" t="str">
        <f>IF(E501="Invalid_Segment","Invalid",IFERROR(INDEX(Severity_Matrix!$C$3:$M$10,MATCH('Error Log'!$F501,Severity_Matrix!$B$3:$B$10,0),MATCH('Error Log'!$G501,Severity_Matrix!$C$2:$M$2,0)),"No errors"))</f>
        <v>Major</v>
      </c>
    </row>
    <row r="502" spans="1:10">
      <c r="A502" s="79" t="s">
        <v>1231</v>
      </c>
      <c r="B502" s="18">
        <v>3</v>
      </c>
      <c r="C502" s="83" t="s">
        <v>1060</v>
      </c>
      <c r="D502" s="83" t="s">
        <v>1061</v>
      </c>
      <c r="E502" s="84" t="s">
        <v>21</v>
      </c>
      <c r="F502" s="84" t="s">
        <v>7</v>
      </c>
      <c r="G502" s="84" t="s">
        <v>57</v>
      </c>
      <c r="H502" s="84" t="s">
        <v>1063</v>
      </c>
      <c r="I502" s="84"/>
      <c r="J502" s="15" t="str">
        <f>IF(E502="Invalid_Segment","Invalid",IFERROR(INDEX(Severity_Matrix!$C$3:$M$10,MATCH('Error Log'!$F502,Severity_Matrix!$B$3:$B$10,0),MATCH('Error Log'!$G502,Severity_Matrix!$C$2:$M$2,0)),"No errors"))</f>
        <v>Critical</v>
      </c>
    </row>
    <row r="503" spans="1:10">
      <c r="A503" s="79" t="s">
        <v>1233</v>
      </c>
      <c r="B503" s="18">
        <v>1</v>
      </c>
      <c r="C503" s="83" t="s">
        <v>1064</v>
      </c>
      <c r="D503" s="83" t="s">
        <v>1065</v>
      </c>
      <c r="E503" s="84" t="s">
        <v>21</v>
      </c>
      <c r="F503" s="84" t="s">
        <v>22</v>
      </c>
      <c r="G503" s="84" t="s">
        <v>57</v>
      </c>
      <c r="H503" s="84" t="s">
        <v>1066</v>
      </c>
      <c r="I503" s="84"/>
      <c r="J503" s="15" t="str">
        <f>IF(E503="Invalid_Segment","Invalid",IFERROR(INDEX(Severity_Matrix!$C$3:$M$10,MATCH('Error Log'!$F503,Severity_Matrix!$B$3:$B$10,0),MATCH('Error Log'!$G503,Severity_Matrix!$C$2:$M$2,0)),"No errors"))</f>
        <v>Major</v>
      </c>
    </row>
    <row r="504" spans="1:10">
      <c r="A504" s="79" t="s">
        <v>1233</v>
      </c>
      <c r="B504" s="18">
        <v>2</v>
      </c>
      <c r="C504" s="83" t="s">
        <v>1064</v>
      </c>
      <c r="D504" s="83" t="s">
        <v>1065</v>
      </c>
      <c r="E504" s="84" t="s">
        <v>21</v>
      </c>
      <c r="F504" s="84" t="s">
        <v>22</v>
      </c>
      <c r="G504" s="84" t="s">
        <v>57</v>
      </c>
      <c r="H504" s="84" t="s">
        <v>1067</v>
      </c>
      <c r="I504" s="84"/>
      <c r="J504" s="15" t="str">
        <f>IF(E504="Invalid_Segment","Invalid",IFERROR(INDEX(Severity_Matrix!$C$3:$M$10,MATCH('Error Log'!$F504,Severity_Matrix!$B$3:$B$10,0),MATCH('Error Log'!$G504,Severity_Matrix!$C$2:$M$2,0)),"No errors"))</f>
        <v>Major</v>
      </c>
    </row>
    <row r="505" spans="1:10">
      <c r="A505" s="79" t="s">
        <v>1233</v>
      </c>
      <c r="B505" s="18">
        <v>3</v>
      </c>
      <c r="C505" s="83" t="s">
        <v>1064</v>
      </c>
      <c r="D505" s="83" t="s">
        <v>1065</v>
      </c>
      <c r="E505" s="84" t="s">
        <v>21</v>
      </c>
      <c r="F505" s="84" t="s">
        <v>7</v>
      </c>
      <c r="G505" s="84" t="s">
        <v>57</v>
      </c>
      <c r="H505" s="84" t="s">
        <v>1068</v>
      </c>
      <c r="I505" s="84"/>
      <c r="J505" s="15" t="str">
        <f>IF(E505="Invalid_Segment","Invalid",IFERROR(INDEX(Severity_Matrix!$C$3:$M$10,MATCH('Error Log'!$F505,Severity_Matrix!$B$3:$B$10,0),MATCH('Error Log'!$G505,Severity_Matrix!$C$2:$M$2,0)),"No errors"))</f>
        <v>Critical</v>
      </c>
    </row>
    <row r="506" spans="1:10">
      <c r="A506" s="79" t="s">
        <v>1233</v>
      </c>
      <c r="B506" s="18">
        <v>4</v>
      </c>
      <c r="C506" s="83" t="s">
        <v>1064</v>
      </c>
      <c r="D506" s="83" t="s">
        <v>1065</v>
      </c>
      <c r="E506" s="84" t="s">
        <v>21</v>
      </c>
      <c r="F506" s="84" t="s">
        <v>7</v>
      </c>
      <c r="G506" s="84" t="s">
        <v>57</v>
      </c>
      <c r="H506" s="84" t="s">
        <v>1069</v>
      </c>
      <c r="I506" s="84"/>
      <c r="J506" s="15" t="str">
        <f>IF(E506="Invalid_Segment","Invalid",IFERROR(INDEX(Severity_Matrix!$C$3:$M$10,MATCH('Error Log'!$F506,Severity_Matrix!$B$3:$B$10,0),MATCH('Error Log'!$G506,Severity_Matrix!$C$2:$M$2,0)),"No errors"))</f>
        <v>Critical</v>
      </c>
    </row>
    <row r="507" spans="1:10">
      <c r="A507" s="79" t="s">
        <v>1234</v>
      </c>
      <c r="B507" s="18">
        <v>1</v>
      </c>
      <c r="C507" s="83" t="s">
        <v>1070</v>
      </c>
      <c r="D507" s="83" t="s">
        <v>1071</v>
      </c>
      <c r="E507" s="84" t="s">
        <v>21</v>
      </c>
      <c r="F507" s="84" t="s">
        <v>22</v>
      </c>
      <c r="G507" s="84" t="s">
        <v>57</v>
      </c>
      <c r="H507" s="84" t="s">
        <v>1072</v>
      </c>
      <c r="I507" s="84"/>
      <c r="J507" s="15" t="str">
        <f>IF(E507="Invalid_Segment","Invalid",IFERROR(INDEX(Severity_Matrix!$C$3:$M$10,MATCH('Error Log'!$F507,Severity_Matrix!$B$3:$B$10,0),MATCH('Error Log'!$G507,Severity_Matrix!$C$2:$M$2,0)),"No errors"))</f>
        <v>Major</v>
      </c>
    </row>
    <row r="508" spans="1:10">
      <c r="A508" s="79" t="s">
        <v>1234</v>
      </c>
      <c r="B508" s="18">
        <v>2</v>
      </c>
      <c r="C508" s="83" t="s">
        <v>1070</v>
      </c>
      <c r="D508" s="83" t="s">
        <v>1071</v>
      </c>
      <c r="E508" s="84" t="s">
        <v>21</v>
      </c>
      <c r="F508" s="84" t="s">
        <v>22</v>
      </c>
      <c r="G508" s="84" t="s">
        <v>57</v>
      </c>
      <c r="H508" s="84" t="s">
        <v>1073</v>
      </c>
      <c r="I508" s="84"/>
      <c r="J508" s="15" t="str">
        <f>IF(E508="Invalid_Segment","Invalid",IFERROR(INDEX(Severity_Matrix!$C$3:$M$10,MATCH('Error Log'!$F508,Severity_Matrix!$B$3:$B$10,0),MATCH('Error Log'!$G508,Severity_Matrix!$C$2:$M$2,0)),"No errors"))</f>
        <v>Major</v>
      </c>
    </row>
    <row r="509" spans="1:10">
      <c r="A509" s="79" t="s">
        <v>1234</v>
      </c>
      <c r="B509" s="18">
        <v>3</v>
      </c>
      <c r="C509" s="83" t="s">
        <v>1070</v>
      </c>
      <c r="D509" s="83" t="s">
        <v>1071</v>
      </c>
      <c r="E509" s="84" t="s">
        <v>21</v>
      </c>
      <c r="F509" s="84" t="s">
        <v>7</v>
      </c>
      <c r="G509" s="84" t="s">
        <v>57</v>
      </c>
      <c r="H509" s="84" t="s">
        <v>1074</v>
      </c>
      <c r="I509" s="84"/>
      <c r="J509" s="15" t="str">
        <f>IF(E509="Invalid_Segment","Invalid",IFERROR(INDEX(Severity_Matrix!$C$3:$M$10,MATCH('Error Log'!$F509,Severity_Matrix!$B$3:$B$10,0),MATCH('Error Log'!$G509,Severity_Matrix!$C$2:$M$2,0)),"No errors"))</f>
        <v>Critical</v>
      </c>
    </row>
    <row r="510" spans="1:10">
      <c r="A510" s="79" t="s">
        <v>1234</v>
      </c>
      <c r="B510" s="18">
        <v>4</v>
      </c>
      <c r="C510" s="83" t="s">
        <v>1070</v>
      </c>
      <c r="D510" s="83" t="s">
        <v>1071</v>
      </c>
      <c r="E510" s="84" t="s">
        <v>21</v>
      </c>
      <c r="F510" s="84" t="s">
        <v>7</v>
      </c>
      <c r="G510" s="84" t="s">
        <v>57</v>
      </c>
      <c r="H510" s="84" t="s">
        <v>1075</v>
      </c>
      <c r="I510" s="84"/>
      <c r="J510" s="15" t="str">
        <f>IF(E510="Invalid_Segment","Invalid",IFERROR(INDEX(Severity_Matrix!$C$3:$M$10,MATCH('Error Log'!$F510,Severity_Matrix!$B$3:$B$10,0),MATCH('Error Log'!$G510,Severity_Matrix!$C$2:$M$2,0)),"No errors"))</f>
        <v>Critical</v>
      </c>
    </row>
    <row r="511" spans="1:10">
      <c r="A511" s="79" t="s">
        <v>1235</v>
      </c>
      <c r="B511" s="18">
        <v>1</v>
      </c>
      <c r="C511" s="83" t="s">
        <v>1076</v>
      </c>
      <c r="D511" s="83" t="s">
        <v>1077</v>
      </c>
      <c r="E511" s="84" t="s">
        <v>21</v>
      </c>
      <c r="F511" s="84" t="s">
        <v>22</v>
      </c>
      <c r="G511" s="84" t="s">
        <v>28</v>
      </c>
      <c r="H511" s="84" t="s">
        <v>1078</v>
      </c>
      <c r="I511" s="84"/>
      <c r="J511" s="15" t="str">
        <f>IF(E511="Invalid_Segment","Invalid",IFERROR(INDEX(Severity_Matrix!$C$3:$M$10,MATCH('Error Log'!$F511,Severity_Matrix!$B$3:$B$10,0),MATCH('Error Log'!$G511,Severity_Matrix!$C$2:$M$2,0)),"No errors"))</f>
        <v>Major</v>
      </c>
    </row>
    <row r="512" spans="1:10">
      <c r="A512" s="79" t="s">
        <v>1235</v>
      </c>
      <c r="B512" s="18">
        <v>2</v>
      </c>
      <c r="C512" s="83" t="s">
        <v>1076</v>
      </c>
      <c r="D512" s="83" t="s">
        <v>1077</v>
      </c>
      <c r="E512" s="84" t="s">
        <v>2</v>
      </c>
      <c r="F512" s="84" t="s">
        <v>26</v>
      </c>
      <c r="G512" s="84" t="s">
        <v>57</v>
      </c>
      <c r="H512" s="84" t="s">
        <v>1079</v>
      </c>
      <c r="I512" s="84"/>
      <c r="J512" s="15" t="str">
        <f>IF(E512="Invalid_Segment","Invalid",IFERROR(INDEX(Severity_Matrix!$C$3:$M$10,MATCH('Error Log'!$F512,Severity_Matrix!$B$3:$B$10,0),MATCH('Error Log'!$G512,Severity_Matrix!$C$2:$M$2,0)),"No errors"))</f>
        <v>Major</v>
      </c>
    </row>
    <row r="513" spans="1:10">
      <c r="A513" s="79" t="s">
        <v>1235</v>
      </c>
      <c r="B513" s="18">
        <v>3</v>
      </c>
      <c r="C513" s="83" t="s">
        <v>1076</v>
      </c>
      <c r="D513" s="83" t="s">
        <v>1077</v>
      </c>
      <c r="E513" s="84" t="s">
        <v>2</v>
      </c>
      <c r="F513" s="84" t="s">
        <v>26</v>
      </c>
      <c r="G513" s="84" t="s">
        <v>57</v>
      </c>
      <c r="H513" s="84" t="s">
        <v>1080</v>
      </c>
      <c r="I513" s="84"/>
      <c r="J513" s="15" t="str">
        <f>IF(E513="Invalid_Segment","Invalid",IFERROR(INDEX(Severity_Matrix!$C$3:$M$10,MATCH('Error Log'!$F513,Severity_Matrix!$B$3:$B$10,0),MATCH('Error Log'!$G513,Severity_Matrix!$C$2:$M$2,0)),"No errors"))</f>
        <v>Major</v>
      </c>
    </row>
    <row r="514" spans="1:10">
      <c r="A514" s="79" t="s">
        <v>1235</v>
      </c>
      <c r="B514" s="18">
        <v>4</v>
      </c>
      <c r="C514" s="83" t="s">
        <v>1076</v>
      </c>
      <c r="D514" s="83" t="s">
        <v>1077</v>
      </c>
      <c r="E514" s="84" t="s">
        <v>21</v>
      </c>
      <c r="F514" s="84" t="s">
        <v>22</v>
      </c>
      <c r="G514" s="84" t="s">
        <v>28</v>
      </c>
      <c r="H514" s="84" t="s">
        <v>1081</v>
      </c>
      <c r="I514" s="84"/>
      <c r="J514" s="15" t="str">
        <f>IF(E514="Invalid_Segment","Invalid",IFERROR(INDEX(Severity_Matrix!$C$3:$M$10,MATCH('Error Log'!$F514,Severity_Matrix!$B$3:$B$10,0),MATCH('Error Log'!$G514,Severity_Matrix!$C$2:$M$2,0)),"No errors"))</f>
        <v>Major</v>
      </c>
    </row>
    <row r="515" spans="1:10">
      <c r="A515" s="79" t="s">
        <v>1236</v>
      </c>
      <c r="B515" s="18">
        <v>1</v>
      </c>
      <c r="C515" s="83" t="s">
        <v>1082</v>
      </c>
      <c r="D515" s="83" t="s">
        <v>1083</v>
      </c>
      <c r="E515" s="84" t="s">
        <v>21</v>
      </c>
      <c r="F515" s="84" t="s">
        <v>22</v>
      </c>
      <c r="G515" s="84" t="s">
        <v>57</v>
      </c>
      <c r="H515" s="84" t="s">
        <v>1084</v>
      </c>
      <c r="I515" s="84"/>
      <c r="J515" s="15" t="str">
        <f>IF(E515="Invalid_Segment","Invalid",IFERROR(INDEX(Severity_Matrix!$C$3:$M$10,MATCH('Error Log'!$F515,Severity_Matrix!$B$3:$B$10,0),MATCH('Error Log'!$G515,Severity_Matrix!$C$2:$M$2,0)),"No errors"))</f>
        <v>Major</v>
      </c>
    </row>
    <row r="516" spans="1:10">
      <c r="A516" s="79" t="s">
        <v>1236</v>
      </c>
      <c r="B516" s="18">
        <v>2</v>
      </c>
      <c r="C516" s="83" t="s">
        <v>1082</v>
      </c>
      <c r="D516" s="83" t="s">
        <v>1083</v>
      </c>
      <c r="E516" s="84" t="s">
        <v>21</v>
      </c>
      <c r="F516" s="84" t="s">
        <v>22</v>
      </c>
      <c r="G516" s="84" t="s">
        <v>57</v>
      </c>
      <c r="H516" s="84" t="s">
        <v>1085</v>
      </c>
      <c r="I516" s="84"/>
      <c r="J516" s="15" t="str">
        <f>IF(E516="Invalid_Segment","Invalid",IFERROR(INDEX(Severity_Matrix!$C$3:$M$10,MATCH('Error Log'!$F516,Severity_Matrix!$B$3:$B$10,0),MATCH('Error Log'!$G516,Severity_Matrix!$C$2:$M$2,0)),"No errors"))</f>
        <v>Major</v>
      </c>
    </row>
    <row r="517" spans="1:10">
      <c r="A517" s="79" t="s">
        <v>1236</v>
      </c>
      <c r="B517" s="18">
        <v>3</v>
      </c>
      <c r="C517" s="83" t="s">
        <v>1082</v>
      </c>
      <c r="D517" s="83" t="s">
        <v>1083</v>
      </c>
      <c r="E517" s="84" t="s">
        <v>21</v>
      </c>
      <c r="F517" s="84" t="s">
        <v>7</v>
      </c>
      <c r="G517" s="84" t="s">
        <v>57</v>
      </c>
      <c r="H517" s="84" t="s">
        <v>1086</v>
      </c>
      <c r="I517" s="84"/>
      <c r="J517" s="15" t="str">
        <f>IF(E517="Invalid_Segment","Invalid",IFERROR(INDEX(Severity_Matrix!$C$3:$M$10,MATCH('Error Log'!$F517,Severity_Matrix!$B$3:$B$10,0),MATCH('Error Log'!$G517,Severity_Matrix!$C$2:$M$2,0)),"No errors"))</f>
        <v>Critical</v>
      </c>
    </row>
    <row r="518" spans="1:10">
      <c r="A518" s="79" t="s">
        <v>1237</v>
      </c>
      <c r="B518" s="18">
        <v>1</v>
      </c>
      <c r="C518" s="83" t="s">
        <v>1087</v>
      </c>
      <c r="D518" s="83" t="s">
        <v>1088</v>
      </c>
      <c r="E518" s="84" t="s">
        <v>21</v>
      </c>
      <c r="F518" s="84" t="s">
        <v>22</v>
      </c>
      <c r="G518" s="84" t="s">
        <v>57</v>
      </c>
      <c r="H518" s="84" t="s">
        <v>1089</v>
      </c>
      <c r="I518" s="84"/>
      <c r="J518" s="15" t="str">
        <f>IF(E518="Invalid_Segment","Invalid",IFERROR(INDEX(Severity_Matrix!$C$3:$M$10,MATCH('Error Log'!$F518,Severity_Matrix!$B$3:$B$10,0),MATCH('Error Log'!$G518,Severity_Matrix!$C$2:$M$2,0)),"No errors"))</f>
        <v>Major</v>
      </c>
    </row>
    <row r="519" spans="1:10">
      <c r="A519" s="79" t="s">
        <v>1237</v>
      </c>
      <c r="B519" s="18">
        <v>2</v>
      </c>
      <c r="C519" s="83" t="s">
        <v>1087</v>
      </c>
      <c r="D519" s="83" t="s">
        <v>1088</v>
      </c>
      <c r="E519" s="84" t="s">
        <v>21</v>
      </c>
      <c r="F519" s="84" t="s">
        <v>22</v>
      </c>
      <c r="G519" s="84" t="s">
        <v>57</v>
      </c>
      <c r="H519" s="84" t="s">
        <v>1090</v>
      </c>
      <c r="I519" s="84"/>
      <c r="J519" s="15" t="str">
        <f>IF(E519="Invalid_Segment","Invalid",IFERROR(INDEX(Severity_Matrix!$C$3:$M$10,MATCH('Error Log'!$F519,Severity_Matrix!$B$3:$B$10,0),MATCH('Error Log'!$G519,Severity_Matrix!$C$2:$M$2,0)),"No errors"))</f>
        <v>Major</v>
      </c>
    </row>
    <row r="520" spans="1:10">
      <c r="A520" s="79" t="s">
        <v>1237</v>
      </c>
      <c r="B520" s="18">
        <v>3</v>
      </c>
      <c r="C520" s="83" t="s">
        <v>1087</v>
      </c>
      <c r="D520" s="83" t="s">
        <v>1088</v>
      </c>
      <c r="E520" s="84" t="s">
        <v>21</v>
      </c>
      <c r="F520" s="84" t="s">
        <v>7</v>
      </c>
      <c r="G520" s="84" t="s">
        <v>57</v>
      </c>
      <c r="H520" s="92" t="s">
        <v>1091</v>
      </c>
      <c r="I520" s="84"/>
      <c r="J520" s="15" t="str">
        <f>IF(E520="Invalid_Segment","Invalid",IFERROR(INDEX(Severity_Matrix!$C$3:$M$10,MATCH('Error Log'!$F520,Severity_Matrix!$B$3:$B$10,0),MATCH('Error Log'!$G520,Severity_Matrix!$C$2:$M$2,0)),"No errors"))</f>
        <v>Critical</v>
      </c>
    </row>
    <row r="521" spans="1:10">
      <c r="A521" s="79" t="s">
        <v>1238</v>
      </c>
      <c r="B521" s="18">
        <v>1</v>
      </c>
      <c r="C521" s="83" t="s">
        <v>1092</v>
      </c>
      <c r="D521" s="83" t="s">
        <v>1093</v>
      </c>
      <c r="E521" s="84" t="s">
        <v>21</v>
      </c>
      <c r="F521" s="84" t="s">
        <v>22</v>
      </c>
      <c r="G521" s="84" t="s">
        <v>57</v>
      </c>
      <c r="H521" s="84" t="s">
        <v>1094</v>
      </c>
      <c r="I521" s="84"/>
      <c r="J521" s="15" t="str">
        <f>IF(E521="Invalid_Segment","Invalid",IFERROR(INDEX(Severity_Matrix!$C$3:$M$10,MATCH('Error Log'!$F521,Severity_Matrix!$B$3:$B$10,0),MATCH('Error Log'!$G521,Severity_Matrix!$C$2:$M$2,0)),"No errors"))</f>
        <v>Major</v>
      </c>
    </row>
    <row r="522" spans="1:10">
      <c r="A522" s="79" t="s">
        <v>1238</v>
      </c>
      <c r="B522" s="18">
        <v>2</v>
      </c>
      <c r="C522" s="83" t="s">
        <v>1092</v>
      </c>
      <c r="D522" s="83" t="s">
        <v>1093</v>
      </c>
      <c r="E522" s="84" t="s">
        <v>21</v>
      </c>
      <c r="F522" s="84" t="s">
        <v>22</v>
      </c>
      <c r="G522" s="84" t="s">
        <v>57</v>
      </c>
      <c r="H522" s="84" t="s">
        <v>1095</v>
      </c>
      <c r="I522" s="84"/>
      <c r="J522" s="15" t="str">
        <f>IF(E522="Invalid_Segment","Invalid",IFERROR(INDEX(Severity_Matrix!$C$3:$M$10,MATCH('Error Log'!$F522,Severity_Matrix!$B$3:$B$10,0),MATCH('Error Log'!$G522,Severity_Matrix!$C$2:$M$2,0)),"No errors"))</f>
        <v>Major</v>
      </c>
    </row>
    <row r="523" spans="1:10">
      <c r="A523" s="79" t="s">
        <v>1238</v>
      </c>
      <c r="B523" s="18">
        <v>3</v>
      </c>
      <c r="C523" s="83" t="s">
        <v>1092</v>
      </c>
      <c r="D523" s="83" t="s">
        <v>1093</v>
      </c>
      <c r="E523" s="84" t="s">
        <v>21</v>
      </c>
      <c r="F523" s="84" t="s">
        <v>22</v>
      </c>
      <c r="G523" s="84" t="s">
        <v>57</v>
      </c>
      <c r="H523" s="84" t="s">
        <v>1096</v>
      </c>
      <c r="I523" s="84"/>
      <c r="J523" s="15" t="str">
        <f>IF(E523="Invalid_Segment","Invalid",IFERROR(INDEX(Severity_Matrix!$C$3:$M$10,MATCH('Error Log'!$F523,Severity_Matrix!$B$3:$B$10,0),MATCH('Error Log'!$G523,Severity_Matrix!$C$2:$M$2,0)),"No errors"))</f>
        <v>Major</v>
      </c>
    </row>
    <row r="524" spans="1:10">
      <c r="A524" s="79" t="s">
        <v>1238</v>
      </c>
      <c r="B524" s="18">
        <v>4</v>
      </c>
      <c r="C524" s="83" t="s">
        <v>1092</v>
      </c>
      <c r="D524" s="83" t="s">
        <v>1093</v>
      </c>
      <c r="E524" s="84" t="s">
        <v>21</v>
      </c>
      <c r="F524" s="84" t="s">
        <v>7</v>
      </c>
      <c r="G524" s="84" t="s">
        <v>57</v>
      </c>
      <c r="H524" s="84" t="s">
        <v>1097</v>
      </c>
      <c r="I524" s="84"/>
      <c r="J524" s="15" t="str">
        <f>IF(E524="Invalid_Segment","Invalid",IFERROR(INDEX(Severity_Matrix!$C$3:$M$10,MATCH('Error Log'!$F524,Severity_Matrix!$B$3:$B$10,0),MATCH('Error Log'!$G524,Severity_Matrix!$C$2:$M$2,0)),"No errors"))</f>
        <v>Critical</v>
      </c>
    </row>
    <row r="525" spans="1:10">
      <c r="A525" s="79" t="s">
        <v>1238</v>
      </c>
      <c r="B525" s="18">
        <v>5</v>
      </c>
      <c r="C525" s="83" t="s">
        <v>1092</v>
      </c>
      <c r="D525" s="83" t="s">
        <v>1093</v>
      </c>
      <c r="E525" s="84" t="s">
        <v>21</v>
      </c>
      <c r="F525" s="84" t="s">
        <v>7</v>
      </c>
      <c r="G525" s="84" t="s">
        <v>57</v>
      </c>
      <c r="H525" s="84" t="s">
        <v>1098</v>
      </c>
      <c r="I525" s="84"/>
      <c r="J525" s="15" t="str">
        <f>IF(E525="Invalid_Segment","Invalid",IFERROR(INDEX(Severity_Matrix!$C$3:$M$10,MATCH('Error Log'!$F525,Severity_Matrix!$B$3:$B$10,0),MATCH('Error Log'!$G525,Severity_Matrix!$C$2:$M$2,0)),"No errors"))</f>
        <v>Critical</v>
      </c>
    </row>
    <row r="526" spans="1:10">
      <c r="A526" s="79" t="s">
        <v>1238</v>
      </c>
      <c r="B526" s="18">
        <v>6</v>
      </c>
      <c r="C526" s="83" t="s">
        <v>1092</v>
      </c>
      <c r="D526" s="83" t="s">
        <v>1093</v>
      </c>
      <c r="E526" s="84" t="s">
        <v>21</v>
      </c>
      <c r="F526" s="84" t="s">
        <v>7</v>
      </c>
      <c r="G526" s="84" t="s">
        <v>57</v>
      </c>
      <c r="H526" s="84" t="s">
        <v>1099</v>
      </c>
      <c r="I526" s="84"/>
      <c r="J526" s="15" t="str">
        <f>IF(E526="Invalid_Segment","Invalid",IFERROR(INDEX(Severity_Matrix!$C$3:$M$10,MATCH('Error Log'!$F526,Severity_Matrix!$B$3:$B$10,0),MATCH('Error Log'!$G526,Severity_Matrix!$C$2:$M$2,0)),"No errors"))</f>
        <v>Critical</v>
      </c>
    </row>
    <row r="527" spans="1:10">
      <c r="A527" s="79" t="s">
        <v>1239</v>
      </c>
      <c r="B527" s="18">
        <v>1</v>
      </c>
      <c r="C527" s="83" t="s">
        <v>1100</v>
      </c>
      <c r="D527" s="83" t="s">
        <v>1101</v>
      </c>
      <c r="E527" s="84" t="s">
        <v>2</v>
      </c>
      <c r="F527" s="84" t="s">
        <v>26</v>
      </c>
      <c r="G527" s="84" t="s">
        <v>57</v>
      </c>
      <c r="H527" s="84" t="s">
        <v>1102</v>
      </c>
      <c r="I527" s="84"/>
      <c r="J527" s="15" t="str">
        <f>IF(E527="Invalid_Segment","Invalid",IFERROR(INDEX(Severity_Matrix!$C$3:$M$10,MATCH('Error Log'!$F527,Severity_Matrix!$B$3:$B$10,0),MATCH('Error Log'!$G527,Severity_Matrix!$C$2:$M$2,0)),"No errors"))</f>
        <v>Major</v>
      </c>
    </row>
    <row r="528" spans="1:10">
      <c r="A528" s="79" t="s">
        <v>1239</v>
      </c>
      <c r="B528" s="18">
        <v>2</v>
      </c>
      <c r="C528" s="83" t="s">
        <v>1100</v>
      </c>
      <c r="D528" s="83" t="s">
        <v>1101</v>
      </c>
      <c r="E528" s="84" t="s">
        <v>21</v>
      </c>
      <c r="F528" s="84" t="s">
        <v>7</v>
      </c>
      <c r="G528" s="84" t="s">
        <v>57</v>
      </c>
      <c r="H528" s="84" t="s">
        <v>1103</v>
      </c>
      <c r="I528" s="84"/>
      <c r="J528" s="15" t="str">
        <f>IF(E528="Invalid_Segment","Invalid",IFERROR(INDEX(Severity_Matrix!$C$3:$M$10,MATCH('Error Log'!$F528,Severity_Matrix!$B$3:$B$10,0),MATCH('Error Log'!$G528,Severity_Matrix!$C$2:$M$2,0)),"No errors"))</f>
        <v>Critical</v>
      </c>
    </row>
    <row r="529" spans="1:10">
      <c r="A529" s="79" t="s">
        <v>1240</v>
      </c>
      <c r="B529" s="18">
        <v>1</v>
      </c>
      <c r="C529" s="83" t="s">
        <v>1104</v>
      </c>
      <c r="D529" s="83" t="s">
        <v>1105</v>
      </c>
      <c r="E529" s="84" t="s">
        <v>21</v>
      </c>
      <c r="F529" s="84" t="s">
        <v>22</v>
      </c>
      <c r="G529" s="84" t="s">
        <v>57</v>
      </c>
      <c r="H529" s="84" t="s">
        <v>1106</v>
      </c>
      <c r="I529" s="84"/>
      <c r="J529" s="15" t="str">
        <f>IF(E529="Invalid_Segment","Invalid",IFERROR(INDEX(Severity_Matrix!$C$3:$M$10,MATCH('Error Log'!$F529,Severity_Matrix!$B$3:$B$10,0),MATCH('Error Log'!$G529,Severity_Matrix!$C$2:$M$2,0)),"No errors"))</f>
        <v>Major</v>
      </c>
    </row>
    <row r="530" spans="1:10">
      <c r="A530" s="79" t="s">
        <v>1241</v>
      </c>
      <c r="B530" s="18">
        <v>1</v>
      </c>
      <c r="C530" s="83" t="s">
        <v>1107</v>
      </c>
      <c r="D530" s="83" t="s">
        <v>1108</v>
      </c>
      <c r="E530" s="84" t="s">
        <v>21</v>
      </c>
      <c r="F530" s="84" t="s">
        <v>22</v>
      </c>
      <c r="G530" s="84" t="s">
        <v>28</v>
      </c>
      <c r="H530" s="84" t="s">
        <v>296</v>
      </c>
      <c r="I530" s="84"/>
      <c r="J530" s="15" t="str">
        <f>IF(E530="Invalid_Segment","Invalid",IFERROR(INDEX(Severity_Matrix!$C$3:$M$10,MATCH('Error Log'!$F530,Severity_Matrix!$B$3:$B$10,0),MATCH('Error Log'!$G530,Severity_Matrix!$C$2:$M$2,0)),"No errors"))</f>
        <v>Major</v>
      </c>
    </row>
    <row r="531" spans="1:10">
      <c r="A531" s="79" t="s">
        <v>1242</v>
      </c>
      <c r="B531" s="18">
        <v>1</v>
      </c>
      <c r="C531" s="83" t="s">
        <v>1109</v>
      </c>
      <c r="D531" s="83" t="s">
        <v>1110</v>
      </c>
      <c r="E531" s="84" t="s">
        <v>21</v>
      </c>
      <c r="F531" s="84" t="s">
        <v>22</v>
      </c>
      <c r="G531" s="84" t="s">
        <v>57</v>
      </c>
      <c r="H531" s="84" t="s">
        <v>1111</v>
      </c>
      <c r="I531" s="84"/>
      <c r="J531" s="15" t="str">
        <f>IF(E531="Invalid_Segment","Invalid",IFERROR(INDEX(Severity_Matrix!$C$3:$M$10,MATCH('Error Log'!$F531,Severity_Matrix!$B$3:$B$10,0),MATCH('Error Log'!$G531,Severity_Matrix!$C$2:$M$2,0)),"No errors"))</f>
        <v>Major</v>
      </c>
    </row>
    <row r="532" spans="1:10">
      <c r="A532" s="79" t="s">
        <v>1242</v>
      </c>
      <c r="B532" s="18">
        <v>2</v>
      </c>
      <c r="C532" s="83" t="s">
        <v>1109</v>
      </c>
      <c r="D532" s="83" t="s">
        <v>1110</v>
      </c>
      <c r="E532" s="84" t="s">
        <v>21</v>
      </c>
      <c r="F532" s="84" t="s">
        <v>22</v>
      </c>
      <c r="G532" s="84" t="s">
        <v>57</v>
      </c>
      <c r="H532" s="84" t="s">
        <v>1112</v>
      </c>
      <c r="I532" s="84"/>
      <c r="J532" s="15" t="str">
        <f>IF(E532="Invalid_Segment","Invalid",IFERROR(INDEX(Severity_Matrix!$C$3:$M$10,MATCH('Error Log'!$F532,Severity_Matrix!$B$3:$B$10,0),MATCH('Error Log'!$G532,Severity_Matrix!$C$2:$M$2,0)),"No errors"))</f>
        <v>Major</v>
      </c>
    </row>
    <row r="533" spans="1:10">
      <c r="A533" s="79" t="s">
        <v>1242</v>
      </c>
      <c r="B533" s="18">
        <v>3</v>
      </c>
      <c r="C533" s="83" t="s">
        <v>1109</v>
      </c>
      <c r="D533" s="83" t="s">
        <v>1110</v>
      </c>
      <c r="E533" s="84" t="s">
        <v>21</v>
      </c>
      <c r="F533" s="84" t="s">
        <v>7</v>
      </c>
      <c r="G533" s="84" t="s">
        <v>57</v>
      </c>
      <c r="H533" s="84" t="s">
        <v>1113</v>
      </c>
      <c r="I533" s="84"/>
      <c r="J533" s="15" t="str">
        <f>IF(E533="Invalid_Segment","Invalid",IFERROR(INDEX(Severity_Matrix!$C$3:$M$10,MATCH('Error Log'!$F533,Severity_Matrix!$B$3:$B$10,0),MATCH('Error Log'!$G533,Severity_Matrix!$C$2:$M$2,0)),"No errors"))</f>
        <v>Critical</v>
      </c>
    </row>
    <row r="534" spans="1:10">
      <c r="A534" s="79" t="s">
        <v>1243</v>
      </c>
      <c r="B534" s="18">
        <v>1</v>
      </c>
      <c r="C534" s="83" t="s">
        <v>1114</v>
      </c>
      <c r="D534" s="83" t="s">
        <v>1115</v>
      </c>
      <c r="E534" s="84" t="s">
        <v>21</v>
      </c>
      <c r="F534" s="84" t="s">
        <v>22</v>
      </c>
      <c r="G534" s="91" t="s">
        <v>57</v>
      </c>
      <c r="H534" s="84" t="s">
        <v>1116</v>
      </c>
      <c r="I534" s="84"/>
      <c r="J534" s="15" t="str">
        <f>IF(E534="Invalid_Segment","Invalid",IFERROR(INDEX(Severity_Matrix!$C$3:$M$10,MATCH('Error Log'!$F534,Severity_Matrix!$B$3:$B$10,0),MATCH('Error Log'!$G534,Severity_Matrix!$C$2:$M$2,0)),"No errors"))</f>
        <v>Major</v>
      </c>
    </row>
    <row r="535" spans="1:10">
      <c r="A535" s="79" t="s">
        <v>1243</v>
      </c>
      <c r="B535" s="18">
        <v>2</v>
      </c>
      <c r="C535" s="83" t="s">
        <v>1114</v>
      </c>
      <c r="D535" s="83" t="s">
        <v>1115</v>
      </c>
      <c r="E535" s="84" t="s">
        <v>2</v>
      </c>
      <c r="F535" s="84" t="s">
        <v>26</v>
      </c>
      <c r="G535" s="91" t="s">
        <v>57</v>
      </c>
      <c r="H535" s="84" t="s">
        <v>1116</v>
      </c>
      <c r="I535" s="84"/>
      <c r="J535" s="15" t="str">
        <f>IF(E535="Invalid_Segment","Invalid",IFERROR(INDEX(Severity_Matrix!$C$3:$M$10,MATCH('Error Log'!$F535,Severity_Matrix!$B$3:$B$10,0),MATCH('Error Log'!$G535,Severity_Matrix!$C$2:$M$2,0)),"No errors"))</f>
        <v>Major</v>
      </c>
    </row>
    <row r="536" spans="1:10">
      <c r="A536" s="79" t="s">
        <v>1243</v>
      </c>
      <c r="B536" s="18">
        <v>3</v>
      </c>
      <c r="C536" s="83" t="s">
        <v>1114</v>
      </c>
      <c r="D536" s="83" t="s">
        <v>1115</v>
      </c>
      <c r="E536" s="84" t="s">
        <v>21</v>
      </c>
      <c r="F536" s="84" t="s">
        <v>7</v>
      </c>
      <c r="G536" s="84" t="s">
        <v>57</v>
      </c>
      <c r="H536" s="84" t="s">
        <v>1117</v>
      </c>
      <c r="I536" s="84"/>
      <c r="J536" s="15" t="str">
        <f>IF(E536="Invalid_Segment","Invalid",IFERROR(INDEX(Severity_Matrix!$C$3:$M$10,MATCH('Error Log'!$F536,Severity_Matrix!$B$3:$B$10,0),MATCH('Error Log'!$G536,Severity_Matrix!$C$2:$M$2,0)),"No errors"))</f>
        <v>Critical</v>
      </c>
    </row>
    <row r="537" spans="1:10">
      <c r="A537" s="79" t="s">
        <v>1243</v>
      </c>
      <c r="B537" s="18">
        <v>4</v>
      </c>
      <c r="C537" s="83" t="s">
        <v>1114</v>
      </c>
      <c r="D537" s="83" t="s">
        <v>1115</v>
      </c>
      <c r="E537" s="84" t="s">
        <v>21</v>
      </c>
      <c r="F537" s="84" t="s">
        <v>7</v>
      </c>
      <c r="G537" s="84" t="s">
        <v>57</v>
      </c>
      <c r="H537" s="84" t="s">
        <v>1118</v>
      </c>
      <c r="I537" s="84"/>
      <c r="J537" s="15" t="str">
        <f>IF(E537="Invalid_Segment","Invalid",IFERROR(INDEX(Severity_Matrix!$C$3:$M$10,MATCH('Error Log'!$F537,Severity_Matrix!$B$3:$B$10,0),MATCH('Error Log'!$G537,Severity_Matrix!$C$2:$M$2,0)),"No errors"))</f>
        <v>Critical</v>
      </c>
    </row>
    <row r="538" spans="1:10">
      <c r="A538" s="79" t="s">
        <v>1244</v>
      </c>
      <c r="B538" s="18">
        <v>1</v>
      </c>
      <c r="C538" s="83" t="s">
        <v>1119</v>
      </c>
      <c r="D538" s="83" t="s">
        <v>1120</v>
      </c>
      <c r="E538" s="84" t="s">
        <v>21</v>
      </c>
      <c r="F538" s="84" t="s">
        <v>22</v>
      </c>
      <c r="G538" s="84" t="s">
        <v>57</v>
      </c>
      <c r="H538" s="84" t="s">
        <v>1121</v>
      </c>
      <c r="I538" s="84"/>
      <c r="J538" s="15" t="str">
        <f>IF(E538="Invalid_Segment","Invalid",IFERROR(INDEX(Severity_Matrix!$C$3:$M$10,MATCH('Error Log'!$F538,Severity_Matrix!$B$3:$B$10,0),MATCH('Error Log'!$G538,Severity_Matrix!$C$2:$M$2,0)),"No errors"))</f>
        <v>Major</v>
      </c>
    </row>
    <row r="539" spans="1:10">
      <c r="A539" s="79" t="s">
        <v>1244</v>
      </c>
      <c r="B539" s="18">
        <v>2</v>
      </c>
      <c r="C539" s="83" t="s">
        <v>1119</v>
      </c>
      <c r="D539" s="83" t="s">
        <v>1120</v>
      </c>
      <c r="E539" s="84" t="s">
        <v>21</v>
      </c>
      <c r="F539" s="84" t="s">
        <v>7</v>
      </c>
      <c r="G539" s="84" t="s">
        <v>57</v>
      </c>
      <c r="H539" s="84" t="s">
        <v>1122</v>
      </c>
      <c r="I539" s="84"/>
      <c r="J539" s="15" t="str">
        <f>IF(E539="Invalid_Segment","Invalid",IFERROR(INDEX(Severity_Matrix!$C$3:$M$10,MATCH('Error Log'!$F539,Severity_Matrix!$B$3:$B$10,0),MATCH('Error Log'!$G539,Severity_Matrix!$C$2:$M$2,0)),"No errors"))</f>
        <v>Critical</v>
      </c>
    </row>
    <row r="540" spans="1:10">
      <c r="A540" s="79" t="s">
        <v>1245</v>
      </c>
      <c r="B540" s="18">
        <v>1</v>
      </c>
      <c r="C540" s="83" t="s">
        <v>1123</v>
      </c>
      <c r="D540" s="83" t="s">
        <v>1124</v>
      </c>
      <c r="E540" s="84" t="s">
        <v>21</v>
      </c>
      <c r="F540" s="84" t="s">
        <v>22</v>
      </c>
      <c r="G540" s="84" t="s">
        <v>57</v>
      </c>
      <c r="H540" s="84" t="s">
        <v>1125</v>
      </c>
      <c r="I540" s="84"/>
      <c r="J540" s="15" t="str">
        <f>IF(E540="Invalid_Segment","Invalid",IFERROR(INDEX(Severity_Matrix!$C$3:$M$10,MATCH('Error Log'!$F540,Severity_Matrix!$B$3:$B$10,0),MATCH('Error Log'!$G540,Severity_Matrix!$C$2:$M$2,0)),"No errors"))</f>
        <v>Major</v>
      </c>
    </row>
    <row r="541" spans="1:10">
      <c r="A541" s="79" t="s">
        <v>1245</v>
      </c>
      <c r="B541" s="18">
        <v>2</v>
      </c>
      <c r="C541" s="83" t="s">
        <v>1123</v>
      </c>
      <c r="D541" s="83" t="s">
        <v>1124</v>
      </c>
      <c r="E541" s="84" t="s">
        <v>21</v>
      </c>
      <c r="F541" s="84" t="s">
        <v>7</v>
      </c>
      <c r="G541" s="84" t="s">
        <v>57</v>
      </c>
      <c r="H541" s="84" t="s">
        <v>1126</v>
      </c>
      <c r="I541" s="84"/>
      <c r="J541" s="15" t="str">
        <f>IF(E541="Invalid_Segment","Invalid",IFERROR(INDEX(Severity_Matrix!$C$3:$M$10,MATCH('Error Log'!$F541,Severity_Matrix!$B$3:$B$10,0),MATCH('Error Log'!$G541,Severity_Matrix!$C$2:$M$2,0)),"No errors"))</f>
        <v>Critical</v>
      </c>
    </row>
    <row r="542" spans="1:10">
      <c r="A542" s="90" t="s">
        <v>1246</v>
      </c>
      <c r="B542" s="18">
        <v>1</v>
      </c>
      <c r="C542" s="78" t="s">
        <v>1127</v>
      </c>
      <c r="D542" s="78" t="s">
        <v>1128</v>
      </c>
      <c r="E542" s="84" t="s">
        <v>21</v>
      </c>
      <c r="F542" s="84" t="s">
        <v>22</v>
      </c>
      <c r="G542" s="84" t="s">
        <v>28</v>
      </c>
      <c r="H542" s="92" t="s">
        <v>979</v>
      </c>
      <c r="I542" s="84"/>
      <c r="J542" s="15" t="str">
        <f>IF(E542="Invalid_Segment","Invalid",IFERROR(INDEX(Severity_Matrix!$C$3:$M$10,MATCH('Error Log'!$F542,Severity_Matrix!$B$3:$B$10,0),MATCH('Error Log'!$G542,Severity_Matrix!$C$2:$M$2,0)),"No errors"))</f>
        <v>Major</v>
      </c>
    </row>
    <row r="543" spans="1:10">
      <c r="A543" s="90" t="s">
        <v>1246</v>
      </c>
      <c r="B543" s="18">
        <v>2</v>
      </c>
      <c r="C543" s="78" t="s">
        <v>1127</v>
      </c>
      <c r="D543" s="78" t="s">
        <v>1128</v>
      </c>
      <c r="E543" s="84" t="s">
        <v>21</v>
      </c>
      <c r="F543" s="84" t="s">
        <v>22</v>
      </c>
      <c r="G543" s="84" t="s">
        <v>28</v>
      </c>
      <c r="H543" s="84" t="s">
        <v>1129</v>
      </c>
      <c r="I543" s="84"/>
      <c r="J543" s="15" t="str">
        <f>IF(E543="Invalid_Segment","Invalid",IFERROR(INDEX(Severity_Matrix!$C$3:$M$10,MATCH('Error Log'!$F543,Severity_Matrix!$B$3:$B$10,0),MATCH('Error Log'!$G543,Severity_Matrix!$C$2:$M$2,0)),"No errors"))</f>
        <v>Major</v>
      </c>
    </row>
    <row r="544" spans="1:10">
      <c r="A544" s="90" t="s">
        <v>1246</v>
      </c>
      <c r="B544" s="18">
        <v>3</v>
      </c>
      <c r="C544" s="78" t="s">
        <v>1127</v>
      </c>
      <c r="D544" s="78" t="s">
        <v>1128</v>
      </c>
      <c r="E544" s="84" t="s">
        <v>21</v>
      </c>
      <c r="F544" s="84" t="s">
        <v>22</v>
      </c>
      <c r="G544" s="84" t="s">
        <v>57</v>
      </c>
      <c r="H544" s="84" t="s">
        <v>1130</v>
      </c>
      <c r="I544" s="84"/>
      <c r="J544" s="15" t="str">
        <f>IF(E544="Invalid_Segment","Invalid",IFERROR(INDEX(Severity_Matrix!$C$3:$M$10,MATCH('Error Log'!$F544,Severity_Matrix!$B$3:$B$10,0),MATCH('Error Log'!$G544,Severity_Matrix!$C$2:$M$2,0)),"No errors"))</f>
        <v>Major</v>
      </c>
    </row>
    <row r="545" spans="1:10">
      <c r="A545" s="90" t="s">
        <v>1246</v>
      </c>
      <c r="B545" s="18">
        <v>4</v>
      </c>
      <c r="C545" s="78" t="s">
        <v>1127</v>
      </c>
      <c r="D545" s="78" t="s">
        <v>1128</v>
      </c>
      <c r="E545" s="84" t="s">
        <v>21</v>
      </c>
      <c r="F545" s="84" t="s">
        <v>22</v>
      </c>
      <c r="G545" s="84" t="s">
        <v>57</v>
      </c>
      <c r="H545" s="84" t="s">
        <v>1131</v>
      </c>
      <c r="I545" s="84"/>
      <c r="J545" s="15" t="str">
        <f>IF(E545="Invalid_Segment","Invalid",IFERROR(INDEX(Severity_Matrix!$C$3:$M$10,MATCH('Error Log'!$F545,Severity_Matrix!$B$3:$B$10,0),MATCH('Error Log'!$G545,Severity_Matrix!$C$2:$M$2,0)),"No errors"))</f>
        <v>Major</v>
      </c>
    </row>
    <row r="546" spans="1:10">
      <c r="A546" s="90" t="s">
        <v>1246</v>
      </c>
      <c r="B546" s="18">
        <v>5</v>
      </c>
      <c r="C546" s="78" t="s">
        <v>1127</v>
      </c>
      <c r="D546" s="78" t="s">
        <v>1128</v>
      </c>
      <c r="E546" s="84" t="s">
        <v>21</v>
      </c>
      <c r="F546" s="84" t="s">
        <v>7</v>
      </c>
      <c r="G546" s="84" t="s">
        <v>57</v>
      </c>
      <c r="H546" s="84" t="s">
        <v>1132</v>
      </c>
      <c r="I546" s="84"/>
      <c r="J546" s="15" t="str">
        <f>IF(E546="Invalid_Segment","Invalid",IFERROR(INDEX(Severity_Matrix!$C$3:$M$10,MATCH('Error Log'!$F546,Severity_Matrix!$B$3:$B$10,0),MATCH('Error Log'!$G546,Severity_Matrix!$C$2:$M$2,0)),"No errors"))</f>
        <v>Critical</v>
      </c>
    </row>
    <row r="547" spans="1:10">
      <c r="A547" s="90" t="s">
        <v>1246</v>
      </c>
      <c r="B547" s="18">
        <v>6</v>
      </c>
      <c r="C547" s="78" t="s">
        <v>1127</v>
      </c>
      <c r="D547" s="78" t="s">
        <v>1128</v>
      </c>
      <c r="E547" s="84" t="s">
        <v>21</v>
      </c>
      <c r="F547" s="84" t="s">
        <v>7</v>
      </c>
      <c r="G547" s="84" t="s">
        <v>57</v>
      </c>
      <c r="H547" s="84" t="s">
        <v>1133</v>
      </c>
      <c r="I547" s="84"/>
      <c r="J547" s="15" t="str">
        <f>IF(E547="Invalid_Segment","Invalid",IFERROR(INDEX(Severity_Matrix!$C$3:$M$10,MATCH('Error Log'!$F547,Severity_Matrix!$B$3:$B$10,0),MATCH('Error Log'!$G547,Severity_Matrix!$C$2:$M$2,0)),"No errors"))</f>
        <v>Critical</v>
      </c>
    </row>
    <row r="548" spans="1:10">
      <c r="A548" s="90" t="s">
        <v>1247</v>
      </c>
      <c r="B548" s="18">
        <v>1</v>
      </c>
      <c r="C548" s="78" t="s">
        <v>1134</v>
      </c>
      <c r="D548" s="78" t="s">
        <v>1135</v>
      </c>
      <c r="E548" s="84" t="s">
        <v>21</v>
      </c>
      <c r="F548" s="84" t="s">
        <v>22</v>
      </c>
      <c r="G548" s="84" t="s">
        <v>28</v>
      </c>
      <c r="H548" s="84" t="s">
        <v>1136</v>
      </c>
      <c r="I548" s="84"/>
      <c r="J548" s="15" t="str">
        <f>IF(E548="Invalid_Segment","Invalid",IFERROR(INDEX(Severity_Matrix!$C$3:$M$10,MATCH('Error Log'!$F548,Severity_Matrix!$B$3:$B$10,0),MATCH('Error Log'!$G548,Severity_Matrix!$C$2:$M$2,0)),"No errors"))</f>
        <v>Major</v>
      </c>
    </row>
    <row r="549" spans="1:10">
      <c r="A549" s="90" t="s">
        <v>1247</v>
      </c>
      <c r="B549" s="18">
        <v>2</v>
      </c>
      <c r="C549" s="78" t="s">
        <v>1134</v>
      </c>
      <c r="D549" s="78" t="s">
        <v>1135</v>
      </c>
      <c r="E549" s="84" t="s">
        <v>21</v>
      </c>
      <c r="F549" s="84" t="s">
        <v>22</v>
      </c>
      <c r="G549" s="84" t="s">
        <v>57</v>
      </c>
      <c r="H549" s="84" t="s">
        <v>1137</v>
      </c>
      <c r="I549" s="84"/>
      <c r="J549" s="15" t="str">
        <f>IF(E549="Invalid_Segment","Invalid",IFERROR(INDEX(Severity_Matrix!$C$3:$M$10,MATCH('Error Log'!$F549,Severity_Matrix!$B$3:$B$10,0),MATCH('Error Log'!$G549,Severity_Matrix!$C$2:$M$2,0)),"No errors"))</f>
        <v>Major</v>
      </c>
    </row>
    <row r="550" spans="1:10">
      <c r="A550" s="90" t="s">
        <v>1248</v>
      </c>
      <c r="B550" s="18">
        <v>1</v>
      </c>
      <c r="C550" s="78" t="s">
        <v>1138</v>
      </c>
      <c r="D550" s="78" t="s">
        <v>1139</v>
      </c>
      <c r="E550" s="84" t="s">
        <v>21</v>
      </c>
      <c r="F550" s="84" t="s">
        <v>22</v>
      </c>
      <c r="G550" s="84" t="s">
        <v>57</v>
      </c>
      <c r="H550" s="90" t="s">
        <v>1140</v>
      </c>
      <c r="I550" s="84"/>
      <c r="J550" s="15" t="str">
        <f>IF(E550="Invalid_Segment","Invalid",IFERROR(INDEX(Severity_Matrix!$C$3:$M$10,MATCH('Error Log'!$F550,Severity_Matrix!$B$3:$B$10,0),MATCH('Error Log'!$G550,Severity_Matrix!$C$2:$M$2,0)),"No errors"))</f>
        <v>Major</v>
      </c>
    </row>
    <row r="551" spans="1:10">
      <c r="A551" s="90" t="s">
        <v>1248</v>
      </c>
      <c r="B551" s="18">
        <v>2</v>
      </c>
      <c r="C551" s="78" t="s">
        <v>1138</v>
      </c>
      <c r="D551" s="78" t="s">
        <v>1139</v>
      </c>
      <c r="E551" s="84" t="s">
        <v>21</v>
      </c>
      <c r="F551" s="84" t="s">
        <v>22</v>
      </c>
      <c r="G551" s="84" t="s">
        <v>57</v>
      </c>
      <c r="H551" s="84" t="s">
        <v>1141</v>
      </c>
      <c r="I551" s="84"/>
      <c r="J551" s="15" t="str">
        <f>IF(E551="Invalid_Segment","Invalid",IFERROR(INDEX(Severity_Matrix!$C$3:$M$10,MATCH('Error Log'!$F551,Severity_Matrix!$B$3:$B$10,0),MATCH('Error Log'!$G551,Severity_Matrix!$C$2:$M$2,0)),"No errors"))</f>
        <v>Major</v>
      </c>
    </row>
    <row r="552" spans="1:10">
      <c r="A552" s="90" t="s">
        <v>1248</v>
      </c>
      <c r="B552" s="18">
        <v>3</v>
      </c>
      <c r="C552" s="78" t="s">
        <v>1138</v>
      </c>
      <c r="D552" s="78" t="s">
        <v>1139</v>
      </c>
      <c r="E552" s="84" t="s">
        <v>21</v>
      </c>
      <c r="F552" s="84" t="s">
        <v>7</v>
      </c>
      <c r="G552" s="84" t="s">
        <v>27</v>
      </c>
      <c r="H552" s="84" t="s">
        <v>1142</v>
      </c>
      <c r="I552" s="84"/>
      <c r="J552" s="15" t="str">
        <f>IF(E552="Invalid_Segment","Invalid",IFERROR(INDEX(Severity_Matrix!$C$3:$M$10,MATCH('Error Log'!$F552,Severity_Matrix!$B$3:$B$10,0),MATCH('Error Log'!$G552,Severity_Matrix!$C$2:$M$2,0)),"No errors"))</f>
        <v>Major</v>
      </c>
    </row>
    <row r="553" spans="1:10">
      <c r="A553" s="90" t="s">
        <v>1248</v>
      </c>
      <c r="B553" s="18">
        <v>4</v>
      </c>
      <c r="C553" s="78" t="s">
        <v>1138</v>
      </c>
      <c r="D553" s="78" t="s">
        <v>1139</v>
      </c>
      <c r="E553" s="84" t="s">
        <v>21</v>
      </c>
      <c r="F553" s="84" t="s">
        <v>7</v>
      </c>
      <c r="G553" s="84" t="s">
        <v>57</v>
      </c>
      <c r="H553" s="84" t="s">
        <v>1143</v>
      </c>
      <c r="I553" s="84"/>
      <c r="J553" s="15" t="str">
        <f>IF(E553="Invalid_Segment","Invalid",IFERROR(INDEX(Severity_Matrix!$C$3:$M$10,MATCH('Error Log'!$F553,Severity_Matrix!$B$3:$B$10,0),MATCH('Error Log'!$G553,Severity_Matrix!$C$2:$M$2,0)),"No errors"))</f>
        <v>Critical</v>
      </c>
    </row>
    <row r="554" spans="1:10">
      <c r="A554" s="90" t="s">
        <v>1248</v>
      </c>
      <c r="B554" s="18">
        <v>5</v>
      </c>
      <c r="C554" s="78" t="s">
        <v>1138</v>
      </c>
      <c r="D554" s="78" t="s">
        <v>1139</v>
      </c>
      <c r="E554" s="84" t="s">
        <v>21</v>
      </c>
      <c r="F554" s="84" t="s">
        <v>7</v>
      </c>
      <c r="G554" s="84" t="s">
        <v>57</v>
      </c>
      <c r="H554" s="84" t="s">
        <v>1144</v>
      </c>
      <c r="I554" s="84"/>
      <c r="J554" s="15" t="str">
        <f>IF(E554="Invalid_Segment","Invalid",IFERROR(INDEX(Severity_Matrix!$C$3:$M$10,MATCH('Error Log'!$F554,Severity_Matrix!$B$3:$B$10,0),MATCH('Error Log'!$G554,Severity_Matrix!$C$2:$M$2,0)),"No errors"))</f>
        <v>Critical</v>
      </c>
    </row>
    <row r="555" spans="1:10">
      <c r="A555" s="90" t="s">
        <v>1248</v>
      </c>
      <c r="B555" s="18">
        <v>6</v>
      </c>
      <c r="C555" s="78" t="s">
        <v>1138</v>
      </c>
      <c r="D555" s="78" t="s">
        <v>1139</v>
      </c>
      <c r="E555" s="84" t="s">
        <v>21</v>
      </c>
      <c r="F555" s="84" t="s">
        <v>7</v>
      </c>
      <c r="G555" s="84" t="s">
        <v>57</v>
      </c>
      <c r="H555" s="84" t="s">
        <v>1145</v>
      </c>
      <c r="I555" s="84"/>
      <c r="J555" s="15" t="str">
        <f>IF(E555="Invalid_Segment","Invalid",IFERROR(INDEX(Severity_Matrix!$C$3:$M$10,MATCH('Error Log'!$F555,Severity_Matrix!$B$3:$B$10,0),MATCH('Error Log'!$G555,Severity_Matrix!$C$2:$M$2,0)),"No errors"))</f>
        <v>Critical</v>
      </c>
    </row>
    <row r="556" spans="1:10">
      <c r="A556" s="90" t="s">
        <v>1249</v>
      </c>
      <c r="B556" s="18">
        <v>1</v>
      </c>
      <c r="C556" s="78" t="s">
        <v>1146</v>
      </c>
      <c r="D556" s="78" t="s">
        <v>1147</v>
      </c>
      <c r="E556" s="84" t="s">
        <v>21</v>
      </c>
      <c r="F556" s="84" t="s">
        <v>22</v>
      </c>
      <c r="G556" s="84" t="s">
        <v>28</v>
      </c>
      <c r="H556" s="84" t="s">
        <v>296</v>
      </c>
      <c r="I556" s="84"/>
      <c r="J556" s="15" t="str">
        <f>IF(E556="Invalid_Segment","Invalid",IFERROR(INDEX(Severity_Matrix!$C$3:$M$10,MATCH('Error Log'!$F556,Severity_Matrix!$B$3:$B$10,0),MATCH('Error Log'!$G556,Severity_Matrix!$C$2:$M$2,0)),"No errors"))</f>
        <v>Major</v>
      </c>
    </row>
    <row r="557" spans="1:10">
      <c r="A557" s="90" t="s">
        <v>1249</v>
      </c>
      <c r="B557" s="18">
        <v>2</v>
      </c>
      <c r="C557" s="78" t="s">
        <v>1146</v>
      </c>
      <c r="D557" s="78" t="s">
        <v>1147</v>
      </c>
      <c r="E557" s="84" t="s">
        <v>21</v>
      </c>
      <c r="F557" s="84" t="s">
        <v>22</v>
      </c>
      <c r="G557" s="84" t="s">
        <v>28</v>
      </c>
      <c r="H557" s="84" t="s">
        <v>1148</v>
      </c>
      <c r="I557" s="84"/>
      <c r="J557" s="15" t="str">
        <f>IF(E557="Invalid_Segment","Invalid",IFERROR(INDEX(Severity_Matrix!$C$3:$M$10,MATCH('Error Log'!$F557,Severity_Matrix!$B$3:$B$10,0),MATCH('Error Log'!$G557,Severity_Matrix!$C$2:$M$2,0)),"No errors"))</f>
        <v>Major</v>
      </c>
    </row>
    <row r="558" spans="1:10">
      <c r="A558" s="90" t="s">
        <v>1249</v>
      </c>
      <c r="B558" s="18">
        <v>3</v>
      </c>
      <c r="C558" s="78" t="s">
        <v>1146</v>
      </c>
      <c r="D558" s="78" t="s">
        <v>1147</v>
      </c>
      <c r="E558" s="84" t="s">
        <v>21</v>
      </c>
      <c r="F558" s="84" t="s">
        <v>7</v>
      </c>
      <c r="G558" s="84" t="s">
        <v>57</v>
      </c>
      <c r="H558" s="84" t="s">
        <v>1149</v>
      </c>
      <c r="I558" s="84"/>
      <c r="J558" s="15" t="str">
        <f>IF(E558="Invalid_Segment","Invalid",IFERROR(INDEX(Severity_Matrix!$C$3:$M$10,MATCH('Error Log'!$F558,Severity_Matrix!$B$3:$B$10,0),MATCH('Error Log'!$G558,Severity_Matrix!$C$2:$M$2,0)),"No errors"))</f>
        <v>Critical</v>
      </c>
    </row>
    <row r="559" spans="1:10">
      <c r="A559" s="90" t="s">
        <v>1249</v>
      </c>
      <c r="B559" s="18">
        <v>4</v>
      </c>
      <c r="C559" s="78" t="s">
        <v>1146</v>
      </c>
      <c r="D559" s="78" t="s">
        <v>1147</v>
      </c>
      <c r="E559" s="84" t="s">
        <v>21</v>
      </c>
      <c r="F559" s="84" t="s">
        <v>22</v>
      </c>
      <c r="G559" s="84" t="s">
        <v>57</v>
      </c>
      <c r="H559" s="84" t="s">
        <v>1150</v>
      </c>
      <c r="I559" s="84"/>
      <c r="J559" s="15" t="str">
        <f>IF(E559="Invalid_Segment","Invalid",IFERROR(INDEX(Severity_Matrix!$C$3:$M$10,MATCH('Error Log'!$F559,Severity_Matrix!$B$3:$B$10,0),MATCH('Error Log'!$G559,Severity_Matrix!$C$2:$M$2,0)),"No errors"))</f>
        <v>Major</v>
      </c>
    </row>
    <row r="560" spans="1:10">
      <c r="A560" s="90" t="s">
        <v>1249</v>
      </c>
      <c r="B560" s="18">
        <v>5</v>
      </c>
      <c r="C560" s="78" t="s">
        <v>1146</v>
      </c>
      <c r="D560" s="78" t="s">
        <v>1147</v>
      </c>
      <c r="E560" s="84" t="s">
        <v>21</v>
      </c>
      <c r="F560" s="84" t="s">
        <v>7</v>
      </c>
      <c r="G560" s="84" t="s">
        <v>57</v>
      </c>
      <c r="H560" s="84" t="s">
        <v>1151</v>
      </c>
      <c r="I560" s="84"/>
      <c r="J560" s="15" t="str">
        <f>IF(E560="Invalid_Segment","Invalid",IFERROR(INDEX(Severity_Matrix!$C$3:$M$10,MATCH('Error Log'!$F560,Severity_Matrix!$B$3:$B$10,0),MATCH('Error Log'!$G560,Severity_Matrix!$C$2:$M$2,0)),"No errors"))</f>
        <v>Critical</v>
      </c>
    </row>
    <row r="561" spans="1:10">
      <c r="A561" s="90" t="s">
        <v>1250</v>
      </c>
      <c r="B561" s="18">
        <v>1</v>
      </c>
      <c r="C561" s="78" t="s">
        <v>1152</v>
      </c>
      <c r="D561" s="78" t="s">
        <v>1153</v>
      </c>
      <c r="E561" s="84" t="s">
        <v>21</v>
      </c>
      <c r="F561" s="84" t="s">
        <v>22</v>
      </c>
      <c r="G561" s="84" t="s">
        <v>57</v>
      </c>
      <c r="H561" s="84" t="s">
        <v>1154</v>
      </c>
      <c r="I561" s="84"/>
      <c r="J561" s="15" t="str">
        <f>IF(E561="Invalid_Segment","Invalid",IFERROR(INDEX(Severity_Matrix!$C$3:$M$10,MATCH('Error Log'!$F561,Severity_Matrix!$B$3:$B$10,0),MATCH('Error Log'!$G561,Severity_Matrix!$C$2:$M$2,0)),"No errors"))</f>
        <v>Major</v>
      </c>
    </row>
    <row r="562" spans="1:10">
      <c r="A562" s="90" t="s">
        <v>1251</v>
      </c>
      <c r="B562" s="18">
        <v>1</v>
      </c>
      <c r="C562" s="78" t="s">
        <v>1155</v>
      </c>
      <c r="D562" s="78" t="s">
        <v>1156</v>
      </c>
      <c r="E562" s="84" t="s">
        <v>2</v>
      </c>
      <c r="F562" s="84" t="s">
        <v>26</v>
      </c>
      <c r="G562" s="84" t="s">
        <v>57</v>
      </c>
      <c r="H562" s="84" t="s">
        <v>1157</v>
      </c>
      <c r="I562" s="84"/>
      <c r="J562" s="15" t="str">
        <f>IF(E562="Invalid_Segment","Invalid",IFERROR(INDEX(Severity_Matrix!$C$3:$M$10,MATCH('Error Log'!$F562,Severity_Matrix!$B$3:$B$10,0),MATCH('Error Log'!$G562,Severity_Matrix!$C$2:$M$2,0)),"No errors"))</f>
        <v>Major</v>
      </c>
    </row>
    <row r="563" spans="1:10">
      <c r="A563" s="90" t="s">
        <v>1251</v>
      </c>
      <c r="B563" s="18">
        <v>2</v>
      </c>
      <c r="C563" s="78" t="s">
        <v>1155</v>
      </c>
      <c r="D563" s="78" t="s">
        <v>1156</v>
      </c>
      <c r="E563" s="84" t="s">
        <v>2</v>
      </c>
      <c r="F563" s="84" t="s">
        <v>26</v>
      </c>
      <c r="G563" s="84" t="s">
        <v>57</v>
      </c>
      <c r="H563" s="84" t="s">
        <v>1158</v>
      </c>
      <c r="I563" s="84"/>
      <c r="J563" s="15" t="str">
        <f>IF(E563="Invalid_Segment","Invalid",IFERROR(INDEX(Severity_Matrix!$C$3:$M$10,MATCH('Error Log'!$F563,Severity_Matrix!$B$3:$B$10,0),MATCH('Error Log'!$G563,Severity_Matrix!$C$2:$M$2,0)),"No errors"))</f>
        <v>Major</v>
      </c>
    </row>
    <row r="564" spans="1:10">
      <c r="A564" s="90" t="s">
        <v>1251</v>
      </c>
      <c r="B564" s="18">
        <v>3</v>
      </c>
      <c r="C564" s="78" t="s">
        <v>1155</v>
      </c>
      <c r="D564" s="78" t="s">
        <v>1156</v>
      </c>
      <c r="E564" s="84" t="s">
        <v>21</v>
      </c>
      <c r="F564" s="84" t="s">
        <v>7</v>
      </c>
      <c r="G564" s="84" t="s">
        <v>57</v>
      </c>
      <c r="H564" s="84" t="s">
        <v>1159</v>
      </c>
      <c r="I564" s="84"/>
      <c r="J564" s="15" t="str">
        <f>IF(E564="Invalid_Segment","Invalid",IFERROR(INDEX(Severity_Matrix!$C$3:$M$10,MATCH('Error Log'!$F564,Severity_Matrix!$B$3:$B$10,0),MATCH('Error Log'!$G564,Severity_Matrix!$C$2:$M$2,0)),"No errors"))</f>
        <v>Critical</v>
      </c>
    </row>
    <row r="565" spans="1:10">
      <c r="A565" s="90" t="s">
        <v>1252</v>
      </c>
      <c r="B565" s="18">
        <v>1</v>
      </c>
      <c r="C565" s="78" t="s">
        <v>1160</v>
      </c>
      <c r="D565" s="78" t="s">
        <v>1161</v>
      </c>
      <c r="E565" s="84" t="s">
        <v>21</v>
      </c>
      <c r="F565" s="84" t="s">
        <v>22</v>
      </c>
      <c r="G565" s="84" t="s">
        <v>57</v>
      </c>
      <c r="H565" s="84" t="s">
        <v>1162</v>
      </c>
      <c r="I565" s="84"/>
      <c r="J565" s="15" t="str">
        <f>IF(E565="Invalid_Segment","Invalid",IFERROR(INDEX(Severity_Matrix!$C$3:$M$10,MATCH('Error Log'!$F565,Severity_Matrix!$B$3:$B$10,0),MATCH('Error Log'!$G565,Severity_Matrix!$C$2:$M$2,0)),"No errors"))</f>
        <v>Major</v>
      </c>
    </row>
    <row r="566" spans="1:10">
      <c r="A566" s="90" t="s">
        <v>1252</v>
      </c>
      <c r="B566" s="18">
        <v>2</v>
      </c>
      <c r="C566" s="78" t="s">
        <v>1160</v>
      </c>
      <c r="D566" s="78" t="s">
        <v>1161</v>
      </c>
      <c r="E566" s="84" t="s">
        <v>21</v>
      </c>
      <c r="F566" s="84" t="s">
        <v>22</v>
      </c>
      <c r="G566" s="84" t="s">
        <v>57</v>
      </c>
      <c r="H566" s="84" t="s">
        <v>1163</v>
      </c>
      <c r="I566" s="84"/>
      <c r="J566" s="15" t="str">
        <f>IF(E566="Invalid_Segment","Invalid",IFERROR(INDEX(Severity_Matrix!$C$3:$M$10,MATCH('Error Log'!$F566,Severity_Matrix!$B$3:$B$10,0),MATCH('Error Log'!$G566,Severity_Matrix!$C$2:$M$2,0)),"No errors"))</f>
        <v>Major</v>
      </c>
    </row>
    <row r="567" spans="1:10">
      <c r="A567" s="90" t="s">
        <v>1252</v>
      </c>
      <c r="B567" s="18">
        <v>3</v>
      </c>
      <c r="C567" s="78" t="s">
        <v>1160</v>
      </c>
      <c r="D567" s="78" t="s">
        <v>1161</v>
      </c>
      <c r="E567" s="84" t="s">
        <v>21</v>
      </c>
      <c r="F567" s="84" t="s">
        <v>7</v>
      </c>
      <c r="G567" s="84" t="s">
        <v>57</v>
      </c>
      <c r="H567" s="84" t="s">
        <v>1164</v>
      </c>
      <c r="I567" s="84"/>
      <c r="J567" s="15" t="str">
        <f>IF(E567="Invalid_Segment","Invalid",IFERROR(INDEX(Severity_Matrix!$C$3:$M$10,MATCH('Error Log'!$F567,Severity_Matrix!$B$3:$B$10,0),MATCH('Error Log'!$G567,Severity_Matrix!$C$2:$M$2,0)),"No errors"))</f>
        <v>Critical</v>
      </c>
    </row>
    <row r="568" spans="1:10">
      <c r="A568" s="90" t="s">
        <v>1252</v>
      </c>
      <c r="B568" s="18">
        <v>4</v>
      </c>
      <c r="C568" s="78" t="s">
        <v>1160</v>
      </c>
      <c r="D568" s="78" t="s">
        <v>1161</v>
      </c>
      <c r="E568" s="84" t="s">
        <v>21</v>
      </c>
      <c r="F568" s="84" t="s">
        <v>7</v>
      </c>
      <c r="G568" s="84" t="s">
        <v>57</v>
      </c>
      <c r="H568" s="84" t="s">
        <v>1165</v>
      </c>
      <c r="I568" s="84"/>
      <c r="J568" s="15" t="str">
        <f>IF(E568="Invalid_Segment","Invalid",IFERROR(INDEX(Severity_Matrix!$C$3:$M$10,MATCH('Error Log'!$F568,Severity_Matrix!$B$3:$B$10,0),MATCH('Error Log'!$G568,Severity_Matrix!$C$2:$M$2,0)),"No errors"))</f>
        <v>Critical</v>
      </c>
    </row>
    <row r="569" spans="1:10">
      <c r="A569" s="90" t="s">
        <v>1252</v>
      </c>
      <c r="B569" s="18">
        <v>5</v>
      </c>
      <c r="C569" s="78" t="s">
        <v>1160</v>
      </c>
      <c r="D569" s="78" t="s">
        <v>1161</v>
      </c>
      <c r="E569" s="84" t="s">
        <v>21</v>
      </c>
      <c r="F569" s="84" t="s">
        <v>7</v>
      </c>
      <c r="G569" s="84" t="s">
        <v>57</v>
      </c>
      <c r="H569" s="84" t="s">
        <v>1166</v>
      </c>
      <c r="I569" s="84"/>
      <c r="J569" s="15" t="str">
        <f>IF(E569="Invalid_Segment","Invalid",IFERROR(INDEX(Severity_Matrix!$C$3:$M$10,MATCH('Error Log'!$F569,Severity_Matrix!$B$3:$B$10,0),MATCH('Error Log'!$G569,Severity_Matrix!$C$2:$M$2,0)),"No errors"))</f>
        <v>Critical</v>
      </c>
    </row>
    <row r="570" spans="1:10">
      <c r="A570" s="90" t="s">
        <v>1253</v>
      </c>
      <c r="B570" s="18">
        <v>1</v>
      </c>
      <c r="C570" s="78" t="s">
        <v>1167</v>
      </c>
      <c r="D570" s="78" t="s">
        <v>1168</v>
      </c>
      <c r="E570" s="84" t="s">
        <v>21</v>
      </c>
      <c r="F570" s="84" t="s">
        <v>22</v>
      </c>
      <c r="G570" s="84" t="s">
        <v>57</v>
      </c>
      <c r="H570" s="84" t="s">
        <v>1169</v>
      </c>
      <c r="I570" s="84"/>
      <c r="J570" s="15" t="str">
        <f>IF(E570="Invalid_Segment","Invalid",IFERROR(INDEX(Severity_Matrix!$C$3:$M$10,MATCH('Error Log'!$F570,Severity_Matrix!$B$3:$B$10,0),MATCH('Error Log'!$G570,Severity_Matrix!$C$2:$M$2,0)),"No errors"))</f>
        <v>Major</v>
      </c>
    </row>
    <row r="571" spans="1:10">
      <c r="A571" s="90" t="s">
        <v>1253</v>
      </c>
      <c r="B571" s="18">
        <v>2</v>
      </c>
      <c r="C571" s="78" t="s">
        <v>1167</v>
      </c>
      <c r="D571" s="78" t="s">
        <v>1168</v>
      </c>
      <c r="E571" s="84" t="s">
        <v>21</v>
      </c>
      <c r="F571" s="84" t="s">
        <v>7</v>
      </c>
      <c r="G571" s="84" t="s">
        <v>57</v>
      </c>
      <c r="H571" s="84" t="s">
        <v>1170</v>
      </c>
      <c r="I571" s="84"/>
      <c r="J571" s="15" t="str">
        <f>IF(E571="Invalid_Segment","Invalid",IFERROR(INDEX(Severity_Matrix!$C$3:$M$10,MATCH('Error Log'!$F571,Severity_Matrix!$B$3:$B$10,0),MATCH('Error Log'!$G571,Severity_Matrix!$C$2:$M$2,0)),"No errors"))</f>
        <v>Critical</v>
      </c>
    </row>
    <row r="572" spans="1:10">
      <c r="A572" s="90" t="s">
        <v>1253</v>
      </c>
      <c r="B572" s="18">
        <v>3</v>
      </c>
      <c r="C572" s="78" t="s">
        <v>1167</v>
      </c>
      <c r="D572" s="78" t="s">
        <v>1168</v>
      </c>
      <c r="E572" s="84" t="s">
        <v>21</v>
      </c>
      <c r="F572" s="84" t="s">
        <v>7</v>
      </c>
      <c r="G572" s="84" t="s">
        <v>57</v>
      </c>
      <c r="H572" s="84" t="s">
        <v>1171</v>
      </c>
      <c r="I572" s="84"/>
      <c r="J572" s="15" t="str">
        <f>IF(E572="Invalid_Segment","Invalid",IFERROR(INDEX(Severity_Matrix!$C$3:$M$10,MATCH('Error Log'!$F572,Severity_Matrix!$B$3:$B$10,0),MATCH('Error Log'!$G572,Severity_Matrix!$C$2:$M$2,0)),"No errors"))</f>
        <v>Critical</v>
      </c>
    </row>
    <row r="573" spans="1:10">
      <c r="A573" s="90" t="s">
        <v>1254</v>
      </c>
      <c r="B573" s="18">
        <v>1</v>
      </c>
      <c r="C573" s="78" t="s">
        <v>1172</v>
      </c>
      <c r="D573" s="78" t="s">
        <v>1173</v>
      </c>
      <c r="E573" s="84" t="s">
        <v>21</v>
      </c>
      <c r="F573" s="84" t="s">
        <v>22</v>
      </c>
      <c r="G573" s="84" t="s">
        <v>57</v>
      </c>
      <c r="H573" s="84" t="s">
        <v>1174</v>
      </c>
      <c r="I573" s="84"/>
      <c r="J573" s="15" t="str">
        <f>IF(E573="Invalid_Segment","Invalid",IFERROR(INDEX(Severity_Matrix!$C$3:$M$10,MATCH('Error Log'!$F573,Severity_Matrix!$B$3:$B$10,0),MATCH('Error Log'!$G573,Severity_Matrix!$C$2:$M$2,0)),"No errors"))</f>
        <v>Major</v>
      </c>
    </row>
    <row r="574" spans="1:10">
      <c r="A574" s="90" t="s">
        <v>1254</v>
      </c>
      <c r="B574" s="18">
        <v>2</v>
      </c>
      <c r="C574" s="78" t="s">
        <v>1172</v>
      </c>
      <c r="D574" s="78" t="s">
        <v>1173</v>
      </c>
      <c r="E574" s="84" t="s">
        <v>21</v>
      </c>
      <c r="F574" s="84" t="s">
        <v>7</v>
      </c>
      <c r="G574" s="84" t="s">
        <v>57</v>
      </c>
      <c r="H574" s="84" t="s">
        <v>1175</v>
      </c>
      <c r="I574" s="84"/>
      <c r="J574" s="15" t="str">
        <f>IF(E574="Invalid_Segment","Invalid",IFERROR(INDEX(Severity_Matrix!$C$3:$M$10,MATCH('Error Log'!$F574,Severity_Matrix!$B$3:$B$10,0),MATCH('Error Log'!$G574,Severity_Matrix!$C$2:$M$2,0)),"No errors"))</f>
        <v>Critical</v>
      </c>
    </row>
    <row r="575" spans="1:10">
      <c r="A575" s="90" t="s">
        <v>1255</v>
      </c>
      <c r="B575" s="18">
        <v>1</v>
      </c>
      <c r="C575" s="78" t="s">
        <v>1176</v>
      </c>
      <c r="D575" s="78" t="s">
        <v>1177</v>
      </c>
      <c r="E575" s="84" t="s">
        <v>21</v>
      </c>
      <c r="F575" s="84" t="s">
        <v>22</v>
      </c>
      <c r="G575" s="84" t="s">
        <v>57</v>
      </c>
      <c r="H575" s="84" t="s">
        <v>1178</v>
      </c>
      <c r="I575" s="84"/>
      <c r="J575" s="15" t="str">
        <f>IF(E575="Invalid_Segment","Invalid",IFERROR(INDEX(Severity_Matrix!$C$3:$M$10,MATCH('Error Log'!$F575,Severity_Matrix!$B$3:$B$10,0),MATCH('Error Log'!$G575,Severity_Matrix!$C$2:$M$2,0)),"No errors"))</f>
        <v>Major</v>
      </c>
    </row>
    <row r="576" spans="1:10">
      <c r="A576" s="90" t="s">
        <v>1255</v>
      </c>
      <c r="B576" s="18">
        <v>2</v>
      </c>
      <c r="C576" s="78" t="s">
        <v>1176</v>
      </c>
      <c r="D576" s="78" t="s">
        <v>1177</v>
      </c>
      <c r="E576" s="84" t="s">
        <v>21</v>
      </c>
      <c r="F576" s="84" t="s">
        <v>22</v>
      </c>
      <c r="G576" s="84" t="s">
        <v>57</v>
      </c>
      <c r="H576" s="84" t="s">
        <v>1179</v>
      </c>
      <c r="I576" s="84"/>
      <c r="J576" s="15" t="str">
        <f>IF(E576="Invalid_Segment","Invalid",IFERROR(INDEX(Severity_Matrix!$C$3:$M$10,MATCH('Error Log'!$F576,Severity_Matrix!$B$3:$B$10,0),MATCH('Error Log'!$G576,Severity_Matrix!$C$2:$M$2,0)),"No errors"))</f>
        <v>Major</v>
      </c>
    </row>
    <row r="577" spans="1:10">
      <c r="A577" s="90" t="s">
        <v>1255</v>
      </c>
      <c r="B577" s="18">
        <v>3</v>
      </c>
      <c r="C577" s="78" t="s">
        <v>1176</v>
      </c>
      <c r="D577" s="78" t="s">
        <v>1177</v>
      </c>
      <c r="E577" s="84" t="s">
        <v>21</v>
      </c>
      <c r="F577" s="84" t="s">
        <v>7</v>
      </c>
      <c r="G577" s="84" t="s">
        <v>57</v>
      </c>
      <c r="H577" s="84" t="s">
        <v>1180</v>
      </c>
      <c r="I577" s="84"/>
      <c r="J577" s="15" t="str">
        <f>IF(E577="Invalid_Segment","Invalid",IFERROR(INDEX(Severity_Matrix!$C$3:$M$10,MATCH('Error Log'!$F577,Severity_Matrix!$B$3:$B$10,0),MATCH('Error Log'!$G577,Severity_Matrix!$C$2:$M$2,0)),"No errors"))</f>
        <v>Critical</v>
      </c>
    </row>
    <row r="578" spans="1:10">
      <c r="A578" s="90" t="s">
        <v>1255</v>
      </c>
      <c r="B578" s="18">
        <v>4</v>
      </c>
      <c r="C578" s="78" t="s">
        <v>1176</v>
      </c>
      <c r="D578" s="78" t="s">
        <v>1177</v>
      </c>
      <c r="E578" s="84" t="s">
        <v>21</v>
      </c>
      <c r="F578" s="84" t="s">
        <v>7</v>
      </c>
      <c r="G578" s="84" t="s">
        <v>57</v>
      </c>
      <c r="H578" s="84" t="s">
        <v>1181</v>
      </c>
      <c r="I578" s="84"/>
      <c r="J578" s="15" t="str">
        <f>IF(E578="Invalid_Segment","Invalid",IFERROR(INDEX(Severity_Matrix!$C$3:$M$10,MATCH('Error Log'!$F578,Severity_Matrix!$B$3:$B$10,0),MATCH('Error Log'!$G578,Severity_Matrix!$C$2:$M$2,0)),"No errors"))</f>
        <v>Critical</v>
      </c>
    </row>
    <row r="579" spans="1:10">
      <c r="A579" s="90" t="s">
        <v>1256</v>
      </c>
      <c r="B579" s="18">
        <v>1</v>
      </c>
      <c r="C579" s="78" t="s">
        <v>1182</v>
      </c>
      <c r="D579" s="78" t="s">
        <v>1183</v>
      </c>
      <c r="E579" s="84" t="s">
        <v>21</v>
      </c>
      <c r="F579" s="84" t="s">
        <v>22</v>
      </c>
      <c r="G579" s="84" t="s">
        <v>57</v>
      </c>
      <c r="H579" s="84" t="s">
        <v>1184</v>
      </c>
      <c r="I579" s="84"/>
      <c r="J579" s="15" t="str">
        <f>IF(E579="Invalid_Segment","Invalid",IFERROR(INDEX(Severity_Matrix!$C$3:$M$10,MATCH('Error Log'!$F579,Severity_Matrix!$B$3:$B$10,0),MATCH('Error Log'!$G579,Severity_Matrix!$C$2:$M$2,0)),"No errors"))</f>
        <v>Major</v>
      </c>
    </row>
    <row r="580" spans="1:10">
      <c r="A580" s="90" t="s">
        <v>1256</v>
      </c>
      <c r="B580" s="18">
        <v>2</v>
      </c>
      <c r="C580" s="78" t="s">
        <v>1182</v>
      </c>
      <c r="D580" s="78" t="s">
        <v>1183</v>
      </c>
      <c r="E580" s="84" t="s">
        <v>21</v>
      </c>
      <c r="F580" s="84" t="s">
        <v>22</v>
      </c>
      <c r="G580" s="84" t="s">
        <v>57</v>
      </c>
      <c r="H580" s="84" t="s">
        <v>1185</v>
      </c>
      <c r="I580" s="84"/>
      <c r="J580" s="15" t="str">
        <f>IF(E580="Invalid_Segment","Invalid",IFERROR(INDEX(Severity_Matrix!$C$3:$M$10,MATCH('Error Log'!$F580,Severity_Matrix!$B$3:$B$10,0),MATCH('Error Log'!$G580,Severity_Matrix!$C$2:$M$2,0)),"No errors"))</f>
        <v>Major</v>
      </c>
    </row>
    <row r="581" spans="1:10">
      <c r="A581" s="90" t="s">
        <v>1256</v>
      </c>
      <c r="B581" s="18">
        <v>3</v>
      </c>
      <c r="C581" s="78" t="s">
        <v>1182</v>
      </c>
      <c r="D581" s="78" t="s">
        <v>1183</v>
      </c>
      <c r="E581" s="84" t="s">
        <v>21</v>
      </c>
      <c r="F581" s="84" t="s">
        <v>7</v>
      </c>
      <c r="G581" s="84" t="s">
        <v>57</v>
      </c>
      <c r="H581" s="84" t="s">
        <v>1186</v>
      </c>
      <c r="I581" s="84"/>
      <c r="J581" s="15" t="str">
        <f>IF(E581="Invalid_Segment","Invalid",IFERROR(INDEX(Severity_Matrix!$C$3:$M$10,MATCH('Error Log'!$F581,Severity_Matrix!$B$3:$B$10,0),MATCH('Error Log'!$G581,Severity_Matrix!$C$2:$M$2,0)),"No errors"))</f>
        <v>Critical</v>
      </c>
    </row>
    <row r="582" spans="1:10">
      <c r="A582" s="90" t="s">
        <v>1256</v>
      </c>
      <c r="B582" s="18">
        <v>4</v>
      </c>
      <c r="C582" s="78" t="s">
        <v>1182</v>
      </c>
      <c r="D582" s="78" t="s">
        <v>1183</v>
      </c>
      <c r="E582" s="84" t="s">
        <v>21</v>
      </c>
      <c r="F582" s="84" t="s">
        <v>7</v>
      </c>
      <c r="G582" s="84" t="s">
        <v>57</v>
      </c>
      <c r="H582" s="84" t="s">
        <v>1187</v>
      </c>
      <c r="I582" s="84"/>
      <c r="J582" s="15" t="str">
        <f>IF(E582="Invalid_Segment","Invalid",IFERROR(INDEX(Severity_Matrix!$C$3:$M$10,MATCH('Error Log'!$F582,Severity_Matrix!$B$3:$B$10,0),MATCH('Error Log'!$G582,Severity_Matrix!$C$2:$M$2,0)),"No errors"))</f>
        <v>Critical</v>
      </c>
    </row>
    <row r="583" spans="1:10">
      <c r="A583" s="90" t="s">
        <v>1257</v>
      </c>
      <c r="B583" s="18">
        <v>1</v>
      </c>
      <c r="C583" s="78" t="s">
        <v>1188</v>
      </c>
      <c r="D583" s="78" t="s">
        <v>1189</v>
      </c>
      <c r="E583" s="84" t="s">
        <v>21</v>
      </c>
      <c r="F583" s="84" t="s">
        <v>22</v>
      </c>
      <c r="G583" s="84" t="s">
        <v>57</v>
      </c>
      <c r="H583" s="84" t="s">
        <v>1190</v>
      </c>
      <c r="I583" s="84"/>
      <c r="J583" s="15" t="str">
        <f>IF(E583="Invalid_Segment","Invalid",IFERROR(INDEX(Severity_Matrix!$C$3:$M$10,MATCH('Error Log'!$F583,Severity_Matrix!$B$3:$B$10,0),MATCH('Error Log'!$G583,Severity_Matrix!$C$2:$M$2,0)),"No errors"))</f>
        <v>Major</v>
      </c>
    </row>
    <row r="584" spans="1:10">
      <c r="A584" s="90" t="s">
        <v>1257</v>
      </c>
      <c r="B584" s="18">
        <v>2</v>
      </c>
      <c r="C584" s="78" t="s">
        <v>1188</v>
      </c>
      <c r="D584" s="78" t="s">
        <v>1189</v>
      </c>
      <c r="E584" s="84" t="s">
        <v>21</v>
      </c>
      <c r="F584" s="84" t="s">
        <v>22</v>
      </c>
      <c r="G584" s="84" t="s">
        <v>57</v>
      </c>
      <c r="H584" s="84" t="s">
        <v>1191</v>
      </c>
      <c r="I584" s="84"/>
      <c r="J584" s="15" t="str">
        <f>IF(E584="Invalid_Segment","Invalid",IFERROR(INDEX(Severity_Matrix!$C$3:$M$10,MATCH('Error Log'!$F584,Severity_Matrix!$B$3:$B$10,0),MATCH('Error Log'!$G584,Severity_Matrix!$C$2:$M$2,0)),"No errors"))</f>
        <v>Major</v>
      </c>
    </row>
    <row r="585" spans="1:10">
      <c r="A585" s="90" t="s">
        <v>1257</v>
      </c>
      <c r="B585" s="18">
        <v>3</v>
      </c>
      <c r="C585" s="78" t="s">
        <v>1188</v>
      </c>
      <c r="D585" s="78" t="s">
        <v>1189</v>
      </c>
      <c r="E585" s="84" t="s">
        <v>21</v>
      </c>
      <c r="F585" s="84" t="s">
        <v>7</v>
      </c>
      <c r="G585" s="84" t="s">
        <v>57</v>
      </c>
      <c r="H585" s="84" t="s">
        <v>1192</v>
      </c>
      <c r="I585" s="84"/>
      <c r="J585" s="15" t="str">
        <f>IF(E585="Invalid_Segment","Invalid",IFERROR(INDEX(Severity_Matrix!$C$3:$M$10,MATCH('Error Log'!$F585,Severity_Matrix!$B$3:$B$10,0),MATCH('Error Log'!$G585,Severity_Matrix!$C$2:$M$2,0)),"No errors"))</f>
        <v>Critical</v>
      </c>
    </row>
    <row r="586" spans="1:10">
      <c r="A586" s="90" t="s">
        <v>1257</v>
      </c>
      <c r="B586" s="18">
        <v>4</v>
      </c>
      <c r="C586" s="78" t="s">
        <v>1188</v>
      </c>
      <c r="D586" s="78" t="s">
        <v>1189</v>
      </c>
      <c r="E586" s="84" t="s">
        <v>21</v>
      </c>
      <c r="F586" s="84" t="s">
        <v>7</v>
      </c>
      <c r="G586" s="84" t="s">
        <v>57</v>
      </c>
      <c r="H586" s="84" t="s">
        <v>1193</v>
      </c>
      <c r="I586" s="84"/>
      <c r="J586" s="15" t="str">
        <f>IF(E586="Invalid_Segment","Invalid",IFERROR(INDEX(Severity_Matrix!$C$3:$M$10,MATCH('Error Log'!$F586,Severity_Matrix!$B$3:$B$10,0),MATCH('Error Log'!$G586,Severity_Matrix!$C$2:$M$2,0)),"No errors"))</f>
        <v>Critical</v>
      </c>
    </row>
    <row r="587" spans="1:10">
      <c r="A587" s="90" t="s">
        <v>1258</v>
      </c>
      <c r="B587" s="18">
        <v>1</v>
      </c>
      <c r="C587" s="78" t="s">
        <v>1194</v>
      </c>
      <c r="D587" s="78" t="s">
        <v>1195</v>
      </c>
      <c r="E587" s="84" t="s">
        <v>2</v>
      </c>
      <c r="F587" s="84" t="s">
        <v>26</v>
      </c>
      <c r="G587" s="84" t="s">
        <v>57</v>
      </c>
      <c r="H587" s="84" t="s">
        <v>1196</v>
      </c>
      <c r="I587" s="84"/>
      <c r="J587" s="15" t="str">
        <f>IF(E587="Invalid_Segment","Invalid",IFERROR(INDEX(Severity_Matrix!$C$3:$M$10,MATCH('Error Log'!$F587,Severity_Matrix!$B$3:$B$10,0),MATCH('Error Log'!$G587,Severity_Matrix!$C$2:$M$2,0)),"No errors"))</f>
        <v>Major</v>
      </c>
    </row>
    <row r="588" spans="1:10">
      <c r="A588" s="90" t="s">
        <v>1258</v>
      </c>
      <c r="B588" s="18">
        <v>2</v>
      </c>
      <c r="C588" s="78" t="s">
        <v>1194</v>
      </c>
      <c r="D588" s="78" t="s">
        <v>1195</v>
      </c>
      <c r="E588" s="84" t="s">
        <v>21</v>
      </c>
      <c r="F588" s="84" t="s">
        <v>22</v>
      </c>
      <c r="G588" s="84" t="s">
        <v>57</v>
      </c>
      <c r="H588" s="84" t="s">
        <v>1197</v>
      </c>
      <c r="I588" s="84"/>
      <c r="J588" s="15" t="str">
        <f>IF(E588="Invalid_Segment","Invalid",IFERROR(INDEX(Severity_Matrix!$C$3:$M$10,MATCH('Error Log'!$F588,Severity_Matrix!$B$3:$B$10,0),MATCH('Error Log'!$G588,Severity_Matrix!$C$2:$M$2,0)),"No errors"))</f>
        <v>Major</v>
      </c>
    </row>
    <row r="589" spans="1:10">
      <c r="A589" s="90" t="s">
        <v>1258</v>
      </c>
      <c r="B589" s="18">
        <v>3</v>
      </c>
      <c r="C589" s="78" t="s">
        <v>1194</v>
      </c>
      <c r="D589" s="78" t="s">
        <v>1195</v>
      </c>
      <c r="E589" s="84" t="s">
        <v>21</v>
      </c>
      <c r="F589" s="84" t="s">
        <v>7</v>
      </c>
      <c r="G589" s="84" t="s">
        <v>57</v>
      </c>
      <c r="H589" s="84" t="s">
        <v>1198</v>
      </c>
      <c r="I589" s="84"/>
      <c r="J589" s="15" t="str">
        <f>IF(E589="Invalid_Segment","Invalid",IFERROR(INDEX(Severity_Matrix!$C$3:$M$10,MATCH('Error Log'!$F589,Severity_Matrix!$B$3:$B$10,0),MATCH('Error Log'!$G589,Severity_Matrix!$C$2:$M$2,0)),"No errors"))</f>
        <v>Critical</v>
      </c>
    </row>
    <row r="590" spans="1:10">
      <c r="A590" s="90" t="s">
        <v>1258</v>
      </c>
      <c r="B590" s="18">
        <v>4</v>
      </c>
      <c r="C590" s="78" t="s">
        <v>1194</v>
      </c>
      <c r="D590" s="78" t="s">
        <v>1195</v>
      </c>
      <c r="E590" s="84" t="s">
        <v>21</v>
      </c>
      <c r="F590" s="84" t="s">
        <v>7</v>
      </c>
      <c r="G590" s="84" t="s">
        <v>57</v>
      </c>
      <c r="H590" s="84" t="s">
        <v>1199</v>
      </c>
      <c r="I590" s="84"/>
      <c r="J590" s="15" t="str">
        <f>IF(E590="Invalid_Segment","Invalid",IFERROR(INDEX(Severity_Matrix!$C$3:$M$10,MATCH('Error Log'!$F590,Severity_Matrix!$B$3:$B$10,0),MATCH('Error Log'!$G590,Severity_Matrix!$C$2:$M$2,0)),"No errors"))</f>
        <v>Critical</v>
      </c>
    </row>
    <row r="591" spans="1:10">
      <c r="A591" s="90" t="s">
        <v>1258</v>
      </c>
      <c r="B591" s="18">
        <v>5</v>
      </c>
      <c r="C591" s="78" t="s">
        <v>1194</v>
      </c>
      <c r="D591" s="78" t="s">
        <v>1195</v>
      </c>
      <c r="E591" s="84" t="s">
        <v>21</v>
      </c>
      <c r="F591" s="84" t="s">
        <v>7</v>
      </c>
      <c r="G591" s="84" t="s">
        <v>57</v>
      </c>
      <c r="H591" s="84" t="s">
        <v>1200</v>
      </c>
      <c r="I591" s="84"/>
      <c r="J591" s="15" t="str">
        <f>IF(E591="Invalid_Segment","Invalid",IFERROR(INDEX(Severity_Matrix!$C$3:$M$10,MATCH('Error Log'!$F591,Severity_Matrix!$B$3:$B$10,0),MATCH('Error Log'!$G591,Severity_Matrix!$C$2:$M$2,0)),"No errors"))</f>
        <v>Critical</v>
      </c>
    </row>
    <row r="592" spans="1:10">
      <c r="A592" s="90" t="s">
        <v>1259</v>
      </c>
      <c r="B592" s="18">
        <v>1</v>
      </c>
      <c r="C592" s="78" t="s">
        <v>1201</v>
      </c>
      <c r="D592" s="83" t="s">
        <v>1202</v>
      </c>
      <c r="E592" s="84" t="s">
        <v>21</v>
      </c>
      <c r="F592" s="84" t="s">
        <v>22</v>
      </c>
      <c r="G592" s="84" t="s">
        <v>57</v>
      </c>
      <c r="H592" s="93" t="s">
        <v>1203</v>
      </c>
      <c r="I592" s="84"/>
      <c r="J592" s="15" t="str">
        <f>IF(E592="Invalid_Segment","Invalid",IFERROR(INDEX(Severity_Matrix!$C$3:$M$10,MATCH('Error Log'!$F592,Severity_Matrix!$B$3:$B$10,0),MATCH('Error Log'!$G592,Severity_Matrix!$C$2:$M$2,0)),"No errors"))</f>
        <v>Major</v>
      </c>
    </row>
    <row r="593" spans="1:10">
      <c r="A593" s="90" t="s">
        <v>1259</v>
      </c>
      <c r="B593" s="18">
        <v>2</v>
      </c>
      <c r="C593" s="78" t="s">
        <v>1201</v>
      </c>
      <c r="D593" s="83" t="s">
        <v>1202</v>
      </c>
      <c r="E593" s="84" t="s">
        <v>21</v>
      </c>
      <c r="F593" s="84" t="s">
        <v>7</v>
      </c>
      <c r="G593" s="84" t="s">
        <v>57</v>
      </c>
      <c r="H593" s="93" t="s">
        <v>1204</v>
      </c>
      <c r="I593" s="84"/>
      <c r="J593" s="15" t="str">
        <f>IF(E593="Invalid_Segment","Invalid",IFERROR(INDEX(Severity_Matrix!$C$3:$M$10,MATCH('Error Log'!$F593,Severity_Matrix!$B$3:$B$10,0),MATCH('Error Log'!$G593,Severity_Matrix!$C$2:$M$2,0)),"No errors"))</f>
        <v>Critical</v>
      </c>
    </row>
    <row r="594" spans="1:10">
      <c r="A594" s="90" t="s">
        <v>1260</v>
      </c>
      <c r="B594" s="18">
        <v>1</v>
      </c>
      <c r="C594" s="78" t="s">
        <v>1205</v>
      </c>
      <c r="D594" s="83" t="s">
        <v>1206</v>
      </c>
      <c r="E594" s="84" t="s">
        <v>21</v>
      </c>
      <c r="F594" s="84" t="s">
        <v>7</v>
      </c>
      <c r="G594" s="84" t="s">
        <v>57</v>
      </c>
      <c r="H594" s="84" t="s">
        <v>1207</v>
      </c>
      <c r="I594" s="84"/>
      <c r="J594" s="15" t="str">
        <f>IF(E594="Invalid_Segment","Invalid",IFERROR(INDEX(Severity_Matrix!$C$3:$M$10,MATCH('Error Log'!$F594,Severity_Matrix!$B$3:$B$10,0),MATCH('Error Log'!$G594,Severity_Matrix!$C$2:$M$2,0)),"No errors"))</f>
        <v>Critical</v>
      </c>
    </row>
    <row r="595" spans="1:10">
      <c r="A595" s="90" t="s">
        <v>1261</v>
      </c>
      <c r="B595" s="18">
        <v>1</v>
      </c>
      <c r="C595" s="83" t="s">
        <v>1208</v>
      </c>
      <c r="D595" s="83" t="s">
        <v>1209</v>
      </c>
      <c r="E595" s="84" t="s">
        <v>21</v>
      </c>
      <c r="F595" s="84" t="s">
        <v>7</v>
      </c>
      <c r="G595" s="84" t="s">
        <v>57</v>
      </c>
      <c r="H595" s="84" t="s">
        <v>1210</v>
      </c>
      <c r="I595" s="84"/>
      <c r="J595" s="15" t="str">
        <f>IF(E595="Invalid_Segment","Invalid",IFERROR(INDEX(Severity_Matrix!$C$3:$M$10,MATCH('Error Log'!$F595,Severity_Matrix!$B$3:$B$10,0),MATCH('Error Log'!$G595,Severity_Matrix!$C$2:$M$2,0)),"No errors"))</f>
        <v>Critical</v>
      </c>
    </row>
    <row r="596" spans="1:10">
      <c r="A596" s="90" t="s">
        <v>1261</v>
      </c>
      <c r="B596" s="18">
        <v>2</v>
      </c>
      <c r="C596" s="83" t="s">
        <v>1208</v>
      </c>
      <c r="D596" s="83" t="s">
        <v>1209</v>
      </c>
      <c r="E596" s="84" t="s">
        <v>21</v>
      </c>
      <c r="F596" s="84" t="s">
        <v>7</v>
      </c>
      <c r="G596" s="84" t="s">
        <v>57</v>
      </c>
      <c r="H596" s="84" t="s">
        <v>1211</v>
      </c>
      <c r="I596" s="84"/>
      <c r="J596" s="15" t="str">
        <f>IF(E596="Invalid_Segment","Invalid",IFERROR(INDEX(Severity_Matrix!$C$3:$M$10,MATCH('Error Log'!$F596,Severity_Matrix!$B$3:$B$10,0),MATCH('Error Log'!$G596,Severity_Matrix!$C$2:$M$2,0)),"No errors"))</f>
        <v>Critical</v>
      </c>
    </row>
    <row r="597" spans="1:10">
      <c r="A597" s="79" t="s">
        <v>1262</v>
      </c>
      <c r="B597" s="18">
        <v>1</v>
      </c>
      <c r="C597" s="78" t="s">
        <v>1263</v>
      </c>
      <c r="D597" s="78" t="s">
        <v>1264</v>
      </c>
      <c r="E597" s="84" t="s">
        <v>21</v>
      </c>
      <c r="F597" s="84" t="s">
        <v>22</v>
      </c>
      <c r="G597" s="84" t="s">
        <v>28</v>
      </c>
      <c r="H597" s="84" t="s">
        <v>1265</v>
      </c>
      <c r="I597" s="84"/>
      <c r="J597" s="15" t="str">
        <f>IF(E597="Invalid_Segment","Invalid",IFERROR(INDEX(Severity_Matrix!$C$3:$M$10,MATCH('Error Log'!$F597,Severity_Matrix!$B$3:$B$10,0),MATCH('Error Log'!$G597,Severity_Matrix!$C$2:$M$2,0)),"No errors"))</f>
        <v>Major</v>
      </c>
    </row>
    <row r="598" spans="1:10">
      <c r="A598" s="79" t="s">
        <v>1262</v>
      </c>
      <c r="B598" s="18">
        <v>2</v>
      </c>
      <c r="C598" s="78" t="s">
        <v>1263</v>
      </c>
      <c r="D598" s="78" t="s">
        <v>1264</v>
      </c>
      <c r="E598" s="84" t="s">
        <v>21</v>
      </c>
      <c r="F598" s="84" t="s">
        <v>22</v>
      </c>
      <c r="G598" s="84" t="s">
        <v>28</v>
      </c>
      <c r="H598" s="84" t="s">
        <v>1266</v>
      </c>
      <c r="I598" s="84"/>
      <c r="J598" s="15" t="str">
        <f>IF(E598="Invalid_Segment","Invalid",IFERROR(INDEX(Severity_Matrix!$C$3:$M$10,MATCH('Error Log'!$F598,Severity_Matrix!$B$3:$B$10,0),MATCH('Error Log'!$G598,Severity_Matrix!$C$2:$M$2,0)),"No errors"))</f>
        <v>Major</v>
      </c>
    </row>
    <row r="599" spans="1:10">
      <c r="A599" s="79" t="s">
        <v>1262</v>
      </c>
      <c r="B599" s="18">
        <v>3</v>
      </c>
      <c r="C599" s="78" t="s">
        <v>1263</v>
      </c>
      <c r="D599" s="78" t="s">
        <v>1264</v>
      </c>
      <c r="E599" s="84" t="s">
        <v>21</v>
      </c>
      <c r="F599" s="84" t="s">
        <v>22</v>
      </c>
      <c r="G599" s="84" t="s">
        <v>57</v>
      </c>
      <c r="H599" s="84" t="s">
        <v>1267</v>
      </c>
      <c r="I599" s="84"/>
      <c r="J599" s="15" t="str">
        <f>IF(E599="Invalid_Segment","Invalid",IFERROR(INDEX(Severity_Matrix!$C$3:$M$10,MATCH('Error Log'!$F599,Severity_Matrix!$B$3:$B$10,0),MATCH('Error Log'!$G599,Severity_Matrix!$C$2:$M$2,0)),"No errors"))</f>
        <v>Major</v>
      </c>
    </row>
    <row r="600" spans="1:10">
      <c r="A600" s="79" t="s">
        <v>1262</v>
      </c>
      <c r="B600" s="18">
        <v>4</v>
      </c>
      <c r="C600" s="78" t="s">
        <v>1263</v>
      </c>
      <c r="D600" s="78" t="s">
        <v>1264</v>
      </c>
      <c r="E600" s="84" t="s">
        <v>21</v>
      </c>
      <c r="F600" s="84" t="s">
        <v>22</v>
      </c>
      <c r="G600" s="84" t="s">
        <v>57</v>
      </c>
      <c r="H600" s="84" t="s">
        <v>1268</v>
      </c>
      <c r="I600" s="84"/>
      <c r="J600" s="15" t="str">
        <f>IF(E600="Invalid_Segment","Invalid",IFERROR(INDEX(Severity_Matrix!$C$3:$M$10,MATCH('Error Log'!$F600,Severity_Matrix!$B$3:$B$10,0),MATCH('Error Log'!$G600,Severity_Matrix!$C$2:$M$2,0)),"No errors"))</f>
        <v>Major</v>
      </c>
    </row>
    <row r="601" spans="1:10">
      <c r="A601" s="79" t="s">
        <v>1262</v>
      </c>
      <c r="B601" s="18">
        <v>5</v>
      </c>
      <c r="C601" s="78" t="s">
        <v>1263</v>
      </c>
      <c r="D601" s="78" t="s">
        <v>1264</v>
      </c>
      <c r="E601" s="84" t="s">
        <v>21</v>
      </c>
      <c r="F601" s="84" t="s">
        <v>22</v>
      </c>
      <c r="G601" s="84" t="s">
        <v>57</v>
      </c>
      <c r="H601" s="84" t="s">
        <v>1269</v>
      </c>
      <c r="I601" s="84"/>
      <c r="J601" s="15" t="str">
        <f>IF(E601="Invalid_Segment","Invalid",IFERROR(INDEX(Severity_Matrix!$C$3:$M$10,MATCH('Error Log'!$F601,Severity_Matrix!$B$3:$B$10,0),MATCH('Error Log'!$G601,Severity_Matrix!$C$2:$M$2,0)),"No errors"))</f>
        <v>Major</v>
      </c>
    </row>
    <row r="602" spans="1:10">
      <c r="A602" s="79" t="s">
        <v>1262</v>
      </c>
      <c r="B602" s="18">
        <v>6</v>
      </c>
      <c r="C602" s="78" t="s">
        <v>1263</v>
      </c>
      <c r="D602" s="78" t="s">
        <v>1264</v>
      </c>
      <c r="E602" s="84" t="s">
        <v>21</v>
      </c>
      <c r="F602" s="84" t="s">
        <v>7</v>
      </c>
      <c r="G602" s="84" t="s">
        <v>57</v>
      </c>
      <c r="H602" s="84" t="s">
        <v>1270</v>
      </c>
      <c r="I602" s="84"/>
      <c r="J602" s="15" t="str">
        <f>IF(E602="Invalid_Segment","Invalid",IFERROR(INDEX(Severity_Matrix!$C$3:$M$10,MATCH('Error Log'!$F602,Severity_Matrix!$B$3:$B$10,0),MATCH('Error Log'!$G602,Severity_Matrix!$C$2:$M$2,0)),"No errors"))</f>
        <v>Critical</v>
      </c>
    </row>
    <row r="603" spans="1:10" ht="15.6">
      <c r="A603" s="111" t="s">
        <v>1271</v>
      </c>
      <c r="B603" s="18">
        <v>1</v>
      </c>
      <c r="C603" s="78" t="s">
        <v>1272</v>
      </c>
      <c r="D603" s="78" t="s">
        <v>1273</v>
      </c>
      <c r="E603" s="84" t="s">
        <v>21</v>
      </c>
      <c r="F603" s="84" t="s">
        <v>22</v>
      </c>
      <c r="G603" s="84" t="s">
        <v>57</v>
      </c>
      <c r="H603" s="84" t="s">
        <v>1274</v>
      </c>
      <c r="I603" s="84"/>
      <c r="J603" s="15" t="str">
        <f>IF(E603="Invalid_Segment","Invalid",IFERROR(INDEX(Severity_Matrix!$C$3:$M$10,MATCH('Error Log'!$F603,Severity_Matrix!$B$3:$B$10,0),MATCH('Error Log'!$G603,Severity_Matrix!$C$2:$M$2,0)),"No errors"))</f>
        <v>Major</v>
      </c>
    </row>
    <row r="604" spans="1:10" ht="15.6">
      <c r="A604" s="111" t="s">
        <v>1271</v>
      </c>
      <c r="B604" s="18">
        <v>2</v>
      </c>
      <c r="C604" s="78" t="s">
        <v>1272</v>
      </c>
      <c r="D604" s="78" t="s">
        <v>1273</v>
      </c>
      <c r="E604" s="84" t="s">
        <v>21</v>
      </c>
      <c r="F604" s="84" t="s">
        <v>7</v>
      </c>
      <c r="G604" s="84" t="s">
        <v>57</v>
      </c>
      <c r="H604" s="84" t="s">
        <v>1275</v>
      </c>
      <c r="I604" s="84"/>
      <c r="J604" s="15" t="str">
        <f>IF(E604="Invalid_Segment","Invalid",IFERROR(INDEX(Severity_Matrix!$C$3:$M$10,MATCH('Error Log'!$F604,Severity_Matrix!$B$3:$B$10,0),MATCH('Error Log'!$G604,Severity_Matrix!$C$2:$M$2,0)),"No errors"))</f>
        <v>Critical</v>
      </c>
    </row>
    <row r="605" spans="1:10">
      <c r="A605" s="90" t="s">
        <v>1276</v>
      </c>
      <c r="B605" s="18"/>
      <c r="C605" s="78" t="s">
        <v>1277</v>
      </c>
      <c r="D605" s="78" t="s">
        <v>1278</v>
      </c>
      <c r="E605" s="84"/>
      <c r="F605" s="84"/>
      <c r="G605" s="84"/>
      <c r="H605" s="84"/>
      <c r="I605" s="84"/>
      <c r="J605" s="15" t="str">
        <f>IF(E605="Invalid_Segment","Invalid",IFERROR(INDEX(Severity_Matrix!$C$3:$M$10,MATCH('Error Log'!$F605,Severity_Matrix!$B$3:$B$10,0),MATCH('Error Log'!$G605,Severity_Matrix!$C$2:$M$2,0)),"No errors"))</f>
        <v>No errors</v>
      </c>
    </row>
    <row r="606" spans="1:10">
      <c r="A606" s="94" t="s">
        <v>1279</v>
      </c>
      <c r="B606" s="18">
        <v>1</v>
      </c>
      <c r="C606" s="83" t="s">
        <v>1280</v>
      </c>
      <c r="D606" s="78" t="s">
        <v>1281</v>
      </c>
      <c r="E606" s="84" t="s">
        <v>21</v>
      </c>
      <c r="F606" s="84" t="s">
        <v>22</v>
      </c>
      <c r="G606" s="84" t="s">
        <v>57</v>
      </c>
      <c r="H606" s="84" t="s">
        <v>1282</v>
      </c>
      <c r="I606" s="84"/>
      <c r="J606" s="15" t="str">
        <f>IF(E606="Invalid_Segment","Invalid",IFERROR(INDEX(Severity_Matrix!$C$3:$M$10,MATCH('Error Log'!$F606,Severity_Matrix!$B$3:$B$10,0),MATCH('Error Log'!$G606,Severity_Matrix!$C$2:$M$2,0)),"No errors"))</f>
        <v>Major</v>
      </c>
    </row>
    <row r="607" spans="1:10">
      <c r="A607" s="94" t="s">
        <v>1283</v>
      </c>
      <c r="B607" s="18">
        <v>1</v>
      </c>
      <c r="C607" s="83" t="s">
        <v>1284</v>
      </c>
      <c r="D607" s="78" t="s">
        <v>1285</v>
      </c>
      <c r="E607" s="84" t="s">
        <v>21</v>
      </c>
      <c r="F607" s="84" t="s">
        <v>22</v>
      </c>
      <c r="G607" s="84" t="s">
        <v>57</v>
      </c>
      <c r="H607" s="84" t="s">
        <v>1286</v>
      </c>
      <c r="I607" s="84"/>
      <c r="J607" s="15" t="str">
        <f>IF(E607="Invalid_Segment","Invalid",IFERROR(INDEX(Severity_Matrix!$C$3:$M$10,MATCH('Error Log'!$F607,Severity_Matrix!$B$3:$B$10,0),MATCH('Error Log'!$G607,Severity_Matrix!$C$2:$M$2,0)),"No errors"))</f>
        <v>Major</v>
      </c>
    </row>
    <row r="608" spans="1:10">
      <c r="A608" s="94" t="s">
        <v>1283</v>
      </c>
      <c r="B608" s="18">
        <v>2</v>
      </c>
      <c r="C608" s="83" t="s">
        <v>1284</v>
      </c>
      <c r="D608" s="78" t="s">
        <v>1285</v>
      </c>
      <c r="E608" s="84" t="s">
        <v>21</v>
      </c>
      <c r="F608" s="84" t="s">
        <v>22</v>
      </c>
      <c r="G608" s="84" t="s">
        <v>57</v>
      </c>
      <c r="H608" s="84" t="s">
        <v>1287</v>
      </c>
      <c r="I608" s="84"/>
      <c r="J608" s="15" t="str">
        <f>IF(E608="Invalid_Segment","Invalid",IFERROR(INDEX(Severity_Matrix!$C$3:$M$10,MATCH('Error Log'!$F608,Severity_Matrix!$B$3:$B$10,0),MATCH('Error Log'!$G608,Severity_Matrix!$C$2:$M$2,0)),"No errors"))</f>
        <v>Major</v>
      </c>
    </row>
    <row r="609" spans="1:10">
      <c r="A609" s="94" t="s">
        <v>1283</v>
      </c>
      <c r="B609" s="18">
        <v>3</v>
      </c>
      <c r="C609" s="83" t="s">
        <v>1284</v>
      </c>
      <c r="D609" s="78" t="s">
        <v>1285</v>
      </c>
      <c r="E609" s="84" t="s">
        <v>21</v>
      </c>
      <c r="F609" s="84" t="s">
        <v>7</v>
      </c>
      <c r="G609" s="84" t="s">
        <v>57</v>
      </c>
      <c r="H609" s="84" t="s">
        <v>1288</v>
      </c>
      <c r="I609" s="84"/>
      <c r="J609" s="15" t="str">
        <f>IF(E609="Invalid_Segment","Invalid",IFERROR(INDEX(Severity_Matrix!$C$3:$M$10,MATCH('Error Log'!$F609,Severity_Matrix!$B$3:$B$10,0),MATCH('Error Log'!$G609,Severity_Matrix!$C$2:$M$2,0)),"No errors"))</f>
        <v>Critical</v>
      </c>
    </row>
    <row r="610" spans="1:10">
      <c r="A610" s="112" t="s">
        <v>1289</v>
      </c>
      <c r="B610" s="18">
        <v>1</v>
      </c>
      <c r="C610" s="78" t="s">
        <v>1290</v>
      </c>
      <c r="D610" s="78" t="s">
        <v>1291</v>
      </c>
      <c r="E610" s="84" t="s">
        <v>2</v>
      </c>
      <c r="F610" s="84" t="s">
        <v>26</v>
      </c>
      <c r="G610" s="84" t="s">
        <v>57</v>
      </c>
      <c r="H610" s="84" t="s">
        <v>1292</v>
      </c>
      <c r="I610" s="84"/>
      <c r="J610" s="15" t="str">
        <f>IF(E610="Invalid_Segment","Invalid",IFERROR(INDEX(Severity_Matrix!$C$3:$M$10,MATCH('Error Log'!$F610,Severity_Matrix!$B$3:$B$10,0),MATCH('Error Log'!$G610,Severity_Matrix!$C$2:$M$2,0)),"No errors"))</f>
        <v>Major</v>
      </c>
    </row>
    <row r="611" spans="1:10">
      <c r="A611" s="112" t="s">
        <v>1289</v>
      </c>
      <c r="B611" s="18">
        <v>2</v>
      </c>
      <c r="C611" s="78" t="s">
        <v>1290</v>
      </c>
      <c r="D611" s="78" t="s">
        <v>1291</v>
      </c>
      <c r="E611" s="84" t="s">
        <v>21</v>
      </c>
      <c r="F611" s="84" t="s">
        <v>22</v>
      </c>
      <c r="G611" s="84" t="s">
        <v>57</v>
      </c>
      <c r="H611" s="84" t="s">
        <v>1293</v>
      </c>
      <c r="I611" s="84"/>
      <c r="J611" s="15" t="str">
        <f>IF(E611="Invalid_Segment","Invalid",IFERROR(INDEX(Severity_Matrix!$C$3:$M$10,MATCH('Error Log'!$F611,Severity_Matrix!$B$3:$B$10,0),MATCH('Error Log'!$G611,Severity_Matrix!$C$2:$M$2,0)),"No errors"))</f>
        <v>Major</v>
      </c>
    </row>
    <row r="612" spans="1:10">
      <c r="A612" s="112" t="s">
        <v>1289</v>
      </c>
      <c r="B612" s="18">
        <v>3</v>
      </c>
      <c r="C612" s="78" t="s">
        <v>1290</v>
      </c>
      <c r="D612" s="78" t="s">
        <v>1291</v>
      </c>
      <c r="E612" s="84" t="s">
        <v>21</v>
      </c>
      <c r="F612" s="84" t="s">
        <v>7</v>
      </c>
      <c r="G612" s="84" t="s">
        <v>57</v>
      </c>
      <c r="H612" s="84" t="s">
        <v>1294</v>
      </c>
      <c r="I612" s="84"/>
      <c r="J612" s="15" t="str">
        <f>IF(E612="Invalid_Segment","Invalid",IFERROR(INDEX(Severity_Matrix!$C$3:$M$10,MATCH('Error Log'!$F612,Severity_Matrix!$B$3:$B$10,0),MATCH('Error Log'!$G612,Severity_Matrix!$C$2:$M$2,0)),"No errors"))</f>
        <v>Critical</v>
      </c>
    </row>
    <row r="613" spans="1:10">
      <c r="A613" s="112" t="s">
        <v>1295</v>
      </c>
      <c r="B613" s="18">
        <v>1</v>
      </c>
      <c r="C613" s="78" t="s">
        <v>1296</v>
      </c>
      <c r="D613" s="78" t="s">
        <v>1297</v>
      </c>
      <c r="E613" s="84" t="s">
        <v>21</v>
      </c>
      <c r="F613" s="84" t="s">
        <v>22</v>
      </c>
      <c r="G613" s="84" t="s">
        <v>28</v>
      </c>
      <c r="H613" s="96" t="s">
        <v>1298</v>
      </c>
      <c r="I613" s="84"/>
      <c r="J613" s="15" t="str">
        <f>IF(E613="Invalid_Segment","Invalid",IFERROR(INDEX(Severity_Matrix!$C$3:$M$10,MATCH('Error Log'!$F613,Severity_Matrix!$B$3:$B$10,0),MATCH('Error Log'!$G613,Severity_Matrix!$C$2:$M$2,0)),"No errors"))</f>
        <v>Major</v>
      </c>
    </row>
    <row r="614" spans="1:10">
      <c r="A614" s="112" t="s">
        <v>1295</v>
      </c>
      <c r="B614" s="18">
        <v>2</v>
      </c>
      <c r="C614" s="78" t="s">
        <v>1296</v>
      </c>
      <c r="D614" s="78" t="s">
        <v>1297</v>
      </c>
      <c r="E614" s="84" t="s">
        <v>21</v>
      </c>
      <c r="F614" s="84" t="s">
        <v>22</v>
      </c>
      <c r="G614" s="84" t="s">
        <v>28</v>
      </c>
      <c r="H614" s="96" t="s">
        <v>1299</v>
      </c>
      <c r="I614" s="84"/>
      <c r="J614" s="15" t="str">
        <f>IF(E614="Invalid_Segment","Invalid",IFERROR(INDEX(Severity_Matrix!$C$3:$M$10,MATCH('Error Log'!$F614,Severity_Matrix!$B$3:$B$10,0),MATCH('Error Log'!$G614,Severity_Matrix!$C$2:$M$2,0)),"No errors"))</f>
        <v>Major</v>
      </c>
    </row>
    <row r="615" spans="1:10">
      <c r="A615" s="112" t="s">
        <v>1295</v>
      </c>
      <c r="B615" s="18">
        <v>3</v>
      </c>
      <c r="C615" s="78" t="s">
        <v>1296</v>
      </c>
      <c r="D615" s="78" t="s">
        <v>1297</v>
      </c>
      <c r="E615" s="84" t="s">
        <v>21</v>
      </c>
      <c r="F615" s="84" t="s">
        <v>22</v>
      </c>
      <c r="G615" s="84" t="s">
        <v>57</v>
      </c>
      <c r="H615" s="96" t="s">
        <v>1300</v>
      </c>
      <c r="I615" s="84"/>
      <c r="J615" s="15" t="str">
        <f>IF(E615="Invalid_Segment","Invalid",IFERROR(INDEX(Severity_Matrix!$C$3:$M$10,MATCH('Error Log'!$F615,Severity_Matrix!$B$3:$B$10,0),MATCH('Error Log'!$G615,Severity_Matrix!$C$2:$M$2,0)),"No errors"))</f>
        <v>Major</v>
      </c>
    </row>
    <row r="616" spans="1:10">
      <c r="A616" s="112" t="s">
        <v>1295</v>
      </c>
      <c r="B616" s="18">
        <v>4</v>
      </c>
      <c r="C616" s="78" t="s">
        <v>1296</v>
      </c>
      <c r="D616" s="78" t="s">
        <v>1297</v>
      </c>
      <c r="E616" s="84" t="s">
        <v>21</v>
      </c>
      <c r="F616" s="84" t="s">
        <v>7</v>
      </c>
      <c r="G616" s="84" t="s">
        <v>57</v>
      </c>
      <c r="H616" s="96" t="s">
        <v>1301</v>
      </c>
      <c r="I616" s="84"/>
      <c r="J616" s="15" t="str">
        <f>IF(E616="Invalid_Segment","Invalid",IFERROR(INDEX(Severity_Matrix!$C$3:$M$10,MATCH('Error Log'!$F616,Severity_Matrix!$B$3:$B$10,0),MATCH('Error Log'!$G616,Severity_Matrix!$C$2:$M$2,0)),"No errors"))</f>
        <v>Critical</v>
      </c>
    </row>
    <row r="617" spans="1:10">
      <c r="A617" s="112" t="s">
        <v>1302</v>
      </c>
      <c r="B617" s="18">
        <v>1</v>
      </c>
      <c r="C617" s="78" t="s">
        <v>1303</v>
      </c>
      <c r="D617" s="78" t="s">
        <v>1304</v>
      </c>
      <c r="E617" s="84" t="s">
        <v>21</v>
      </c>
      <c r="F617" s="84" t="s">
        <v>22</v>
      </c>
      <c r="G617" s="84" t="s">
        <v>57</v>
      </c>
      <c r="H617" s="92" t="s">
        <v>1305</v>
      </c>
      <c r="I617" s="84"/>
      <c r="J617" s="15" t="str">
        <f>IF(E617="Invalid_Segment","Invalid",IFERROR(INDEX(Severity_Matrix!$C$3:$M$10,MATCH('Error Log'!$F617,Severity_Matrix!$B$3:$B$10,0),MATCH('Error Log'!$G617,Severity_Matrix!$C$2:$M$2,0)),"No errors"))</f>
        <v>Major</v>
      </c>
    </row>
    <row r="618" spans="1:10">
      <c r="A618" s="112" t="s">
        <v>1302</v>
      </c>
      <c r="B618" s="18">
        <v>2</v>
      </c>
      <c r="C618" s="78" t="s">
        <v>1303</v>
      </c>
      <c r="D618" s="78" t="s">
        <v>1304</v>
      </c>
      <c r="E618" s="84" t="s">
        <v>21</v>
      </c>
      <c r="F618" s="84" t="s">
        <v>7</v>
      </c>
      <c r="G618" s="84" t="s">
        <v>57</v>
      </c>
      <c r="H618" s="92" t="s">
        <v>1306</v>
      </c>
      <c r="I618" s="84"/>
      <c r="J618" s="15" t="str">
        <f>IF(E618="Invalid_Segment","Invalid",IFERROR(INDEX(Severity_Matrix!$C$3:$M$10,MATCH('Error Log'!$F618,Severity_Matrix!$B$3:$B$10,0),MATCH('Error Log'!$G618,Severity_Matrix!$C$2:$M$2,0)),"No errors"))</f>
        <v>Critical</v>
      </c>
    </row>
    <row r="619" spans="1:10">
      <c r="A619" s="112" t="s">
        <v>1307</v>
      </c>
      <c r="B619" s="18">
        <v>1</v>
      </c>
      <c r="C619" s="78" t="s">
        <v>1308</v>
      </c>
      <c r="D619" s="78" t="s">
        <v>1309</v>
      </c>
      <c r="E619" s="84" t="s">
        <v>21</v>
      </c>
      <c r="F619" s="84" t="s">
        <v>22</v>
      </c>
      <c r="G619" s="84" t="s">
        <v>57</v>
      </c>
      <c r="H619" s="84" t="s">
        <v>1310</v>
      </c>
      <c r="I619" s="84"/>
      <c r="J619" s="15" t="str">
        <f>IF(E619="Invalid_Segment","Invalid",IFERROR(INDEX(Severity_Matrix!$C$3:$M$10,MATCH('Error Log'!$F619,Severity_Matrix!$B$3:$B$10,0),MATCH('Error Log'!$G619,Severity_Matrix!$C$2:$M$2,0)),"No errors"))</f>
        <v>Major</v>
      </c>
    </row>
    <row r="620" spans="1:10">
      <c r="A620" s="112" t="s">
        <v>1307</v>
      </c>
      <c r="B620" s="18">
        <v>2</v>
      </c>
      <c r="C620" s="78" t="s">
        <v>1308</v>
      </c>
      <c r="D620" s="78" t="s">
        <v>1309</v>
      </c>
      <c r="E620" s="84" t="s">
        <v>21</v>
      </c>
      <c r="F620" s="84" t="s">
        <v>22</v>
      </c>
      <c r="G620" s="84" t="s">
        <v>57</v>
      </c>
      <c r="H620" s="84" t="s">
        <v>1311</v>
      </c>
      <c r="I620" s="84"/>
      <c r="J620" s="15" t="str">
        <f>IF(E620="Invalid_Segment","Invalid",IFERROR(INDEX(Severity_Matrix!$C$3:$M$10,MATCH('Error Log'!$F620,Severity_Matrix!$B$3:$B$10,0),MATCH('Error Log'!$G620,Severity_Matrix!$C$2:$M$2,0)),"No errors"))</f>
        <v>Major</v>
      </c>
    </row>
    <row r="621" spans="1:10">
      <c r="A621" s="112" t="s">
        <v>1307</v>
      </c>
      <c r="B621" s="18">
        <v>3</v>
      </c>
      <c r="C621" s="78" t="s">
        <v>1308</v>
      </c>
      <c r="D621" s="78" t="s">
        <v>1309</v>
      </c>
      <c r="E621" s="84" t="s">
        <v>21</v>
      </c>
      <c r="F621" s="84" t="s">
        <v>7</v>
      </c>
      <c r="G621" s="84" t="s">
        <v>57</v>
      </c>
      <c r="H621" s="84" t="s">
        <v>1312</v>
      </c>
      <c r="I621" s="84"/>
      <c r="J621" s="15" t="str">
        <f>IF(E621="Invalid_Segment","Invalid",IFERROR(INDEX(Severity_Matrix!$C$3:$M$10,MATCH('Error Log'!$F621,Severity_Matrix!$B$3:$B$10,0),MATCH('Error Log'!$G621,Severity_Matrix!$C$2:$M$2,0)),"No errors"))</f>
        <v>Critical</v>
      </c>
    </row>
    <row r="622" spans="1:10">
      <c r="A622" s="112" t="s">
        <v>1307</v>
      </c>
      <c r="B622" s="18">
        <v>4</v>
      </c>
      <c r="C622" s="78" t="s">
        <v>1308</v>
      </c>
      <c r="D622" s="78" t="s">
        <v>1309</v>
      </c>
      <c r="E622" s="84" t="s">
        <v>21</v>
      </c>
      <c r="F622" s="84" t="s">
        <v>7</v>
      </c>
      <c r="G622" s="84" t="s">
        <v>57</v>
      </c>
      <c r="H622" s="84" t="s">
        <v>1313</v>
      </c>
      <c r="I622" s="84"/>
      <c r="J622" s="15" t="str">
        <f>IF(E622="Invalid_Segment","Invalid",IFERROR(INDEX(Severity_Matrix!$C$3:$M$10,MATCH('Error Log'!$F622,Severity_Matrix!$B$3:$B$10,0),MATCH('Error Log'!$G622,Severity_Matrix!$C$2:$M$2,0)),"No errors"))</f>
        <v>Critical</v>
      </c>
    </row>
    <row r="623" spans="1:10">
      <c r="A623" s="94" t="s">
        <v>1314</v>
      </c>
      <c r="B623" s="18">
        <v>1</v>
      </c>
      <c r="C623" s="83" t="s">
        <v>1315</v>
      </c>
      <c r="D623" s="78" t="s">
        <v>1316</v>
      </c>
      <c r="E623" s="84" t="s">
        <v>2</v>
      </c>
      <c r="F623" s="84" t="s">
        <v>26</v>
      </c>
      <c r="G623" s="84" t="s">
        <v>57</v>
      </c>
      <c r="H623" s="84" t="s">
        <v>1317</v>
      </c>
      <c r="I623" s="84"/>
      <c r="J623" s="15" t="str">
        <f>IF(E623="Invalid_Segment","Invalid",IFERROR(INDEX(Severity_Matrix!$C$3:$M$10,MATCH('Error Log'!$F623,Severity_Matrix!$B$3:$B$10,0),MATCH('Error Log'!$G623,Severity_Matrix!$C$2:$M$2,0)),"No errors"))</f>
        <v>Major</v>
      </c>
    </row>
    <row r="624" spans="1:10">
      <c r="A624" s="94" t="s">
        <v>1314</v>
      </c>
      <c r="B624" s="18">
        <v>2</v>
      </c>
      <c r="C624" s="83" t="s">
        <v>1315</v>
      </c>
      <c r="D624" s="78" t="s">
        <v>1316</v>
      </c>
      <c r="E624" s="84" t="s">
        <v>21</v>
      </c>
      <c r="F624" s="84" t="s">
        <v>7</v>
      </c>
      <c r="G624" s="84" t="s">
        <v>57</v>
      </c>
      <c r="H624" s="84" t="s">
        <v>1318</v>
      </c>
      <c r="I624" s="84"/>
      <c r="J624" s="15" t="str">
        <f>IF(E624="Invalid_Segment","Invalid",IFERROR(INDEX(Severity_Matrix!$C$3:$M$10,MATCH('Error Log'!$F624,Severity_Matrix!$B$3:$B$10,0),MATCH('Error Log'!$G624,Severity_Matrix!$C$2:$M$2,0)),"No errors"))</f>
        <v>Critical</v>
      </c>
    </row>
    <row r="625" spans="1:10">
      <c r="A625" s="94" t="s">
        <v>1319</v>
      </c>
      <c r="B625" s="18">
        <v>1</v>
      </c>
      <c r="C625" s="83" t="s">
        <v>1320</v>
      </c>
      <c r="D625" s="78" t="s">
        <v>1321</v>
      </c>
      <c r="E625" s="84" t="s">
        <v>21</v>
      </c>
      <c r="F625" s="84" t="s">
        <v>22</v>
      </c>
      <c r="G625" s="84" t="s">
        <v>28</v>
      </c>
      <c r="H625" s="84" t="s">
        <v>1266</v>
      </c>
      <c r="I625" s="84"/>
      <c r="J625" s="15" t="str">
        <f>IF(E625="Invalid_Segment","Invalid",IFERROR(INDEX(Severity_Matrix!$C$3:$M$10,MATCH('Error Log'!$F625,Severity_Matrix!$B$3:$B$10,0),MATCH('Error Log'!$G625,Severity_Matrix!$C$2:$M$2,0)),"No errors"))</f>
        <v>Major</v>
      </c>
    </row>
    <row r="626" spans="1:10">
      <c r="A626" s="94" t="s">
        <v>1319</v>
      </c>
      <c r="B626" s="18">
        <v>2</v>
      </c>
      <c r="C626" s="83" t="s">
        <v>1320</v>
      </c>
      <c r="D626" s="78" t="s">
        <v>1321</v>
      </c>
      <c r="E626" s="84" t="s">
        <v>21</v>
      </c>
      <c r="F626" s="84" t="s">
        <v>22</v>
      </c>
      <c r="G626" s="84" t="s">
        <v>57</v>
      </c>
      <c r="H626" s="84" t="s">
        <v>1322</v>
      </c>
      <c r="I626" s="84"/>
      <c r="J626" s="15" t="str">
        <f>IF(E626="Invalid_Segment","Invalid",IFERROR(INDEX(Severity_Matrix!$C$3:$M$10,MATCH('Error Log'!$F626,Severity_Matrix!$B$3:$B$10,0),MATCH('Error Log'!$G626,Severity_Matrix!$C$2:$M$2,0)),"No errors"))</f>
        <v>Major</v>
      </c>
    </row>
    <row r="627" spans="1:10">
      <c r="A627" s="94" t="s">
        <v>1319</v>
      </c>
      <c r="B627" s="18">
        <v>3</v>
      </c>
      <c r="C627" s="83" t="s">
        <v>1320</v>
      </c>
      <c r="D627" s="78" t="s">
        <v>1321</v>
      </c>
      <c r="E627" s="84" t="s">
        <v>21</v>
      </c>
      <c r="F627" s="84" t="s">
        <v>22</v>
      </c>
      <c r="G627" s="84" t="s">
        <v>57</v>
      </c>
      <c r="H627" s="84" t="s">
        <v>1323</v>
      </c>
      <c r="I627" s="84"/>
      <c r="J627" s="15" t="str">
        <f>IF(E627="Invalid_Segment","Invalid",IFERROR(INDEX(Severity_Matrix!$C$3:$M$10,MATCH('Error Log'!$F627,Severity_Matrix!$B$3:$B$10,0),MATCH('Error Log'!$G627,Severity_Matrix!$C$2:$M$2,0)),"No errors"))</f>
        <v>Major</v>
      </c>
    </row>
    <row r="628" spans="1:10">
      <c r="A628" s="94" t="s">
        <v>1319</v>
      </c>
      <c r="B628" s="18">
        <v>4</v>
      </c>
      <c r="C628" s="83" t="s">
        <v>1320</v>
      </c>
      <c r="D628" s="78" t="s">
        <v>1321</v>
      </c>
      <c r="E628" s="84" t="s">
        <v>21</v>
      </c>
      <c r="F628" s="84" t="s">
        <v>7</v>
      </c>
      <c r="G628" s="84" t="s">
        <v>57</v>
      </c>
      <c r="H628" s="84" t="s">
        <v>1324</v>
      </c>
      <c r="I628" s="84"/>
      <c r="J628" s="15" t="str">
        <f>IF(E628="Invalid_Segment","Invalid",IFERROR(INDEX(Severity_Matrix!$C$3:$M$10,MATCH('Error Log'!$F628,Severity_Matrix!$B$3:$B$10,0),MATCH('Error Log'!$G628,Severity_Matrix!$C$2:$M$2,0)),"No errors"))</f>
        <v>Critical</v>
      </c>
    </row>
    <row r="629" spans="1:10">
      <c r="A629" s="94" t="s">
        <v>1319</v>
      </c>
      <c r="B629" s="18">
        <v>5</v>
      </c>
      <c r="C629" s="83" t="s">
        <v>1320</v>
      </c>
      <c r="D629" s="78" t="s">
        <v>1321</v>
      </c>
      <c r="E629" s="84" t="s">
        <v>21</v>
      </c>
      <c r="F629" s="84" t="s">
        <v>7</v>
      </c>
      <c r="G629" s="84" t="s">
        <v>57</v>
      </c>
      <c r="H629" s="84" t="s">
        <v>1325</v>
      </c>
      <c r="I629" s="84"/>
      <c r="J629" s="15" t="str">
        <f>IF(E629="Invalid_Segment","Invalid",IFERROR(INDEX(Severity_Matrix!$C$3:$M$10,MATCH('Error Log'!$F629,Severity_Matrix!$B$3:$B$10,0),MATCH('Error Log'!$G629,Severity_Matrix!$C$2:$M$2,0)),"No errors"))</f>
        <v>Critical</v>
      </c>
    </row>
    <row r="630" spans="1:10">
      <c r="A630" s="94" t="s">
        <v>1319</v>
      </c>
      <c r="B630" s="18">
        <v>6</v>
      </c>
      <c r="C630" s="83" t="s">
        <v>1320</v>
      </c>
      <c r="D630" s="78" t="s">
        <v>1321</v>
      </c>
      <c r="E630" s="84" t="s">
        <v>21</v>
      </c>
      <c r="F630" s="84" t="s">
        <v>7</v>
      </c>
      <c r="G630" s="84" t="s">
        <v>57</v>
      </c>
      <c r="H630" s="84" t="s">
        <v>1326</v>
      </c>
      <c r="I630" s="84"/>
      <c r="J630" s="15" t="str">
        <f>IF(E630="Invalid_Segment","Invalid",IFERROR(INDEX(Severity_Matrix!$C$3:$M$10,MATCH('Error Log'!$F630,Severity_Matrix!$B$3:$B$10,0),MATCH('Error Log'!$G630,Severity_Matrix!$C$2:$M$2,0)),"No errors"))</f>
        <v>Critical</v>
      </c>
    </row>
    <row r="631" spans="1:10">
      <c r="A631" s="94" t="s">
        <v>1327</v>
      </c>
      <c r="B631" s="18">
        <v>1</v>
      </c>
      <c r="C631" s="83" t="s">
        <v>1328</v>
      </c>
      <c r="D631" s="78" t="s">
        <v>1329</v>
      </c>
      <c r="E631" s="84" t="s">
        <v>21</v>
      </c>
      <c r="F631" s="84" t="s">
        <v>22</v>
      </c>
      <c r="G631" s="84" t="s">
        <v>57</v>
      </c>
      <c r="H631" s="84" t="s">
        <v>1330</v>
      </c>
      <c r="I631" s="84"/>
      <c r="J631" s="15" t="str">
        <f>IF(E631="Invalid_Segment","Invalid",IFERROR(INDEX(Severity_Matrix!$C$3:$M$10,MATCH('Error Log'!$F631,Severity_Matrix!$B$3:$B$10,0),MATCH('Error Log'!$G631,Severity_Matrix!$C$2:$M$2,0)),"No errors"))</f>
        <v>Major</v>
      </c>
    </row>
    <row r="632" spans="1:10">
      <c r="A632" s="94" t="s">
        <v>1327</v>
      </c>
      <c r="B632" s="18">
        <v>2</v>
      </c>
      <c r="C632" s="83" t="s">
        <v>1328</v>
      </c>
      <c r="D632" s="78" t="s">
        <v>1329</v>
      </c>
      <c r="E632" s="84" t="s">
        <v>21</v>
      </c>
      <c r="F632" s="84" t="s">
        <v>7</v>
      </c>
      <c r="G632" s="84" t="s">
        <v>57</v>
      </c>
      <c r="H632" s="84" t="s">
        <v>1331</v>
      </c>
      <c r="I632" s="84"/>
      <c r="J632" s="15" t="str">
        <f>IF(E632="Invalid_Segment","Invalid",IFERROR(INDEX(Severity_Matrix!$C$3:$M$10,MATCH('Error Log'!$F632,Severity_Matrix!$B$3:$B$10,0),MATCH('Error Log'!$G632,Severity_Matrix!$C$2:$M$2,0)),"No errors"))</f>
        <v>Critical</v>
      </c>
    </row>
    <row r="633" spans="1:10">
      <c r="A633" s="94" t="s">
        <v>1327</v>
      </c>
      <c r="B633" s="18">
        <v>3</v>
      </c>
      <c r="C633" s="83" t="s">
        <v>1328</v>
      </c>
      <c r="D633" s="78" t="s">
        <v>1329</v>
      </c>
      <c r="E633" s="84" t="s">
        <v>21</v>
      </c>
      <c r="F633" s="84" t="s">
        <v>7</v>
      </c>
      <c r="G633" s="84" t="s">
        <v>57</v>
      </c>
      <c r="H633" s="84" t="s">
        <v>1332</v>
      </c>
      <c r="I633" s="84"/>
      <c r="J633" s="15" t="str">
        <f>IF(E633="Invalid_Segment","Invalid",IFERROR(INDEX(Severity_Matrix!$C$3:$M$10,MATCH('Error Log'!$F633,Severity_Matrix!$B$3:$B$10,0),MATCH('Error Log'!$G633,Severity_Matrix!$C$2:$M$2,0)),"No errors"))</f>
        <v>Critical</v>
      </c>
    </row>
    <row r="634" spans="1:10">
      <c r="A634" s="94" t="s">
        <v>1327</v>
      </c>
      <c r="B634" s="18">
        <v>4</v>
      </c>
      <c r="C634" s="83" t="s">
        <v>1328</v>
      </c>
      <c r="D634" s="78" t="s">
        <v>1329</v>
      </c>
      <c r="E634" s="84" t="s">
        <v>21</v>
      </c>
      <c r="F634" s="84" t="s">
        <v>22</v>
      </c>
      <c r="G634" s="84" t="s">
        <v>28</v>
      </c>
      <c r="H634" s="84" t="s">
        <v>1333</v>
      </c>
      <c r="I634" s="84"/>
      <c r="J634" s="15" t="str">
        <f>IF(E634="Invalid_Segment","Invalid",IFERROR(INDEX(Severity_Matrix!$C$3:$M$10,MATCH('Error Log'!$F634,Severity_Matrix!$B$3:$B$10,0),MATCH('Error Log'!$G634,Severity_Matrix!$C$2:$M$2,0)),"No errors"))</f>
        <v>Major</v>
      </c>
    </row>
    <row r="635" spans="1:10">
      <c r="A635" s="19"/>
      <c r="B635" s="18"/>
      <c r="C635" s="20"/>
      <c r="D635" s="20"/>
      <c r="E635" s="14"/>
      <c r="F635" s="14"/>
      <c r="G635" s="14"/>
      <c r="H635" s="14"/>
      <c r="I635" s="14"/>
      <c r="J635" s="15"/>
    </row>
    <row r="636" spans="1:10">
      <c r="A636" s="19"/>
      <c r="B636" s="18"/>
      <c r="C636" s="20"/>
      <c r="D636" s="20"/>
      <c r="E636" s="14"/>
      <c r="F636" s="14"/>
      <c r="G636" s="14"/>
      <c r="H636" s="14"/>
      <c r="I636" s="14"/>
      <c r="J636" s="15"/>
    </row>
    <row r="637" spans="1:10">
      <c r="A637" s="19"/>
      <c r="B637" s="18"/>
      <c r="C637" s="20"/>
      <c r="D637" s="20"/>
      <c r="E637" s="14"/>
      <c r="F637" s="14"/>
      <c r="G637" s="14"/>
      <c r="H637" s="14"/>
      <c r="I637" s="14"/>
      <c r="J637" s="15"/>
    </row>
    <row r="638" spans="1:10">
      <c r="A638" s="19"/>
      <c r="B638" s="18"/>
      <c r="C638" s="20"/>
      <c r="D638" s="20"/>
      <c r="E638" s="14"/>
      <c r="F638" s="14"/>
      <c r="G638" s="14"/>
      <c r="H638" s="14"/>
      <c r="I638" s="14"/>
      <c r="J638" s="15"/>
    </row>
    <row r="639" spans="1:10">
      <c r="A639" s="19"/>
      <c r="B639" s="18"/>
      <c r="C639" s="20"/>
      <c r="D639" s="20"/>
      <c r="E639" s="14"/>
      <c r="F639" s="14"/>
      <c r="G639" s="14"/>
      <c r="H639" s="14"/>
      <c r="I639" s="14"/>
      <c r="J639" s="15"/>
    </row>
    <row r="640" spans="1:10">
      <c r="A640" s="19"/>
      <c r="B640" s="18"/>
      <c r="C640" s="20"/>
      <c r="D640" s="20"/>
      <c r="E640" s="14"/>
      <c r="F640" s="14"/>
      <c r="G640" s="14"/>
      <c r="H640" s="14"/>
      <c r="I640" s="14"/>
      <c r="J640" s="15"/>
    </row>
    <row r="641" spans="1:10">
      <c r="A641" s="19"/>
      <c r="B641" s="18"/>
      <c r="C641" s="20"/>
      <c r="D641" s="20"/>
      <c r="E641" s="14"/>
      <c r="F641" s="14"/>
      <c r="G641" s="14"/>
      <c r="H641" s="14"/>
      <c r="I641" s="14"/>
      <c r="J641" s="15"/>
    </row>
    <row r="642" spans="1:10">
      <c r="A642" s="19"/>
      <c r="B642" s="18"/>
      <c r="C642" s="20"/>
      <c r="D642" s="20"/>
      <c r="E642" s="14"/>
      <c r="F642" s="14"/>
      <c r="G642" s="14"/>
      <c r="H642" s="14"/>
      <c r="I642" s="14"/>
      <c r="J642" s="15"/>
    </row>
    <row r="643" spans="1:10">
      <c r="A643" s="19"/>
      <c r="B643" s="18"/>
      <c r="C643" s="20"/>
      <c r="D643" s="20"/>
      <c r="E643" s="14"/>
      <c r="F643" s="14"/>
      <c r="G643" s="14"/>
      <c r="H643" s="14"/>
      <c r="I643" s="14"/>
      <c r="J643" s="15"/>
    </row>
    <row r="644" spans="1:10">
      <c r="A644" s="19"/>
      <c r="B644" s="18"/>
      <c r="C644" s="20"/>
      <c r="D644" s="20"/>
      <c r="E644" s="14"/>
      <c r="F644" s="14"/>
      <c r="G644" s="14"/>
      <c r="H644" s="14"/>
      <c r="I644" s="14"/>
      <c r="J644" s="15"/>
    </row>
    <row r="645" spans="1:10">
      <c r="A645" s="19"/>
      <c r="B645" s="18"/>
      <c r="C645" s="20"/>
      <c r="D645" s="20"/>
      <c r="E645" s="14"/>
      <c r="F645" s="14"/>
      <c r="G645" s="14"/>
      <c r="H645" s="14"/>
      <c r="I645" s="14"/>
      <c r="J645" s="15"/>
    </row>
    <row r="646" spans="1:10">
      <c r="A646" s="19"/>
      <c r="B646" s="18"/>
      <c r="C646" s="20"/>
      <c r="D646" s="20"/>
      <c r="E646" s="14"/>
      <c r="F646" s="14"/>
      <c r="G646" s="14"/>
      <c r="H646" s="14"/>
      <c r="I646" s="14"/>
      <c r="J646" s="15"/>
    </row>
    <row r="647" spans="1:10">
      <c r="A647" s="19"/>
      <c r="B647" s="18"/>
      <c r="C647" s="20"/>
      <c r="D647" s="20"/>
      <c r="E647" s="14"/>
      <c r="F647" s="14"/>
      <c r="G647" s="14"/>
      <c r="H647" s="14"/>
      <c r="I647" s="14"/>
      <c r="J647" s="15"/>
    </row>
    <row r="648" spans="1:10">
      <c r="A648" s="19"/>
      <c r="B648" s="18"/>
      <c r="C648" s="20"/>
      <c r="D648" s="20"/>
      <c r="E648" s="14"/>
      <c r="F648" s="14"/>
      <c r="G648" s="14"/>
      <c r="H648" s="14"/>
      <c r="I648" s="14"/>
      <c r="J648" s="15"/>
    </row>
    <row r="649" spans="1:10">
      <c r="A649" s="19"/>
      <c r="B649" s="18"/>
      <c r="C649" s="20"/>
      <c r="D649" s="20"/>
      <c r="E649" s="14"/>
      <c r="F649" s="14"/>
      <c r="G649" s="14"/>
      <c r="H649" s="14"/>
      <c r="I649" s="14"/>
      <c r="J649" s="15"/>
    </row>
    <row r="650" spans="1:10">
      <c r="A650" s="19"/>
      <c r="B650" s="18"/>
      <c r="C650" s="20"/>
      <c r="D650" s="20"/>
      <c r="E650" s="14"/>
      <c r="F650" s="14"/>
      <c r="G650" s="14"/>
      <c r="H650" s="14"/>
      <c r="I650" s="14"/>
      <c r="J650" s="15"/>
    </row>
    <row r="651" spans="1:10">
      <c r="A651" s="19"/>
      <c r="B651" s="18"/>
      <c r="C651" s="20"/>
      <c r="D651" s="20"/>
      <c r="E651" s="14"/>
      <c r="F651" s="14"/>
      <c r="G651" s="14"/>
      <c r="H651" s="14"/>
      <c r="I651" s="14"/>
      <c r="J651" s="15"/>
    </row>
    <row r="652" spans="1:10">
      <c r="A652" s="19"/>
      <c r="B652" s="18"/>
      <c r="C652" s="20"/>
      <c r="D652" s="20"/>
      <c r="E652" s="14"/>
      <c r="F652" s="14"/>
      <c r="G652" s="14"/>
      <c r="H652" s="14"/>
      <c r="I652" s="14"/>
      <c r="J652" s="15"/>
    </row>
    <row r="653" spans="1:10">
      <c r="A653" s="19"/>
      <c r="B653" s="18"/>
      <c r="C653" s="20"/>
      <c r="D653" s="20"/>
      <c r="E653" s="14"/>
      <c r="F653" s="14"/>
      <c r="G653" s="14"/>
      <c r="H653" s="14"/>
      <c r="I653" s="14"/>
      <c r="J653" s="15"/>
    </row>
    <row r="654" spans="1:10">
      <c r="A654" s="19"/>
      <c r="B654" s="18"/>
      <c r="C654" s="20"/>
      <c r="D654" s="20"/>
      <c r="E654" s="14"/>
      <c r="F654" s="14"/>
      <c r="G654" s="14"/>
      <c r="H654" s="14"/>
      <c r="I654" s="14"/>
      <c r="J654" s="15"/>
    </row>
    <row r="655" spans="1:10">
      <c r="A655" s="19"/>
      <c r="B655" s="18"/>
      <c r="C655" s="20"/>
      <c r="D655" s="20"/>
      <c r="E655" s="14"/>
      <c r="F655" s="14"/>
      <c r="G655" s="14"/>
      <c r="H655" s="14"/>
      <c r="I655" s="14"/>
      <c r="J655" s="15"/>
    </row>
    <row r="656" spans="1:10">
      <c r="A656" s="19"/>
      <c r="B656" s="18"/>
      <c r="C656" s="20"/>
      <c r="D656" s="20"/>
      <c r="E656" s="14"/>
      <c r="F656" s="14"/>
      <c r="G656" s="14"/>
      <c r="H656" s="14"/>
      <c r="I656" s="14"/>
      <c r="J656" s="15"/>
    </row>
    <row r="657" spans="1:10">
      <c r="A657" s="19"/>
      <c r="B657" s="18"/>
      <c r="C657" s="20"/>
      <c r="D657" s="20"/>
      <c r="E657" s="14"/>
      <c r="F657" s="14"/>
      <c r="G657" s="14"/>
      <c r="H657" s="14"/>
      <c r="I657" s="14"/>
      <c r="J657" s="15"/>
    </row>
    <row r="658" spans="1:10">
      <c r="A658" s="19"/>
      <c r="B658" s="18"/>
      <c r="C658" s="20"/>
      <c r="D658" s="20"/>
      <c r="E658" s="14"/>
      <c r="F658" s="14"/>
      <c r="G658" s="14"/>
      <c r="H658" s="14"/>
      <c r="I658" s="14"/>
      <c r="J658" s="15"/>
    </row>
    <row r="659" spans="1:10">
      <c r="A659" s="19"/>
      <c r="B659" s="18"/>
      <c r="C659" s="20"/>
      <c r="D659" s="20"/>
      <c r="E659" s="14"/>
      <c r="F659" s="14"/>
      <c r="G659" s="14"/>
      <c r="H659" s="14"/>
      <c r="I659" s="14"/>
      <c r="J659" s="15"/>
    </row>
    <row r="660" spans="1:10">
      <c r="A660" s="19"/>
      <c r="B660" s="18"/>
      <c r="C660" s="20"/>
      <c r="D660" s="20"/>
      <c r="E660" s="14"/>
      <c r="F660" s="14"/>
      <c r="G660" s="14"/>
      <c r="H660" s="14"/>
      <c r="I660" s="14"/>
      <c r="J660" s="15"/>
    </row>
    <row r="661" spans="1:10">
      <c r="A661" s="19"/>
      <c r="B661" s="18"/>
      <c r="C661" s="20"/>
      <c r="D661" s="20"/>
      <c r="E661" s="14"/>
      <c r="F661" s="14"/>
      <c r="G661" s="14"/>
      <c r="H661" s="14"/>
      <c r="I661" s="14"/>
      <c r="J661" s="15"/>
    </row>
    <row r="662" spans="1:10">
      <c r="A662" s="19"/>
      <c r="B662" s="18"/>
      <c r="C662" s="20"/>
      <c r="D662" s="20"/>
      <c r="E662" s="14"/>
      <c r="F662" s="14"/>
      <c r="G662" s="14"/>
      <c r="H662" s="14"/>
      <c r="I662" s="14"/>
      <c r="J662" s="15"/>
    </row>
    <row r="663" spans="1:10">
      <c r="A663" s="19"/>
      <c r="B663" s="18"/>
      <c r="C663" s="20"/>
      <c r="D663" s="20"/>
      <c r="E663" s="14"/>
      <c r="F663" s="14"/>
      <c r="G663" s="14"/>
      <c r="H663" s="14"/>
      <c r="I663" s="14"/>
      <c r="J663" s="15"/>
    </row>
    <row r="664" spans="1:10">
      <c r="A664" s="19"/>
      <c r="B664" s="18"/>
      <c r="C664" s="20"/>
      <c r="D664" s="20"/>
      <c r="E664" s="14"/>
      <c r="F664" s="14"/>
      <c r="G664" s="14"/>
      <c r="H664" s="14"/>
      <c r="I664" s="14"/>
      <c r="J664" s="15"/>
    </row>
    <row r="665" spans="1:10">
      <c r="A665" s="19"/>
      <c r="B665" s="18"/>
      <c r="C665" s="20"/>
      <c r="D665" s="20"/>
      <c r="E665" s="14"/>
      <c r="F665" s="14"/>
      <c r="G665" s="14"/>
      <c r="H665" s="14"/>
      <c r="I665" s="14"/>
      <c r="J665" s="15"/>
    </row>
    <row r="666" spans="1:10">
      <c r="A666" s="19"/>
      <c r="B666" s="18"/>
      <c r="C666" s="20"/>
      <c r="D666" s="20"/>
      <c r="E666" s="14"/>
      <c r="F666" s="14"/>
      <c r="G666" s="14"/>
      <c r="H666" s="14"/>
      <c r="I666" s="14"/>
      <c r="J666" s="15"/>
    </row>
    <row r="667" spans="1:10">
      <c r="A667" s="19"/>
      <c r="B667" s="18"/>
      <c r="C667" s="20"/>
      <c r="D667" s="20"/>
      <c r="E667" s="14"/>
      <c r="F667" s="14"/>
      <c r="G667" s="14"/>
      <c r="H667" s="14"/>
      <c r="I667" s="14"/>
      <c r="J667" s="15"/>
    </row>
    <row r="668" spans="1:10">
      <c r="A668" s="19"/>
      <c r="B668" s="18"/>
      <c r="C668" s="20"/>
      <c r="D668" s="20"/>
      <c r="E668" s="14"/>
      <c r="F668" s="14"/>
      <c r="G668" s="14"/>
      <c r="H668" s="14"/>
      <c r="I668" s="14"/>
      <c r="J668" s="15"/>
    </row>
    <row r="669" spans="1:10">
      <c r="A669" s="19"/>
      <c r="B669" s="18"/>
      <c r="C669" s="20"/>
      <c r="D669" s="20"/>
      <c r="E669" s="14"/>
      <c r="F669" s="14"/>
      <c r="G669" s="14"/>
      <c r="H669" s="14"/>
      <c r="I669" s="14"/>
      <c r="J669" s="15"/>
    </row>
    <row r="670" spans="1:10">
      <c r="A670" s="19"/>
      <c r="B670" s="18"/>
      <c r="C670" s="20"/>
      <c r="D670" s="20"/>
      <c r="E670" s="14"/>
      <c r="F670" s="14"/>
      <c r="G670" s="14"/>
      <c r="H670" s="14"/>
      <c r="I670" s="14"/>
      <c r="J670" s="15"/>
    </row>
    <row r="671" spans="1:10">
      <c r="A671" s="19"/>
      <c r="B671" s="18"/>
      <c r="C671" s="20"/>
      <c r="D671" s="20"/>
      <c r="E671" s="14"/>
      <c r="F671" s="14"/>
      <c r="G671" s="14"/>
      <c r="H671" s="14"/>
      <c r="I671" s="14"/>
      <c r="J671" s="15"/>
    </row>
    <row r="672" spans="1:10">
      <c r="A672" s="19"/>
      <c r="B672" s="18"/>
      <c r="C672" s="20"/>
      <c r="D672" s="20"/>
      <c r="E672" s="14"/>
      <c r="F672" s="14"/>
      <c r="G672" s="14"/>
      <c r="H672" s="14"/>
      <c r="I672" s="14"/>
      <c r="J672" s="15"/>
    </row>
    <row r="673" spans="1:10">
      <c r="A673" s="19"/>
      <c r="B673" s="18"/>
      <c r="C673" s="20"/>
      <c r="D673" s="20"/>
      <c r="E673" s="14"/>
      <c r="F673" s="14"/>
      <c r="G673" s="14"/>
      <c r="H673" s="14"/>
      <c r="I673" s="14"/>
      <c r="J673" s="15"/>
    </row>
    <row r="674" spans="1:10">
      <c r="A674" s="19"/>
      <c r="B674" s="18"/>
      <c r="C674" s="20"/>
      <c r="D674" s="20"/>
      <c r="E674" s="14"/>
      <c r="F674" s="14"/>
      <c r="G674" s="14"/>
      <c r="H674" s="14"/>
      <c r="I674" s="14"/>
      <c r="J674" s="15"/>
    </row>
    <row r="675" spans="1:10">
      <c r="A675" s="19"/>
      <c r="B675" s="18"/>
      <c r="C675" s="20"/>
      <c r="D675" s="20"/>
      <c r="E675" s="14"/>
      <c r="F675" s="14"/>
      <c r="G675" s="14"/>
      <c r="H675" s="14"/>
      <c r="I675" s="14"/>
      <c r="J675" s="15"/>
    </row>
    <row r="676" spans="1:10">
      <c r="A676" s="19"/>
      <c r="B676" s="18"/>
      <c r="C676" s="20"/>
      <c r="D676" s="20"/>
      <c r="E676" s="14"/>
      <c r="F676" s="14"/>
      <c r="G676" s="14"/>
      <c r="H676" s="14"/>
      <c r="I676" s="14"/>
      <c r="J676" s="15"/>
    </row>
    <row r="677" spans="1:10">
      <c r="A677" s="19"/>
      <c r="B677" s="18"/>
      <c r="C677" s="20"/>
      <c r="D677" s="20"/>
      <c r="E677" s="14"/>
      <c r="F677" s="14"/>
      <c r="G677" s="14"/>
      <c r="H677" s="14"/>
      <c r="I677" s="14"/>
      <c r="J677" s="15"/>
    </row>
    <row r="678" spans="1:10">
      <c r="A678" s="19"/>
      <c r="B678" s="18"/>
      <c r="C678" s="20"/>
      <c r="D678" s="20"/>
      <c r="E678" s="14"/>
      <c r="F678" s="14"/>
      <c r="G678" s="14"/>
      <c r="H678" s="14"/>
      <c r="I678" s="14"/>
      <c r="J678" s="15"/>
    </row>
    <row r="679" spans="1:10">
      <c r="A679" s="19"/>
      <c r="B679" s="18"/>
      <c r="C679" s="20"/>
      <c r="D679" s="20"/>
      <c r="E679" s="14"/>
      <c r="F679" s="14"/>
      <c r="G679" s="14"/>
      <c r="H679" s="14"/>
      <c r="I679" s="14"/>
      <c r="J679" s="15"/>
    </row>
    <row r="680" spans="1:10">
      <c r="A680" s="19"/>
      <c r="B680" s="18"/>
      <c r="C680" s="20"/>
      <c r="D680" s="20"/>
      <c r="E680" s="14"/>
      <c r="F680" s="14"/>
      <c r="G680" s="14"/>
      <c r="H680" s="14"/>
      <c r="I680" s="14"/>
      <c r="J680" s="15"/>
    </row>
    <row r="681" spans="1:10">
      <c r="A681" s="19"/>
      <c r="B681" s="18"/>
      <c r="C681" s="20"/>
      <c r="D681" s="20"/>
      <c r="E681" s="14"/>
      <c r="F681" s="14"/>
      <c r="G681" s="14"/>
      <c r="H681" s="14"/>
      <c r="I681" s="14"/>
      <c r="J681" s="15"/>
    </row>
    <row r="682" spans="1:10">
      <c r="A682" s="19"/>
      <c r="B682" s="18"/>
      <c r="C682" s="20"/>
      <c r="D682" s="20"/>
      <c r="E682" s="14"/>
      <c r="F682" s="14"/>
      <c r="G682" s="14"/>
      <c r="H682" s="14"/>
      <c r="I682" s="14"/>
      <c r="J682" s="15"/>
    </row>
    <row r="683" spans="1:10">
      <c r="A683" s="19"/>
      <c r="B683" s="18"/>
      <c r="C683" s="20"/>
      <c r="D683" s="20"/>
      <c r="E683" s="14"/>
      <c r="F683" s="14"/>
      <c r="G683" s="14"/>
      <c r="H683" s="14"/>
      <c r="I683" s="14"/>
      <c r="J683" s="15"/>
    </row>
    <row r="684" spans="1:10">
      <c r="A684" s="19"/>
      <c r="B684" s="18"/>
      <c r="C684" s="20"/>
      <c r="D684" s="20"/>
      <c r="E684" s="14"/>
      <c r="F684" s="14"/>
      <c r="G684" s="14"/>
      <c r="H684" s="14"/>
      <c r="I684" s="14"/>
      <c r="J684" s="15"/>
    </row>
    <row r="685" spans="1:10">
      <c r="A685" s="19"/>
      <c r="B685" s="18"/>
      <c r="C685" s="20"/>
      <c r="D685" s="20"/>
      <c r="E685" s="14"/>
      <c r="F685" s="14"/>
      <c r="G685" s="14"/>
      <c r="H685" s="14"/>
      <c r="I685" s="14"/>
      <c r="J685" s="15"/>
    </row>
    <row r="686" spans="1:10">
      <c r="A686" s="19"/>
      <c r="B686" s="18"/>
      <c r="C686" s="20"/>
      <c r="D686" s="20"/>
      <c r="E686" s="14"/>
      <c r="F686" s="14"/>
      <c r="G686" s="14"/>
      <c r="H686" s="14"/>
      <c r="I686" s="14"/>
      <c r="J686" s="15"/>
    </row>
    <row r="687" spans="1:10">
      <c r="A687" s="19"/>
      <c r="B687" s="18"/>
      <c r="C687" s="20"/>
      <c r="D687" s="20"/>
      <c r="E687" s="14"/>
      <c r="F687" s="14"/>
      <c r="G687" s="14"/>
      <c r="H687" s="14"/>
      <c r="I687" s="14"/>
      <c r="J687" s="15"/>
    </row>
    <row r="688" spans="1:10">
      <c r="A688" s="19"/>
      <c r="B688" s="18"/>
      <c r="C688" s="20"/>
      <c r="D688" s="20"/>
      <c r="E688" s="14"/>
      <c r="F688" s="14"/>
      <c r="G688" s="14"/>
      <c r="H688" s="14"/>
      <c r="I688" s="14"/>
      <c r="J688" s="15"/>
    </row>
    <row r="689" spans="1:10">
      <c r="A689" s="19"/>
      <c r="B689" s="18"/>
      <c r="C689" s="20"/>
      <c r="D689" s="20"/>
      <c r="E689" s="14"/>
      <c r="F689" s="14"/>
      <c r="G689" s="14"/>
      <c r="H689" s="14"/>
      <c r="I689" s="14"/>
      <c r="J689" s="15"/>
    </row>
    <row r="690" spans="1:10">
      <c r="A690" s="19"/>
      <c r="B690" s="18"/>
      <c r="C690" s="20"/>
      <c r="D690" s="20"/>
      <c r="E690" s="14"/>
      <c r="F690" s="14"/>
      <c r="G690" s="14"/>
      <c r="H690" s="14"/>
      <c r="I690" s="14"/>
      <c r="J690" s="15"/>
    </row>
    <row r="691" spans="1:10">
      <c r="A691" s="19"/>
      <c r="B691" s="18"/>
      <c r="C691" s="20"/>
      <c r="D691" s="20"/>
      <c r="E691" s="14"/>
      <c r="F691" s="14"/>
      <c r="G691" s="14"/>
      <c r="H691" s="14"/>
      <c r="I691" s="14"/>
      <c r="J691" s="15"/>
    </row>
    <row r="692" spans="1:10">
      <c r="A692" s="19"/>
      <c r="B692" s="18"/>
      <c r="C692" s="20"/>
      <c r="D692" s="20"/>
      <c r="E692" s="14"/>
      <c r="F692" s="14"/>
      <c r="G692" s="14"/>
      <c r="H692" s="14"/>
      <c r="I692" s="14"/>
      <c r="J692" s="15"/>
    </row>
    <row r="693" spans="1:10">
      <c r="A693" s="19"/>
      <c r="B693" s="18"/>
      <c r="C693" s="20"/>
      <c r="D693" s="20"/>
      <c r="E693" s="14"/>
      <c r="F693" s="14"/>
      <c r="G693" s="14"/>
      <c r="H693" s="14"/>
      <c r="I693" s="14"/>
      <c r="J693" s="15"/>
    </row>
    <row r="694" spans="1:10">
      <c r="A694" s="19"/>
      <c r="B694" s="18"/>
      <c r="C694" s="20"/>
      <c r="D694" s="20"/>
      <c r="E694" s="14"/>
      <c r="F694" s="14"/>
      <c r="G694" s="14"/>
      <c r="H694" s="14"/>
      <c r="I694" s="14"/>
      <c r="J694" s="15"/>
    </row>
    <row r="695" spans="1:10">
      <c r="A695" s="19"/>
      <c r="B695" s="18"/>
      <c r="C695" s="20"/>
      <c r="D695" s="20"/>
      <c r="E695" s="14"/>
      <c r="F695" s="14"/>
      <c r="G695" s="14"/>
      <c r="H695" s="14"/>
      <c r="I695" s="14"/>
      <c r="J695" s="15"/>
    </row>
    <row r="696" spans="1:10">
      <c r="A696" s="19"/>
      <c r="B696" s="18"/>
      <c r="C696" s="20"/>
      <c r="D696" s="20"/>
      <c r="E696" s="14"/>
      <c r="F696" s="14"/>
      <c r="G696" s="14"/>
      <c r="H696" s="14"/>
      <c r="I696" s="14"/>
      <c r="J696" s="15"/>
    </row>
    <row r="697" spans="1:10">
      <c r="A697" s="19"/>
      <c r="B697" s="18"/>
      <c r="C697" s="20"/>
      <c r="D697" s="20"/>
      <c r="E697" s="14"/>
      <c r="F697" s="14"/>
      <c r="G697" s="14"/>
      <c r="H697" s="14"/>
      <c r="I697" s="14"/>
      <c r="J697" s="15"/>
    </row>
    <row r="698" spans="1:10">
      <c r="A698" s="19"/>
      <c r="B698" s="18"/>
      <c r="C698" s="20"/>
      <c r="D698" s="20"/>
      <c r="E698" s="14"/>
      <c r="F698" s="14"/>
      <c r="G698" s="14"/>
      <c r="H698" s="14"/>
      <c r="I698" s="14"/>
      <c r="J698" s="15"/>
    </row>
    <row r="699" spans="1:10">
      <c r="A699" s="19"/>
      <c r="B699" s="18"/>
      <c r="C699" s="20"/>
      <c r="D699" s="20"/>
      <c r="E699" s="14"/>
      <c r="F699" s="14"/>
      <c r="G699" s="14"/>
      <c r="H699" s="14"/>
      <c r="I699" s="14"/>
      <c r="J699" s="15"/>
    </row>
    <row r="700" spans="1:10">
      <c r="A700" s="19"/>
      <c r="B700" s="18"/>
      <c r="C700" s="20"/>
      <c r="D700" s="20"/>
      <c r="E700" s="14"/>
      <c r="F700" s="14"/>
      <c r="G700" s="14"/>
      <c r="H700" s="14"/>
      <c r="I700" s="14"/>
      <c r="J700" s="15"/>
    </row>
    <row r="701" spans="1:10">
      <c r="A701" s="19"/>
      <c r="B701" s="18"/>
      <c r="C701" s="20"/>
      <c r="D701" s="20"/>
      <c r="E701" s="14"/>
      <c r="F701" s="14"/>
      <c r="G701" s="14"/>
      <c r="H701" s="14"/>
      <c r="I701" s="14"/>
      <c r="J701" s="15"/>
    </row>
    <row r="702" spans="1:10">
      <c r="A702" s="19"/>
      <c r="B702" s="18"/>
      <c r="C702" s="20"/>
      <c r="D702" s="20"/>
      <c r="E702" s="14"/>
      <c r="F702" s="14"/>
      <c r="G702" s="14"/>
      <c r="H702" s="14"/>
      <c r="I702" s="14"/>
      <c r="J702" s="15"/>
    </row>
    <row r="703" spans="1:10">
      <c r="A703" s="19"/>
      <c r="B703" s="18"/>
      <c r="C703" s="20"/>
      <c r="D703" s="20"/>
      <c r="E703" s="14"/>
      <c r="F703" s="14"/>
      <c r="G703" s="14"/>
      <c r="H703" s="14"/>
      <c r="I703" s="14"/>
      <c r="J703" s="15"/>
    </row>
    <row r="704" spans="1:10">
      <c r="A704" s="19"/>
      <c r="B704" s="18"/>
      <c r="C704" s="20"/>
      <c r="D704" s="20"/>
      <c r="E704" s="14"/>
      <c r="F704" s="14"/>
      <c r="G704" s="14"/>
      <c r="H704" s="14"/>
      <c r="I704" s="14"/>
      <c r="J704" s="15"/>
    </row>
    <row r="705" spans="1:10">
      <c r="A705" s="19"/>
      <c r="B705" s="18"/>
      <c r="C705" s="20"/>
      <c r="D705" s="20"/>
      <c r="E705" s="14"/>
      <c r="F705" s="14"/>
      <c r="G705" s="14"/>
      <c r="H705" s="14"/>
      <c r="I705" s="14"/>
      <c r="J705" s="15"/>
    </row>
    <row r="706" spans="1:10">
      <c r="A706" s="19"/>
      <c r="B706" s="18"/>
      <c r="C706" s="20"/>
      <c r="D706" s="20"/>
      <c r="E706" s="14"/>
      <c r="F706" s="14"/>
      <c r="G706" s="14"/>
      <c r="H706" s="14"/>
      <c r="I706" s="14"/>
      <c r="J706" s="15"/>
    </row>
    <row r="707" spans="1:10">
      <c r="A707" s="19"/>
      <c r="B707" s="18"/>
      <c r="C707" s="20"/>
      <c r="D707" s="20"/>
      <c r="E707" s="14"/>
      <c r="F707" s="14"/>
      <c r="G707" s="14"/>
      <c r="H707" s="14"/>
      <c r="I707" s="14"/>
      <c r="J707" s="15"/>
    </row>
    <row r="708" spans="1:10">
      <c r="A708" s="19"/>
      <c r="B708" s="18"/>
      <c r="C708" s="20"/>
      <c r="D708" s="20"/>
      <c r="E708" s="14"/>
      <c r="F708" s="14"/>
      <c r="G708" s="14"/>
      <c r="H708" s="14"/>
      <c r="I708" s="14"/>
      <c r="J708" s="15"/>
    </row>
    <row r="709" spans="1:10">
      <c r="A709" s="19"/>
      <c r="B709" s="18"/>
      <c r="C709" s="20"/>
      <c r="D709" s="20"/>
      <c r="E709" s="14"/>
      <c r="F709" s="14"/>
      <c r="G709" s="14"/>
      <c r="H709" s="14"/>
      <c r="I709" s="14"/>
      <c r="J709" s="15"/>
    </row>
    <row r="710" spans="1:10">
      <c r="A710" s="19"/>
      <c r="B710" s="18"/>
      <c r="C710" s="20"/>
      <c r="D710" s="20"/>
      <c r="E710" s="14"/>
      <c r="F710" s="14"/>
      <c r="G710" s="14"/>
      <c r="H710" s="14"/>
      <c r="I710" s="14"/>
      <c r="J710" s="15"/>
    </row>
    <row r="711" spans="1:10">
      <c r="A711" s="19"/>
      <c r="B711" s="18"/>
      <c r="C711" s="20"/>
      <c r="D711" s="20"/>
      <c r="E711" s="14"/>
      <c r="F711" s="14"/>
      <c r="G711" s="14"/>
      <c r="H711" s="14"/>
      <c r="I711" s="14"/>
      <c r="J711" s="15"/>
    </row>
    <row r="712" spans="1:10">
      <c r="A712" s="19"/>
      <c r="B712" s="18"/>
      <c r="C712" s="20"/>
      <c r="D712" s="20"/>
      <c r="E712" s="14"/>
      <c r="F712" s="14"/>
      <c r="G712" s="14"/>
      <c r="H712" s="14"/>
      <c r="I712" s="14"/>
      <c r="J712" s="15"/>
    </row>
    <row r="713" spans="1:10">
      <c r="A713" s="19"/>
      <c r="B713" s="18"/>
      <c r="C713" s="20"/>
      <c r="D713" s="20"/>
      <c r="E713" s="14"/>
      <c r="F713" s="14"/>
      <c r="G713" s="14"/>
      <c r="H713" s="14"/>
      <c r="I713" s="14"/>
      <c r="J713" s="15"/>
    </row>
    <row r="714" spans="1:10">
      <c r="A714" s="19"/>
      <c r="B714" s="18"/>
      <c r="C714" s="20"/>
      <c r="D714" s="20"/>
      <c r="E714" s="14"/>
      <c r="F714" s="14"/>
      <c r="G714" s="14"/>
      <c r="H714" s="14"/>
      <c r="I714" s="14"/>
      <c r="J714" s="15"/>
    </row>
    <row r="715" spans="1:10">
      <c r="A715" s="19"/>
      <c r="B715" s="18"/>
      <c r="C715" s="20"/>
      <c r="D715" s="20"/>
      <c r="E715" s="14"/>
      <c r="F715" s="14"/>
      <c r="G715" s="14"/>
      <c r="H715" s="14"/>
      <c r="I715" s="14"/>
      <c r="J715" s="15"/>
    </row>
    <row r="716" spans="1:10">
      <c r="A716" s="19"/>
      <c r="B716" s="18"/>
      <c r="C716" s="20"/>
      <c r="D716" s="20"/>
      <c r="E716" s="14"/>
      <c r="F716" s="14"/>
      <c r="G716" s="14"/>
      <c r="H716" s="14"/>
      <c r="I716" s="14"/>
      <c r="J716" s="15"/>
    </row>
    <row r="717" spans="1:10">
      <c r="A717" s="19"/>
      <c r="B717" s="18"/>
      <c r="C717" s="20"/>
      <c r="D717" s="20"/>
      <c r="E717" s="14"/>
      <c r="F717" s="14"/>
      <c r="G717" s="14"/>
      <c r="H717" s="14"/>
      <c r="I717" s="14"/>
      <c r="J717" s="15"/>
    </row>
    <row r="718" spans="1:10">
      <c r="A718" s="19"/>
      <c r="B718" s="18"/>
      <c r="C718" s="20"/>
      <c r="D718" s="20"/>
      <c r="E718" s="14"/>
      <c r="F718" s="14"/>
      <c r="G718" s="14"/>
      <c r="H718" s="14"/>
      <c r="I718" s="14"/>
      <c r="J718" s="15"/>
    </row>
    <row r="719" spans="1:10">
      <c r="A719" s="19"/>
      <c r="B719" s="18"/>
      <c r="C719" s="20"/>
      <c r="D719" s="20"/>
      <c r="E719" s="14"/>
      <c r="F719" s="14"/>
      <c r="G719" s="14"/>
      <c r="H719" s="14"/>
      <c r="I719" s="14"/>
      <c r="J719" s="15"/>
    </row>
    <row r="720" spans="1:10">
      <c r="A720" s="19"/>
      <c r="B720" s="18"/>
      <c r="C720" s="20"/>
      <c r="D720" s="20"/>
      <c r="E720" s="14"/>
      <c r="F720" s="14"/>
      <c r="G720" s="14"/>
      <c r="H720" s="14"/>
      <c r="I720" s="14"/>
      <c r="J720" s="15"/>
    </row>
    <row r="721" spans="1:10">
      <c r="A721" s="19"/>
      <c r="B721" s="18"/>
      <c r="C721" s="20"/>
      <c r="D721" s="20"/>
      <c r="E721" s="14"/>
      <c r="F721" s="14"/>
      <c r="G721" s="14"/>
      <c r="H721" s="14"/>
      <c r="I721" s="14"/>
      <c r="J721" s="15"/>
    </row>
    <row r="722" spans="1:10">
      <c r="A722" s="19"/>
      <c r="B722" s="18"/>
      <c r="C722" s="20"/>
      <c r="D722" s="20"/>
      <c r="E722" s="14"/>
      <c r="F722" s="14"/>
      <c r="G722" s="14"/>
      <c r="H722" s="14"/>
      <c r="I722" s="14"/>
      <c r="J722" s="15"/>
    </row>
    <row r="723" spans="1:10">
      <c r="A723" s="19"/>
      <c r="B723" s="18"/>
      <c r="C723" s="20"/>
      <c r="D723" s="20"/>
      <c r="E723" s="14"/>
      <c r="F723" s="14"/>
      <c r="G723" s="14"/>
      <c r="H723" s="14"/>
      <c r="I723" s="14"/>
      <c r="J723" s="15"/>
    </row>
    <row r="724" spans="1:10">
      <c r="A724" s="19"/>
      <c r="B724" s="18"/>
      <c r="C724" s="20"/>
      <c r="D724" s="20"/>
      <c r="E724" s="14"/>
      <c r="F724" s="14"/>
      <c r="G724" s="14"/>
      <c r="H724" s="14"/>
      <c r="I724" s="14"/>
      <c r="J724" s="15"/>
    </row>
    <row r="725" spans="1:10">
      <c r="A725" s="19"/>
      <c r="B725" s="18"/>
      <c r="C725" s="20"/>
      <c r="D725" s="20"/>
      <c r="E725" s="14"/>
      <c r="F725" s="14"/>
      <c r="G725" s="14"/>
      <c r="H725" s="14"/>
      <c r="I725" s="14"/>
      <c r="J725" s="15"/>
    </row>
    <row r="726" spans="1:10">
      <c r="A726" s="19"/>
      <c r="B726" s="18"/>
      <c r="C726" s="20"/>
      <c r="D726" s="20"/>
      <c r="E726" s="14"/>
      <c r="F726" s="14"/>
      <c r="G726" s="14"/>
      <c r="H726" s="14"/>
      <c r="I726" s="14"/>
      <c r="J726" s="15"/>
    </row>
    <row r="727" spans="1:10">
      <c r="A727" s="19"/>
      <c r="B727" s="18"/>
      <c r="C727" s="20"/>
      <c r="D727" s="20"/>
      <c r="E727" s="14"/>
      <c r="F727" s="14"/>
      <c r="G727" s="14"/>
      <c r="H727" s="14"/>
      <c r="I727" s="14"/>
      <c r="J727" s="15"/>
    </row>
    <row r="728" spans="1:10">
      <c r="A728" s="19"/>
      <c r="B728" s="18"/>
      <c r="C728" s="20"/>
      <c r="D728" s="20"/>
      <c r="E728" s="14"/>
      <c r="F728" s="14"/>
      <c r="G728" s="14"/>
      <c r="H728" s="14"/>
      <c r="I728" s="14"/>
      <c r="J728" s="15"/>
    </row>
    <row r="729" spans="1:10">
      <c r="A729" s="19"/>
      <c r="B729" s="18"/>
      <c r="C729" s="20"/>
      <c r="D729" s="20"/>
      <c r="E729" s="14"/>
      <c r="F729" s="14"/>
      <c r="G729" s="14"/>
      <c r="H729" s="14"/>
      <c r="I729" s="14"/>
      <c r="J729" s="15"/>
    </row>
    <row r="730" spans="1:10">
      <c r="A730" s="19"/>
      <c r="B730" s="18"/>
      <c r="C730" s="20"/>
      <c r="D730" s="20"/>
      <c r="E730" s="14"/>
      <c r="F730" s="14"/>
      <c r="G730" s="14"/>
      <c r="H730" s="14"/>
      <c r="I730" s="14"/>
      <c r="J730" s="15"/>
    </row>
    <row r="731" spans="1:10">
      <c r="A731" s="19"/>
      <c r="B731" s="18"/>
      <c r="C731" s="20"/>
      <c r="D731" s="20"/>
      <c r="E731" s="14"/>
      <c r="F731" s="14"/>
      <c r="G731" s="14"/>
      <c r="H731" s="14"/>
      <c r="I731" s="14"/>
      <c r="J731" s="15"/>
    </row>
    <row r="732" spans="1:10">
      <c r="A732" s="19"/>
      <c r="B732" s="18"/>
      <c r="C732" s="20"/>
      <c r="D732" s="20"/>
      <c r="E732" s="14"/>
      <c r="F732" s="14"/>
      <c r="G732" s="14"/>
      <c r="H732" s="14"/>
      <c r="I732" s="14"/>
      <c r="J732" s="15"/>
    </row>
    <row r="733" spans="1:10">
      <c r="A733" s="19"/>
      <c r="B733" s="18"/>
      <c r="C733" s="20"/>
      <c r="D733" s="20"/>
      <c r="E733" s="14"/>
      <c r="F733" s="14"/>
      <c r="G733" s="14"/>
      <c r="H733" s="14"/>
      <c r="I733" s="14"/>
      <c r="J733" s="15"/>
    </row>
    <row r="734" spans="1:10">
      <c r="A734" s="19"/>
      <c r="B734" s="18"/>
      <c r="C734" s="20"/>
      <c r="D734" s="20"/>
      <c r="E734" s="14"/>
      <c r="F734" s="14"/>
      <c r="G734" s="14"/>
      <c r="H734" s="14"/>
      <c r="I734" s="14"/>
      <c r="J734" s="15"/>
    </row>
    <row r="735" spans="1:10">
      <c r="A735" s="19"/>
      <c r="B735" s="18"/>
      <c r="C735" s="20"/>
      <c r="D735" s="20"/>
      <c r="E735" s="14"/>
      <c r="F735" s="14"/>
      <c r="G735" s="14"/>
      <c r="H735" s="14"/>
      <c r="I735" s="14"/>
      <c r="J735" s="15"/>
    </row>
    <row r="736" spans="1:10">
      <c r="A736" s="19"/>
      <c r="B736" s="18"/>
      <c r="C736" s="20"/>
      <c r="D736" s="20"/>
      <c r="E736" s="14"/>
      <c r="F736" s="14"/>
      <c r="G736" s="14"/>
      <c r="H736" s="14"/>
      <c r="I736" s="14"/>
      <c r="J736" s="15"/>
    </row>
    <row r="737" spans="1:10">
      <c r="A737" s="19"/>
      <c r="B737" s="18"/>
      <c r="C737" s="20"/>
      <c r="D737" s="20"/>
      <c r="E737" s="14"/>
      <c r="F737" s="14"/>
      <c r="G737" s="14"/>
      <c r="H737" s="14"/>
      <c r="I737" s="14"/>
      <c r="J737" s="15"/>
    </row>
    <row r="738" spans="1:10">
      <c r="A738" s="19"/>
      <c r="B738" s="18"/>
      <c r="C738" s="20"/>
      <c r="D738" s="20"/>
      <c r="E738" s="14"/>
      <c r="F738" s="14"/>
      <c r="G738" s="14"/>
      <c r="H738" s="14"/>
      <c r="I738" s="14"/>
      <c r="J738" s="15"/>
    </row>
    <row r="739" spans="1:10">
      <c r="A739" s="19"/>
      <c r="B739" s="18"/>
      <c r="C739" s="20"/>
      <c r="D739" s="20"/>
      <c r="E739" s="14"/>
      <c r="F739" s="14"/>
      <c r="G739" s="14"/>
      <c r="H739" s="14"/>
      <c r="I739" s="14"/>
      <c r="J739" s="15"/>
    </row>
    <row r="740" spans="1:10">
      <c r="A740" s="19"/>
      <c r="B740" s="18"/>
      <c r="C740" s="20"/>
      <c r="D740" s="20"/>
      <c r="E740" s="14"/>
      <c r="F740" s="14"/>
      <c r="G740" s="14"/>
      <c r="H740" s="14"/>
      <c r="I740" s="14"/>
      <c r="J740" s="15"/>
    </row>
    <row r="741" spans="1:10">
      <c r="A741" s="19"/>
      <c r="B741" s="18"/>
      <c r="C741" s="20"/>
      <c r="D741" s="20"/>
      <c r="E741" s="14"/>
      <c r="F741" s="14"/>
      <c r="G741" s="14"/>
      <c r="H741" s="14"/>
      <c r="I741" s="14"/>
      <c r="J741" s="15"/>
    </row>
    <row r="742" spans="1:10">
      <c r="A742" s="19"/>
      <c r="B742" s="18"/>
      <c r="C742" s="20"/>
      <c r="D742" s="20"/>
      <c r="E742" s="14"/>
      <c r="F742" s="14"/>
      <c r="G742" s="14"/>
      <c r="H742" s="14"/>
      <c r="I742" s="14"/>
      <c r="J742" s="15"/>
    </row>
    <row r="743" spans="1:10">
      <c r="A743" s="19"/>
      <c r="B743" s="18"/>
      <c r="C743" s="20"/>
      <c r="D743" s="20"/>
      <c r="E743" s="14"/>
      <c r="F743" s="14"/>
      <c r="G743" s="14"/>
      <c r="H743" s="14"/>
      <c r="I743" s="14"/>
      <c r="J743" s="15"/>
    </row>
    <row r="744" spans="1:10">
      <c r="A744" s="19"/>
      <c r="B744" s="18"/>
      <c r="C744" s="20"/>
      <c r="D744" s="20"/>
      <c r="E744" s="14"/>
      <c r="F744" s="14"/>
      <c r="G744" s="14"/>
      <c r="H744" s="14"/>
      <c r="I744" s="14"/>
      <c r="J744" s="15"/>
    </row>
    <row r="745" spans="1:10">
      <c r="A745" s="19"/>
      <c r="B745" s="18"/>
      <c r="C745" s="20"/>
      <c r="D745" s="20"/>
      <c r="E745" s="14"/>
      <c r="F745" s="14"/>
      <c r="G745" s="14"/>
      <c r="H745" s="14"/>
      <c r="I745" s="14"/>
      <c r="J745" s="15"/>
    </row>
    <row r="746" spans="1:10">
      <c r="A746" s="19"/>
      <c r="B746" s="18"/>
      <c r="C746" s="20"/>
      <c r="D746" s="20"/>
      <c r="E746" s="14"/>
      <c r="F746" s="14"/>
      <c r="G746" s="14"/>
      <c r="H746" s="14"/>
      <c r="I746" s="14"/>
      <c r="J746" s="15"/>
    </row>
    <row r="747" spans="1:10">
      <c r="A747" s="19"/>
      <c r="B747" s="18"/>
      <c r="C747" s="20"/>
      <c r="D747" s="20"/>
      <c r="E747" s="14"/>
      <c r="F747" s="14"/>
      <c r="G747" s="14"/>
      <c r="H747" s="14"/>
      <c r="I747" s="14"/>
      <c r="J747" s="15"/>
    </row>
    <row r="748" spans="1:10">
      <c r="A748" s="19"/>
      <c r="B748" s="18"/>
      <c r="C748" s="20"/>
      <c r="D748" s="20"/>
      <c r="E748" s="14"/>
      <c r="F748" s="14"/>
      <c r="G748" s="14"/>
      <c r="H748" s="14"/>
      <c r="I748" s="14"/>
      <c r="J748" s="15"/>
    </row>
    <row r="749" spans="1:10">
      <c r="A749" s="19"/>
      <c r="B749" s="18"/>
      <c r="C749" s="20"/>
      <c r="D749" s="20"/>
      <c r="E749" s="14"/>
      <c r="F749" s="14"/>
      <c r="G749" s="14"/>
      <c r="H749" s="14"/>
      <c r="I749" s="14"/>
      <c r="J749" s="15"/>
    </row>
    <row r="750" spans="1:10">
      <c r="A750" s="19"/>
      <c r="B750" s="18"/>
      <c r="C750" s="20"/>
      <c r="D750" s="20"/>
      <c r="E750" s="14"/>
      <c r="F750" s="14"/>
      <c r="G750" s="14"/>
      <c r="H750" s="14"/>
      <c r="I750" s="14"/>
      <c r="J750" s="15"/>
    </row>
    <row r="751" spans="1:10">
      <c r="A751" s="19"/>
      <c r="B751" s="18"/>
      <c r="C751" s="20"/>
      <c r="D751" s="20"/>
      <c r="E751" s="14"/>
      <c r="F751" s="14"/>
      <c r="G751" s="14"/>
      <c r="H751" s="14"/>
      <c r="I751" s="14"/>
      <c r="J751" s="15"/>
    </row>
    <row r="752" spans="1:10">
      <c r="A752" s="19"/>
      <c r="B752" s="18"/>
      <c r="C752" s="20"/>
      <c r="D752" s="20"/>
      <c r="E752" s="14"/>
      <c r="F752" s="14"/>
      <c r="G752" s="14"/>
      <c r="H752" s="14"/>
      <c r="I752" s="14"/>
      <c r="J752" s="15"/>
    </row>
    <row r="753" spans="1:10">
      <c r="A753" s="19"/>
      <c r="B753" s="18"/>
      <c r="C753" s="20"/>
      <c r="D753" s="20"/>
      <c r="E753" s="14"/>
      <c r="F753" s="14"/>
      <c r="G753" s="14"/>
      <c r="H753" s="14"/>
      <c r="I753" s="14"/>
      <c r="J753" s="15"/>
    </row>
    <row r="754" spans="1:10">
      <c r="A754" s="19"/>
      <c r="B754" s="18"/>
      <c r="C754" s="20"/>
      <c r="D754" s="20"/>
      <c r="E754" s="14"/>
      <c r="F754" s="14"/>
      <c r="G754" s="14"/>
      <c r="H754" s="14"/>
      <c r="I754" s="14"/>
      <c r="J754" s="15"/>
    </row>
    <row r="755" spans="1:10">
      <c r="A755" s="19"/>
      <c r="B755" s="18"/>
      <c r="C755" s="20"/>
      <c r="D755" s="20"/>
      <c r="E755" s="14"/>
      <c r="F755" s="14"/>
      <c r="G755" s="14"/>
      <c r="H755" s="14"/>
      <c r="I755" s="14"/>
      <c r="J755" s="15"/>
    </row>
    <row r="756" spans="1:10">
      <c r="A756" s="19"/>
      <c r="B756" s="18"/>
      <c r="C756" s="20"/>
      <c r="D756" s="20"/>
      <c r="E756" s="14"/>
      <c r="F756" s="14"/>
      <c r="G756" s="14"/>
      <c r="H756" s="14"/>
      <c r="I756" s="14"/>
      <c r="J756" s="15"/>
    </row>
    <row r="757" spans="1:10">
      <c r="A757" s="19"/>
      <c r="B757" s="18"/>
      <c r="C757" s="20"/>
      <c r="D757" s="20"/>
      <c r="E757" s="14"/>
      <c r="F757" s="14"/>
      <c r="G757" s="14"/>
      <c r="H757" s="14"/>
      <c r="I757" s="14"/>
      <c r="J757" s="15"/>
    </row>
    <row r="758" spans="1:10">
      <c r="A758" s="19"/>
      <c r="B758" s="18"/>
      <c r="C758" s="20"/>
      <c r="D758" s="20"/>
      <c r="E758" s="14"/>
      <c r="F758" s="14"/>
      <c r="G758" s="14"/>
      <c r="H758" s="14"/>
      <c r="I758" s="14"/>
      <c r="J758" s="15"/>
    </row>
    <row r="759" spans="1:10">
      <c r="A759" s="19"/>
      <c r="B759" s="18"/>
      <c r="C759" s="20"/>
      <c r="D759" s="20"/>
      <c r="E759" s="14"/>
      <c r="F759" s="14"/>
      <c r="G759" s="14"/>
      <c r="H759" s="14"/>
      <c r="I759" s="14"/>
      <c r="J759" s="15"/>
    </row>
    <row r="760" spans="1:10">
      <c r="A760" s="19"/>
      <c r="B760" s="18"/>
      <c r="C760" s="20"/>
      <c r="D760" s="20"/>
      <c r="E760" s="14"/>
      <c r="F760" s="14"/>
      <c r="G760" s="14"/>
      <c r="H760" s="14"/>
      <c r="I760" s="14"/>
      <c r="J760" s="15"/>
    </row>
    <row r="761" spans="1:10">
      <c r="A761" s="19"/>
      <c r="B761" s="18"/>
      <c r="C761" s="20"/>
      <c r="D761" s="20"/>
      <c r="E761" s="14"/>
      <c r="F761" s="14"/>
      <c r="G761" s="14"/>
      <c r="H761" s="14"/>
      <c r="I761" s="14"/>
      <c r="J761" s="15"/>
    </row>
    <row r="762" spans="1:10">
      <c r="A762" s="19"/>
      <c r="B762" s="18"/>
      <c r="C762" s="20"/>
      <c r="D762" s="20"/>
      <c r="E762" s="14"/>
      <c r="F762" s="14"/>
      <c r="G762" s="14"/>
      <c r="H762" s="14"/>
      <c r="I762" s="14"/>
      <c r="J762" s="15"/>
    </row>
    <row r="763" spans="1:10">
      <c r="A763" s="19"/>
      <c r="B763" s="18"/>
      <c r="C763" s="20"/>
      <c r="D763" s="20"/>
      <c r="E763" s="14"/>
      <c r="F763" s="14"/>
      <c r="G763" s="14"/>
      <c r="H763" s="14"/>
      <c r="I763" s="14"/>
      <c r="J763" s="15"/>
    </row>
    <row r="764" spans="1:10">
      <c r="A764" s="19"/>
      <c r="B764" s="18"/>
      <c r="C764" s="20"/>
      <c r="D764" s="20"/>
      <c r="E764" s="14"/>
      <c r="F764" s="14"/>
      <c r="G764" s="14"/>
      <c r="H764" s="14"/>
      <c r="I764" s="14"/>
      <c r="J764" s="15"/>
    </row>
    <row r="765" spans="1:10">
      <c r="A765" s="19"/>
      <c r="B765" s="18"/>
      <c r="C765" s="20"/>
      <c r="D765" s="20"/>
      <c r="E765" s="14"/>
      <c r="F765" s="14"/>
      <c r="G765" s="14"/>
      <c r="H765" s="14"/>
      <c r="I765" s="14"/>
      <c r="J765" s="15"/>
    </row>
    <row r="766" spans="1:10">
      <c r="A766" s="19"/>
      <c r="B766" s="18"/>
      <c r="C766" s="20"/>
      <c r="D766" s="20"/>
      <c r="E766" s="14"/>
      <c r="F766" s="14"/>
      <c r="G766" s="14"/>
      <c r="H766" s="14"/>
      <c r="I766" s="14"/>
      <c r="J766" s="15"/>
    </row>
    <row r="767" spans="1:10">
      <c r="A767" s="19"/>
      <c r="B767" s="18"/>
      <c r="C767" s="20"/>
      <c r="D767" s="20"/>
      <c r="E767" s="14"/>
      <c r="F767" s="14"/>
      <c r="G767" s="14"/>
      <c r="H767" s="14"/>
      <c r="I767" s="14"/>
      <c r="J767" s="15"/>
    </row>
    <row r="768" spans="1:10">
      <c r="A768" s="19"/>
      <c r="B768" s="18"/>
      <c r="C768" s="20"/>
      <c r="D768" s="20"/>
      <c r="E768" s="14"/>
      <c r="F768" s="14"/>
      <c r="G768" s="14"/>
      <c r="H768" s="14"/>
      <c r="I768" s="14"/>
      <c r="J768" s="15"/>
    </row>
    <row r="769" spans="1:10">
      <c r="A769" s="19"/>
      <c r="B769" s="18"/>
      <c r="C769" s="20"/>
      <c r="D769" s="20"/>
      <c r="E769" s="14"/>
      <c r="F769" s="14"/>
      <c r="G769" s="14"/>
      <c r="H769" s="14"/>
      <c r="I769" s="14"/>
      <c r="J769" s="15"/>
    </row>
    <row r="770" spans="1:10">
      <c r="A770" s="19"/>
      <c r="B770" s="18"/>
      <c r="C770" s="20"/>
      <c r="D770" s="20"/>
      <c r="E770" s="14"/>
      <c r="F770" s="14"/>
      <c r="G770" s="14"/>
      <c r="H770" s="14"/>
      <c r="I770" s="14"/>
      <c r="J770" s="15"/>
    </row>
    <row r="771" spans="1:10">
      <c r="A771" s="19"/>
      <c r="B771" s="18"/>
      <c r="C771" s="20"/>
      <c r="D771" s="20"/>
      <c r="E771" s="14"/>
      <c r="F771" s="14"/>
      <c r="G771" s="14"/>
      <c r="H771" s="14"/>
      <c r="I771" s="14"/>
      <c r="J771" s="15"/>
    </row>
    <row r="772" spans="1:10">
      <c r="A772" s="19"/>
      <c r="B772" s="18"/>
      <c r="C772" s="20"/>
      <c r="D772" s="20"/>
      <c r="E772" s="14"/>
      <c r="F772" s="14"/>
      <c r="G772" s="14"/>
      <c r="H772" s="14"/>
      <c r="I772" s="14"/>
      <c r="J772" s="15"/>
    </row>
    <row r="773" spans="1:10">
      <c r="A773" s="19"/>
      <c r="B773" s="18"/>
      <c r="C773" s="20"/>
      <c r="D773" s="20"/>
      <c r="E773" s="14"/>
      <c r="F773" s="14"/>
      <c r="G773" s="14"/>
      <c r="H773" s="14"/>
      <c r="I773" s="14"/>
      <c r="J773" s="15"/>
    </row>
    <row r="774" spans="1:10">
      <c r="A774" s="19"/>
      <c r="B774" s="18"/>
      <c r="C774" s="20"/>
      <c r="D774" s="20"/>
      <c r="E774" s="14"/>
      <c r="F774" s="14"/>
      <c r="G774" s="14"/>
      <c r="H774" s="14"/>
      <c r="I774" s="14"/>
      <c r="J774" s="15"/>
    </row>
    <row r="775" spans="1:10">
      <c r="A775" s="19"/>
      <c r="B775" s="18"/>
      <c r="C775" s="20"/>
      <c r="D775" s="20"/>
      <c r="E775" s="14"/>
      <c r="F775" s="14"/>
      <c r="G775" s="14"/>
      <c r="H775" s="14"/>
      <c r="I775" s="14"/>
      <c r="J775" s="15"/>
    </row>
    <row r="776" spans="1:10">
      <c r="A776" s="19"/>
      <c r="B776" s="18"/>
      <c r="C776" s="20"/>
      <c r="D776" s="20"/>
      <c r="E776" s="14"/>
      <c r="F776" s="14"/>
      <c r="G776" s="14"/>
      <c r="H776" s="14"/>
      <c r="I776" s="14"/>
      <c r="J776" s="15"/>
    </row>
    <row r="777" spans="1:10">
      <c r="A777" s="19"/>
      <c r="B777" s="18"/>
      <c r="C777" s="20"/>
      <c r="D777" s="20"/>
      <c r="E777" s="14"/>
      <c r="F777" s="14"/>
      <c r="G777" s="14"/>
      <c r="H777" s="14"/>
      <c r="I777" s="14"/>
      <c r="J777" s="15"/>
    </row>
    <row r="778" spans="1:10">
      <c r="A778" s="19"/>
      <c r="B778" s="18"/>
      <c r="C778" s="20"/>
      <c r="D778" s="20"/>
      <c r="E778" s="14"/>
      <c r="F778" s="14"/>
      <c r="G778" s="14"/>
      <c r="H778" s="14"/>
      <c r="I778" s="14"/>
      <c r="J778" s="15"/>
    </row>
    <row r="779" spans="1:10">
      <c r="A779" s="19"/>
      <c r="B779" s="18"/>
      <c r="C779" s="20"/>
      <c r="D779" s="20"/>
      <c r="E779" s="14"/>
      <c r="F779" s="14"/>
      <c r="G779" s="14"/>
      <c r="H779" s="14"/>
      <c r="I779" s="14"/>
      <c r="J779" s="15"/>
    </row>
    <row r="780" spans="1:10">
      <c r="A780" s="19"/>
      <c r="B780" s="18"/>
      <c r="C780" s="20"/>
      <c r="D780" s="20"/>
      <c r="E780" s="14"/>
      <c r="F780" s="14"/>
      <c r="G780" s="14"/>
      <c r="H780" s="14"/>
      <c r="I780" s="14"/>
      <c r="J780" s="15"/>
    </row>
    <row r="781" spans="1:10">
      <c r="A781" s="19"/>
      <c r="B781" s="18"/>
      <c r="C781" s="20"/>
      <c r="D781" s="20"/>
      <c r="E781" s="14"/>
      <c r="F781" s="14"/>
      <c r="G781" s="14"/>
      <c r="H781" s="14"/>
      <c r="I781" s="14"/>
      <c r="J781" s="15"/>
    </row>
    <row r="782" spans="1:10">
      <c r="A782" s="19"/>
      <c r="B782" s="18"/>
      <c r="C782" s="20"/>
      <c r="D782" s="20"/>
      <c r="E782" s="14"/>
      <c r="F782" s="14"/>
      <c r="G782" s="14"/>
      <c r="H782" s="14"/>
      <c r="I782" s="14"/>
      <c r="J782" s="15"/>
    </row>
    <row r="783" spans="1:10">
      <c r="A783" s="19"/>
      <c r="B783" s="18"/>
      <c r="C783" s="20"/>
      <c r="D783" s="20"/>
      <c r="E783" s="14"/>
      <c r="F783" s="14"/>
      <c r="G783" s="14"/>
      <c r="H783" s="14"/>
      <c r="I783" s="14"/>
      <c r="J783" s="15"/>
    </row>
    <row r="784" spans="1:10">
      <c r="A784" s="19"/>
      <c r="B784" s="18"/>
      <c r="C784" s="20"/>
      <c r="D784" s="20"/>
      <c r="E784" s="14"/>
      <c r="F784" s="14"/>
      <c r="G784" s="14"/>
      <c r="H784" s="14"/>
      <c r="I784" s="14"/>
      <c r="J784" s="15"/>
    </row>
    <row r="785" spans="1:10">
      <c r="A785" s="19"/>
      <c r="B785" s="18"/>
      <c r="C785" s="20"/>
      <c r="D785" s="20"/>
      <c r="E785" s="14"/>
      <c r="F785" s="14"/>
      <c r="G785" s="14"/>
      <c r="H785" s="14"/>
      <c r="I785" s="14"/>
      <c r="J785" s="15"/>
    </row>
    <row r="786" spans="1:10">
      <c r="A786" s="19"/>
      <c r="B786" s="18"/>
      <c r="C786" s="20"/>
      <c r="D786" s="20"/>
      <c r="E786" s="14"/>
      <c r="F786" s="14"/>
      <c r="G786" s="14"/>
      <c r="H786" s="14"/>
      <c r="I786" s="14"/>
      <c r="J786" s="15"/>
    </row>
    <row r="787" spans="1:10">
      <c r="A787" s="19"/>
      <c r="B787" s="18"/>
      <c r="C787" s="20"/>
      <c r="D787" s="20"/>
      <c r="E787" s="14"/>
      <c r="F787" s="14"/>
      <c r="G787" s="14"/>
      <c r="H787" s="14"/>
      <c r="I787" s="14"/>
      <c r="J787" s="15"/>
    </row>
    <row r="788" spans="1:10">
      <c r="A788" s="19"/>
      <c r="B788" s="18"/>
      <c r="C788" s="20"/>
      <c r="D788" s="20"/>
      <c r="E788" s="14"/>
      <c r="F788" s="14"/>
      <c r="G788" s="14"/>
      <c r="H788" s="14"/>
      <c r="I788" s="14"/>
      <c r="J788" s="15"/>
    </row>
    <row r="789" spans="1:10">
      <c r="A789" s="19"/>
      <c r="B789" s="18"/>
      <c r="C789" s="20"/>
      <c r="D789" s="20"/>
      <c r="E789" s="14"/>
      <c r="F789" s="14"/>
      <c r="G789" s="14"/>
      <c r="H789" s="14"/>
      <c r="I789" s="14"/>
      <c r="J789" s="15"/>
    </row>
    <row r="790" spans="1:10">
      <c r="A790" s="19"/>
      <c r="B790" s="18"/>
      <c r="C790" s="20"/>
      <c r="D790" s="20"/>
      <c r="E790" s="14"/>
      <c r="F790" s="14"/>
      <c r="G790" s="14"/>
      <c r="H790" s="14"/>
      <c r="I790" s="14"/>
      <c r="J790" s="15"/>
    </row>
    <row r="791" spans="1:10">
      <c r="A791" s="19"/>
      <c r="B791" s="18"/>
      <c r="C791" s="20"/>
      <c r="D791" s="20"/>
      <c r="E791" s="14"/>
      <c r="F791" s="14"/>
      <c r="G791" s="14"/>
      <c r="H791" s="14"/>
      <c r="I791" s="14"/>
      <c r="J791" s="15"/>
    </row>
    <row r="792" spans="1:10">
      <c r="A792" s="19"/>
      <c r="B792" s="18"/>
      <c r="C792" s="20"/>
      <c r="D792" s="20"/>
      <c r="E792" s="14"/>
      <c r="F792" s="14"/>
      <c r="G792" s="14"/>
      <c r="H792" s="14"/>
      <c r="I792" s="14"/>
      <c r="J792" s="15"/>
    </row>
    <row r="793" spans="1:10">
      <c r="A793" s="19"/>
      <c r="B793" s="18"/>
      <c r="C793" s="20"/>
      <c r="D793" s="20"/>
      <c r="E793" s="14"/>
      <c r="F793" s="14"/>
      <c r="G793" s="14"/>
      <c r="H793" s="14"/>
      <c r="I793" s="14"/>
      <c r="J793" s="15"/>
    </row>
    <row r="794" spans="1:10">
      <c r="A794" s="19"/>
      <c r="B794" s="18"/>
      <c r="C794" s="20"/>
      <c r="D794" s="20"/>
      <c r="E794" s="14"/>
      <c r="F794" s="14"/>
      <c r="G794" s="14"/>
      <c r="H794" s="14"/>
      <c r="I794" s="14"/>
      <c r="J794" s="15"/>
    </row>
    <row r="795" spans="1:10">
      <c r="A795" s="19"/>
      <c r="B795" s="18"/>
      <c r="C795" s="20"/>
      <c r="D795" s="20"/>
      <c r="E795" s="14"/>
      <c r="F795" s="14"/>
      <c r="G795" s="14"/>
      <c r="H795" s="14"/>
      <c r="I795" s="14"/>
      <c r="J795" s="15"/>
    </row>
    <row r="796" spans="1:10">
      <c r="A796" s="19"/>
      <c r="B796" s="18"/>
      <c r="C796" s="20"/>
      <c r="D796" s="20"/>
      <c r="E796" s="14"/>
      <c r="F796" s="14"/>
      <c r="G796" s="14"/>
      <c r="H796" s="14"/>
      <c r="I796" s="14"/>
      <c r="J796" s="15"/>
    </row>
    <row r="797" spans="1:10">
      <c r="A797" s="19"/>
      <c r="B797" s="18"/>
      <c r="C797" s="20"/>
      <c r="D797" s="20"/>
      <c r="E797" s="14"/>
      <c r="F797" s="14"/>
      <c r="G797" s="14"/>
      <c r="H797" s="14"/>
      <c r="I797" s="14"/>
      <c r="J797" s="15"/>
    </row>
    <row r="798" spans="1:10">
      <c r="A798" s="19"/>
      <c r="B798" s="18"/>
      <c r="C798" s="20"/>
      <c r="D798" s="20"/>
      <c r="E798" s="14"/>
      <c r="F798" s="14"/>
      <c r="G798" s="14"/>
      <c r="H798" s="14"/>
      <c r="I798" s="14"/>
      <c r="J798" s="15"/>
    </row>
    <row r="799" spans="1:10">
      <c r="A799" s="19"/>
      <c r="B799" s="18"/>
      <c r="C799" s="20"/>
      <c r="D799" s="20"/>
      <c r="E799" s="14"/>
      <c r="F799" s="14"/>
      <c r="G799" s="14"/>
      <c r="H799" s="14"/>
      <c r="I799" s="14"/>
      <c r="J799" s="15"/>
    </row>
    <row r="800" spans="1:10">
      <c r="A800" s="19"/>
      <c r="B800" s="18"/>
      <c r="C800" s="20"/>
      <c r="D800" s="20"/>
      <c r="E800" s="14"/>
      <c r="F800" s="14"/>
      <c r="G800" s="14"/>
      <c r="H800" s="14"/>
      <c r="I800" s="14"/>
      <c r="J800" s="15"/>
    </row>
    <row r="801" spans="1:10">
      <c r="A801" s="19"/>
      <c r="B801" s="18"/>
      <c r="C801" s="20"/>
      <c r="D801" s="20"/>
      <c r="E801" s="14"/>
      <c r="F801" s="14"/>
      <c r="G801" s="14"/>
      <c r="H801" s="14"/>
      <c r="I801" s="14"/>
      <c r="J801" s="15"/>
    </row>
    <row r="802" spans="1:10">
      <c r="A802" s="19"/>
      <c r="B802" s="18"/>
      <c r="C802" s="20"/>
      <c r="D802" s="20"/>
      <c r="E802" s="14"/>
      <c r="F802" s="14"/>
      <c r="G802" s="14"/>
      <c r="H802" s="14"/>
      <c r="I802" s="14"/>
      <c r="J802" s="15"/>
    </row>
    <row r="803" spans="1:10">
      <c r="A803" s="19"/>
      <c r="B803" s="18"/>
      <c r="C803" s="20"/>
      <c r="D803" s="20"/>
      <c r="E803" s="14"/>
      <c r="F803" s="14"/>
      <c r="G803" s="14"/>
      <c r="H803" s="14"/>
      <c r="I803" s="14"/>
      <c r="J803" s="15"/>
    </row>
    <row r="804" spans="1:10">
      <c r="A804" s="19"/>
      <c r="B804" s="18"/>
      <c r="C804" s="20"/>
      <c r="D804" s="20"/>
      <c r="E804" s="14"/>
      <c r="F804" s="14"/>
      <c r="G804" s="14"/>
      <c r="H804" s="14"/>
      <c r="I804" s="14"/>
      <c r="J804" s="15"/>
    </row>
    <row r="805" spans="1:10">
      <c r="A805" s="19"/>
      <c r="B805" s="18"/>
      <c r="C805" s="20"/>
      <c r="D805" s="20"/>
      <c r="E805" s="14"/>
      <c r="F805" s="14"/>
      <c r="G805" s="14"/>
      <c r="H805" s="14"/>
      <c r="I805" s="14"/>
      <c r="J805" s="15"/>
    </row>
    <row r="806" spans="1:10">
      <c r="A806" s="19"/>
      <c r="B806" s="18"/>
      <c r="C806" s="20"/>
      <c r="D806" s="20"/>
      <c r="E806" s="14"/>
      <c r="F806" s="14"/>
      <c r="G806" s="14"/>
      <c r="H806" s="14"/>
      <c r="I806" s="14"/>
      <c r="J806" s="15"/>
    </row>
    <row r="807" spans="1:10">
      <c r="A807" s="19"/>
      <c r="B807" s="18"/>
      <c r="C807" s="20"/>
      <c r="D807" s="20"/>
      <c r="E807" s="14"/>
      <c r="F807" s="14"/>
      <c r="G807" s="14"/>
      <c r="H807" s="14"/>
      <c r="I807" s="14"/>
      <c r="J807" s="15"/>
    </row>
    <row r="808" spans="1:10">
      <c r="A808" s="19"/>
      <c r="B808" s="18"/>
      <c r="C808" s="20"/>
      <c r="D808" s="20"/>
      <c r="E808" s="14"/>
      <c r="F808" s="14"/>
      <c r="G808" s="14"/>
      <c r="H808" s="14"/>
      <c r="I808" s="14"/>
      <c r="J808" s="15"/>
    </row>
    <row r="809" spans="1:10">
      <c r="A809" s="19"/>
      <c r="B809" s="18"/>
      <c r="C809" s="20"/>
      <c r="D809" s="20"/>
      <c r="E809" s="14"/>
      <c r="F809" s="14"/>
      <c r="G809" s="14"/>
      <c r="H809" s="14"/>
      <c r="I809" s="14"/>
      <c r="J809" s="15"/>
    </row>
    <row r="810" spans="1:10">
      <c r="A810" s="19"/>
      <c r="B810" s="18"/>
      <c r="C810" s="20"/>
      <c r="D810" s="20"/>
      <c r="E810" s="14"/>
      <c r="F810" s="14"/>
      <c r="G810" s="14"/>
      <c r="H810" s="14"/>
      <c r="I810" s="14"/>
      <c r="J810" s="15"/>
    </row>
    <row r="811" spans="1:10">
      <c r="A811" s="19"/>
      <c r="B811" s="18"/>
      <c r="C811" s="20"/>
      <c r="D811" s="20"/>
      <c r="E811" s="14"/>
      <c r="F811" s="14"/>
      <c r="G811" s="14"/>
      <c r="H811" s="14"/>
      <c r="I811" s="14"/>
      <c r="J811" s="15"/>
    </row>
    <row r="812" spans="1:10">
      <c r="A812" s="19"/>
      <c r="B812" s="18"/>
      <c r="C812" s="20"/>
      <c r="D812" s="20"/>
      <c r="E812" s="14"/>
      <c r="F812" s="14"/>
      <c r="G812" s="14"/>
      <c r="H812" s="14"/>
      <c r="I812" s="14"/>
      <c r="J812" s="15"/>
    </row>
    <row r="813" spans="1:10">
      <c r="A813" s="19"/>
      <c r="B813" s="18"/>
      <c r="C813" s="20"/>
      <c r="D813" s="20"/>
      <c r="E813" s="14"/>
      <c r="F813" s="14"/>
      <c r="G813" s="14"/>
      <c r="H813" s="14"/>
      <c r="I813" s="14"/>
      <c r="J813" s="15"/>
    </row>
    <row r="814" spans="1:10">
      <c r="A814" s="19"/>
      <c r="B814" s="18"/>
      <c r="C814" s="20"/>
      <c r="D814" s="20"/>
      <c r="E814" s="14"/>
      <c r="F814" s="14"/>
      <c r="G814" s="14"/>
      <c r="H814" s="14"/>
      <c r="I814" s="14"/>
      <c r="J814" s="15"/>
    </row>
    <row r="815" spans="1:10">
      <c r="A815" s="19"/>
      <c r="B815" s="18"/>
      <c r="C815" s="20"/>
      <c r="D815" s="20"/>
      <c r="E815" s="14"/>
      <c r="F815" s="14"/>
      <c r="G815" s="14"/>
      <c r="H815" s="14"/>
      <c r="I815" s="14"/>
      <c r="J815" s="15"/>
    </row>
    <row r="816" spans="1:10">
      <c r="A816" s="19"/>
      <c r="B816" s="18"/>
      <c r="C816" s="20"/>
      <c r="D816" s="20"/>
      <c r="E816" s="14"/>
      <c r="F816" s="14"/>
      <c r="G816" s="14"/>
      <c r="H816" s="14"/>
      <c r="I816" s="14"/>
      <c r="J816" s="15"/>
    </row>
  </sheetData>
  <sheetProtection formatCells="0" formatColumns="0" formatRows="0" insertRows="0" deleteRows="0" autoFilter="0"/>
  <phoneticPr fontId="4" type="noConversion"/>
  <conditionalFormatting sqref="E635:G816 E1 E92:G95 E635:E1048576 E117:G120 G89:G91 G114:G116 E122:G122 G121 E125:G126 G123:G124">
    <cfRule type="expression" dxfId="911" priority="3227">
      <formula>IF(OR(AND(E1="",F1="",OR(G1="Critical",G1="Major",G1="Minor"))),1,0)</formula>
    </cfRule>
  </conditionalFormatting>
  <conditionalFormatting sqref="F1 F92:F95 F635:F1048576 F111:F113 F117:F120 F122 F125:F126">
    <cfRule type="expression" dxfId="910" priority="3226">
      <formula>IF(AND(F1="",OR(E1="Accuracy",E1="Fluency",E1="Segment",E1="Other")),1,0)</formula>
    </cfRule>
  </conditionalFormatting>
  <conditionalFormatting sqref="G1 G635:G1048576">
    <cfRule type="expression" dxfId="909" priority="3225">
      <formula>IF(AND(OR(G1="",E1="Segment"),OR(E1="Accuracy",E1="Fluency",E1="Other")),1,0)</formula>
    </cfRule>
  </conditionalFormatting>
  <conditionalFormatting sqref="E98:G100 G78 E81:G82 G63 E67:G71 G53 E29:G29 G16 E19:G20 G9 E12:G12 E2:G5 E9:F11 E16:F18 E25:G26 E31:G36 E43:F44 E48:G50 E53:F54 E58:G58 E61:F63 E72:F74 E78:F80 E85:G85 E88:F91 E101:F101 E104:F105 E108:F110 E114:F116 E121:F121 E123:F124 E129:F129 E131:F131 E135:F136 E140:F141 E143:F143 E154:F155 E159:F159 E163:F164 E174:F177 E181:F181 E185:F185 E191:F191 E194:F196 E201:F203 E208:F209 E214:F214 E219:F220 E223:F223 E231:F232 E239:F241 E246:F250 E256:F257 E261:F263 E269:F269 E271:F271 E274:F274 E278:F280 E283:F285 E290:F292 E296:F298 E307:F307 E309:F309 E312:F314 E320:F322 E325:F326 E330:F331 E338:F338 E342:F344 E348:F348 E351:F352 E356:F356 E358:F359 E364:F364 E367:F367 E369:F371 E374:F376 E380:F381 E386:F387 E390:F392 E397:F397 E399:F399 E402:F403 E407:F409 E414:F414 E416:F417 E420:F421 E433:F433 E436:F436 E442:F443 E445:F445 E449:F452 E454:F455 E457:F458 E462:F462 E464:F466 E470:F472 E478:F478 E480:F481 E484:F484 E487:F488 E491:F492 E497:F499 E501:F501 E503:F504 E507:F508 E515:F516 E518:F519 E521:F523 E529:F529 E531:F532 E534:F534 E538:F538 E540:F540 E544:F545 E549:F551 E559:F559 E561:F561 E565:F566 E570:F570 E573:F573 E575:F576 E579:F580 E583:F584 E588:F588 E592:F592">
    <cfRule type="expression" dxfId="908" priority="1027">
      <formula>IF(OR(AND(E2="",F2="",OR(G2="Critical",G2="Major",G2="Minor"))),1,0)</formula>
    </cfRule>
  </conditionalFormatting>
  <conditionalFormatting sqref="F29 F2:F5 F9:F12 F16:F20 F25:F26 F31:F36 F43:F44 F48:F50 F53:F54 F58 F61:F63 F67:F74 F78:F82 F85 F88:F91 F98:F101 F104:F105 F108:F110 F114:F116 F121 F123:F124 F129 F131 F135:F136 F140:F141 F143 F154:F155 F159 F163:F164 F174:F177 F181 F185 F191 F194:F196 F201:F203 F208:F209 F214 F219:F220 F223 F231:F232 F239:F241 F246:F250 F256:F257 F261:F263 F269 F271 F274 F278:F280 F283:F285 F290:F292 F296:F298 F307 F309 F312:F314 F320:F322 F325:F326 F330:F331 F338 F342:F344 F348 F351:F352 F356 F358:F359 F364 F367 F369:F371 F374:F376 F380:F381 F386:F387 F390:F392 F397 F399 F402:F403 F407:F409 F414 F416:F417 F420:F421 F433 F436 F442:F443 F445 F449:F452 F454:F455 F457:F458 F462 F464:F466 F470:F472 F478 F480:F481 F484 F487:F488 F491:F492 F497:F499 F501 F503:F504 F507:F508 F515:F516 F518:F519 F521:F523 F529 F531:F532 F534 F538 F540 F544:F545 F549:F551 F559 F561 F565:F566 F570 F573 F575:F576 F579:F580 F583:F584 F588 F592">
    <cfRule type="expression" dxfId="907" priority="1026">
      <formula>IF(AND(F2="",OR(E2="Accuracy",E2="Fluency",E2="Segment",E2="Other")),1,0)</formula>
    </cfRule>
  </conditionalFormatting>
  <conditionalFormatting sqref="G98:G100 G85 G78 G81:G82 G63 G67:G71 G58 G53 G48:G50 G31:G36 G25:G26 G29 G16 G19:G20 G9 G12 G2:G5 G89:G95">
    <cfRule type="expression" dxfId="906" priority="1028">
      <formula>IF(AND(OR(G2="",#REF!="Segment"),OR(#REF!="Accuracy",#REF!="Fluency",#REF!="Other")),1,0)</formula>
    </cfRule>
  </conditionalFormatting>
  <conditionalFormatting sqref="E6:G6">
    <cfRule type="expression" dxfId="905" priority="1024">
      <formula>IF(OR(AND(E6="",F6="",OR(G6="Critical",G6="Major",G6="Minor"))),1,0)</formula>
    </cfRule>
  </conditionalFormatting>
  <conditionalFormatting sqref="F6">
    <cfRule type="expression" dxfId="904" priority="1023">
      <formula>IF(AND(F6="",OR(E6="Accuracy",E6="Fluency",E6="Segment",E6="Other")),1,0)</formula>
    </cfRule>
  </conditionalFormatting>
  <conditionalFormatting sqref="G6">
    <cfRule type="expression" dxfId="903" priority="1025">
      <formula>IF(AND(OR(G6="",#REF!="Segment"),OR(#REF!="Accuracy",#REF!="Fluency",#REF!="Other")),1,0)</formula>
    </cfRule>
  </conditionalFormatting>
  <conditionalFormatting sqref="E7:G7">
    <cfRule type="expression" dxfId="902" priority="1021">
      <formula>IF(OR(AND(E7="",F7="",OR(G7="Critical",G7="Major",G7="Minor"))),1,0)</formula>
    </cfRule>
  </conditionalFormatting>
  <conditionalFormatting sqref="F7">
    <cfRule type="expression" dxfId="901" priority="1020">
      <formula>IF(AND(F7="",OR(E7="Accuracy",E7="Fluency",E7="Segment",E7="Other")),1,0)</formula>
    </cfRule>
  </conditionalFormatting>
  <conditionalFormatting sqref="G7">
    <cfRule type="expression" dxfId="900" priority="1022">
      <formula>IF(AND(OR(G7="",#REF!="Segment"),OR(#REF!="Accuracy",#REF!="Fluency",#REF!="Other")),1,0)</formula>
    </cfRule>
  </conditionalFormatting>
  <conditionalFormatting sqref="E8:G8">
    <cfRule type="expression" dxfId="899" priority="1018">
      <formula>IF(OR(AND(E8="",F8="",OR(G8="Critical",G8="Major",G8="Minor"))),1,0)</formula>
    </cfRule>
  </conditionalFormatting>
  <conditionalFormatting sqref="F8">
    <cfRule type="expression" dxfId="898" priority="1017">
      <formula>IF(AND(F8="",OR(E8="Accuracy",E8="Fluency",E8="Segment",E8="Other")),1,0)</formula>
    </cfRule>
  </conditionalFormatting>
  <conditionalFormatting sqref="G8">
    <cfRule type="expression" dxfId="897" priority="1019">
      <formula>IF(AND(OR(G8="",#REF!="Segment"),OR(#REF!="Accuracy",#REF!="Fluency",#REF!="Other")),1,0)</formula>
    </cfRule>
  </conditionalFormatting>
  <conditionalFormatting sqref="G10">
    <cfRule type="expression" dxfId="896" priority="1015">
      <formula>IF(OR(AND(G10="",H10="",OR(I10="Critical",I10="Major",I10="Minor"))),1,0)</formula>
    </cfRule>
  </conditionalFormatting>
  <conditionalFormatting sqref="G10">
    <cfRule type="expression" dxfId="895" priority="1016">
      <formula>IF(AND(OR(G10="",#REF!="Segment"),OR(#REF!="Accuracy",#REF!="Fluency",#REF!="Other")),1,0)</formula>
    </cfRule>
  </conditionalFormatting>
  <conditionalFormatting sqref="G11">
    <cfRule type="expression" dxfId="894" priority="1012">
      <formula>IF(OR(AND(G11="",H11="",OR(I11="Critical",I11="Major",I11="Minor"))),1,0)</formula>
    </cfRule>
  </conditionalFormatting>
  <conditionalFormatting sqref="G11">
    <cfRule type="expression" dxfId="893" priority="1013">
      <formula>IF(AND(OR(G11="",#REF!="Segment"),OR(#REF!="Accuracy",#REF!="Fluency",#REF!="Other")),1,0)</formula>
    </cfRule>
  </conditionalFormatting>
  <conditionalFormatting sqref="E13:G13">
    <cfRule type="expression" dxfId="892" priority="1009">
      <formula>IF(OR(AND(E13="",F13="",OR(G13="Critical",G13="Major",G13="Minor"))),1,0)</formula>
    </cfRule>
  </conditionalFormatting>
  <conditionalFormatting sqref="F13">
    <cfRule type="expression" dxfId="891" priority="1008">
      <formula>IF(AND(F13="",OR(E13="Accuracy",E13="Fluency",E13="Segment",E13="Other")),1,0)</formula>
    </cfRule>
  </conditionalFormatting>
  <conditionalFormatting sqref="G13">
    <cfRule type="expression" dxfId="890" priority="1010">
      <formula>IF(AND(OR(G13="",#REF!="Segment"),OR(#REF!="Accuracy",#REF!="Fluency",#REF!="Other")),1,0)</formula>
    </cfRule>
  </conditionalFormatting>
  <conditionalFormatting sqref="E14:G14">
    <cfRule type="expression" dxfId="889" priority="1006">
      <formula>IF(OR(AND(E14="",F14="",OR(G14="Critical",G14="Major",G14="Minor"))),1,0)</formula>
    </cfRule>
  </conditionalFormatting>
  <conditionalFormatting sqref="F14">
    <cfRule type="expression" dxfId="888" priority="1005">
      <formula>IF(AND(F14="",OR(E14="Accuracy",E14="Fluency",E14="Segment",E14="Other")),1,0)</formula>
    </cfRule>
  </conditionalFormatting>
  <conditionalFormatting sqref="G14">
    <cfRule type="expression" dxfId="887" priority="1007">
      <formula>IF(AND(OR(G14="",#REF!="Segment"),OR(#REF!="Accuracy",#REF!="Fluency",#REF!="Other")),1,0)</formula>
    </cfRule>
  </conditionalFormatting>
  <conditionalFormatting sqref="E15:G15">
    <cfRule type="expression" dxfId="886" priority="1003">
      <formula>IF(OR(AND(E15="",F15="",OR(G15="Critical",G15="Major",G15="Minor"))),1,0)</formula>
    </cfRule>
  </conditionalFormatting>
  <conditionalFormatting sqref="F15">
    <cfRule type="expression" dxfId="885" priority="1002">
      <formula>IF(AND(F15="",OR(E15="Accuracy",E15="Fluency",E15="Segment",E15="Other")),1,0)</formula>
    </cfRule>
  </conditionalFormatting>
  <conditionalFormatting sqref="G15">
    <cfRule type="expression" dxfId="884" priority="1004">
      <formula>IF(AND(OR(G15="",#REF!="Segment"),OR(#REF!="Accuracy",#REF!="Fluency",#REF!="Other")),1,0)</formula>
    </cfRule>
  </conditionalFormatting>
  <conditionalFormatting sqref="G17">
    <cfRule type="expression" dxfId="883" priority="1000">
      <formula>IF(OR(AND(G17="",H17="",OR(I17="Critical",I17="Major",I17="Minor"))),1,0)</formula>
    </cfRule>
  </conditionalFormatting>
  <conditionalFormatting sqref="G17">
    <cfRule type="expression" dxfId="882" priority="1001">
      <formula>IF(AND(OR(G17="",#REF!="Segment"),OR(#REF!="Accuracy",#REF!="Fluency",#REF!="Other")),1,0)</formula>
    </cfRule>
  </conditionalFormatting>
  <conditionalFormatting sqref="G18">
    <cfRule type="expression" dxfId="881" priority="997">
      <formula>IF(OR(AND(G18="",H18="",OR(I18="Critical",I18="Major",I18="Minor"))),1,0)</formula>
    </cfRule>
  </conditionalFormatting>
  <conditionalFormatting sqref="G18">
    <cfRule type="expression" dxfId="880" priority="998">
      <formula>IF(AND(OR(G18="",#REF!="Segment"),OR(#REF!="Accuracy",#REF!="Fluency",#REF!="Other")),1,0)</formula>
    </cfRule>
  </conditionalFormatting>
  <conditionalFormatting sqref="E21:G21">
    <cfRule type="expression" dxfId="879" priority="994">
      <formula>IF(OR(AND(E21="",F21="",OR(G21="Critical",G21="Major",G21="Minor"))),1,0)</formula>
    </cfRule>
  </conditionalFormatting>
  <conditionalFormatting sqref="F21">
    <cfRule type="expression" dxfId="878" priority="993">
      <formula>IF(AND(F21="",OR(E21="Accuracy",E21="Fluency",E21="Segment",E21="Other")),1,0)</formula>
    </cfRule>
  </conditionalFormatting>
  <conditionalFormatting sqref="G21">
    <cfRule type="expression" dxfId="877" priority="995">
      <formula>IF(AND(OR(G21="",#REF!="Segment"),OR(#REF!="Accuracy",#REF!="Fluency",#REF!="Other")),1,0)</formula>
    </cfRule>
  </conditionalFormatting>
  <conditionalFormatting sqref="E22:G22">
    <cfRule type="expression" dxfId="876" priority="991">
      <formula>IF(OR(AND(E22="",F22="",OR(G22="Critical",G22="Major",G22="Minor"))),1,0)</formula>
    </cfRule>
  </conditionalFormatting>
  <conditionalFormatting sqref="F22">
    <cfRule type="expression" dxfId="875" priority="990">
      <formula>IF(AND(F22="",OR(E22="Accuracy",E22="Fluency",E22="Segment",E22="Other")),1,0)</formula>
    </cfRule>
  </conditionalFormatting>
  <conditionalFormatting sqref="G22">
    <cfRule type="expression" dxfId="874" priority="992">
      <formula>IF(AND(OR(G22="",#REF!="Segment"),OR(#REF!="Accuracy",#REF!="Fluency",#REF!="Other")),1,0)</formula>
    </cfRule>
  </conditionalFormatting>
  <conditionalFormatting sqref="E23:G23">
    <cfRule type="expression" dxfId="873" priority="988">
      <formula>IF(OR(AND(E23="",F23="",OR(G23="Critical",G23="Major",G23="Minor"))),1,0)</formula>
    </cfRule>
  </conditionalFormatting>
  <conditionalFormatting sqref="F23">
    <cfRule type="expression" dxfId="872" priority="987">
      <formula>IF(AND(F23="",OR(E23="Accuracy",E23="Fluency",E23="Segment",E23="Other")),1,0)</formula>
    </cfRule>
  </conditionalFormatting>
  <conditionalFormatting sqref="G23">
    <cfRule type="expression" dxfId="871" priority="989">
      <formula>IF(AND(OR(G23="",#REF!="Segment"),OR(#REF!="Accuracy",#REF!="Fluency",#REF!="Other")),1,0)</formula>
    </cfRule>
  </conditionalFormatting>
  <conditionalFormatting sqref="E24:G24">
    <cfRule type="expression" dxfId="870" priority="985">
      <formula>IF(OR(AND(E24="",F24="",OR(G24="Critical",G24="Major",G24="Minor"))),1,0)</formula>
    </cfRule>
  </conditionalFormatting>
  <conditionalFormatting sqref="F24">
    <cfRule type="expression" dxfId="869" priority="984">
      <formula>IF(AND(F24="",OR(E24="Accuracy",E24="Fluency",E24="Segment",E24="Other")),1,0)</formula>
    </cfRule>
  </conditionalFormatting>
  <conditionalFormatting sqref="G24">
    <cfRule type="expression" dxfId="868" priority="986">
      <formula>IF(AND(OR(G24="",#REF!="Segment"),OR(#REF!="Accuracy",#REF!="Fluency",#REF!="Other")),1,0)</formula>
    </cfRule>
  </conditionalFormatting>
  <conditionalFormatting sqref="E27:G27">
    <cfRule type="expression" dxfId="867" priority="982">
      <formula>IF(OR(AND(E27="",F27="",OR(G27="Critical",G27="Major",G27="Minor"))),1,0)</formula>
    </cfRule>
  </conditionalFormatting>
  <conditionalFormatting sqref="F27">
    <cfRule type="expression" dxfId="866" priority="981">
      <formula>IF(AND(F27="",OR(E27="Accuracy",E27="Fluency",E27="Segment",E27="Other")),1,0)</formula>
    </cfRule>
  </conditionalFormatting>
  <conditionalFormatting sqref="G27">
    <cfRule type="expression" dxfId="865" priority="983">
      <formula>IF(AND(OR(G27="",#REF!="Segment"),OR(#REF!="Accuracy",#REF!="Fluency",#REF!="Other")),1,0)</formula>
    </cfRule>
  </conditionalFormatting>
  <conditionalFormatting sqref="E28:G28">
    <cfRule type="expression" dxfId="864" priority="979">
      <formula>IF(OR(AND(E28="",F28="",OR(G28="Critical",G28="Major",G28="Minor"))),1,0)</formula>
    </cfRule>
  </conditionalFormatting>
  <conditionalFormatting sqref="F28">
    <cfRule type="expression" dxfId="863" priority="978">
      <formula>IF(AND(F28="",OR(E28="Accuracy",E28="Fluency",E28="Segment",E28="Other")),1,0)</formula>
    </cfRule>
  </conditionalFormatting>
  <conditionalFormatting sqref="G28">
    <cfRule type="expression" dxfId="862" priority="980">
      <formula>IF(AND(OR(G28="",#REF!="Segment"),OR(#REF!="Accuracy",#REF!="Fluency",#REF!="Other")),1,0)</formula>
    </cfRule>
  </conditionalFormatting>
  <conditionalFormatting sqref="E30:G30">
    <cfRule type="expression" dxfId="861" priority="976">
      <formula>IF(OR(AND(E30="",F30="",OR(G30="Critical",G30="Major",G30="Minor"))),1,0)</formula>
    </cfRule>
  </conditionalFormatting>
  <conditionalFormatting sqref="F30">
    <cfRule type="expression" dxfId="860" priority="975">
      <formula>IF(AND(F30="",OR(E30="Accuracy",E30="Fluency",E30="Segment",E30="Other")),1,0)</formula>
    </cfRule>
  </conditionalFormatting>
  <conditionalFormatting sqref="G30">
    <cfRule type="expression" dxfId="859" priority="977">
      <formula>IF(AND(OR(G30="",#REF!="Segment"),OR(#REF!="Accuracy",#REF!="Fluency",#REF!="Other")),1,0)</formula>
    </cfRule>
  </conditionalFormatting>
  <conditionalFormatting sqref="E37:G37">
    <cfRule type="expression" dxfId="858" priority="973">
      <formula>IF(OR(AND(E37="",F37="",OR(G37="Critical",G37="Major",G37="Minor"))),1,0)</formula>
    </cfRule>
  </conditionalFormatting>
  <conditionalFormatting sqref="F37">
    <cfRule type="expression" dxfId="857" priority="972">
      <formula>IF(AND(F37="",OR(E37="Accuracy",E37="Fluency",E37="Segment",E37="Other")),1,0)</formula>
    </cfRule>
  </conditionalFormatting>
  <conditionalFormatting sqref="G37">
    <cfRule type="expression" dxfId="856" priority="974">
      <formula>IF(AND(OR(G37="",#REF!="Segment"),OR(#REF!="Accuracy",#REF!="Fluency",#REF!="Other")),1,0)</formula>
    </cfRule>
  </conditionalFormatting>
  <conditionalFormatting sqref="E38:G38">
    <cfRule type="expression" dxfId="855" priority="970">
      <formula>IF(OR(AND(E38="",F38="",OR(G38="Critical",G38="Major",G38="Minor"))),1,0)</formula>
    </cfRule>
  </conditionalFormatting>
  <conditionalFormatting sqref="F38">
    <cfRule type="expression" dxfId="854" priority="969">
      <formula>IF(AND(F38="",OR(E38="Accuracy",E38="Fluency",E38="Segment",E38="Other")),1,0)</formula>
    </cfRule>
  </conditionalFormatting>
  <conditionalFormatting sqref="G38">
    <cfRule type="expression" dxfId="853" priority="971">
      <formula>IF(AND(OR(G38="",#REF!="Segment"),OR(#REF!="Accuracy",#REF!="Fluency",#REF!="Other")),1,0)</formula>
    </cfRule>
  </conditionalFormatting>
  <conditionalFormatting sqref="E39:G39">
    <cfRule type="expression" dxfId="852" priority="967">
      <formula>IF(OR(AND(E39="",F39="",OR(G39="Critical",G39="Major",G39="Minor"))),1,0)</formula>
    </cfRule>
  </conditionalFormatting>
  <conditionalFormatting sqref="F39">
    <cfRule type="expression" dxfId="851" priority="966">
      <formula>IF(AND(F39="",OR(E39="Accuracy",E39="Fluency",E39="Segment",E39="Other")),1,0)</formula>
    </cfRule>
  </conditionalFormatting>
  <conditionalFormatting sqref="G39">
    <cfRule type="expression" dxfId="850" priority="968">
      <formula>IF(AND(OR(G39="",#REF!="Segment"),OR(#REF!="Accuracy",#REF!="Fluency",#REF!="Other")),1,0)</formula>
    </cfRule>
  </conditionalFormatting>
  <conditionalFormatting sqref="E40:G40">
    <cfRule type="expression" dxfId="849" priority="964">
      <formula>IF(OR(AND(E40="",F40="",OR(G40="Critical",G40="Major",G40="Minor"))),1,0)</formula>
    </cfRule>
  </conditionalFormatting>
  <conditionalFormatting sqref="F40">
    <cfRule type="expression" dxfId="848" priority="963">
      <formula>IF(AND(F40="",OR(E40="Accuracy",E40="Fluency",E40="Segment",E40="Other")),1,0)</formula>
    </cfRule>
  </conditionalFormatting>
  <conditionalFormatting sqref="G40">
    <cfRule type="expression" dxfId="847" priority="965">
      <formula>IF(AND(OR(G40="",#REF!="Segment"),OR(#REF!="Accuracy",#REF!="Fluency",#REF!="Other")),1,0)</formula>
    </cfRule>
  </conditionalFormatting>
  <conditionalFormatting sqref="E41:G42">
    <cfRule type="expression" dxfId="846" priority="961">
      <formula>IF(OR(AND(E41="",F41="",OR(G41="Critical",G41="Major",G41="Minor"))),1,0)</formula>
    </cfRule>
  </conditionalFormatting>
  <conditionalFormatting sqref="F41:F42">
    <cfRule type="expression" dxfId="845" priority="960">
      <formula>IF(AND(F41="",OR(E41="Accuracy",E41="Fluency",E41="Segment",E41="Other")),1,0)</formula>
    </cfRule>
  </conditionalFormatting>
  <conditionalFormatting sqref="G41:G42">
    <cfRule type="expression" dxfId="844" priority="962">
      <formula>IF(AND(OR(G41="",#REF!="Segment"),OR(#REF!="Accuracy",#REF!="Fluency",#REF!="Other")),1,0)</formula>
    </cfRule>
  </conditionalFormatting>
  <conditionalFormatting sqref="G43:G44">
    <cfRule type="expression" dxfId="843" priority="958">
      <formula>IF(OR(AND(G43="",H43="",OR(I43="Critical",I43="Major",I43="Minor"))),1,0)</formula>
    </cfRule>
  </conditionalFormatting>
  <conditionalFormatting sqref="G43:G44">
    <cfRule type="expression" dxfId="842" priority="959">
      <formula>IF(AND(OR(G43="",#REF!="Segment"),OR(#REF!="Accuracy",#REF!="Fluency",#REF!="Other")),1,0)</formula>
    </cfRule>
  </conditionalFormatting>
  <conditionalFormatting sqref="E45:G45">
    <cfRule type="expression" dxfId="841" priority="955">
      <formula>IF(OR(AND(E45="",F45="",OR(G45="Critical",G45="Major",G45="Minor"))),1,0)</formula>
    </cfRule>
  </conditionalFormatting>
  <conditionalFormatting sqref="F45">
    <cfRule type="expression" dxfId="840" priority="954">
      <formula>IF(AND(F45="",OR(E45="Accuracy",E45="Fluency",E45="Segment",E45="Other")),1,0)</formula>
    </cfRule>
  </conditionalFormatting>
  <conditionalFormatting sqref="G45">
    <cfRule type="expression" dxfId="839" priority="956">
      <formula>IF(AND(OR(G45="",#REF!="Segment"),OR(#REF!="Accuracy",#REF!="Fluency",#REF!="Other")),1,0)</formula>
    </cfRule>
  </conditionalFormatting>
  <conditionalFormatting sqref="E46:G47">
    <cfRule type="expression" dxfId="838" priority="952">
      <formula>IF(OR(AND(E46="",F46="",OR(G46="Critical",G46="Major",G46="Minor"))),1,0)</formula>
    </cfRule>
  </conditionalFormatting>
  <conditionalFormatting sqref="F46:F47">
    <cfRule type="expression" dxfId="837" priority="951">
      <formula>IF(AND(F46="",OR(E46="Accuracy",E46="Fluency",E46="Segment",E46="Other")),1,0)</formula>
    </cfRule>
  </conditionalFormatting>
  <conditionalFormatting sqref="G46:G47">
    <cfRule type="expression" dxfId="836" priority="953">
      <formula>IF(AND(OR(G46="",#REF!="Segment"),OR(#REF!="Accuracy",#REF!="Fluency",#REF!="Other")),1,0)</formula>
    </cfRule>
  </conditionalFormatting>
  <conditionalFormatting sqref="E51:G51">
    <cfRule type="expression" dxfId="835" priority="949">
      <formula>IF(OR(AND(E51="",F51="",OR(G51="Critical",G51="Major",G51="Minor"))),1,0)</formula>
    </cfRule>
  </conditionalFormatting>
  <conditionalFormatting sqref="F51">
    <cfRule type="expression" dxfId="834" priority="948">
      <formula>IF(AND(F51="",OR(E51="Accuracy",E51="Fluency",E51="Segment",E51="Other")),1,0)</formula>
    </cfRule>
  </conditionalFormatting>
  <conditionalFormatting sqref="G51">
    <cfRule type="expression" dxfId="833" priority="950">
      <formula>IF(AND(OR(G51="",#REF!="Segment"),OR(#REF!="Accuracy",#REF!="Fluency",#REF!="Other")),1,0)</formula>
    </cfRule>
  </conditionalFormatting>
  <conditionalFormatting sqref="E52:G52">
    <cfRule type="expression" dxfId="832" priority="946">
      <formula>IF(OR(AND(E52="",F52="",OR(G52="Critical",G52="Major",G52="Minor"))),1,0)</formula>
    </cfRule>
  </conditionalFormatting>
  <conditionalFormatting sqref="F52">
    <cfRule type="expression" dxfId="831" priority="945">
      <formula>IF(AND(F52="",OR(E52="Accuracy",E52="Fluency",E52="Segment",E52="Other")),1,0)</formula>
    </cfRule>
  </conditionalFormatting>
  <conditionalFormatting sqref="G52">
    <cfRule type="expression" dxfId="830" priority="947">
      <formula>IF(AND(OR(G52="",#REF!="Segment"),OR(#REF!="Accuracy",#REF!="Fluency",#REF!="Other")),1,0)</formula>
    </cfRule>
  </conditionalFormatting>
  <conditionalFormatting sqref="E57:G57">
    <cfRule type="expression" dxfId="829" priority="934">
      <formula>IF(OR(AND(E57="",F57="",OR(G57="Critical",G57="Major",G57="Minor"))),1,0)</formula>
    </cfRule>
  </conditionalFormatting>
  <conditionalFormatting sqref="F57">
    <cfRule type="expression" dxfId="828" priority="933">
      <formula>IF(AND(F57="",OR(E57="Accuracy",E57="Fluency",E57="Segment",E57="Other")),1,0)</formula>
    </cfRule>
  </conditionalFormatting>
  <conditionalFormatting sqref="G57">
    <cfRule type="expression" dxfId="827" priority="935">
      <formula>IF(AND(OR(G57="",#REF!="Segment"),OR(#REF!="Accuracy",#REF!="Fluency",#REF!="Other")),1,0)</formula>
    </cfRule>
  </conditionalFormatting>
  <conditionalFormatting sqref="G54">
    <cfRule type="expression" dxfId="826" priority="943">
      <formula>IF(OR(AND(G54="",H54="",OR(I54="Critical",I54="Major",I54="Minor"))),1,0)</formula>
    </cfRule>
  </conditionalFormatting>
  <conditionalFormatting sqref="G54">
    <cfRule type="expression" dxfId="825" priority="944">
      <formula>IF(AND(OR(G54="",#REF!="Segment"),OR(#REF!="Accuracy",#REF!="Fluency",#REF!="Other")),1,0)</formula>
    </cfRule>
  </conditionalFormatting>
  <conditionalFormatting sqref="E55:G55">
    <cfRule type="expression" dxfId="824" priority="940">
      <formula>IF(OR(AND(E55="",F55="",OR(G55="Critical",G55="Major",G55="Minor"))),1,0)</formula>
    </cfRule>
  </conditionalFormatting>
  <conditionalFormatting sqref="F55">
    <cfRule type="expression" dxfId="823" priority="939">
      <formula>IF(AND(F55="",OR(E55="Accuracy",E55="Fluency",E55="Segment",E55="Other")),1,0)</formula>
    </cfRule>
  </conditionalFormatting>
  <conditionalFormatting sqref="G55">
    <cfRule type="expression" dxfId="822" priority="941">
      <formula>IF(AND(OR(G55="",#REF!="Segment"),OR(#REF!="Accuracy",#REF!="Fluency",#REF!="Other")),1,0)</formula>
    </cfRule>
  </conditionalFormatting>
  <conditionalFormatting sqref="E56:G56">
    <cfRule type="expression" dxfId="821" priority="937">
      <formula>IF(OR(AND(E56="",F56="",OR(G56="Critical",G56="Major",G56="Minor"))),1,0)</formula>
    </cfRule>
  </conditionalFormatting>
  <conditionalFormatting sqref="F56">
    <cfRule type="expression" dxfId="820" priority="936">
      <formula>IF(AND(F56="",OR(E56="Accuracy",E56="Fluency",E56="Segment",E56="Other")),1,0)</formula>
    </cfRule>
  </conditionalFormatting>
  <conditionalFormatting sqref="G56">
    <cfRule type="expression" dxfId="819" priority="938">
      <formula>IF(AND(OR(G56="",#REF!="Segment"),OR(#REF!="Accuracy",#REF!="Fluency",#REF!="Other")),1,0)</formula>
    </cfRule>
  </conditionalFormatting>
  <conditionalFormatting sqref="E59:G59">
    <cfRule type="expression" dxfId="818" priority="931">
      <formula>IF(OR(AND(E59="",F59="",OR(G59="Critical",G59="Major",G59="Minor"))),1,0)</formula>
    </cfRule>
  </conditionalFormatting>
  <conditionalFormatting sqref="F59">
    <cfRule type="expression" dxfId="817" priority="930">
      <formula>IF(AND(F59="",OR(E59="Accuracy",E59="Fluency",E59="Segment",E59="Other")),1,0)</formula>
    </cfRule>
  </conditionalFormatting>
  <conditionalFormatting sqref="G59">
    <cfRule type="expression" dxfId="816" priority="932">
      <formula>IF(AND(OR(G59="",#REF!="Segment"),OR(#REF!="Accuracy",#REF!="Fluency",#REF!="Other")),1,0)</formula>
    </cfRule>
  </conditionalFormatting>
  <conditionalFormatting sqref="E60:G60">
    <cfRule type="expression" dxfId="815" priority="928">
      <formula>IF(OR(AND(E60="",F60="",OR(G60="Critical",G60="Major",G60="Minor"))),1,0)</formula>
    </cfRule>
  </conditionalFormatting>
  <conditionalFormatting sqref="F60">
    <cfRule type="expression" dxfId="814" priority="927">
      <formula>IF(AND(F60="",OR(E60="Accuracy",E60="Fluency",E60="Segment",E60="Other")),1,0)</formula>
    </cfRule>
  </conditionalFormatting>
  <conditionalFormatting sqref="G60">
    <cfRule type="expression" dxfId="813" priority="929">
      <formula>IF(AND(OR(G60="",#REF!="Segment"),OR(#REF!="Accuracy",#REF!="Fluency",#REF!="Other")),1,0)</formula>
    </cfRule>
  </conditionalFormatting>
  <conditionalFormatting sqref="G61:G62">
    <cfRule type="expression" dxfId="812" priority="926">
      <formula>IF(OR(AND(G61="",H61="",OR(I62="Critical",I62="Major",I62="Minor"))),1,0)</formula>
    </cfRule>
  </conditionalFormatting>
  <conditionalFormatting sqref="G62">
    <cfRule type="expression" dxfId="811" priority="923">
      <formula>IF(AND(OR(G62="",#REF!="Segment"),OR(#REF!="Accuracy",#REF!="Fluency",#REF!="Other")),1,0)</formula>
    </cfRule>
  </conditionalFormatting>
  <conditionalFormatting sqref="G61">
    <cfRule type="expression" dxfId="810" priority="925">
      <formula>IF(AND(OR(G61="",#REF!="Segment"),OR(#REF!="Accuracy",#REF!="Fluency",#REF!="Other")),1,0)</formula>
    </cfRule>
  </conditionalFormatting>
  <conditionalFormatting sqref="E64:G66">
    <cfRule type="expression" dxfId="809" priority="920">
      <formula>IF(OR(AND(E64="",F64="",OR(G64="Critical",G64="Major",G64="Minor"))),1,0)</formula>
    </cfRule>
  </conditionalFormatting>
  <conditionalFormatting sqref="F64:F66">
    <cfRule type="expression" dxfId="808" priority="919">
      <formula>IF(AND(F64="",OR(E64="Accuracy",E64="Fluency",E64="Segment",E64="Other")),1,0)</formula>
    </cfRule>
  </conditionalFormatting>
  <conditionalFormatting sqref="G64:G66">
    <cfRule type="expression" dxfId="807" priority="921">
      <formula>IF(AND(OR(G64="",#REF!="Segment"),OR(#REF!="Accuracy",#REF!="Fluency",#REF!="Other")),1,0)</formula>
    </cfRule>
  </conditionalFormatting>
  <conditionalFormatting sqref="E75:G77 G72:G74">
    <cfRule type="expression" dxfId="806" priority="917">
      <formula>IF(OR(AND(E72="",F72="",OR(G72="Critical",G72="Major",G72="Minor"))),1,0)</formula>
    </cfRule>
  </conditionalFormatting>
  <conditionalFormatting sqref="F75:F77">
    <cfRule type="expression" dxfId="805" priority="916">
      <formula>IF(AND(F75="",OR(E75="Accuracy",E75="Fluency",E75="Segment",E75="Other")),1,0)</formula>
    </cfRule>
  </conditionalFormatting>
  <conditionalFormatting sqref="G72:G77">
    <cfRule type="expression" dxfId="804" priority="918">
      <formula>IF(AND(OR(G72="",#REF!="Segment"),OR(#REF!="Accuracy",#REF!="Fluency",#REF!="Other")),1,0)</formula>
    </cfRule>
  </conditionalFormatting>
  <conditionalFormatting sqref="G79">
    <cfRule type="expression" dxfId="803" priority="914">
      <formula>IF(OR(AND(G79="",H79="",OR(I79="Critical",I79="Major",I79="Minor"))),1,0)</formula>
    </cfRule>
  </conditionalFormatting>
  <conditionalFormatting sqref="G79">
    <cfRule type="expression" dxfId="802" priority="915">
      <formula>IF(AND(OR(G79="",#REF!="Segment"),OR(#REF!="Accuracy",#REF!="Fluency",#REF!="Other")),1,0)</formula>
    </cfRule>
  </conditionalFormatting>
  <conditionalFormatting sqref="G80">
    <cfRule type="expression" dxfId="801" priority="911">
      <formula>IF(OR(AND(G80="",H80="",OR(I80="Critical",I80="Major",I80="Minor"))),1,0)</formula>
    </cfRule>
  </conditionalFormatting>
  <conditionalFormatting sqref="G80">
    <cfRule type="expression" dxfId="800" priority="912">
      <formula>IF(AND(OR(G80="",#REF!="Segment"),OR(#REF!="Accuracy",#REF!="Fluency",#REF!="Other")),1,0)</formula>
    </cfRule>
  </conditionalFormatting>
  <conditionalFormatting sqref="E83:G83">
    <cfRule type="expression" dxfId="799" priority="908">
      <formula>IF(OR(AND(E83="",F83="",OR(G83="Critical",G83="Major",G83="Minor"))),1,0)</formula>
    </cfRule>
  </conditionalFormatting>
  <conditionalFormatting sqref="F83">
    <cfRule type="expression" dxfId="798" priority="907">
      <formula>IF(AND(F83="",OR(E83="Accuracy",E83="Fluency",E83="Segment",E83="Other")),1,0)</formula>
    </cfRule>
  </conditionalFormatting>
  <conditionalFormatting sqref="G83">
    <cfRule type="expression" dxfId="797" priority="909">
      <formula>IF(AND(OR(G83="",#REF!="Segment"),OR(#REF!="Accuracy",#REF!="Fluency",#REF!="Other")),1,0)</formula>
    </cfRule>
  </conditionalFormatting>
  <conditionalFormatting sqref="E84:G84">
    <cfRule type="expression" dxfId="796" priority="905">
      <formula>IF(OR(AND(E84="",F84="",OR(G84="Critical",G84="Major",G84="Minor"))),1,0)</formula>
    </cfRule>
  </conditionalFormatting>
  <conditionalFormatting sqref="F84">
    <cfRule type="expression" dxfId="795" priority="904">
      <formula>IF(AND(F84="",OR(E84="Accuracy",E84="Fluency",E84="Segment",E84="Other")),1,0)</formula>
    </cfRule>
  </conditionalFormatting>
  <conditionalFormatting sqref="G84">
    <cfRule type="expression" dxfId="794" priority="906">
      <formula>IF(AND(OR(G84="",#REF!="Segment"),OR(#REF!="Accuracy",#REF!="Fluency",#REF!="Other")),1,0)</formula>
    </cfRule>
  </conditionalFormatting>
  <conditionalFormatting sqref="E87:G87 G88">
    <cfRule type="expression" dxfId="793" priority="899">
      <formula>IF(OR(AND(E87="",F87="",OR(G87="Critical",G87="Major",G87="Minor"))),1,0)</formula>
    </cfRule>
  </conditionalFormatting>
  <conditionalFormatting sqref="F87">
    <cfRule type="expression" dxfId="792" priority="898">
      <formula>IF(AND(F87="",OR(E87="Accuracy",E87="Fluency",E87="Segment",E87="Other")),1,0)</formula>
    </cfRule>
  </conditionalFormatting>
  <conditionalFormatting sqref="G87:G88">
    <cfRule type="expression" dxfId="791" priority="900">
      <formula>IF(AND(OR(G87="",#REF!="Segment"),OR(#REF!="Accuracy",#REF!="Fluency",#REF!="Other")),1,0)</formula>
    </cfRule>
  </conditionalFormatting>
  <conditionalFormatting sqref="E86:G86">
    <cfRule type="expression" dxfId="790" priority="902">
      <formula>IF(OR(AND(E86="",F86="",OR(G86="Critical",G86="Major",G86="Minor"))),1,0)</formula>
    </cfRule>
  </conditionalFormatting>
  <conditionalFormatting sqref="F86">
    <cfRule type="expression" dxfId="789" priority="901">
      <formula>IF(AND(F86="",OR(E86="Accuracy",E86="Fluency",E86="Segment",E86="Other")),1,0)</formula>
    </cfRule>
  </conditionalFormatting>
  <conditionalFormatting sqref="G86">
    <cfRule type="expression" dxfId="788" priority="903">
      <formula>IF(AND(OR(G86="",#REF!="Segment"),OR(#REF!="Accuracy",#REF!="Fluency",#REF!="Other")),1,0)</formula>
    </cfRule>
  </conditionalFormatting>
  <conditionalFormatting sqref="E96:G96">
    <cfRule type="expression" dxfId="787" priority="896">
      <formula>IF(OR(AND(E96="",F96="",OR(G96="Critical",G96="Major",G96="Minor"))),1,0)</formula>
    </cfRule>
  </conditionalFormatting>
  <conditionalFormatting sqref="F96">
    <cfRule type="expression" dxfId="786" priority="895">
      <formula>IF(AND(F96="",OR(E96="Accuracy",E96="Fluency",E96="Segment",E96="Other")),1,0)</formula>
    </cfRule>
  </conditionalFormatting>
  <conditionalFormatting sqref="G96">
    <cfRule type="expression" dxfId="785" priority="897">
      <formula>IF(AND(OR(G96="",#REF!="Segment"),OR(#REF!="Accuracy",#REF!="Fluency",#REF!="Other")),1,0)</formula>
    </cfRule>
  </conditionalFormatting>
  <conditionalFormatting sqref="E97:G97">
    <cfRule type="expression" dxfId="784" priority="893">
      <formula>IF(OR(AND(E97="",F97="",OR(G97="Critical",G97="Major",G97="Minor"))),1,0)</formula>
    </cfRule>
  </conditionalFormatting>
  <conditionalFormatting sqref="F97">
    <cfRule type="expression" dxfId="783" priority="892">
      <formula>IF(AND(F97="",OR(E97="Accuracy",E97="Fluency",E97="Segment",E97="Other")),1,0)</formula>
    </cfRule>
  </conditionalFormatting>
  <conditionalFormatting sqref="G97">
    <cfRule type="expression" dxfId="782" priority="894">
      <formula>IF(AND(OR(G97="",#REF!="Segment"),OR(#REF!="Accuracy",#REF!="Fluency",#REF!="Other")),1,0)</formula>
    </cfRule>
  </conditionalFormatting>
  <conditionalFormatting sqref="G296 E299:G306 G290 E293:G293 G278 E275:G276 E270:G270 E272:G272 G261:G263 G256:G257 G248 E251:G251 G239 G231 E233:G233 E226:G227 G223 G201:G203 E190 E186:G186 E171:G173 E144:G153 G140 E132:G134 G129 E111:E113 G101 G131 E137:G138 G135:G136 E156:G158 G154:G155 E160:G162 G159 E165:G165 G163:G164 G174:G176 G269">
    <cfRule type="expression" dxfId="781" priority="891">
      <formula>IF(OR(AND(E101="",F101="",OR(G101="Critical",G101="Major",G101="Minor"))),1,0)</formula>
    </cfRule>
  </conditionalFormatting>
  <conditionalFormatting sqref="F299:F306 F293 F275:F276 F270 F272 F251 F233 F226:F227 F186 F171:F173 F144:F153 F132:F134 F137:F138 F156:F158 F160:F162 F165">
    <cfRule type="expression" dxfId="780" priority="890">
      <formula>IF(AND(F132="",OR(E132="Accuracy",E132="Fluency",E132="Segment",E132="Other")),1,0)</formula>
    </cfRule>
  </conditionalFormatting>
  <conditionalFormatting sqref="G101">
    <cfRule type="expression" dxfId="779" priority="889">
      <formula>IF(AND(OR(G101="",E101="Segment"),OR(E101="Accuracy",E101="Fluency",E101="Other")),1,0)</formula>
    </cfRule>
  </conditionalFormatting>
  <conditionalFormatting sqref="F102:G102">
    <cfRule type="expression" dxfId="778" priority="887">
      <formula>IF(OR(AND(F102="",G102="",OR(H102="Critical",H102="Major",H102="Minor"))),1,0)</formula>
    </cfRule>
  </conditionalFormatting>
  <conditionalFormatting sqref="F102">
    <cfRule type="expression" dxfId="777" priority="886">
      <formula>IF(AND(F102="",OR(E102="Accuracy",E102="Fluency",E102="Segment",E102="Other")),1,0)</formula>
    </cfRule>
  </conditionalFormatting>
  <conditionalFormatting sqref="G102">
    <cfRule type="expression" dxfId="776" priority="885">
      <formula>IF(AND(OR(G102="",E102="Segment"),OR(E102="Accuracy",E102="Fluency",E102="Other")),1,0)</formula>
    </cfRule>
  </conditionalFormatting>
  <conditionalFormatting sqref="E102">
    <cfRule type="expression" dxfId="775" priority="884">
      <formula>IF(OR(AND(E102="",F102="",OR(G102="Critical",G102="Major",G102="Minor"))),1,0)</formula>
    </cfRule>
  </conditionalFormatting>
  <conditionalFormatting sqref="F103:G103">
    <cfRule type="expression" dxfId="774" priority="883">
      <formula>IF(OR(AND(F103="",G103="",OR(H103="Critical",H103="Major",H103="Minor"))),1,0)</formula>
    </cfRule>
  </conditionalFormatting>
  <conditionalFormatting sqref="F103">
    <cfRule type="expression" dxfId="773" priority="882">
      <formula>IF(AND(F103="",OR(E103="Accuracy",E103="Fluency",E103="Segment",E103="Other")),1,0)</formula>
    </cfRule>
  </conditionalFormatting>
  <conditionalFormatting sqref="G103">
    <cfRule type="expression" dxfId="772" priority="881">
      <formula>IF(AND(OR(G103="",E103="Segment"),OR(E103="Accuracy",E103="Fluency",E103="Other")),1,0)</formula>
    </cfRule>
  </conditionalFormatting>
  <conditionalFormatting sqref="E103">
    <cfRule type="expression" dxfId="771" priority="880">
      <formula>IF(OR(AND(E103="",F103="",OR(G103="Critical",G103="Major",G103="Minor"))),1,0)</formula>
    </cfRule>
  </conditionalFormatting>
  <conditionalFormatting sqref="E106:G106 G104:G105">
    <cfRule type="expression" dxfId="770" priority="879">
      <formula>IF(OR(AND(E104="",F104="",OR(G104="Critical",G104="Major",G104="Minor"))),1,0)</formula>
    </cfRule>
  </conditionalFormatting>
  <conditionalFormatting sqref="F106">
    <cfRule type="expression" dxfId="769" priority="878">
      <formula>IF(AND(F106="",OR(E106="Accuracy",E106="Fluency",E106="Segment",E106="Other")),1,0)</formula>
    </cfRule>
  </conditionalFormatting>
  <conditionalFormatting sqref="G104:G106">
    <cfRule type="expression" dxfId="768" priority="877">
      <formula>IF(AND(OR(G104="",E104="Segment"),OR(E104="Accuracy",E104="Fluency",E104="Other")),1,0)</formula>
    </cfRule>
  </conditionalFormatting>
  <conditionalFormatting sqref="E107:G107">
    <cfRule type="expression" dxfId="767" priority="876">
      <formula>IF(OR(AND(E107="",F107="",OR(G107="Critical",G107="Major",G107="Minor"))),1,0)</formula>
    </cfRule>
  </conditionalFormatting>
  <conditionalFormatting sqref="F107">
    <cfRule type="expression" dxfId="766" priority="875">
      <formula>IF(AND(F107="",OR(E107="Accuracy",E107="Fluency",E107="Segment",E107="Other")),1,0)</formula>
    </cfRule>
  </conditionalFormatting>
  <conditionalFormatting sqref="G107">
    <cfRule type="expression" dxfId="765" priority="874">
      <formula>IF(AND(OR(G107="",E107="Segment"),OR(E107="Accuracy",E107="Fluency",E107="Other")),1,0)</formula>
    </cfRule>
  </conditionalFormatting>
  <conditionalFormatting sqref="H113:H119">
    <cfRule type="expression" dxfId="764" priority="872">
      <formula>IF(OR(AND(H113="",J113="",OR(#REF!="Critical",#REF!="Major",#REF!="Minor"))),1,0)</formula>
    </cfRule>
  </conditionalFormatting>
  <conditionalFormatting sqref="G111:G113">
    <cfRule type="expression" dxfId="763" priority="871">
      <formula>IF(OR(AND(G111="",H111="",OR(I111="Critical",I111="Major",I111="Minor"))),1,0)</formula>
    </cfRule>
  </conditionalFormatting>
  <conditionalFormatting sqref="G111:G113">
    <cfRule type="expression" dxfId="762" priority="870">
      <formula>IF(AND(OR(G111="",E111="Segment"),OR(E111="Accuracy",E111="Fluency",E111="Other")),1,0)</formula>
    </cfRule>
  </conditionalFormatting>
  <conditionalFormatting sqref="G108">
    <cfRule type="expression" dxfId="761" priority="863">
      <formula>IF(OR(AND(G108="",H108="",OR(I108="Critical",I108="Major",I108="Minor"))),1,0)</formula>
    </cfRule>
  </conditionalFormatting>
  <conditionalFormatting sqref="G108">
    <cfRule type="expression" dxfId="760" priority="862">
      <formula>IF(AND(OR(G108="",E108="Segment"),OR(E108="Accuracy",E108="Fluency",E108="Other")),1,0)</formula>
    </cfRule>
  </conditionalFormatting>
  <conditionalFormatting sqref="G109">
    <cfRule type="expression" dxfId="759" priority="861">
      <formula>IF(OR(AND(G109="",H109="",OR(I109="Critical",I109="Major",I109="Minor"))),1,0)</formula>
    </cfRule>
  </conditionalFormatting>
  <conditionalFormatting sqref="G109">
    <cfRule type="expression" dxfId="758" priority="860">
      <formula>IF(AND(OR(G109="",E109="Segment"),OR(E109="Accuracy",E109="Fluency",E109="Other")),1,0)</formula>
    </cfRule>
  </conditionalFormatting>
  <conditionalFormatting sqref="G110">
    <cfRule type="expression" dxfId="757" priority="859">
      <formula>IF(OR(AND(G110="",H110="",OR(I110="Critical",I110="Major",I110="Minor"))),1,0)</formula>
    </cfRule>
  </conditionalFormatting>
  <conditionalFormatting sqref="G110">
    <cfRule type="expression" dxfId="756" priority="858">
      <formula>IF(AND(OR(G110="",E110="Segment"),OR(E110="Accuracy",E110="Fluency",E110="Other")),1,0)</formula>
    </cfRule>
  </conditionalFormatting>
  <conditionalFormatting sqref="G296 G299:G306 G290 G293 G278 G275:G276 G269:G270 G272 G261:G263 G256:G257 G248 G251 G239 G231 G233 G226:G227 G223 G201:G203 G186 G171:G176 G148:G165 G144:G146 G140 G131:G138 G129 G114:G126">
    <cfRule type="expression" dxfId="755" priority="857">
      <formula>IF(AND(OR(G114="",#REF!="Segment"),OR(#REF!="Accuracy",#REF!="Fluency",#REF!="Other")),1,0)</formula>
    </cfRule>
  </conditionalFormatting>
  <conditionalFormatting sqref="H127:H128">
    <cfRule type="expression" dxfId="754" priority="856">
      <formula>IF(OR(AND(H127="",J127="",OR(#REF!="Critical",#REF!="Major",#REF!="Minor"))),1,0)</formula>
    </cfRule>
  </conditionalFormatting>
  <conditionalFormatting sqref="E127:G127">
    <cfRule type="expression" dxfId="753" priority="854">
      <formula>IF(OR(AND(E127="",F127="",OR(G127="Critical",G127="Major",G127="Minor"))),1,0)</formula>
    </cfRule>
  </conditionalFormatting>
  <conditionalFormatting sqref="F127">
    <cfRule type="expression" dxfId="752" priority="853">
      <formula>IF(AND(F127="",OR(E127="Accuracy",E127="Fluency",E127="Segment",E127="Other")),1,0)</formula>
    </cfRule>
  </conditionalFormatting>
  <conditionalFormatting sqref="G127">
    <cfRule type="expression" dxfId="751" priority="855">
      <formula>IF(AND(OR(G127="",#REF!="Segment"),OR(#REF!="Accuracy",#REF!="Fluency",#REF!="Other")),1,0)</formula>
    </cfRule>
  </conditionalFormatting>
  <conditionalFormatting sqref="E128:G128">
    <cfRule type="expression" dxfId="750" priority="851">
      <formula>IF(OR(AND(E128="",F128="",OR(G128="Critical",G128="Major",G128="Minor"))),1,0)</formula>
    </cfRule>
  </conditionalFormatting>
  <conditionalFormatting sqref="F128">
    <cfRule type="expression" dxfId="749" priority="850">
      <formula>IF(AND(F128="",OR(E128="Accuracy",E128="Fluency",E128="Segment",E128="Other")),1,0)</formula>
    </cfRule>
  </conditionalFormatting>
  <conditionalFormatting sqref="G128">
    <cfRule type="expression" dxfId="748" priority="852">
      <formula>IF(AND(OR(G128="",#REF!="Segment"),OR(#REF!="Accuracy",#REF!="Fluency",#REF!="Other")),1,0)</formula>
    </cfRule>
  </conditionalFormatting>
  <conditionalFormatting sqref="E130:G130">
    <cfRule type="expression" dxfId="747" priority="848">
      <formula>IF(OR(AND(E130="",F130="",OR(G130="Critical",G130="Major",G130="Minor"))),1,0)</formula>
    </cfRule>
  </conditionalFormatting>
  <conditionalFormatting sqref="F130">
    <cfRule type="expression" dxfId="746" priority="847">
      <formula>IF(AND(F130="",OR(E130="Accuracy",E130="Fluency",E130="Segment",E130="Other")),1,0)</formula>
    </cfRule>
  </conditionalFormatting>
  <conditionalFormatting sqref="G130">
    <cfRule type="expression" dxfId="745" priority="849">
      <formula>IF(AND(OR(G130="",#REF!="Segment"),OR(#REF!="Accuracy",#REF!="Fluency",#REF!="Other")),1,0)</formula>
    </cfRule>
  </conditionalFormatting>
  <conditionalFormatting sqref="F142">
    <cfRule type="expression" dxfId="744" priority="838">
      <formula>IF(AND(F142="",OR(E142="Accuracy",E142="Fluency",E142="Segment",E142="Other")),1,0)</formula>
    </cfRule>
  </conditionalFormatting>
  <conditionalFormatting sqref="E139:G139">
    <cfRule type="expression" dxfId="743" priority="845">
      <formula>IF(OR(AND(E139="",F139="",OR(G139="Critical",G139="Major",G139="Minor"))),1,0)</formula>
    </cfRule>
  </conditionalFormatting>
  <conditionalFormatting sqref="F139">
    <cfRule type="expression" dxfId="742" priority="844">
      <formula>IF(AND(F139="",OR(E139="Accuracy",E139="Fluency",E139="Segment",E139="Other")),1,0)</formula>
    </cfRule>
  </conditionalFormatting>
  <conditionalFormatting sqref="G139">
    <cfRule type="expression" dxfId="741" priority="846">
      <formula>IF(AND(OR(G139="",#REF!="Segment"),OR(#REF!="Accuracy",#REF!="Fluency",#REF!="Other")),1,0)</formula>
    </cfRule>
  </conditionalFormatting>
  <conditionalFormatting sqref="G141">
    <cfRule type="expression" dxfId="740" priority="842">
      <formula>IF(OR(AND(G141="",H141="",OR(I141="Critical",I141="Major",I141="Minor"))),1,0)</formula>
    </cfRule>
  </conditionalFormatting>
  <conditionalFormatting sqref="G141">
    <cfRule type="expression" dxfId="739" priority="843">
      <formula>IF(AND(OR(G141="",#REF!="Segment"),OR(#REF!="Accuracy",#REF!="Fluency",#REF!="Other")),1,0)</formula>
    </cfRule>
  </conditionalFormatting>
  <conditionalFormatting sqref="E142:G142">
    <cfRule type="expression" dxfId="738" priority="839">
      <formula>IF(OR(AND(E142="",F142="",OR(G142="Critical",G142="Major",G142="Minor"))),1,0)</formula>
    </cfRule>
  </conditionalFormatting>
  <conditionalFormatting sqref="G142">
    <cfRule type="expression" dxfId="737" priority="840">
      <formula>IF(AND(OR(G142="",#REF!="Segment"),OR(#REF!="Accuracy",#REF!="Fluency",#REF!="Other")),1,0)</formula>
    </cfRule>
  </conditionalFormatting>
  <conditionalFormatting sqref="G143">
    <cfRule type="expression" dxfId="736" priority="836">
      <formula>IF(OR(AND(G143="",H143="",OR(I143="Critical",I143="Major",I143="Minor"))),1,0)</formula>
    </cfRule>
  </conditionalFormatting>
  <conditionalFormatting sqref="G143">
    <cfRule type="expression" dxfId="735" priority="837">
      <formula>IF(AND(OR(G143="",#REF!="Segment"),OR(#REF!="Accuracy",#REF!="Fluency",#REF!="Other")),1,0)</formula>
    </cfRule>
  </conditionalFormatting>
  <conditionalFormatting sqref="G147">
    <cfRule type="expression" dxfId="734" priority="834">
      <formula>IF(AND(OR(G147="",#REF!="Segment"),OR(#REF!="Accuracy",#REF!="Fluency",#REF!="Other")),1,0)</formula>
    </cfRule>
  </conditionalFormatting>
  <conditionalFormatting sqref="G147">
    <cfRule type="expression" dxfId="733" priority="833">
      <formula>IF(AND(OR(G147="",#REF!="Segment"),OR(#REF!="Accuracy",#REF!="Fluency",#REF!="Other")),1,0)</formula>
    </cfRule>
  </conditionalFormatting>
  <conditionalFormatting sqref="E166:G166">
    <cfRule type="expression" dxfId="732" priority="831">
      <formula>IF(OR(AND(E166="",F166="",OR(G166="Critical",G166="Major",G166="Minor"))),1,0)</formula>
    </cfRule>
  </conditionalFormatting>
  <conditionalFormatting sqref="F166">
    <cfRule type="expression" dxfId="731" priority="830">
      <formula>IF(AND(F166="",OR(E166="Accuracy",E166="Fluency",E166="Segment",E166="Other")),1,0)</formula>
    </cfRule>
  </conditionalFormatting>
  <conditionalFormatting sqref="G166">
    <cfRule type="expression" dxfId="730" priority="832">
      <formula>IF(AND(OR(G166="",#REF!="Segment"),OR(#REF!="Accuracy",#REF!="Fluency",#REF!="Other")),1,0)</formula>
    </cfRule>
  </conditionalFormatting>
  <conditionalFormatting sqref="E167:G167">
    <cfRule type="expression" dxfId="729" priority="828">
      <formula>IF(OR(AND(E167="",F167="",OR(G167="Critical",G167="Major",G167="Minor"))),1,0)</formula>
    </cfRule>
  </conditionalFormatting>
  <conditionalFormatting sqref="F167">
    <cfRule type="expression" dxfId="728" priority="827">
      <formula>IF(AND(F167="",OR(E167="Accuracy",E167="Fluency",E167="Segment",E167="Other")),1,0)</formula>
    </cfRule>
  </conditionalFormatting>
  <conditionalFormatting sqref="G167">
    <cfRule type="expression" dxfId="727" priority="829">
      <formula>IF(AND(OR(G167="",#REF!="Segment"),OR(#REF!="Accuracy",#REF!="Fluency",#REF!="Other")),1,0)</formula>
    </cfRule>
  </conditionalFormatting>
  <conditionalFormatting sqref="E168:G170">
    <cfRule type="expression" dxfId="726" priority="825">
      <formula>IF(OR(AND(E168="",F168="",OR(G168="Critical",G168="Major",G168="Minor"))),1,0)</formula>
    </cfRule>
  </conditionalFormatting>
  <conditionalFormatting sqref="F168:F170">
    <cfRule type="expression" dxfId="725" priority="824">
      <formula>IF(AND(F168="",OR(E168="Accuracy",E168="Fluency",E168="Segment",E168="Other")),1,0)</formula>
    </cfRule>
  </conditionalFormatting>
  <conditionalFormatting sqref="G168:G170">
    <cfRule type="expression" dxfId="724" priority="826">
      <formula>IF(AND(OR(G168="",#REF!="Segment"),OR(#REF!="Accuracy",#REF!="Fluency",#REF!="Other")),1,0)</formula>
    </cfRule>
  </conditionalFormatting>
  <conditionalFormatting sqref="G177">
    <cfRule type="expression" dxfId="723" priority="822">
      <formula>IF(OR(AND(G177="",H177="",OR(I177="Critical",I177="Major",I177="Minor"))),1,0)</formula>
    </cfRule>
  </conditionalFormatting>
  <conditionalFormatting sqref="G177">
    <cfRule type="expression" dxfId="722" priority="823">
      <formula>IF(AND(OR(G177="",#REF!="Segment"),OR(#REF!="Accuracy",#REF!="Fluency",#REF!="Other")),1,0)</formula>
    </cfRule>
  </conditionalFormatting>
  <conditionalFormatting sqref="E178:G180">
    <cfRule type="expression" dxfId="721" priority="819">
      <formula>IF(OR(AND(E178="",F178="",OR(G178="Critical",G178="Major",G178="Minor"))),1,0)</formula>
    </cfRule>
  </conditionalFormatting>
  <conditionalFormatting sqref="F178:F180">
    <cfRule type="expression" dxfId="720" priority="818">
      <formula>IF(AND(F178="",OR(E178="Accuracy",E178="Fluency",E178="Segment",E178="Other")),1,0)</formula>
    </cfRule>
  </conditionalFormatting>
  <conditionalFormatting sqref="G178:G180">
    <cfRule type="expression" dxfId="719" priority="820">
      <formula>IF(AND(OR(G178="",#REF!="Segment"),OR(#REF!="Accuracy",#REF!="Fluency",#REF!="Other")),1,0)</formula>
    </cfRule>
  </conditionalFormatting>
  <conditionalFormatting sqref="G181">
    <cfRule type="expression" dxfId="718" priority="816">
      <formula>IF(OR(AND(G181="",H181="",OR(I181="Critical",I181="Major",I181="Minor"))),1,0)</formula>
    </cfRule>
  </conditionalFormatting>
  <conditionalFormatting sqref="G181">
    <cfRule type="expression" dxfId="717" priority="817">
      <formula>IF(AND(OR(G181="",#REF!="Segment"),OR(#REF!="Accuracy",#REF!="Fluency",#REF!="Other")),1,0)</formula>
    </cfRule>
  </conditionalFormatting>
  <conditionalFormatting sqref="E182:G182">
    <cfRule type="expression" dxfId="716" priority="813">
      <formula>IF(OR(AND(E182="",F182="",OR(G182="Critical",G182="Major",G182="Minor"))),1,0)</formula>
    </cfRule>
  </conditionalFormatting>
  <conditionalFormatting sqref="F182">
    <cfRule type="expression" dxfId="715" priority="812">
      <formula>IF(AND(F182="",OR(E182="Accuracy",E182="Fluency",E182="Segment",E182="Other")),1,0)</formula>
    </cfRule>
  </conditionalFormatting>
  <conditionalFormatting sqref="G182">
    <cfRule type="expression" dxfId="714" priority="814">
      <formula>IF(AND(OR(G182="",#REF!="Segment"),OR(#REF!="Accuracy",#REF!="Fluency",#REF!="Other")),1,0)</formula>
    </cfRule>
  </conditionalFormatting>
  <conditionalFormatting sqref="E183:G183">
    <cfRule type="expression" dxfId="713" priority="810">
      <formula>IF(OR(AND(E183="",F183="",OR(G183="Critical",G183="Major",G183="Minor"))),1,0)</formula>
    </cfRule>
  </conditionalFormatting>
  <conditionalFormatting sqref="F183">
    <cfRule type="expression" dxfId="712" priority="809">
      <formula>IF(AND(F183="",OR(E183="Accuracy",E183="Fluency",E183="Segment",E183="Other")),1,0)</formula>
    </cfRule>
  </conditionalFormatting>
  <conditionalFormatting sqref="G183">
    <cfRule type="expression" dxfId="711" priority="811">
      <formula>IF(AND(OR(G183="",#REF!="Segment"),OR(#REF!="Accuracy",#REF!="Fluency",#REF!="Other")),1,0)</formula>
    </cfRule>
  </conditionalFormatting>
  <conditionalFormatting sqref="E184:G184">
    <cfRule type="expression" dxfId="710" priority="807">
      <formula>IF(OR(AND(E184="",F184="",OR(G184="Critical",G184="Major",G184="Minor"))),1,0)</formula>
    </cfRule>
  </conditionalFormatting>
  <conditionalFormatting sqref="F184">
    <cfRule type="expression" dxfId="709" priority="806">
      <formula>IF(AND(F184="",OR(E184="Accuracy",E184="Fluency",E184="Segment",E184="Other")),1,0)</formula>
    </cfRule>
  </conditionalFormatting>
  <conditionalFormatting sqref="G184">
    <cfRule type="expression" dxfId="708" priority="808">
      <formula>IF(AND(OR(G184="",#REF!="Segment"),OR(#REF!="Accuracy",#REF!="Fluency",#REF!="Other")),1,0)</formula>
    </cfRule>
  </conditionalFormatting>
  <conditionalFormatting sqref="G185">
    <cfRule type="expression" dxfId="707" priority="804">
      <formula>IF(OR(AND(G185="",H185="",OR(I185="Critical",I185="Major",I185="Minor"))),1,0)</formula>
    </cfRule>
  </conditionalFormatting>
  <conditionalFormatting sqref="G185">
    <cfRule type="expression" dxfId="706" priority="805">
      <formula>IF(AND(OR(G185="",#REF!="Segment"),OR(#REF!="Accuracy",#REF!="Fluency",#REF!="Other")),1,0)</formula>
    </cfRule>
  </conditionalFormatting>
  <conditionalFormatting sqref="E187:G189">
    <cfRule type="expression" dxfId="705" priority="801">
      <formula>IF(OR(AND(E187="",F187="",OR(G187="Critical",G187="Major",G187="Minor"))),1,0)</formula>
    </cfRule>
  </conditionalFormatting>
  <conditionalFormatting sqref="F187:F189">
    <cfRule type="expression" dxfId="704" priority="800">
      <formula>IF(AND(F187="",OR(E187="Accuracy",E187="Fluency",E187="Segment",E187="Other")),1,0)</formula>
    </cfRule>
  </conditionalFormatting>
  <conditionalFormatting sqref="G187:G189">
    <cfRule type="expression" dxfId="703" priority="802">
      <formula>IF(AND(OR(G187="",#REF!="Segment"),OR(#REF!="Accuracy",#REF!="Fluency",#REF!="Other")),1,0)</formula>
    </cfRule>
  </conditionalFormatting>
  <conditionalFormatting sqref="F190">
    <cfRule type="expression" dxfId="702" priority="796">
      <formula>IF(AND(F190="",OR(E190="Accuracy",E190="Fluency",E190="Segment",E190="Other")),1,0)</formula>
    </cfRule>
  </conditionalFormatting>
  <conditionalFormatting sqref="G190">
    <cfRule type="expression" dxfId="701" priority="797">
      <formula>IF(AND(OR(G190="",#REF!="Segment"),OR(#REF!="Accuracy",#REF!="Fluency",#REF!="Other")),1,0)</formula>
    </cfRule>
  </conditionalFormatting>
  <conditionalFormatting sqref="G190">
    <cfRule type="expression" dxfId="700" priority="798">
      <formula>IF(OR(AND(G190="",#REF!="",OR(I190="Critical",I190="Major",I190="Minor"))),1,0)</formula>
    </cfRule>
  </conditionalFormatting>
  <conditionalFormatting sqref="F190">
    <cfRule type="expression" dxfId="699" priority="799">
      <formula>IF(OR(AND(F190="",G190="",OR(#REF!="Critical",#REF!="Major",#REF!="Minor"))),1,0)</formula>
    </cfRule>
  </conditionalFormatting>
  <conditionalFormatting sqref="G191">
    <cfRule type="expression" dxfId="698" priority="792">
      <formula>IF(AND(OR(G191="",#REF!="Segment"),OR(#REF!="Accuracy",#REF!="Fluency",#REF!="Other")),1,0)</formula>
    </cfRule>
  </conditionalFormatting>
  <conditionalFormatting sqref="G191">
    <cfRule type="expression" dxfId="697" priority="794">
      <formula>IF(OR(AND(G191="",#REF!="",OR(I191="Critical",I191="Major",I191="Minor"))),1,0)</formula>
    </cfRule>
  </conditionalFormatting>
  <conditionalFormatting sqref="E192:E193">
    <cfRule type="expression" dxfId="696" priority="788">
      <formula>IF(OR(AND(E192="",F192="",OR(G192="Critical",G192="Major",G192="Minor"))),1,0)</formula>
    </cfRule>
  </conditionalFormatting>
  <conditionalFormatting sqref="F192:F193">
    <cfRule type="expression" dxfId="695" priority="786">
      <formula>IF(AND(F192="",OR(E192="Accuracy",E192="Fluency",E192="Segment",E192="Other")),1,0)</formula>
    </cfRule>
  </conditionalFormatting>
  <conditionalFormatting sqref="G192:G193">
    <cfRule type="expression" dxfId="694" priority="787">
      <formula>IF(AND(OR(G192="",#REF!="Segment"),OR(#REF!="Accuracy",#REF!="Fluency",#REF!="Other")),1,0)</formula>
    </cfRule>
  </conditionalFormatting>
  <conditionalFormatting sqref="G192:G193">
    <cfRule type="expression" dxfId="693" priority="789">
      <formula>IF(OR(AND(G192="",#REF!="",OR(I192="Critical",I192="Major",I192="Minor"))),1,0)</formula>
    </cfRule>
  </conditionalFormatting>
  <conditionalFormatting sqref="F192:F193">
    <cfRule type="expression" dxfId="692" priority="790">
      <formula>IF(OR(AND(F192="",G192="",OR(#REF!="Critical",#REF!="Major",#REF!="Minor"))),1,0)</formula>
    </cfRule>
  </conditionalFormatting>
  <conditionalFormatting sqref="G194">
    <cfRule type="expression" dxfId="691" priority="782">
      <formula>IF(AND(OR(G194="",#REF!="Segment"),OR(#REF!="Accuracy",#REF!="Fluency",#REF!="Other")),1,0)</formula>
    </cfRule>
  </conditionalFormatting>
  <conditionalFormatting sqref="G194">
    <cfRule type="expression" dxfId="690" priority="784">
      <formula>IF(OR(AND(G194="",#REF!="",OR(I194="Critical",I194="Major",I194="Minor"))),1,0)</formula>
    </cfRule>
  </conditionalFormatting>
  <conditionalFormatting sqref="G195">
    <cfRule type="expression" dxfId="689" priority="777">
      <formula>IF(AND(OR(G195="",#REF!="Segment"),OR(#REF!="Accuracy",#REF!="Fluency",#REF!="Other")),1,0)</formula>
    </cfRule>
  </conditionalFormatting>
  <conditionalFormatting sqref="G195">
    <cfRule type="expression" dxfId="688" priority="779">
      <formula>IF(OR(AND(G195="",#REF!="",OR(I195="Critical",I195="Major",I195="Minor"))),1,0)</formula>
    </cfRule>
  </conditionalFormatting>
  <conditionalFormatting sqref="G196">
    <cfRule type="expression" dxfId="687" priority="772">
      <formula>IF(AND(OR(G196="",#REF!="Segment"),OR(#REF!="Accuracy",#REF!="Fluency",#REF!="Other")),1,0)</formula>
    </cfRule>
  </conditionalFormatting>
  <conditionalFormatting sqref="G196">
    <cfRule type="expression" dxfId="686" priority="774">
      <formula>IF(OR(AND(G196="",#REF!="",OR(I196="Critical",I196="Major",I196="Minor"))),1,0)</formula>
    </cfRule>
  </conditionalFormatting>
  <conditionalFormatting sqref="E197:G200">
    <cfRule type="expression" dxfId="685" priority="769">
      <formula>IF(OR(AND(E197="",F197="",OR(G197="Critical",G197="Major",G197="Minor"))),1,0)</formula>
    </cfRule>
  </conditionalFormatting>
  <conditionalFormatting sqref="F197:F200">
    <cfRule type="expression" dxfId="684" priority="768">
      <formula>IF(AND(F197="",OR(E197="Accuracy",E197="Fluency",E197="Segment",E197="Other")),1,0)</formula>
    </cfRule>
  </conditionalFormatting>
  <conditionalFormatting sqref="G197:G200">
    <cfRule type="expression" dxfId="683" priority="770">
      <formula>IF(AND(OR(G197="",#REF!="Segment"),OR(#REF!="Accuracy",#REF!="Fluency",#REF!="Other")),1,0)</formula>
    </cfRule>
  </conditionalFormatting>
  <conditionalFormatting sqref="E204:G206">
    <cfRule type="expression" dxfId="682" priority="766">
      <formula>IF(OR(AND(E204="",F204="",OR(G204="Critical",G204="Major",G204="Minor"))),1,0)</formula>
    </cfRule>
  </conditionalFormatting>
  <conditionalFormatting sqref="F204:F206">
    <cfRule type="expression" dxfId="681" priority="765">
      <formula>IF(AND(F204="",OR(E204="Accuracy",E204="Fluency",E204="Segment",E204="Other")),1,0)</formula>
    </cfRule>
  </conditionalFormatting>
  <conditionalFormatting sqref="G204:G206">
    <cfRule type="expression" dxfId="680" priority="767">
      <formula>IF(AND(OR(G204="",#REF!="Segment"),OR(#REF!="Accuracy",#REF!="Fluency",#REF!="Other")),1,0)</formula>
    </cfRule>
  </conditionalFormatting>
  <conditionalFormatting sqref="E207:G207">
    <cfRule type="expression" dxfId="679" priority="763">
      <formula>IF(OR(AND(E207="",F207="",OR(G207="Critical",G207="Major",G207="Minor"))),1,0)</formula>
    </cfRule>
  </conditionalFormatting>
  <conditionalFormatting sqref="F207">
    <cfRule type="expression" dxfId="678" priority="762">
      <formula>IF(AND(F207="",OR(E207="Accuracy",E207="Fluency",E207="Segment",E207="Other")),1,0)</formula>
    </cfRule>
  </conditionalFormatting>
  <conditionalFormatting sqref="G207">
    <cfRule type="expression" dxfId="677" priority="764">
      <formula>IF(AND(OR(G207="",#REF!="Segment"),OR(#REF!="Accuracy",#REF!="Fluency",#REF!="Other")),1,0)</formula>
    </cfRule>
  </conditionalFormatting>
  <conditionalFormatting sqref="G208">
    <cfRule type="expression" dxfId="676" priority="760">
      <formula>IF(OR(AND(G208="",H208="",OR(I208="Critical",I208="Major",I208="Minor"))),1,0)</formula>
    </cfRule>
  </conditionalFormatting>
  <conditionalFormatting sqref="G208">
    <cfRule type="expression" dxfId="675" priority="761">
      <formula>IF(AND(OR(G208="",#REF!="Segment"),OR(#REF!="Accuracy",#REF!="Fluency",#REF!="Other")),1,0)</formula>
    </cfRule>
  </conditionalFormatting>
  <conditionalFormatting sqref="E210:G210 E211:F213">
    <cfRule type="expression" dxfId="674" priority="757">
      <formula>IF(OR(AND(E210="",F210="",OR(G210="Critical",G210="Major",G210="Minor"))),1,0)</formula>
    </cfRule>
  </conditionalFormatting>
  <conditionalFormatting sqref="F210:F213">
    <cfRule type="expression" dxfId="673" priority="756">
      <formula>IF(AND(F210="",OR(E210="Accuracy",E210="Fluency",E210="Segment",E210="Other")),1,0)</formula>
    </cfRule>
  </conditionalFormatting>
  <conditionalFormatting sqref="G210">
    <cfRule type="expression" dxfId="672" priority="758">
      <formula>IF(AND(OR(G210="",#REF!="Segment"),OR(#REF!="Accuracy",#REF!="Fluency",#REF!="Other")),1,0)</formula>
    </cfRule>
  </conditionalFormatting>
  <conditionalFormatting sqref="G211">
    <cfRule type="expression" dxfId="671" priority="754">
      <formula>IF(OR(AND(G211="",H211="",OR(I211="Critical",I211="Major",I211="Minor"))),1,0)</formula>
    </cfRule>
  </conditionalFormatting>
  <conditionalFormatting sqref="G211">
    <cfRule type="expression" dxfId="670" priority="755">
      <formula>IF(AND(OR(G211="",#REF!="Segment"),OR(#REF!="Accuracy",#REF!="Fluency",#REF!="Other")),1,0)</formula>
    </cfRule>
  </conditionalFormatting>
  <conditionalFormatting sqref="G213">
    <cfRule type="expression" dxfId="669" priority="752">
      <formula>IF(OR(AND(G213="",H213="",OR(I213="Critical",I213="Major",I213="Minor"))),1,0)</formula>
    </cfRule>
  </conditionalFormatting>
  <conditionalFormatting sqref="G213">
    <cfRule type="expression" dxfId="668" priority="753">
      <formula>IF(AND(OR(G213="",#REF!="Segment"),OR(#REF!="Accuracy",#REF!="Fluency",#REF!="Other")),1,0)</formula>
    </cfRule>
  </conditionalFormatting>
  <conditionalFormatting sqref="G209">
    <cfRule type="expression" dxfId="667" priority="750">
      <formula>IF(OR(AND(G209="",H209="",OR(I209="Critical",I209="Major",I209="Minor"))),1,0)</formula>
    </cfRule>
  </conditionalFormatting>
  <conditionalFormatting sqref="G209">
    <cfRule type="expression" dxfId="666" priority="751">
      <formula>IF(AND(OR(G209="",#REF!="Segment"),OR(#REF!="Accuracy",#REF!="Fluency",#REF!="Other")),1,0)</formula>
    </cfRule>
  </conditionalFormatting>
  <conditionalFormatting sqref="G212">
    <cfRule type="expression" dxfId="665" priority="747">
      <formula>IF(OR(AND(G212="",H212="",OR(I212="Critical",I212="Major",I212="Minor"))),1,0)</formula>
    </cfRule>
  </conditionalFormatting>
  <conditionalFormatting sqref="G212">
    <cfRule type="expression" dxfId="664" priority="748">
      <formula>IF(AND(OR(G212="",#REF!="Segment"),OR(#REF!="Accuracy",#REF!="Fluency",#REF!="Other")),1,0)</formula>
    </cfRule>
  </conditionalFormatting>
  <conditionalFormatting sqref="E215:G218 G214">
    <cfRule type="expression" dxfId="663" priority="745">
      <formula>IF(OR(AND(E214="",F214="",OR(G214="Critical",G214="Major",G214="Minor"))),1,0)</formula>
    </cfRule>
  </conditionalFormatting>
  <conditionalFormatting sqref="F215:F218">
    <cfRule type="expression" dxfId="662" priority="744">
      <formula>IF(AND(F215="",OR(E215="Accuracy",E215="Fluency",E215="Segment",E215="Other")),1,0)</formula>
    </cfRule>
  </conditionalFormatting>
  <conditionalFormatting sqref="G214:G218">
    <cfRule type="expression" dxfId="661" priority="746">
      <formula>IF(AND(OR(G214="",#REF!="Segment"),OR(#REF!="Accuracy",#REF!="Fluency",#REF!="Other")),1,0)</formula>
    </cfRule>
  </conditionalFormatting>
  <conditionalFormatting sqref="G219:G220">
    <cfRule type="expression" dxfId="660" priority="742">
      <formula>IF(OR(AND(G219="",H219="",OR(I219="Critical",I219="Major",I219="Minor"))),1,0)</formula>
    </cfRule>
  </conditionalFormatting>
  <conditionalFormatting sqref="G219:G220">
    <cfRule type="expression" dxfId="659" priority="743">
      <formula>IF(AND(OR(G219="",#REF!="Segment"),OR(#REF!="Accuracy",#REF!="Fluency",#REF!="Other")),1,0)</formula>
    </cfRule>
  </conditionalFormatting>
  <conditionalFormatting sqref="E221:G222">
    <cfRule type="expression" dxfId="658" priority="739">
      <formula>IF(OR(AND(E221="",F221="",OR(G221="Critical",G221="Major",G221="Minor"))),1,0)</formula>
    </cfRule>
  </conditionalFormatting>
  <conditionalFormatting sqref="F221:F222">
    <cfRule type="expression" dxfId="657" priority="738">
      <formula>IF(AND(F221="",OR(E221="Accuracy",E221="Fluency",E221="Segment",E221="Other")),1,0)</formula>
    </cfRule>
  </conditionalFormatting>
  <conditionalFormatting sqref="G221:G222">
    <cfRule type="expression" dxfId="656" priority="740">
      <formula>IF(AND(OR(G221="",#REF!="Segment"),OR(#REF!="Accuracy",#REF!="Fluency",#REF!="Other")),1,0)</formula>
    </cfRule>
  </conditionalFormatting>
  <conditionalFormatting sqref="E224:G225">
    <cfRule type="expression" dxfId="655" priority="736">
      <formula>IF(OR(AND(E224="",F224="",OR(G224="Critical",G224="Major",G224="Minor"))),1,0)</formula>
    </cfRule>
  </conditionalFormatting>
  <conditionalFormatting sqref="F224:F225">
    <cfRule type="expression" dxfId="654" priority="735">
      <formula>IF(AND(F224="",OR(E224="Accuracy",E224="Fluency",E224="Segment",E224="Other")),1,0)</formula>
    </cfRule>
  </conditionalFormatting>
  <conditionalFormatting sqref="G224:G225">
    <cfRule type="expression" dxfId="653" priority="737">
      <formula>IF(AND(OR(G224="",#REF!="Segment"),OR(#REF!="Accuracy",#REF!="Fluency",#REF!="Other")),1,0)</formula>
    </cfRule>
  </conditionalFormatting>
  <conditionalFormatting sqref="E228:G228">
    <cfRule type="expression" dxfId="652" priority="733">
      <formula>IF(OR(AND(E228="",F228="",OR(G228="Critical",G228="Major",G228="Minor"))),1,0)</formula>
    </cfRule>
  </conditionalFormatting>
  <conditionalFormatting sqref="F228">
    <cfRule type="expression" dxfId="651" priority="732">
      <formula>IF(AND(F228="",OR(E228="Accuracy",E228="Fluency",E228="Segment",E228="Other")),1,0)</formula>
    </cfRule>
  </conditionalFormatting>
  <conditionalFormatting sqref="G228">
    <cfRule type="expression" dxfId="650" priority="734">
      <formula>IF(AND(OR(G228="",#REF!="Segment"),OR(#REF!="Accuracy",#REF!="Fluency",#REF!="Other")),1,0)</formula>
    </cfRule>
  </conditionalFormatting>
  <conditionalFormatting sqref="E229:G229">
    <cfRule type="expression" dxfId="649" priority="730">
      <formula>IF(OR(AND(E229="",F229="",OR(G229="Critical",G229="Major",G229="Minor"))),1,0)</formula>
    </cfRule>
  </conditionalFormatting>
  <conditionalFormatting sqref="F229">
    <cfRule type="expression" dxfId="648" priority="729">
      <formula>IF(AND(F229="",OR(E229="Accuracy",E229="Fluency",E229="Segment",E229="Other")),1,0)</formula>
    </cfRule>
  </conditionalFormatting>
  <conditionalFormatting sqref="G229">
    <cfRule type="expression" dxfId="647" priority="731">
      <formula>IF(AND(OR(G229="",#REF!="Segment"),OR(#REF!="Accuracy",#REF!="Fluency",#REF!="Other")),1,0)</formula>
    </cfRule>
  </conditionalFormatting>
  <conditionalFormatting sqref="E230:G230">
    <cfRule type="expression" dxfId="646" priority="727">
      <formula>IF(OR(AND(E230="",F230="",OR(G230="Critical",G230="Major",G230="Minor"))),1,0)</formula>
    </cfRule>
  </conditionalFormatting>
  <conditionalFormatting sqref="F230">
    <cfRule type="expression" dxfId="645" priority="726">
      <formula>IF(AND(F230="",OR(E230="Accuracy",E230="Fluency",E230="Segment",E230="Other")),1,0)</formula>
    </cfRule>
  </conditionalFormatting>
  <conditionalFormatting sqref="G230">
    <cfRule type="expression" dxfId="644" priority="728">
      <formula>IF(AND(OR(G230="",#REF!="Segment"),OR(#REF!="Accuracy",#REF!="Fluency",#REF!="Other")),1,0)</formula>
    </cfRule>
  </conditionalFormatting>
  <conditionalFormatting sqref="G232">
    <cfRule type="expression" dxfId="643" priority="724">
      <formula>IF(OR(AND(G232="",H232="",OR(I232="Critical",I232="Major",I232="Minor"))),1,0)</formula>
    </cfRule>
  </conditionalFormatting>
  <conditionalFormatting sqref="G232">
    <cfRule type="expression" dxfId="642" priority="725">
      <formula>IF(AND(OR(G232="",#REF!="Segment"),OR(#REF!="Accuracy",#REF!="Fluency",#REF!="Other")),1,0)</formula>
    </cfRule>
  </conditionalFormatting>
  <conditionalFormatting sqref="E234:G234">
    <cfRule type="expression" dxfId="641" priority="721">
      <formula>IF(OR(AND(E234="",F234="",OR(G234="Critical",G234="Major",G234="Minor"))),1,0)</formula>
    </cfRule>
  </conditionalFormatting>
  <conditionalFormatting sqref="F234">
    <cfRule type="expression" dxfId="640" priority="720">
      <formula>IF(AND(F234="",OR(E234="Accuracy",E234="Fluency",E234="Segment",E234="Other")),1,0)</formula>
    </cfRule>
  </conditionalFormatting>
  <conditionalFormatting sqref="G234">
    <cfRule type="expression" dxfId="639" priority="722">
      <formula>IF(AND(OR(G234="",#REF!="Segment"),OR(#REF!="Accuracy",#REF!="Fluency",#REF!="Other")),1,0)</formula>
    </cfRule>
  </conditionalFormatting>
  <conditionalFormatting sqref="E235:G238">
    <cfRule type="expression" dxfId="638" priority="718">
      <formula>IF(OR(AND(E235="",F235="",OR(G235="Critical",G235="Major",G235="Minor"))),1,0)</formula>
    </cfRule>
  </conditionalFormatting>
  <conditionalFormatting sqref="F235:F238">
    <cfRule type="expression" dxfId="637" priority="717">
      <formula>IF(AND(F235="",OR(E235="Accuracy",E235="Fluency",E235="Segment",E235="Other")),1,0)</formula>
    </cfRule>
  </conditionalFormatting>
  <conditionalFormatting sqref="G235:G238">
    <cfRule type="expression" dxfId="636" priority="719">
      <formula>IF(AND(OR(G235="",#REF!="Segment"),OR(#REF!="Accuracy",#REF!="Fluency",#REF!="Other")),1,0)</formula>
    </cfRule>
  </conditionalFormatting>
  <conditionalFormatting sqref="G240">
    <cfRule type="expression" dxfId="635" priority="715">
      <formula>IF(OR(AND(G240="",H240="",OR(I240="Critical",I240="Major",I240="Minor"))),1,0)</formula>
    </cfRule>
  </conditionalFormatting>
  <conditionalFormatting sqref="G240">
    <cfRule type="expression" dxfId="634" priority="716">
      <formula>IF(AND(OR(G240="",#REF!="Segment"),OR(#REF!="Accuracy",#REF!="Fluency",#REF!="Other")),1,0)</formula>
    </cfRule>
  </conditionalFormatting>
  <conditionalFormatting sqref="G241">
    <cfRule type="expression" dxfId="633" priority="712">
      <formula>IF(OR(AND(G241="",H241="",OR(I241="Critical",I241="Major",I241="Minor"))),1,0)</formula>
    </cfRule>
  </conditionalFormatting>
  <conditionalFormatting sqref="G241">
    <cfRule type="expression" dxfId="632" priority="713">
      <formula>IF(AND(OR(G241="",#REF!="Segment"),OR(#REF!="Accuracy",#REF!="Fluency",#REF!="Other")),1,0)</formula>
    </cfRule>
  </conditionalFormatting>
  <conditionalFormatting sqref="E242:G245">
    <cfRule type="expression" dxfId="631" priority="709">
      <formula>IF(OR(AND(E242="",F242="",OR(G242="Critical",G242="Major",G242="Minor"))),1,0)</formula>
    </cfRule>
  </conditionalFormatting>
  <conditionalFormatting sqref="F242:F245">
    <cfRule type="expression" dxfId="630" priority="708">
      <formula>IF(AND(F242="",OR(E242="Accuracy",E242="Fluency",E242="Segment",E242="Other")),1,0)</formula>
    </cfRule>
  </conditionalFormatting>
  <conditionalFormatting sqref="G242:G245">
    <cfRule type="expression" dxfId="629" priority="710">
      <formula>IF(AND(OR(G242="",#REF!="Segment"),OR(#REF!="Accuracy",#REF!="Fluency",#REF!="Other")),1,0)</formula>
    </cfRule>
  </conditionalFormatting>
  <conditionalFormatting sqref="G246">
    <cfRule type="expression" dxfId="628" priority="706">
      <formula>IF(OR(AND(G246="",H246="",OR(I246="Critical",I246="Major",I246="Minor"))),1,0)</formula>
    </cfRule>
  </conditionalFormatting>
  <conditionalFormatting sqref="G246">
    <cfRule type="expression" dxfId="627" priority="707">
      <formula>IF(AND(OR(G246="",#REF!="Segment"),OR(#REF!="Accuracy",#REF!="Fluency",#REF!="Other")),1,0)</formula>
    </cfRule>
  </conditionalFormatting>
  <conditionalFormatting sqref="G247">
    <cfRule type="expression" dxfId="626" priority="703">
      <formula>IF(OR(AND(G247="",H247="",OR(I247="Critical",I247="Major",I247="Minor"))),1,0)</formula>
    </cfRule>
  </conditionalFormatting>
  <conditionalFormatting sqref="G247">
    <cfRule type="expression" dxfId="625" priority="704">
      <formula>IF(AND(OR(G247="",#REF!="Segment"),OR(#REF!="Accuracy",#REF!="Fluency",#REF!="Other")),1,0)</formula>
    </cfRule>
  </conditionalFormatting>
  <conditionalFormatting sqref="G249">
    <cfRule type="expression" dxfId="624" priority="700">
      <formula>IF(OR(AND(G249="",H249="",OR(I249="Critical",I249="Major",I249="Minor"))),1,0)</formula>
    </cfRule>
  </conditionalFormatting>
  <conditionalFormatting sqref="G249">
    <cfRule type="expression" dxfId="623" priority="701">
      <formula>IF(AND(OR(G249="",#REF!="Segment"),OR(#REF!="Accuracy",#REF!="Fluency",#REF!="Other")),1,0)</formula>
    </cfRule>
  </conditionalFormatting>
  <conditionalFormatting sqref="G250">
    <cfRule type="expression" dxfId="622" priority="697">
      <formula>IF(OR(AND(G250="",H250="",OR(I250="Critical",I250="Major",I250="Minor"))),1,0)</formula>
    </cfRule>
  </conditionalFormatting>
  <conditionalFormatting sqref="G250">
    <cfRule type="expression" dxfId="621" priority="698">
      <formula>IF(AND(OR(G250="",#REF!="Segment"),OR(#REF!="Accuracy",#REF!="Fluency",#REF!="Other")),1,0)</formula>
    </cfRule>
  </conditionalFormatting>
  <conditionalFormatting sqref="E252:G252">
    <cfRule type="expression" dxfId="620" priority="694">
      <formula>IF(OR(AND(E252="",F252="",OR(G252="Critical",G252="Major",G252="Minor"))),1,0)</formula>
    </cfRule>
  </conditionalFormatting>
  <conditionalFormatting sqref="F252">
    <cfRule type="expression" dxfId="619" priority="693">
      <formula>IF(AND(F252="",OR(E252="Accuracy",E252="Fluency",E252="Segment",E252="Other")),1,0)</formula>
    </cfRule>
  </conditionalFormatting>
  <conditionalFormatting sqref="G252">
    <cfRule type="expression" dxfId="618" priority="695">
      <formula>IF(AND(OR(G252="",#REF!="Segment"),OR(#REF!="Accuracy",#REF!="Fluency",#REF!="Other")),1,0)</formula>
    </cfRule>
  </conditionalFormatting>
  <conditionalFormatting sqref="E253:G253">
    <cfRule type="expression" dxfId="617" priority="691">
      <formula>IF(OR(AND(E253="",F253="",OR(G253="Critical",G253="Major",G253="Minor"))),1,0)</formula>
    </cfRule>
  </conditionalFormatting>
  <conditionalFormatting sqref="F253">
    <cfRule type="expression" dxfId="616" priority="690">
      <formula>IF(AND(F253="",OR(E253="Accuracy",E253="Fluency",E253="Segment",E253="Other")),1,0)</formula>
    </cfRule>
  </conditionalFormatting>
  <conditionalFormatting sqref="G253">
    <cfRule type="expression" dxfId="615" priority="692">
      <formula>IF(AND(OR(G253="",#REF!="Segment"),OR(#REF!="Accuracy",#REF!="Fluency",#REF!="Other")),1,0)</formula>
    </cfRule>
  </conditionalFormatting>
  <conditionalFormatting sqref="E254:G254">
    <cfRule type="expression" dxfId="614" priority="688">
      <formula>IF(OR(AND(E254="",F254="",OR(G254="Critical",G254="Major",G254="Minor"))),1,0)</formula>
    </cfRule>
  </conditionalFormatting>
  <conditionalFormatting sqref="F254">
    <cfRule type="expression" dxfId="613" priority="687">
      <formula>IF(AND(F254="",OR(E254="Accuracy",E254="Fluency",E254="Segment",E254="Other")),1,0)</formula>
    </cfRule>
  </conditionalFormatting>
  <conditionalFormatting sqref="G254">
    <cfRule type="expression" dxfId="612" priority="689">
      <formula>IF(AND(OR(G254="",#REF!="Segment"),OR(#REF!="Accuracy",#REF!="Fluency",#REF!="Other")),1,0)</formula>
    </cfRule>
  </conditionalFormatting>
  <conditionalFormatting sqref="E255:G255">
    <cfRule type="expression" dxfId="611" priority="685">
      <formula>IF(OR(AND(E255="",F255="",OR(G255="Critical",G255="Major",G255="Minor"))),1,0)</formula>
    </cfRule>
  </conditionalFormatting>
  <conditionalFormatting sqref="F255">
    <cfRule type="expression" dxfId="610" priority="684">
      <formula>IF(AND(F255="",OR(E255="Accuracy",E255="Fluency",E255="Segment",E255="Other")),1,0)</formula>
    </cfRule>
  </conditionalFormatting>
  <conditionalFormatting sqref="G255">
    <cfRule type="expression" dxfId="609" priority="686">
      <formula>IF(AND(OR(G255="",#REF!="Segment"),OR(#REF!="Accuracy",#REF!="Fluency",#REF!="Other")),1,0)</formula>
    </cfRule>
  </conditionalFormatting>
  <conditionalFormatting sqref="E258:G258">
    <cfRule type="expression" dxfId="608" priority="682">
      <formula>IF(OR(AND(E258="",F258="",OR(G258="Critical",G258="Major",G258="Minor"))),1,0)</formula>
    </cfRule>
  </conditionalFormatting>
  <conditionalFormatting sqref="F258">
    <cfRule type="expression" dxfId="607" priority="681">
      <formula>IF(AND(F258="",OR(E258="Accuracy",E258="Fluency",E258="Segment",E258="Other")),1,0)</formula>
    </cfRule>
  </conditionalFormatting>
  <conditionalFormatting sqref="G258">
    <cfRule type="expression" dxfId="606" priority="683">
      <formula>IF(AND(OR(G258="",#REF!="Segment"),OR(#REF!="Accuracy",#REF!="Fluency",#REF!="Other")),1,0)</formula>
    </cfRule>
  </conditionalFormatting>
  <conditionalFormatting sqref="E259:G259">
    <cfRule type="expression" dxfId="605" priority="679">
      <formula>IF(OR(AND(E259="",F259="",OR(G259="Critical",G259="Major",G259="Minor"))),1,0)</formula>
    </cfRule>
  </conditionalFormatting>
  <conditionalFormatting sqref="F259">
    <cfRule type="expression" dxfId="604" priority="678">
      <formula>IF(AND(F259="",OR(E259="Accuracy",E259="Fluency",E259="Segment",E259="Other")),1,0)</formula>
    </cfRule>
  </conditionalFormatting>
  <conditionalFormatting sqref="G259">
    <cfRule type="expression" dxfId="603" priority="680">
      <formula>IF(AND(OR(G259="",#REF!="Segment"),OR(#REF!="Accuracy",#REF!="Fluency",#REF!="Other")),1,0)</formula>
    </cfRule>
  </conditionalFormatting>
  <conditionalFormatting sqref="E260:G260">
    <cfRule type="expression" dxfId="602" priority="676">
      <formula>IF(OR(AND(E260="",F260="",OR(G260="Critical",G260="Major",G260="Minor"))),1,0)</formula>
    </cfRule>
  </conditionalFormatting>
  <conditionalFormatting sqref="F260">
    <cfRule type="expression" dxfId="601" priority="675">
      <formula>IF(AND(F260="",OR(E260="Accuracy",E260="Fluency",E260="Segment",E260="Other")),1,0)</formula>
    </cfRule>
  </conditionalFormatting>
  <conditionalFormatting sqref="G260">
    <cfRule type="expression" dxfId="600" priority="677">
      <formula>IF(AND(OR(G260="",#REF!="Segment"),OR(#REF!="Accuracy",#REF!="Fluency",#REF!="Other")),1,0)</formula>
    </cfRule>
  </conditionalFormatting>
  <conditionalFormatting sqref="E264:G264">
    <cfRule type="expression" dxfId="599" priority="673">
      <formula>IF(OR(AND(E264="",F264="",OR(G264="Critical",G264="Major",G264="Minor"))),1,0)</formula>
    </cfRule>
  </conditionalFormatting>
  <conditionalFormatting sqref="F264">
    <cfRule type="expression" dxfId="598" priority="672">
      <formula>IF(AND(F264="",OR(E264="Accuracy",E264="Fluency",E264="Segment",E264="Other")),1,0)</formula>
    </cfRule>
  </conditionalFormatting>
  <conditionalFormatting sqref="G264">
    <cfRule type="expression" dxfId="597" priority="674">
      <formula>IF(AND(OR(G264="",#REF!="Segment"),OR(#REF!="Accuracy",#REF!="Fluency",#REF!="Other")),1,0)</formula>
    </cfRule>
  </conditionalFormatting>
  <conditionalFormatting sqref="E265:G265">
    <cfRule type="expression" dxfId="596" priority="670">
      <formula>IF(OR(AND(E265="",F265="",OR(G265="Critical",G265="Major",G265="Minor"))),1,0)</formula>
    </cfRule>
  </conditionalFormatting>
  <conditionalFormatting sqref="F265">
    <cfRule type="expression" dxfId="595" priority="669">
      <formula>IF(AND(F265="",OR(E265="Accuracy",E265="Fluency",E265="Segment",E265="Other")),1,0)</formula>
    </cfRule>
  </conditionalFormatting>
  <conditionalFormatting sqref="G265">
    <cfRule type="expression" dxfId="594" priority="671">
      <formula>IF(AND(OR(G265="",#REF!="Segment"),OR(#REF!="Accuracy",#REF!="Fluency",#REF!="Other")),1,0)</formula>
    </cfRule>
  </conditionalFormatting>
  <conditionalFormatting sqref="E266:G268">
    <cfRule type="expression" dxfId="593" priority="667">
      <formula>IF(OR(AND(E266="",F266="",OR(G266="Critical",G266="Major",G266="Minor"))),1,0)</formula>
    </cfRule>
  </conditionalFormatting>
  <conditionalFormatting sqref="F266:F268">
    <cfRule type="expression" dxfId="592" priority="666">
      <formula>IF(AND(F266="",OR(E266="Accuracy",E266="Fluency",E266="Segment",E266="Other")),1,0)</formula>
    </cfRule>
  </conditionalFormatting>
  <conditionalFormatting sqref="G266:G268">
    <cfRule type="expression" dxfId="591" priority="668">
      <formula>IF(AND(OR(G266="",#REF!="Segment"),OR(#REF!="Accuracy",#REF!="Fluency",#REF!="Other")),1,0)</formula>
    </cfRule>
  </conditionalFormatting>
  <conditionalFormatting sqref="G271">
    <cfRule type="expression" dxfId="590" priority="664">
      <formula>IF(OR(AND(G271="",H271="",OR(I271="Critical",I271="Major",I271="Minor"))),1,0)</formula>
    </cfRule>
  </conditionalFormatting>
  <conditionalFormatting sqref="G271">
    <cfRule type="expression" dxfId="589" priority="665">
      <formula>IF(AND(OR(G271="",#REF!="Segment"),OR(#REF!="Accuracy",#REF!="Fluency",#REF!="Other")),1,0)</formula>
    </cfRule>
  </conditionalFormatting>
  <conditionalFormatting sqref="E273:G273">
    <cfRule type="expression" dxfId="588" priority="661">
      <formula>IF(OR(AND(E273="",F273="",OR(G273="Critical",G273="Major",G273="Minor"))),1,0)</formula>
    </cfRule>
  </conditionalFormatting>
  <conditionalFormatting sqref="F273">
    <cfRule type="expression" dxfId="587" priority="660">
      <formula>IF(AND(F273="",OR(E273="Accuracy",E273="Fluency",E273="Segment",E273="Other")),1,0)</formula>
    </cfRule>
  </conditionalFormatting>
  <conditionalFormatting sqref="G273">
    <cfRule type="expression" dxfId="586" priority="662">
      <formula>IF(AND(OR(G273="",#REF!="Segment"),OR(#REF!="Accuracy",#REF!="Fluency",#REF!="Other")),1,0)</formula>
    </cfRule>
  </conditionalFormatting>
  <conditionalFormatting sqref="G274">
    <cfRule type="expression" dxfId="585" priority="658">
      <formula>IF(OR(AND(G274="",H274="",OR(I274="Critical",I274="Major",I274="Minor"))),1,0)</formula>
    </cfRule>
  </conditionalFormatting>
  <conditionalFormatting sqref="G274">
    <cfRule type="expression" dxfId="584" priority="659">
      <formula>IF(AND(OR(G274="",#REF!="Segment"),OR(#REF!="Accuracy",#REF!="Fluency",#REF!="Other")),1,0)</formula>
    </cfRule>
  </conditionalFormatting>
  <conditionalFormatting sqref="E277:G277">
    <cfRule type="expression" dxfId="583" priority="655">
      <formula>IF(OR(AND(E277="",F277="",OR(G277="Critical",G277="Major",G277="Minor"))),1,0)</formula>
    </cfRule>
  </conditionalFormatting>
  <conditionalFormatting sqref="F277">
    <cfRule type="expression" dxfId="582" priority="654">
      <formula>IF(AND(F277="",OR(E277="Accuracy",E277="Fluency",E277="Segment",E277="Other")),1,0)</formula>
    </cfRule>
  </conditionalFormatting>
  <conditionalFormatting sqref="G277">
    <cfRule type="expression" dxfId="581" priority="656">
      <formula>IF(AND(OR(G277="",#REF!="Segment"),OR(#REF!="Accuracy",#REF!="Fluency",#REF!="Other")),1,0)</formula>
    </cfRule>
  </conditionalFormatting>
  <conditionalFormatting sqref="G279">
    <cfRule type="expression" dxfId="580" priority="652">
      <formula>IF(OR(AND(G279="",H279="",OR(I279="Critical",I279="Major",I279="Minor"))),1,0)</formula>
    </cfRule>
  </conditionalFormatting>
  <conditionalFormatting sqref="G279">
    <cfRule type="expression" dxfId="579" priority="653">
      <formula>IF(AND(OR(G279="",#REF!="Segment"),OR(#REF!="Accuracy",#REF!="Fluency",#REF!="Other")),1,0)</formula>
    </cfRule>
  </conditionalFormatting>
  <conditionalFormatting sqref="G280">
    <cfRule type="expression" dxfId="578" priority="649">
      <formula>IF(OR(AND(G280="",H280="",OR(I280="Critical",I280="Major",I280="Minor"))),1,0)</formula>
    </cfRule>
  </conditionalFormatting>
  <conditionalFormatting sqref="G280">
    <cfRule type="expression" dxfId="577" priority="650">
      <formula>IF(AND(OR(G280="",#REF!="Segment"),OR(#REF!="Accuracy",#REF!="Fluency",#REF!="Other")),1,0)</formula>
    </cfRule>
  </conditionalFormatting>
  <conditionalFormatting sqref="E281:G281">
    <cfRule type="expression" dxfId="576" priority="646">
      <formula>IF(OR(AND(E281="",F281="",OR(G281="Critical",G281="Major",G281="Minor"))),1,0)</formula>
    </cfRule>
  </conditionalFormatting>
  <conditionalFormatting sqref="F281">
    <cfRule type="expression" dxfId="575" priority="645">
      <formula>IF(AND(F281="",OR(E281="Accuracy",E281="Fluency",E281="Segment",E281="Other")),1,0)</formula>
    </cfRule>
  </conditionalFormatting>
  <conditionalFormatting sqref="G281">
    <cfRule type="expression" dxfId="574" priority="647">
      <formula>IF(AND(OR(G281="",#REF!="Segment"),OR(#REF!="Accuracy",#REF!="Fluency",#REF!="Other")),1,0)</formula>
    </cfRule>
  </conditionalFormatting>
  <conditionalFormatting sqref="E282:G282">
    <cfRule type="expression" dxfId="573" priority="643">
      <formula>IF(OR(AND(E282="",F282="",OR(G282="Critical",G282="Major",G282="Minor"))),1,0)</formula>
    </cfRule>
  </conditionalFormatting>
  <conditionalFormatting sqref="F282">
    <cfRule type="expression" dxfId="572" priority="642">
      <formula>IF(AND(F282="",OR(E282="Accuracy",E282="Fluency",E282="Segment",E282="Other")),1,0)</formula>
    </cfRule>
  </conditionalFormatting>
  <conditionalFormatting sqref="G282">
    <cfRule type="expression" dxfId="571" priority="644">
      <formula>IF(AND(OR(G282="",#REF!="Segment"),OR(#REF!="Accuracy",#REF!="Fluency",#REF!="Other")),1,0)</formula>
    </cfRule>
  </conditionalFormatting>
  <conditionalFormatting sqref="G283">
    <cfRule type="expression" dxfId="570" priority="640">
      <formula>IF(OR(AND(G283="",H283="",OR(I283="Critical",I283="Major",I283="Minor"))),1,0)</formula>
    </cfRule>
  </conditionalFormatting>
  <conditionalFormatting sqref="G283">
    <cfRule type="expression" dxfId="569" priority="641">
      <formula>IF(AND(OR(G283="",#REF!="Segment"),OR(#REF!="Accuracy",#REF!="Fluency",#REF!="Other")),1,0)</formula>
    </cfRule>
  </conditionalFormatting>
  <conditionalFormatting sqref="G284">
    <cfRule type="expression" dxfId="568" priority="637">
      <formula>IF(OR(AND(G284="",H284="",OR(I284="Critical",I284="Major",I284="Minor"))),1,0)</formula>
    </cfRule>
  </conditionalFormatting>
  <conditionalFormatting sqref="G284">
    <cfRule type="expression" dxfId="567" priority="638">
      <formula>IF(AND(OR(G284="",#REF!="Segment"),OR(#REF!="Accuracy",#REF!="Fluency",#REF!="Other")),1,0)</formula>
    </cfRule>
  </conditionalFormatting>
  <conditionalFormatting sqref="G285">
    <cfRule type="expression" dxfId="566" priority="634">
      <formula>IF(OR(AND(G285="",H285="",OR(I285="Critical",I285="Major",I285="Minor"))),1,0)</formula>
    </cfRule>
  </conditionalFormatting>
  <conditionalFormatting sqref="G285">
    <cfRule type="expression" dxfId="565" priority="635">
      <formula>IF(AND(OR(G285="",#REF!="Segment"),OR(#REF!="Accuracy",#REF!="Fluency",#REF!="Other")),1,0)</formula>
    </cfRule>
  </conditionalFormatting>
  <conditionalFormatting sqref="E286:G286">
    <cfRule type="expression" dxfId="564" priority="631">
      <formula>IF(OR(AND(E286="",F286="",OR(G286="Critical",G286="Major",G286="Minor"))),1,0)</formula>
    </cfRule>
  </conditionalFormatting>
  <conditionalFormatting sqref="F286">
    <cfRule type="expression" dxfId="563" priority="630">
      <formula>IF(AND(F286="",OR(E286="Accuracy",E286="Fluency",E286="Segment",E286="Other")),1,0)</formula>
    </cfRule>
  </conditionalFormatting>
  <conditionalFormatting sqref="G286">
    <cfRule type="expression" dxfId="562" priority="632">
      <formula>IF(AND(OR(G286="",#REF!="Segment"),OR(#REF!="Accuracy",#REF!="Fluency",#REF!="Other")),1,0)</formula>
    </cfRule>
  </conditionalFormatting>
  <conditionalFormatting sqref="E287:G287">
    <cfRule type="expression" dxfId="561" priority="628">
      <formula>IF(OR(AND(E287="",F287="",OR(G287="Critical",G287="Major",G287="Minor"))),1,0)</formula>
    </cfRule>
  </conditionalFormatting>
  <conditionalFormatting sqref="F287">
    <cfRule type="expression" dxfId="560" priority="627">
      <formula>IF(AND(F287="",OR(E287="Accuracy",E287="Fluency",E287="Segment",E287="Other")),1,0)</formula>
    </cfRule>
  </conditionalFormatting>
  <conditionalFormatting sqref="G287">
    <cfRule type="expression" dxfId="559" priority="629">
      <formula>IF(AND(OR(G287="",#REF!="Segment"),OR(#REF!="Accuracy",#REF!="Fluency",#REF!="Other")),1,0)</formula>
    </cfRule>
  </conditionalFormatting>
  <conditionalFormatting sqref="E288:G288">
    <cfRule type="expression" dxfId="558" priority="625">
      <formula>IF(OR(AND(E288="",F288="",OR(G288="Critical",G288="Major",G288="Minor"))),1,0)</formula>
    </cfRule>
  </conditionalFormatting>
  <conditionalFormatting sqref="F288">
    <cfRule type="expression" dxfId="557" priority="624">
      <formula>IF(AND(F288="",OR(E288="Accuracy",E288="Fluency",E288="Segment",E288="Other")),1,0)</formula>
    </cfRule>
  </conditionalFormatting>
  <conditionalFormatting sqref="G288">
    <cfRule type="expression" dxfId="556" priority="626">
      <formula>IF(AND(OR(G288="",#REF!="Segment"),OR(#REF!="Accuracy",#REF!="Fluency",#REF!="Other")),1,0)</formula>
    </cfRule>
  </conditionalFormatting>
  <conditionalFormatting sqref="E289:G289">
    <cfRule type="expression" dxfId="555" priority="622">
      <formula>IF(OR(AND(E289="",F289="",OR(G289="Critical",G289="Major",G289="Minor"))),1,0)</formula>
    </cfRule>
  </conditionalFormatting>
  <conditionalFormatting sqref="F289">
    <cfRule type="expression" dxfId="554" priority="621">
      <formula>IF(AND(F289="",OR(E289="Accuracy",E289="Fluency",E289="Segment",E289="Other")),1,0)</formula>
    </cfRule>
  </conditionalFormatting>
  <conditionalFormatting sqref="G289">
    <cfRule type="expression" dxfId="553" priority="623">
      <formula>IF(AND(OR(G289="",#REF!="Segment"),OR(#REF!="Accuracy",#REF!="Fluency",#REF!="Other")),1,0)</formula>
    </cfRule>
  </conditionalFormatting>
  <conditionalFormatting sqref="G291">
    <cfRule type="expression" dxfId="552" priority="619">
      <formula>IF(OR(AND(G291="",H291="",OR(I291="Critical",I291="Major",I291="Minor"))),1,0)</formula>
    </cfRule>
  </conditionalFormatting>
  <conditionalFormatting sqref="G291">
    <cfRule type="expression" dxfId="551" priority="620">
      <formula>IF(AND(OR(G291="",#REF!="Segment"),OR(#REF!="Accuracy",#REF!="Fluency",#REF!="Other")),1,0)</formula>
    </cfRule>
  </conditionalFormatting>
  <conditionalFormatting sqref="G292">
    <cfRule type="expression" dxfId="550" priority="616">
      <formula>IF(OR(AND(G292="",H292="",OR(I292="Critical",I292="Major",I292="Minor"))),1,0)</formula>
    </cfRule>
  </conditionalFormatting>
  <conditionalFormatting sqref="G292">
    <cfRule type="expression" dxfId="549" priority="617">
      <formula>IF(AND(OR(G292="",#REF!="Segment"),OR(#REF!="Accuracy",#REF!="Fluency",#REF!="Other")),1,0)</formula>
    </cfRule>
  </conditionalFormatting>
  <conditionalFormatting sqref="E294:G294">
    <cfRule type="expression" dxfId="548" priority="613">
      <formula>IF(OR(AND(E294="",F294="",OR(G294="Critical",G294="Major",G294="Minor"))),1,0)</formula>
    </cfRule>
  </conditionalFormatting>
  <conditionalFormatting sqref="F294">
    <cfRule type="expression" dxfId="547" priority="612">
      <formula>IF(AND(F294="",OR(E294="Accuracy",E294="Fluency",E294="Segment",E294="Other")),1,0)</formula>
    </cfRule>
  </conditionalFormatting>
  <conditionalFormatting sqref="G294">
    <cfRule type="expression" dxfId="546" priority="614">
      <formula>IF(AND(OR(G294="",#REF!="Segment"),OR(#REF!="Accuracy",#REF!="Fluency",#REF!="Other")),1,0)</formula>
    </cfRule>
  </conditionalFormatting>
  <conditionalFormatting sqref="E295:G295">
    <cfRule type="expression" dxfId="545" priority="610">
      <formula>IF(OR(AND(E295="",F295="",OR(G295="Critical",G295="Major",G295="Minor"))),1,0)</formula>
    </cfRule>
  </conditionalFormatting>
  <conditionalFormatting sqref="F295">
    <cfRule type="expression" dxfId="544" priority="609">
      <formula>IF(AND(F295="",OR(E295="Accuracy",E295="Fluency",E295="Segment",E295="Other")),1,0)</formula>
    </cfRule>
  </conditionalFormatting>
  <conditionalFormatting sqref="G295">
    <cfRule type="expression" dxfId="543" priority="611">
      <formula>IF(AND(OR(G295="",#REF!="Segment"),OR(#REF!="Accuracy",#REF!="Fluency",#REF!="Other")),1,0)</formula>
    </cfRule>
  </conditionalFormatting>
  <conditionalFormatting sqref="G297">
    <cfRule type="expression" dxfId="542" priority="607">
      <formula>IF(OR(AND(G297="",H297="",OR(I297="Critical",I297="Major",I297="Minor"))),1,0)</formula>
    </cfRule>
  </conditionalFormatting>
  <conditionalFormatting sqref="G297">
    <cfRule type="expression" dxfId="541" priority="608">
      <formula>IF(AND(OR(G297="",#REF!="Segment"),OR(#REF!="Accuracy",#REF!="Fluency",#REF!="Other")),1,0)</formula>
    </cfRule>
  </conditionalFormatting>
  <conditionalFormatting sqref="G298">
    <cfRule type="expression" dxfId="540" priority="604">
      <formula>IF(OR(AND(G298="",H298="",OR(I298="Critical",I298="Major",I298="Minor"))),1,0)</formula>
    </cfRule>
  </conditionalFormatting>
  <conditionalFormatting sqref="G298">
    <cfRule type="expression" dxfId="539" priority="605">
      <formula>IF(AND(OR(G298="",#REF!="Segment"),OR(#REF!="Accuracy",#REF!="Fluency",#REF!="Other")),1,0)</formula>
    </cfRule>
  </conditionalFormatting>
  <conditionalFormatting sqref="G307">
    <cfRule type="expression" dxfId="538" priority="601">
      <formula>IF(OR(AND(G307="",H307="",OR(I307="Critical",I307="Major",I307="Minor"))),1,0)</formula>
    </cfRule>
  </conditionalFormatting>
  <conditionalFormatting sqref="G307">
    <cfRule type="expression" dxfId="537" priority="602">
      <formula>IF(AND(OR(G307="",#REF!="Segment"),OR(#REF!="Accuracy",#REF!="Fluency",#REF!="Other")),1,0)</formula>
    </cfRule>
  </conditionalFormatting>
  <conditionalFormatting sqref="E308:G308">
    <cfRule type="expression" dxfId="536" priority="598">
      <formula>IF(OR(AND(E308="",F308="",OR(G308="Critical",G308="Major",G308="Minor"))),1,0)</formula>
    </cfRule>
  </conditionalFormatting>
  <conditionalFormatting sqref="F308">
    <cfRule type="expression" dxfId="535" priority="597">
      <formula>IF(AND(F308="",OR(E308="Accuracy",E308="Fluency",E308="Segment",E308="Other")),1,0)</formula>
    </cfRule>
  </conditionalFormatting>
  <conditionalFormatting sqref="G308">
    <cfRule type="expression" dxfId="534" priority="599">
      <formula>IF(AND(OR(G308="",#REF!="Segment"),OR(#REF!="Accuracy",#REF!="Fluency",#REF!="Other")),1,0)</formula>
    </cfRule>
  </conditionalFormatting>
  <conditionalFormatting sqref="E418:G419 G402 G390:G391 G386:G387 E382:G382 G374:G376 E362:G363 E357:G357 E349:G350 E327:G329 G320:G322 G312:G314 E310:G310 E332:G337 G330:G331 G356 E365:G366 G364 G416:G417">
    <cfRule type="expression" dxfId="533" priority="595">
      <formula>IF(OR(AND(E310="",F310="",OR(G310="Critical",G310="Major",G310="Minor"))),1,0)</formula>
    </cfRule>
  </conditionalFormatting>
  <conditionalFormatting sqref="F418:F419 F382 F362:F363 F357 F349:F350 F327:F329 F310 F332:F337 F365:F366">
    <cfRule type="expression" dxfId="532" priority="594">
      <formula>IF(AND(F310="",OR(E310="Accuracy",E310="Fluency",E310="Segment",E310="Other")),1,0)</formula>
    </cfRule>
  </conditionalFormatting>
  <conditionalFormatting sqref="G416:G419 G402 G390:G391 G386:G387 G382 G374:G376 G362:G366 G356:G357 G349:G350 G327:G337 G320:G322 G312:G314 G310">
    <cfRule type="expression" dxfId="531" priority="596">
      <formula>IF(AND(OR(G310="",#REF!="Segment"),OR(#REF!="Accuracy",#REF!="Fluency",#REF!="Other")),1,0)</formula>
    </cfRule>
  </conditionalFormatting>
  <conditionalFormatting sqref="G309">
    <cfRule type="expression" dxfId="530" priority="590">
      <formula>IF(AND(OR(G309="",#REF!="Segment"),OR(#REF!="Accuracy",#REF!="Fluency",#REF!="Other")),1,0)</formula>
    </cfRule>
  </conditionalFormatting>
  <conditionalFormatting sqref="G309">
    <cfRule type="expression" dxfId="529" priority="592">
      <formula>IF(OR(AND(G309="",H308="",OR(I309="Critical",I309="Major",I309="Minor"))),1,0)</formula>
    </cfRule>
  </conditionalFormatting>
  <conditionalFormatting sqref="E311:G311">
    <cfRule type="expression" dxfId="528" priority="587">
      <formula>IF(OR(AND(E311="",F311="",OR(G311="Critical",G311="Major",G311="Minor"))),1,0)</formula>
    </cfRule>
  </conditionalFormatting>
  <conditionalFormatting sqref="F311">
    <cfRule type="expression" dxfId="527" priority="586">
      <formula>IF(AND(F311="",OR(E311="Accuracy",E311="Fluency",E311="Segment",E311="Other")),1,0)</formula>
    </cfRule>
  </conditionalFormatting>
  <conditionalFormatting sqref="G311">
    <cfRule type="expression" dxfId="526" priority="588">
      <formula>IF(AND(OR(G311="",#REF!="Segment"),OR(#REF!="Accuracy",#REF!="Fluency",#REF!="Other")),1,0)</formula>
    </cfRule>
  </conditionalFormatting>
  <conditionalFormatting sqref="E315:G319">
    <cfRule type="expression" dxfId="525" priority="584">
      <formula>IF(OR(AND(E315="",F315="",OR(G315="Critical",G315="Major",G315="Minor"))),1,0)</formula>
    </cfRule>
  </conditionalFormatting>
  <conditionalFormatting sqref="F315:F319">
    <cfRule type="expression" dxfId="524" priority="583">
      <formula>IF(AND(F315="",OR(E315="Accuracy",E315="Fluency",E315="Segment",E315="Other")),1,0)</formula>
    </cfRule>
  </conditionalFormatting>
  <conditionalFormatting sqref="G315:G319">
    <cfRule type="expression" dxfId="523" priority="585">
      <formula>IF(AND(OR(G315="",#REF!="Segment"),OR(#REF!="Accuracy",#REF!="Fluency",#REF!="Other")),1,0)</formula>
    </cfRule>
  </conditionalFormatting>
  <conditionalFormatting sqref="E323:G323">
    <cfRule type="expression" dxfId="522" priority="581">
      <formula>IF(OR(AND(E323="",F323="",OR(G323="Critical",G323="Major",G323="Minor"))),1,0)</formula>
    </cfRule>
  </conditionalFormatting>
  <conditionalFormatting sqref="F323">
    <cfRule type="expression" dxfId="521" priority="580">
      <formula>IF(AND(F323="",OR(E323="Accuracy",E323="Fluency",E323="Segment",E323="Other")),1,0)</formula>
    </cfRule>
  </conditionalFormatting>
  <conditionalFormatting sqref="G323">
    <cfRule type="expression" dxfId="520" priority="582">
      <formula>IF(AND(OR(G323="",#REF!="Segment"),OR(#REF!="Accuracy",#REF!="Fluency",#REF!="Other")),1,0)</formula>
    </cfRule>
  </conditionalFormatting>
  <conditionalFormatting sqref="E324:G324">
    <cfRule type="expression" dxfId="519" priority="578">
      <formula>IF(OR(AND(E324="",F324="",OR(G324="Critical",G324="Major",G324="Minor"))),1,0)</formula>
    </cfRule>
  </conditionalFormatting>
  <conditionalFormatting sqref="F324">
    <cfRule type="expression" dxfId="518" priority="577">
      <formula>IF(AND(F324="",OR(E324="Accuracy",E324="Fluency",E324="Segment",E324="Other")),1,0)</formula>
    </cfRule>
  </conditionalFormatting>
  <conditionalFormatting sqref="G324">
    <cfRule type="expression" dxfId="517" priority="579">
      <formula>IF(AND(OR(G324="",#REF!="Segment"),OR(#REF!="Accuracy",#REF!="Fluency",#REF!="Other")),1,0)</formula>
    </cfRule>
  </conditionalFormatting>
  <conditionalFormatting sqref="G325:G326">
    <cfRule type="expression" dxfId="516" priority="574">
      <formula>IF(OR(AND(G325="",H325="",OR(I325="Critical",I325="Major",I325="Minor"))),1,0)</formula>
    </cfRule>
  </conditionalFormatting>
  <conditionalFormatting sqref="G325:G326">
    <cfRule type="expression" dxfId="515" priority="575">
      <formula>IF(AND(OR(G325="",#REF!="Segment"),OR(#REF!="Accuracy",#REF!="Fluency",#REF!="Other")),1,0)</formula>
    </cfRule>
  </conditionalFormatting>
  <conditionalFormatting sqref="H326">
    <cfRule type="expression" dxfId="514" priority="576">
      <formula>IF(OR(AND(H326="",F326="",OR(G326="Critical",G326="Major",G326="Minor"))),1,0)</formula>
    </cfRule>
  </conditionalFormatting>
  <conditionalFormatting sqref="G338">
    <cfRule type="expression" dxfId="513" priority="571">
      <formula>IF(OR(AND(G338="",H338="",OR(I338="Critical",I338="Major",I338="Minor"))),1,0)</formula>
    </cfRule>
  </conditionalFormatting>
  <conditionalFormatting sqref="G338">
    <cfRule type="expression" dxfId="512" priority="572">
      <formula>IF(AND(OR(G338="",#REF!="Segment"),OR(#REF!="Accuracy",#REF!="Fluency",#REF!="Other")),1,0)</formula>
    </cfRule>
  </conditionalFormatting>
  <conditionalFormatting sqref="E339:G339">
    <cfRule type="expression" dxfId="511" priority="568">
      <formula>IF(OR(AND(E339="",F339="",OR(G339="Critical",G339="Major",G339="Minor"))),1,0)</formula>
    </cfRule>
  </conditionalFormatting>
  <conditionalFormatting sqref="F339">
    <cfRule type="expression" dxfId="510" priority="567">
      <formula>IF(AND(F339="",OR(E339="Accuracy",E339="Fluency",E339="Segment",E339="Other")),1,0)</formula>
    </cfRule>
  </conditionalFormatting>
  <conditionalFormatting sqref="G339">
    <cfRule type="expression" dxfId="509" priority="569">
      <formula>IF(AND(OR(G339="",#REF!="Segment"),OR(#REF!="Accuracy",#REF!="Fluency",#REF!="Other")),1,0)</formula>
    </cfRule>
  </conditionalFormatting>
  <conditionalFormatting sqref="E340:G340">
    <cfRule type="expression" dxfId="508" priority="565">
      <formula>IF(OR(AND(E340="",F340="",OR(G340="Critical",G340="Major",G340="Minor"))),1,0)</formula>
    </cfRule>
  </conditionalFormatting>
  <conditionalFormatting sqref="F340">
    <cfRule type="expression" dxfId="507" priority="564">
      <formula>IF(AND(F340="",OR(E340="Accuracy",E340="Fluency",E340="Segment",E340="Other")),1,0)</formula>
    </cfRule>
  </conditionalFormatting>
  <conditionalFormatting sqref="G340">
    <cfRule type="expression" dxfId="506" priority="566">
      <formula>IF(AND(OR(G340="",#REF!="Segment"),OR(#REF!="Accuracy",#REF!="Fluency",#REF!="Other")),1,0)</formula>
    </cfRule>
  </conditionalFormatting>
  <conditionalFormatting sqref="E341:G341">
    <cfRule type="expression" dxfId="505" priority="562">
      <formula>IF(OR(AND(E341="",F341="",OR(G341="Critical",G341="Major",G341="Minor"))),1,0)</formula>
    </cfRule>
  </conditionalFormatting>
  <conditionalFormatting sqref="F341">
    <cfRule type="expression" dxfId="504" priority="561">
      <formula>IF(AND(F341="",OR(E341="Accuracy",E341="Fluency",E341="Segment",E341="Other")),1,0)</formula>
    </cfRule>
  </conditionalFormatting>
  <conditionalFormatting sqref="G341">
    <cfRule type="expression" dxfId="503" priority="563">
      <formula>IF(AND(OR(G341="",#REF!="Segment"),OR(#REF!="Accuracy",#REF!="Fluency",#REF!="Other")),1,0)</formula>
    </cfRule>
  </conditionalFormatting>
  <conditionalFormatting sqref="G342:G344">
    <cfRule type="expression" dxfId="502" priority="559">
      <formula>IF(OR(AND(G342="",H342="",OR(I342="Critical",I342="Major",I342="Minor"))),1,0)</formula>
    </cfRule>
  </conditionalFormatting>
  <conditionalFormatting sqref="G342:G344">
    <cfRule type="expression" dxfId="501" priority="560">
      <formula>IF(AND(OR(G342="",#REF!="Segment"),OR(#REF!="Accuracy",#REF!="Fluency",#REF!="Other")),1,0)</formula>
    </cfRule>
  </conditionalFormatting>
  <conditionalFormatting sqref="E345:G347">
    <cfRule type="expression" dxfId="500" priority="556">
      <formula>IF(OR(AND(E345="",F345="",OR(G345="Critical",G345="Major",G345="Minor"))),1,0)</formula>
    </cfRule>
  </conditionalFormatting>
  <conditionalFormatting sqref="F345:F347">
    <cfRule type="expression" dxfId="499" priority="555">
      <formula>IF(AND(F345="",OR(E345="Accuracy",E345="Fluency",E345="Segment",E345="Other")),1,0)</formula>
    </cfRule>
  </conditionalFormatting>
  <conditionalFormatting sqref="G345:G347">
    <cfRule type="expression" dxfId="498" priority="557">
      <formula>IF(AND(OR(G345="",#REF!="Segment"),OR(#REF!="Accuracy",#REF!="Fluency",#REF!="Other")),1,0)</formula>
    </cfRule>
  </conditionalFormatting>
  <conditionalFormatting sqref="G348">
    <cfRule type="expression" dxfId="497" priority="553">
      <formula>IF(OR(AND(G348="",H348="",OR(I348="Critical",I348="Major",I348="Minor"))),1,0)</formula>
    </cfRule>
  </conditionalFormatting>
  <conditionalFormatting sqref="G348">
    <cfRule type="expression" dxfId="496" priority="554">
      <formula>IF(AND(OR(G348="",#REF!="Segment"),OR(#REF!="Accuracy",#REF!="Fluency",#REF!="Other")),1,0)</formula>
    </cfRule>
  </conditionalFormatting>
  <conditionalFormatting sqref="G351">
    <cfRule type="expression" dxfId="495" priority="550">
      <formula>IF(OR(AND(G351="",H351="",OR(I351="Critical",I351="Major",I351="Minor"))),1,0)</formula>
    </cfRule>
  </conditionalFormatting>
  <conditionalFormatting sqref="G351">
    <cfRule type="expression" dxfId="494" priority="551">
      <formula>IF(AND(OR(G351="",#REF!="Segment"),OR(#REF!="Accuracy",#REF!="Fluency",#REF!="Other")),1,0)</formula>
    </cfRule>
  </conditionalFormatting>
  <conditionalFormatting sqref="G352">
    <cfRule type="expression" dxfId="493" priority="547">
      <formula>IF(OR(AND(G352="",H352="",OR(I352="Critical",I352="Major",I352="Minor"))),1,0)</formula>
    </cfRule>
  </conditionalFormatting>
  <conditionalFormatting sqref="G352">
    <cfRule type="expression" dxfId="492" priority="548">
      <formula>IF(AND(OR(G352="",#REF!="Segment"),OR(#REF!="Accuracy",#REF!="Fluency",#REF!="Other")),1,0)</formula>
    </cfRule>
  </conditionalFormatting>
  <conditionalFormatting sqref="E354:E355">
    <cfRule type="expression" dxfId="491" priority="543">
      <formula>IF(OR(AND(E354="",F354="",OR(G354="Critical",G354="Major",G354="Minor"))),1,0)</formula>
    </cfRule>
  </conditionalFormatting>
  <conditionalFormatting sqref="F354:F355">
    <cfRule type="expression" dxfId="490" priority="541">
      <formula>IF(AND(F354="",OR(E354="Accuracy",E354="Fluency",E354="Segment",E354="Other")),1,0)</formula>
    </cfRule>
  </conditionalFormatting>
  <conditionalFormatting sqref="G354:G355">
    <cfRule type="expression" dxfId="489" priority="542">
      <formula>IF(AND(OR(G354="",#REF!="Segment"),OR(#REF!="Accuracy",#REF!="Fluency",#REF!="Other")),1,0)</formula>
    </cfRule>
  </conditionalFormatting>
  <conditionalFormatting sqref="F354:F355">
    <cfRule type="expression" dxfId="488" priority="544">
      <formula>IF(OR(AND(F354="",G354="",OR(H353="Critical",H353="Major",H353="Minor"))),1,0)</formula>
    </cfRule>
  </conditionalFormatting>
  <conditionalFormatting sqref="G354:G355">
    <cfRule type="expression" dxfId="487" priority="545">
      <formula>IF(OR(AND(G354="",H353="",OR(I353="Critical",I353="Major",I353="Minor"))),1,0)</formula>
    </cfRule>
  </conditionalFormatting>
  <conditionalFormatting sqref="E353">
    <cfRule type="expression" dxfId="486" priority="538">
      <formula>IF(OR(AND(E353="",F353="",OR(G353="Critical",G353="Major",G353="Minor"))),1,0)</formula>
    </cfRule>
  </conditionalFormatting>
  <conditionalFormatting sqref="F353">
    <cfRule type="expression" dxfId="485" priority="536">
      <formula>IF(AND(F353="",OR(E353="Accuracy",E353="Fluency",E353="Segment",E353="Other")),1,0)</formula>
    </cfRule>
  </conditionalFormatting>
  <conditionalFormatting sqref="G353">
    <cfRule type="expression" dxfId="484" priority="537">
      <formula>IF(AND(OR(G353="",#REF!="Segment"),OR(#REF!="Accuracy",#REF!="Fluency",#REF!="Other")),1,0)</formula>
    </cfRule>
  </conditionalFormatting>
  <conditionalFormatting sqref="F353">
    <cfRule type="expression" dxfId="483" priority="539">
      <formula>IF(OR(AND(F353="",G353="",OR(H352="Critical",H352="Major",H352="Minor"))),1,0)</formula>
    </cfRule>
  </conditionalFormatting>
  <conditionalFormatting sqref="G353">
    <cfRule type="expression" dxfId="482" priority="540">
      <formula>IF(OR(AND(G353="",H352="",OR(I352="Critical",I352="Major",I352="Minor"))),1,0)</formula>
    </cfRule>
  </conditionalFormatting>
  <conditionalFormatting sqref="G359">
    <cfRule type="expression" dxfId="481" priority="532">
      <formula>IF(AND(OR(G359="",#REF!="Segment"),OR(#REF!="Accuracy",#REF!="Fluency",#REF!="Other")),1,0)</formula>
    </cfRule>
  </conditionalFormatting>
  <conditionalFormatting sqref="G359">
    <cfRule type="expression" dxfId="480" priority="534">
      <formula>IF(OR(AND(G359="",H358="",OR(I359="Critical",I359="Major",I359="Minor"))),1,0)</formula>
    </cfRule>
  </conditionalFormatting>
  <conditionalFormatting sqref="E360:G361">
    <cfRule type="expression" dxfId="479" priority="529">
      <formula>IF(OR(AND(E360="",F360="",OR(G360="Critical",G360="Major",G360="Minor"))),1,0)</formula>
    </cfRule>
  </conditionalFormatting>
  <conditionalFormatting sqref="F360:F361">
    <cfRule type="expression" dxfId="478" priority="528">
      <formula>IF(AND(F360="",OR(E360="Accuracy",E360="Fluency",E360="Segment",E360="Other")),1,0)</formula>
    </cfRule>
  </conditionalFormatting>
  <conditionalFormatting sqref="G360:G361">
    <cfRule type="expression" dxfId="477" priority="530">
      <formula>IF(AND(OR(G360="",#REF!="Segment"),OR(#REF!="Accuracy",#REF!="Fluency",#REF!="Other")),1,0)</formula>
    </cfRule>
  </conditionalFormatting>
  <conditionalFormatting sqref="G358">
    <cfRule type="expression" dxfId="476" priority="524">
      <formula>IF(AND(OR(G358="",#REF!="Segment"),OR(#REF!="Accuracy",#REF!="Fluency",#REF!="Other")),1,0)</formula>
    </cfRule>
  </conditionalFormatting>
  <conditionalFormatting sqref="G358">
    <cfRule type="expression" dxfId="475" priority="526">
      <formula>IF(OR(AND(G358="",H357="",OR(I358="Critical",I358="Major",I358="Minor"))),1,0)</formula>
    </cfRule>
  </conditionalFormatting>
  <conditionalFormatting sqref="G367">
    <cfRule type="expression" dxfId="474" priority="520">
      <formula>IF(AND(OR(G367="",#REF!="Segment"),OR(#REF!="Accuracy",#REF!="Fluency",#REF!="Other")),1,0)</formula>
    </cfRule>
  </conditionalFormatting>
  <conditionalFormatting sqref="G367">
    <cfRule type="expression" dxfId="473" priority="521">
      <formula>IF(OR(AND(G367="",#REF!="",OR(I367="Critical",I367="Major",I367="Minor"))),1,0)</formula>
    </cfRule>
  </conditionalFormatting>
  <conditionalFormatting sqref="E368:G368">
    <cfRule type="expression" dxfId="472" priority="516">
      <formula>IF(OR(AND(E368="",F368="",OR(G368="Critical",G368="Major",G368="Minor"))),1,0)</formula>
    </cfRule>
  </conditionalFormatting>
  <conditionalFormatting sqref="F368">
    <cfRule type="expression" dxfId="471" priority="515">
      <formula>IF(AND(F368="",OR(E368="Accuracy",E368="Fluency",E368="Segment",E368="Other")),1,0)</formula>
    </cfRule>
  </conditionalFormatting>
  <conditionalFormatting sqref="G368">
    <cfRule type="expression" dxfId="470" priority="517">
      <formula>IF(AND(OR(G368="",#REF!="Segment"),OR(#REF!="Accuracy",#REF!="Fluency",#REF!="Other")),1,0)</formula>
    </cfRule>
  </conditionalFormatting>
  <conditionalFormatting sqref="G369:G371">
    <cfRule type="expression" dxfId="469" priority="513">
      <formula>IF(OR(AND(G369="",H368="",OR(I369="Critical",I369="Major",I369="Minor"))),1,0)</formula>
    </cfRule>
  </conditionalFormatting>
  <conditionalFormatting sqref="G369:G371">
    <cfRule type="expression" dxfId="468" priority="512">
      <formula>IF(AND(OR(G369="",#REF!="Segment"),OR(#REF!="Accuracy",#REF!="Fluency",#REF!="Other")),1,0)</formula>
    </cfRule>
  </conditionalFormatting>
  <conditionalFormatting sqref="E372">
    <cfRule type="expression" dxfId="467" priority="508">
      <formula>IF(OR(AND(E372="",F372="",OR(G372="Critical",G372="Major",G372="Minor"))),1,0)</formula>
    </cfRule>
  </conditionalFormatting>
  <conditionalFormatting sqref="G372">
    <cfRule type="expression" dxfId="466" priority="509">
      <formula>IF(OR(AND(G372="",H371="",OR(I372="Critical",I372="Major",I372="Minor"))),1,0)</formula>
    </cfRule>
  </conditionalFormatting>
  <conditionalFormatting sqref="F372">
    <cfRule type="expression" dxfId="465" priority="510">
      <formula>IF(OR(AND(F372="",G372="",OR(H371="Critical",H371="Major",H371="Minor"))),1,0)</formula>
    </cfRule>
  </conditionalFormatting>
  <conditionalFormatting sqref="F372">
    <cfRule type="expression" dxfId="464" priority="506">
      <formula>IF(AND(F372="",OR(E372="Accuracy",E372="Fluency",E372="Segment",E372="Other")),1,0)</formula>
    </cfRule>
  </conditionalFormatting>
  <conditionalFormatting sqref="G372">
    <cfRule type="expression" dxfId="463" priority="507">
      <formula>IF(AND(OR(G372="",#REF!="Segment"),OR(#REF!="Accuracy",#REF!="Fluency",#REF!="Other")),1,0)</formula>
    </cfRule>
  </conditionalFormatting>
  <conditionalFormatting sqref="E373">
    <cfRule type="expression" dxfId="462" priority="503">
      <formula>IF(OR(AND(E373="",F373="",OR(G373="Critical",G373="Major",G373="Minor"))),1,0)</formula>
    </cfRule>
  </conditionalFormatting>
  <conditionalFormatting sqref="G373">
    <cfRule type="expression" dxfId="461" priority="504">
      <formula>IF(OR(AND(G373="",H372="",OR(I373="Critical",I373="Major",I373="Minor"))),1,0)</formula>
    </cfRule>
  </conditionalFormatting>
  <conditionalFormatting sqref="F373">
    <cfRule type="expression" dxfId="460" priority="505">
      <formula>IF(OR(AND(F373="",G373="",OR(H372="Critical",H372="Major",H372="Minor"))),1,0)</formula>
    </cfRule>
  </conditionalFormatting>
  <conditionalFormatting sqref="F373">
    <cfRule type="expression" dxfId="459" priority="501">
      <formula>IF(AND(F373="",OR(E373="Accuracy",E373="Fluency",E373="Segment",E373="Other")),1,0)</formula>
    </cfRule>
  </conditionalFormatting>
  <conditionalFormatting sqref="G373">
    <cfRule type="expression" dxfId="458" priority="502">
      <formula>IF(AND(OR(G373="",#REF!="Segment"),OR(#REF!="Accuracy",#REF!="Fluency",#REF!="Other")),1,0)</formula>
    </cfRule>
  </conditionalFormatting>
  <conditionalFormatting sqref="E377">
    <cfRule type="expression" dxfId="457" priority="498">
      <formula>IF(OR(AND(E377="",F377="",OR(G377="Critical",G377="Major",G377="Minor"))),1,0)</formula>
    </cfRule>
  </conditionalFormatting>
  <conditionalFormatting sqref="G377">
    <cfRule type="expression" dxfId="456" priority="499">
      <formula>IF(OR(AND(G377="",H376="",OR(I377="Critical",I377="Major",I377="Minor"))),1,0)</formula>
    </cfRule>
  </conditionalFormatting>
  <conditionalFormatting sqref="F377">
    <cfRule type="expression" dxfId="455" priority="500">
      <formula>IF(OR(AND(F377="",G377="",OR(H376="Critical",H376="Major",H376="Minor"))),1,0)</formula>
    </cfRule>
  </conditionalFormatting>
  <conditionalFormatting sqref="F377">
    <cfRule type="expression" dxfId="454" priority="496">
      <formula>IF(AND(F377="",OR(E377="Accuracy",E377="Fluency",E377="Segment",E377="Other")),1,0)</formula>
    </cfRule>
  </conditionalFormatting>
  <conditionalFormatting sqref="G377">
    <cfRule type="expression" dxfId="453" priority="497">
      <formula>IF(AND(OR(G377="",#REF!="Segment"),OR(#REF!="Accuracy",#REF!="Fluency",#REF!="Other")),1,0)</formula>
    </cfRule>
  </conditionalFormatting>
  <conditionalFormatting sqref="E378">
    <cfRule type="expression" dxfId="452" priority="493">
      <formula>IF(OR(AND(E378="",F378="",OR(G378="Critical",G378="Major",G378="Minor"))),1,0)</formula>
    </cfRule>
  </conditionalFormatting>
  <conditionalFormatting sqref="G378">
    <cfRule type="expression" dxfId="451" priority="494">
      <formula>IF(OR(AND(G378="",H377="",OR(I378="Critical",I378="Major",I378="Minor"))),1,0)</formula>
    </cfRule>
  </conditionalFormatting>
  <conditionalFormatting sqref="F378">
    <cfRule type="expression" dxfId="450" priority="495">
      <formula>IF(OR(AND(F378="",G378="",OR(H377="Critical",H377="Major",H377="Minor"))),1,0)</formula>
    </cfRule>
  </conditionalFormatting>
  <conditionalFormatting sqref="F378">
    <cfRule type="expression" dxfId="449" priority="491">
      <formula>IF(AND(F378="",OR(E378="Accuracy",E378="Fluency",E378="Segment",E378="Other")),1,0)</formula>
    </cfRule>
  </conditionalFormatting>
  <conditionalFormatting sqref="G378">
    <cfRule type="expression" dxfId="448" priority="492">
      <formula>IF(AND(OR(G378="",#REF!="Segment"),OR(#REF!="Accuracy",#REF!="Fluency",#REF!="Other")),1,0)</formula>
    </cfRule>
  </conditionalFormatting>
  <conditionalFormatting sqref="E379">
    <cfRule type="expression" dxfId="447" priority="488">
      <formula>IF(OR(AND(E379="",F379="",OR(G379="Critical",G379="Major",G379="Minor"))),1,0)</formula>
    </cfRule>
  </conditionalFormatting>
  <conditionalFormatting sqref="G379">
    <cfRule type="expression" dxfId="446" priority="489">
      <formula>IF(OR(AND(G379="",H378="",OR(I379="Critical",I379="Major",I379="Minor"))),1,0)</formula>
    </cfRule>
  </conditionalFormatting>
  <conditionalFormatting sqref="F379">
    <cfRule type="expression" dxfId="445" priority="490">
      <formula>IF(OR(AND(F379="",G379="",OR(H378="Critical",H378="Major",H378="Minor"))),1,0)</formula>
    </cfRule>
  </conditionalFormatting>
  <conditionalFormatting sqref="F379">
    <cfRule type="expression" dxfId="444" priority="486">
      <formula>IF(AND(F379="",OR(E379="Accuracy",E379="Fluency",E379="Segment",E379="Other")),1,0)</formula>
    </cfRule>
  </conditionalFormatting>
  <conditionalFormatting sqref="G379">
    <cfRule type="expression" dxfId="443" priority="487">
      <formula>IF(AND(OR(G379="",#REF!="Segment"),OR(#REF!="Accuracy",#REF!="Fluency",#REF!="Other")),1,0)</formula>
    </cfRule>
  </conditionalFormatting>
  <conditionalFormatting sqref="G380:G381">
    <cfRule type="expression" dxfId="442" priority="484">
      <formula>IF(OR(AND(G380="",H380="",OR(I380="Critical",I380="Major",I380="Minor"))),1,0)</formula>
    </cfRule>
  </conditionalFormatting>
  <conditionalFormatting sqref="G380:G381">
    <cfRule type="expression" dxfId="441" priority="485">
      <formula>IF(AND(OR(G380="",#REF!="Segment"),OR(#REF!="Accuracy",#REF!="Fluency",#REF!="Other")),1,0)</formula>
    </cfRule>
  </conditionalFormatting>
  <conditionalFormatting sqref="E383:G383">
    <cfRule type="expression" dxfId="440" priority="481">
      <formula>IF(OR(AND(E383="",F383="",OR(G383="Critical",G383="Major",G383="Minor"))),1,0)</formula>
    </cfRule>
  </conditionalFormatting>
  <conditionalFormatting sqref="F383">
    <cfRule type="expression" dxfId="439" priority="480">
      <formula>IF(AND(F383="",OR(E383="Accuracy",E383="Fluency",E383="Segment",E383="Other")),1,0)</formula>
    </cfRule>
  </conditionalFormatting>
  <conditionalFormatting sqref="G383">
    <cfRule type="expression" dxfId="438" priority="482">
      <formula>IF(AND(OR(G383="",#REF!="Segment"),OR(#REF!="Accuracy",#REF!="Fluency",#REF!="Other")),1,0)</formula>
    </cfRule>
  </conditionalFormatting>
  <conditionalFormatting sqref="E384:F384">
    <cfRule type="expression" dxfId="437" priority="477">
      <formula>IF(OR(AND(E384="",F384="",OR(G384="Critical",G384="Major",G384="Minor"))),1,0)</formula>
    </cfRule>
  </conditionalFormatting>
  <conditionalFormatting sqref="F384">
    <cfRule type="expression" dxfId="436" priority="476">
      <formula>IF(AND(F384="",OR(E384="Accuracy",E384="Fluency",E384="Segment",E384="Other")),1,0)</formula>
    </cfRule>
  </conditionalFormatting>
  <conditionalFormatting sqref="G384">
    <cfRule type="expression" dxfId="435" priority="478">
      <formula>IF(OR(AND(G384="",H384="",OR(I385="Critical",I385="Major",I385="Minor"))),1,0)</formula>
    </cfRule>
  </conditionalFormatting>
  <conditionalFormatting sqref="G384">
    <cfRule type="expression" dxfId="434" priority="479">
      <formula>IF(AND(OR(G384="",#REF!="Segment"),OR(#REF!="Accuracy",#REF!="Fluency",#REF!="Other")),1,0)</formula>
    </cfRule>
  </conditionalFormatting>
  <conditionalFormatting sqref="E385:F385">
    <cfRule type="expression" dxfId="433" priority="473">
      <formula>IF(OR(AND(E385="",F385="",OR(G385="Critical",G385="Major",G385="Minor"))),1,0)</formula>
    </cfRule>
  </conditionalFormatting>
  <conditionalFormatting sqref="F385">
    <cfRule type="expression" dxfId="432" priority="472">
      <formula>IF(AND(F385="",OR(E385="Accuracy",E385="Fluency",E385="Segment",E385="Other")),1,0)</formula>
    </cfRule>
  </conditionalFormatting>
  <conditionalFormatting sqref="G385">
    <cfRule type="expression" dxfId="431" priority="474">
      <formula>IF(OR(AND(G385="",H385="",OR(I386="Critical",I386="Major",I386="Minor"))),1,0)</formula>
    </cfRule>
  </conditionalFormatting>
  <conditionalFormatting sqref="G385">
    <cfRule type="expression" dxfId="430" priority="475">
      <formula>IF(AND(OR(G385="",#REF!="Segment"),OR(#REF!="Accuracy",#REF!="Fluency",#REF!="Other")),1,0)</formula>
    </cfRule>
  </conditionalFormatting>
  <conditionalFormatting sqref="E388:G388">
    <cfRule type="expression" dxfId="429" priority="470">
      <formula>IF(OR(AND(E388="",F388="",OR(G388="Critical",G388="Major",G388="Minor"))),1,0)</formula>
    </cfRule>
  </conditionalFormatting>
  <conditionalFormatting sqref="F388">
    <cfRule type="expression" dxfId="428" priority="469">
      <formula>IF(AND(F388="",OR(E388="Accuracy",E388="Fluency",E388="Segment",E388="Other")),1,0)</formula>
    </cfRule>
  </conditionalFormatting>
  <conditionalFormatting sqref="G388">
    <cfRule type="expression" dxfId="427" priority="471">
      <formula>IF(AND(OR(G388="",#REF!="Segment"),OR(#REF!="Accuracy",#REF!="Fluency",#REF!="Other")),1,0)</formula>
    </cfRule>
  </conditionalFormatting>
  <conditionalFormatting sqref="E389:G389">
    <cfRule type="expression" dxfId="426" priority="467">
      <formula>IF(OR(AND(E389="",F389="",OR(G389="Critical",G389="Major",G389="Minor"))),1,0)</formula>
    </cfRule>
  </conditionalFormatting>
  <conditionalFormatting sqref="F389">
    <cfRule type="expression" dxfId="425" priority="466">
      <formula>IF(AND(F389="",OR(E389="Accuracy",E389="Fluency",E389="Segment",E389="Other")),1,0)</formula>
    </cfRule>
  </conditionalFormatting>
  <conditionalFormatting sqref="G389">
    <cfRule type="expression" dxfId="424" priority="468">
      <formula>IF(AND(OR(G389="",#REF!="Segment"),OR(#REF!="Accuracy",#REF!="Fluency",#REF!="Other")),1,0)</formula>
    </cfRule>
  </conditionalFormatting>
  <conditionalFormatting sqref="G392">
    <cfRule type="expression" dxfId="423" priority="464">
      <formula>IF(OR(AND(G392="",H392="",OR(I392="Critical",I392="Major",I392="Minor"))),1,0)</formula>
    </cfRule>
  </conditionalFormatting>
  <conditionalFormatting sqref="G392">
    <cfRule type="expression" dxfId="422" priority="465">
      <formula>IF(AND(OR(G392="",#REF!="Segment"),OR(#REF!="Accuracy",#REF!="Fluency",#REF!="Other")),1,0)</formula>
    </cfRule>
  </conditionalFormatting>
  <conditionalFormatting sqref="E393:G394">
    <cfRule type="expression" dxfId="421" priority="461">
      <formula>IF(OR(AND(E393="",F393="",OR(G393="Critical",G393="Major",G393="Minor"))),1,0)</formula>
    </cfRule>
  </conditionalFormatting>
  <conditionalFormatting sqref="F393:F394">
    <cfRule type="expression" dxfId="420" priority="460">
      <formula>IF(AND(F393="",OR(E393="Accuracy",E393="Fluency",E393="Segment",E393="Other")),1,0)</formula>
    </cfRule>
  </conditionalFormatting>
  <conditionalFormatting sqref="G393:G394">
    <cfRule type="expression" dxfId="419" priority="462">
      <formula>IF(AND(OR(G393="",#REF!="Segment"),OR(#REF!="Accuracy",#REF!="Fluency",#REF!="Other")),1,0)</formula>
    </cfRule>
  </conditionalFormatting>
  <conditionalFormatting sqref="E395:G395">
    <cfRule type="expression" dxfId="418" priority="458">
      <formula>IF(OR(AND(E395="",F395="",OR(G395="Critical",G395="Major",G395="Minor"))),1,0)</formula>
    </cfRule>
  </conditionalFormatting>
  <conditionalFormatting sqref="F395">
    <cfRule type="expression" dxfId="417" priority="457">
      <formula>IF(AND(F395="",OR(E395="Accuracy",E395="Fluency",E395="Segment",E395="Other")),1,0)</formula>
    </cfRule>
  </conditionalFormatting>
  <conditionalFormatting sqref="G395">
    <cfRule type="expression" dxfId="416" priority="459">
      <formula>IF(AND(OR(G395="",#REF!="Segment"),OR(#REF!="Accuracy",#REF!="Fluency",#REF!="Other")),1,0)</formula>
    </cfRule>
  </conditionalFormatting>
  <conditionalFormatting sqref="E396:G396">
    <cfRule type="expression" dxfId="415" priority="455">
      <formula>IF(OR(AND(E396="",F396="",OR(G396="Critical",G396="Major",G396="Minor"))),1,0)</formula>
    </cfRule>
  </conditionalFormatting>
  <conditionalFormatting sqref="F396">
    <cfRule type="expression" dxfId="414" priority="454">
      <formula>IF(AND(F396="",OR(E396="Accuracy",E396="Fluency",E396="Segment",E396="Other")),1,0)</formula>
    </cfRule>
  </conditionalFormatting>
  <conditionalFormatting sqref="G396">
    <cfRule type="expression" dxfId="413" priority="456">
      <formula>IF(AND(OR(G396="",#REF!="Segment"),OR(#REF!="Accuracy",#REF!="Fluency",#REF!="Other")),1,0)</formula>
    </cfRule>
  </conditionalFormatting>
  <conditionalFormatting sqref="G398">
    <cfRule type="expression" dxfId="412" priority="452">
      <formula>IF(OR(AND(G398="",H398="",OR(I398="Critical",I398="Major",I398="Minor"))),1,0)</formula>
    </cfRule>
  </conditionalFormatting>
  <conditionalFormatting sqref="G398">
    <cfRule type="expression" dxfId="411" priority="453">
      <formula>IF(AND(OR(G398="",#REF!="Segment"),OR(#REF!="Accuracy",#REF!="Fluency",#REF!="Other")),1,0)</formula>
    </cfRule>
  </conditionalFormatting>
  <conditionalFormatting sqref="E398:F398">
    <cfRule type="expression" dxfId="410" priority="451">
      <formula>IF(OR(AND(E398="",F398="",OR(G398="Critical",G398="Major",G398="Minor"))),1,0)</formula>
    </cfRule>
  </conditionalFormatting>
  <conditionalFormatting sqref="F398">
    <cfRule type="expression" dxfId="409" priority="450">
      <formula>IF(AND(F398="",OR(E398="Accuracy",E398="Fluency",E398="Segment",E398="Other")),1,0)</formula>
    </cfRule>
  </conditionalFormatting>
  <conditionalFormatting sqref="G397">
    <cfRule type="expression" dxfId="408" priority="448">
      <formula>IF(OR(AND(G397="",H397="",OR(I397="Critical",I397="Major",I397="Minor"))),1,0)</formula>
    </cfRule>
  </conditionalFormatting>
  <conditionalFormatting sqref="G397">
    <cfRule type="expression" dxfId="407" priority="449">
      <formula>IF(AND(OR(G397="",#REF!="Segment"),OR(#REF!="Accuracy",#REF!="Fluency",#REF!="Other")),1,0)</formula>
    </cfRule>
  </conditionalFormatting>
  <conditionalFormatting sqref="G399">
    <cfRule type="expression" dxfId="406" priority="445">
      <formula>IF(OR(AND(G399="",H399="",OR(I399="Critical",I399="Major",I399="Minor"))),1,0)</formula>
    </cfRule>
  </conditionalFormatting>
  <conditionalFormatting sqref="G399">
    <cfRule type="expression" dxfId="405" priority="446">
      <formula>IF(AND(OR(G399="",#REF!="Segment"),OR(#REF!="Accuracy",#REF!="Fluency",#REF!="Other")),1,0)</formula>
    </cfRule>
  </conditionalFormatting>
  <conditionalFormatting sqref="E400:G400">
    <cfRule type="expression" dxfId="404" priority="442">
      <formula>IF(OR(AND(E400="",F400="",OR(G400="Critical",G400="Major",G400="Minor"))),1,0)</formula>
    </cfRule>
  </conditionalFormatting>
  <conditionalFormatting sqref="F400">
    <cfRule type="expression" dxfId="403" priority="441">
      <formula>IF(AND(F400="",OR(E400="Accuracy",E400="Fluency",E400="Segment",E400="Other")),1,0)</formula>
    </cfRule>
  </conditionalFormatting>
  <conditionalFormatting sqref="G400">
    <cfRule type="expression" dxfId="402" priority="443">
      <formula>IF(AND(OR(G400="",#REF!="Segment"),OR(#REF!="Accuracy",#REF!="Fluency",#REF!="Other")),1,0)</formula>
    </cfRule>
  </conditionalFormatting>
  <conditionalFormatting sqref="E401:G401">
    <cfRule type="expression" dxfId="401" priority="439">
      <formula>IF(OR(AND(E401="",F401="",OR(G401="Critical",G401="Major",G401="Minor"))),1,0)</formula>
    </cfRule>
  </conditionalFormatting>
  <conditionalFormatting sqref="F401">
    <cfRule type="expression" dxfId="400" priority="438">
      <formula>IF(AND(F401="",OR(E401="Accuracy",E401="Fluency",E401="Segment",E401="Other")),1,0)</formula>
    </cfRule>
  </conditionalFormatting>
  <conditionalFormatting sqref="G401">
    <cfRule type="expression" dxfId="399" priority="440">
      <formula>IF(AND(OR(G401="",#REF!="Segment"),OR(#REF!="Accuracy",#REF!="Fluency",#REF!="Other")),1,0)</formula>
    </cfRule>
  </conditionalFormatting>
  <conditionalFormatting sqref="G403">
    <cfRule type="expression" dxfId="398" priority="436">
      <formula>IF(OR(AND(G403="",H403="",OR(I403="Critical",I403="Major",I403="Minor"))),1,0)</formula>
    </cfRule>
  </conditionalFormatting>
  <conditionalFormatting sqref="G403">
    <cfRule type="expression" dxfId="397" priority="437">
      <formula>IF(AND(OR(G403="",#REF!="Segment"),OR(#REF!="Accuracy",#REF!="Fluency",#REF!="Other")),1,0)</formula>
    </cfRule>
  </conditionalFormatting>
  <conditionalFormatting sqref="E404">
    <cfRule type="expression" dxfId="396" priority="431">
      <formula>IF(OR(AND(E404="",F404="",OR(G404="Critical",G404="Major",G404="Minor"))),1,0)</formula>
    </cfRule>
  </conditionalFormatting>
  <conditionalFormatting sqref="F404">
    <cfRule type="expression" dxfId="395" priority="430">
      <formula>IF(AND(F404="",OR(E404="Accuracy",E404="Fluency",E404="Segment",E404="Other")),1,0)</formula>
    </cfRule>
  </conditionalFormatting>
  <conditionalFormatting sqref="G404">
    <cfRule type="expression" dxfId="394" priority="432">
      <formula>IF(AND(OR(G404="",#REF!="Segment"),OR(#REF!="Accuracy",#REF!="Fluency",#REF!="Other")),1,0)</formula>
    </cfRule>
  </conditionalFormatting>
  <conditionalFormatting sqref="G404">
    <cfRule type="expression" dxfId="393" priority="433">
      <formula>IF(OR(AND(G404="",H403="",OR(I404="Critical",I404="Major",I404="Minor"))),1,0)</formula>
    </cfRule>
  </conditionalFormatting>
  <conditionalFormatting sqref="F404">
    <cfRule type="expression" dxfId="392" priority="434">
      <formula>IF(OR(AND(F404="",G404="",OR(H403="Critical",H403="Major",H403="Minor"))),1,0)</formula>
    </cfRule>
  </conditionalFormatting>
  <conditionalFormatting sqref="E405">
    <cfRule type="expression" dxfId="391" priority="426">
      <formula>IF(OR(AND(E405="",F405="",OR(G405="Critical",G405="Major",G405="Minor"))),1,0)</formula>
    </cfRule>
  </conditionalFormatting>
  <conditionalFormatting sqref="F405">
    <cfRule type="expression" dxfId="390" priority="425">
      <formula>IF(AND(F405="",OR(E405="Accuracy",E405="Fluency",E405="Segment",E405="Other")),1,0)</formula>
    </cfRule>
  </conditionalFormatting>
  <conditionalFormatting sqref="G405">
    <cfRule type="expression" dxfId="389" priority="427">
      <formula>IF(AND(OR(G405="",#REF!="Segment"),OR(#REF!="Accuracy",#REF!="Fluency",#REF!="Other")),1,0)</formula>
    </cfRule>
  </conditionalFormatting>
  <conditionalFormatting sqref="G405">
    <cfRule type="expression" dxfId="388" priority="428">
      <formula>IF(OR(AND(G405="",H404="",OR(I405="Critical",I405="Major",I405="Minor"))),1,0)</formula>
    </cfRule>
  </conditionalFormatting>
  <conditionalFormatting sqref="F405">
    <cfRule type="expression" dxfId="387" priority="429">
      <formula>IF(OR(AND(F405="",G405="",OR(H404="Critical",H404="Major",H404="Minor"))),1,0)</formula>
    </cfRule>
  </conditionalFormatting>
  <conditionalFormatting sqref="E406">
    <cfRule type="expression" dxfId="386" priority="421">
      <formula>IF(OR(AND(E406="",F406="",OR(G406="Critical",G406="Major",G406="Minor"))),1,0)</formula>
    </cfRule>
  </conditionalFormatting>
  <conditionalFormatting sqref="F406">
    <cfRule type="expression" dxfId="385" priority="420">
      <formula>IF(AND(F406="",OR(E406="Accuracy",E406="Fluency",E406="Segment",E406="Other")),1,0)</formula>
    </cfRule>
  </conditionalFormatting>
  <conditionalFormatting sqref="G406">
    <cfRule type="expression" dxfId="384" priority="422">
      <formula>IF(AND(OR(G406="",#REF!="Segment"),OR(#REF!="Accuracy",#REF!="Fluency",#REF!="Other")),1,0)</formula>
    </cfRule>
  </conditionalFormatting>
  <conditionalFormatting sqref="G406">
    <cfRule type="expression" dxfId="383" priority="423">
      <formula>IF(OR(AND(G406="",H405="",OR(I406="Critical",I406="Major",I406="Minor"))),1,0)</formula>
    </cfRule>
  </conditionalFormatting>
  <conditionalFormatting sqref="F406">
    <cfRule type="expression" dxfId="382" priority="424">
      <formula>IF(OR(AND(F406="",G406="",OR(H405="Critical",H405="Major",H405="Minor"))),1,0)</formula>
    </cfRule>
  </conditionalFormatting>
  <conditionalFormatting sqref="G407">
    <cfRule type="expression" dxfId="381" priority="418">
      <formula>IF(OR(AND(G407="",H407="",OR(I407="Critical",I407="Major",I407="Minor"))),1,0)</formula>
    </cfRule>
  </conditionalFormatting>
  <conditionalFormatting sqref="G407">
    <cfRule type="expression" dxfId="380" priority="419">
      <formula>IF(AND(OR(G407="",#REF!="Segment"),OR(#REF!="Accuracy",#REF!="Fluency",#REF!="Other")),1,0)</formula>
    </cfRule>
  </conditionalFormatting>
  <conditionalFormatting sqref="G408">
    <cfRule type="expression" dxfId="379" priority="415">
      <formula>IF(OR(AND(G408="",H408="",OR(I408="Critical",I408="Major",I408="Minor"))),1,0)</formula>
    </cfRule>
  </conditionalFormatting>
  <conditionalFormatting sqref="G408">
    <cfRule type="expression" dxfId="378" priority="416">
      <formula>IF(AND(OR(G408="",#REF!="Segment"),OR(#REF!="Accuracy",#REF!="Fluency",#REF!="Other")),1,0)</formula>
    </cfRule>
  </conditionalFormatting>
  <conditionalFormatting sqref="G409">
    <cfRule type="expression" dxfId="377" priority="412">
      <formula>IF(OR(AND(G409="",H409="",OR(I409="Critical",I409="Major",I409="Minor"))),1,0)</formula>
    </cfRule>
  </conditionalFormatting>
  <conditionalFormatting sqref="G409">
    <cfRule type="expression" dxfId="376" priority="413">
      <formula>IF(AND(OR(G409="",#REF!="Segment"),OR(#REF!="Accuracy",#REF!="Fluency",#REF!="Other")),1,0)</formula>
    </cfRule>
  </conditionalFormatting>
  <conditionalFormatting sqref="E410">
    <cfRule type="expression" dxfId="375" priority="407">
      <formula>IF(OR(AND(E410="",F410="",OR(G410="Critical",G410="Major",G410="Minor"))),1,0)</formula>
    </cfRule>
  </conditionalFormatting>
  <conditionalFormatting sqref="F410">
    <cfRule type="expression" dxfId="374" priority="406">
      <formula>IF(AND(F410="",OR(E410="Accuracy",E410="Fluency",E410="Segment",E410="Other")),1,0)</formula>
    </cfRule>
  </conditionalFormatting>
  <conditionalFormatting sqref="G410">
    <cfRule type="expression" dxfId="373" priority="408">
      <formula>IF(AND(OR(G410="",#REF!="Segment"),OR(#REF!="Accuracy",#REF!="Fluency",#REF!="Other")),1,0)</formula>
    </cfRule>
  </conditionalFormatting>
  <conditionalFormatting sqref="G410">
    <cfRule type="expression" dxfId="372" priority="409">
      <formula>IF(OR(AND(G410="",H409="",OR(I410="Critical",I410="Major",I410="Minor"))),1,0)</formula>
    </cfRule>
  </conditionalFormatting>
  <conditionalFormatting sqref="F410">
    <cfRule type="expression" dxfId="371" priority="410">
      <formula>IF(OR(AND(F410="",G410="",OR(H409="Critical",H409="Major",H409="Minor"))),1,0)</formula>
    </cfRule>
  </conditionalFormatting>
  <conditionalFormatting sqref="E411">
    <cfRule type="expression" dxfId="370" priority="402">
      <formula>IF(OR(AND(E411="",F411="",OR(G411="Critical",G411="Major",G411="Minor"))),1,0)</formula>
    </cfRule>
  </conditionalFormatting>
  <conditionalFormatting sqref="F411">
    <cfRule type="expression" dxfId="369" priority="401">
      <formula>IF(AND(F411="",OR(E411="Accuracy",E411="Fluency",E411="Segment",E411="Other")),1,0)</formula>
    </cfRule>
  </conditionalFormatting>
  <conditionalFormatting sqref="G411">
    <cfRule type="expression" dxfId="368" priority="403">
      <formula>IF(AND(OR(G411="",#REF!="Segment"),OR(#REF!="Accuracy",#REF!="Fluency",#REF!="Other")),1,0)</formula>
    </cfRule>
  </conditionalFormatting>
  <conditionalFormatting sqref="G411">
    <cfRule type="expression" dxfId="367" priority="404">
      <formula>IF(OR(AND(G411="",H410="",OR(I411="Critical",I411="Major",I411="Minor"))),1,0)</formula>
    </cfRule>
  </conditionalFormatting>
  <conditionalFormatting sqref="F411">
    <cfRule type="expression" dxfId="366" priority="405">
      <formula>IF(OR(AND(F411="",G411="",OR(H410="Critical",H410="Major",H410="Minor"))),1,0)</formula>
    </cfRule>
  </conditionalFormatting>
  <conditionalFormatting sqref="E412">
    <cfRule type="expression" dxfId="365" priority="397">
      <formula>IF(OR(AND(E412="",F412="",OR(G412="Critical",G412="Major",G412="Minor"))),1,0)</formula>
    </cfRule>
  </conditionalFormatting>
  <conditionalFormatting sqref="F412">
    <cfRule type="expression" dxfId="364" priority="396">
      <formula>IF(AND(F412="",OR(E412="Accuracy",E412="Fluency",E412="Segment",E412="Other")),1,0)</formula>
    </cfRule>
  </conditionalFormatting>
  <conditionalFormatting sqref="G412">
    <cfRule type="expression" dxfId="363" priority="398">
      <formula>IF(AND(OR(G412="",#REF!="Segment"),OR(#REF!="Accuracy",#REF!="Fluency",#REF!="Other")),1,0)</formula>
    </cfRule>
  </conditionalFormatting>
  <conditionalFormatting sqref="G412">
    <cfRule type="expression" dxfId="362" priority="399">
      <formula>IF(OR(AND(G412="",H411="",OR(I412="Critical",I412="Major",I412="Minor"))),1,0)</formula>
    </cfRule>
  </conditionalFormatting>
  <conditionalFormatting sqref="F412">
    <cfRule type="expression" dxfId="361" priority="400">
      <formula>IF(OR(AND(F412="",G412="",OR(H411="Critical",H411="Major",H411="Minor"))),1,0)</formula>
    </cfRule>
  </conditionalFormatting>
  <conditionalFormatting sqref="E413">
    <cfRule type="expression" dxfId="360" priority="392">
      <formula>IF(OR(AND(E413="",F413="",OR(G413="Critical",G413="Major",G413="Minor"))),1,0)</formula>
    </cfRule>
  </conditionalFormatting>
  <conditionalFormatting sqref="F413">
    <cfRule type="expression" dxfId="359" priority="391">
      <formula>IF(AND(F413="",OR(E413="Accuracy",E413="Fluency",E413="Segment",E413="Other")),1,0)</formula>
    </cfRule>
  </conditionalFormatting>
  <conditionalFormatting sqref="G413">
    <cfRule type="expression" dxfId="358" priority="393">
      <formula>IF(AND(OR(G413="",#REF!="Segment"),OR(#REF!="Accuracy",#REF!="Fluency",#REF!="Other")),1,0)</formula>
    </cfRule>
  </conditionalFormatting>
  <conditionalFormatting sqref="G413">
    <cfRule type="expression" dxfId="357" priority="394">
      <formula>IF(OR(AND(G413="",H412="",OR(I413="Critical",I413="Major",I413="Minor"))),1,0)</formula>
    </cfRule>
  </conditionalFormatting>
  <conditionalFormatting sqref="F413">
    <cfRule type="expression" dxfId="356" priority="395">
      <formula>IF(OR(AND(F413="",G413="",OR(H412="Critical",H412="Major",H412="Minor"))),1,0)</formula>
    </cfRule>
  </conditionalFormatting>
  <conditionalFormatting sqref="G414">
    <cfRule type="expression" dxfId="355" priority="389">
      <formula>IF(OR(AND(G414="",H414="",OR(I414="Critical",I414="Major",I414="Minor"))),1,0)</formula>
    </cfRule>
  </conditionalFormatting>
  <conditionalFormatting sqref="G414">
    <cfRule type="expression" dxfId="354" priority="390">
      <formula>IF(AND(OR(G414="",#REF!="Segment"),OR(#REF!="Accuracy",#REF!="Fluency",#REF!="Other")),1,0)</formula>
    </cfRule>
  </conditionalFormatting>
  <conditionalFormatting sqref="E415">
    <cfRule type="expression" dxfId="353" priority="384">
      <formula>IF(OR(AND(E415="",F415="",OR(G415="Critical",G415="Major",G415="Minor"))),1,0)</formula>
    </cfRule>
  </conditionalFormatting>
  <conditionalFormatting sqref="F415">
    <cfRule type="expression" dxfId="352" priority="383">
      <formula>IF(AND(F415="",OR(E415="Accuracy",E415="Fluency",E415="Segment",E415="Other")),1,0)</formula>
    </cfRule>
  </conditionalFormatting>
  <conditionalFormatting sqref="G415">
    <cfRule type="expression" dxfId="351" priority="385">
      <formula>IF(AND(OR(G415="",#REF!="Segment"),OR(#REF!="Accuracy",#REF!="Fluency",#REF!="Other")),1,0)</formula>
    </cfRule>
  </conditionalFormatting>
  <conditionalFormatting sqref="G415">
    <cfRule type="expression" dxfId="350" priority="386">
      <formula>IF(OR(AND(G415="",H414="",OR(I415="Critical",I415="Major",I415="Minor"))),1,0)</formula>
    </cfRule>
  </conditionalFormatting>
  <conditionalFormatting sqref="F415">
    <cfRule type="expression" dxfId="349" priority="387">
      <formula>IF(OR(AND(F415="",G415="",OR(H414="Critical",H414="Major",H414="Minor"))),1,0)</formula>
    </cfRule>
  </conditionalFormatting>
  <conditionalFormatting sqref="E422:G422">
    <cfRule type="expression" dxfId="348" priority="381">
      <formula>IF(OR(AND(E422="",F422="",OR(G422="Critical",G422="Major",G422="Minor"))),1,0)</formula>
    </cfRule>
  </conditionalFormatting>
  <conditionalFormatting sqref="F422">
    <cfRule type="expression" dxfId="347" priority="380">
      <formula>IF(AND(F422="",OR(E422="Accuracy",E422="Fluency",E422="Segment",E422="Other")),1,0)</formula>
    </cfRule>
  </conditionalFormatting>
  <conditionalFormatting sqref="G422">
    <cfRule type="expression" dxfId="346" priority="382">
      <formula>IF(AND(OR(G422="",#REF!="Segment"),OR(#REF!="Accuracy",#REF!="Fluency",#REF!="Other")),1,0)</formula>
    </cfRule>
  </conditionalFormatting>
  <conditionalFormatting sqref="E423:G423">
    <cfRule type="expression" dxfId="345" priority="378">
      <formula>IF(OR(AND(E423="",F423="",OR(G423="Critical",G423="Major",G423="Minor"))),1,0)</formula>
    </cfRule>
  </conditionalFormatting>
  <conditionalFormatting sqref="F423">
    <cfRule type="expression" dxfId="344" priority="377">
      <formula>IF(AND(F423="",OR(E423="Accuracy",E423="Fluency",E423="Segment",E423="Other")),1,0)</formula>
    </cfRule>
  </conditionalFormatting>
  <conditionalFormatting sqref="G423">
    <cfRule type="expression" dxfId="343" priority="379">
      <formula>IF(AND(OR(G423="",#REF!="Segment"),OR(#REF!="Accuracy",#REF!="Fluency",#REF!="Other")),1,0)</formula>
    </cfRule>
  </conditionalFormatting>
  <conditionalFormatting sqref="E424:G424">
    <cfRule type="expression" dxfId="342" priority="375">
      <formula>IF(OR(AND(E424="",F424="",OR(G424="Critical",G424="Major",G424="Minor"))),1,0)</formula>
    </cfRule>
  </conditionalFormatting>
  <conditionalFormatting sqref="F424">
    <cfRule type="expression" dxfId="341" priority="374">
      <formula>IF(AND(F424="",OR(E424="Accuracy",E424="Fluency",E424="Segment",E424="Other")),1,0)</formula>
    </cfRule>
  </conditionalFormatting>
  <conditionalFormatting sqref="G424">
    <cfRule type="expression" dxfId="340" priority="376">
      <formula>IF(AND(OR(G424="",#REF!="Segment"),OR(#REF!="Accuracy",#REF!="Fluency",#REF!="Other")),1,0)</formula>
    </cfRule>
  </conditionalFormatting>
  <conditionalFormatting sqref="G420:G421">
    <cfRule type="expression" dxfId="339" priority="372">
      <formula>IF(OR(AND(G420="",H420="",OR(I420="Critical",I420="Major",I420="Minor"))),1,0)</formula>
    </cfRule>
  </conditionalFormatting>
  <conditionalFormatting sqref="G420:G421">
    <cfRule type="expression" dxfId="338" priority="373">
      <formula>IF(AND(OR(G420="",#REF!="Segment"),OR(#REF!="Accuracy",#REF!="Fluency",#REF!="Other")),1,0)</formula>
    </cfRule>
  </conditionalFormatting>
  <conditionalFormatting sqref="E425:G428">
    <cfRule type="expression" dxfId="337" priority="369">
      <formula>IF(OR(AND(E425="",F425="",OR(G425="Critical",G425="Major",G425="Minor"))),1,0)</formula>
    </cfRule>
  </conditionalFormatting>
  <conditionalFormatting sqref="F425:F428">
    <cfRule type="expression" dxfId="336" priority="368">
      <formula>IF(AND(F425="",OR(E425="Accuracy",E425="Fluency",E425="Segment",E425="Other")),1,0)</formula>
    </cfRule>
  </conditionalFormatting>
  <conditionalFormatting sqref="G425:G428">
    <cfRule type="expression" dxfId="335" priority="370">
      <formula>IF(AND(OR(G425="",#REF!="Segment"),OR(#REF!="Accuracy",#REF!="Fluency",#REF!="Other")),1,0)</formula>
    </cfRule>
  </conditionalFormatting>
  <conditionalFormatting sqref="E429:G432">
    <cfRule type="expression" dxfId="334" priority="366">
      <formula>IF(OR(AND(E429="",F429="",OR(G429="Critical",G429="Major",G429="Minor"))),1,0)</formula>
    </cfRule>
  </conditionalFormatting>
  <conditionalFormatting sqref="F429:F432">
    <cfRule type="expression" dxfId="333" priority="365">
      <formula>IF(AND(F429="",OR(E429="Accuracy",E429="Fluency",E429="Segment",E429="Other")),1,0)</formula>
    </cfRule>
  </conditionalFormatting>
  <conditionalFormatting sqref="G429:G432">
    <cfRule type="expression" dxfId="332" priority="367">
      <formula>IF(AND(OR(G429="",#REF!="Segment"),OR(#REF!="Accuracy",#REF!="Fluency",#REF!="Other")),1,0)</formula>
    </cfRule>
  </conditionalFormatting>
  <conditionalFormatting sqref="F111:F113">
    <cfRule type="expression" dxfId="331" priority="3238">
      <formula>IF(OR(AND(F111="",G111="",OR(H133="Critical",H133="Major",H133="Minor"))),1,0)</formula>
    </cfRule>
  </conditionalFormatting>
  <conditionalFormatting sqref="E535:G535 E511 E512:G514 E500 E502:G502 E496:G496 E489:G490 E485:E486 E463:G463 E434:G435 G433 E437:G441 G436 E444:G444 G442:G443 E446:G448 G445 E453:G453 G449:G452 E456:G456 G454:G455 E459:G461 G457:G458 E467:G469 G464:G466 E473:G477 G470:G472 E479:G479 G478 E482:G483 G480:G481 G484 G487:G488 E493:G494 G491:G492 G497:G499 E505:G506 G503:G504 E509:G510 G507:G508 E517:G517 G515:G516 E520:G520 G518:G519 E524:G526 G521:G523">
    <cfRule type="expression" dxfId="330" priority="363">
      <formula>IF(OR(AND(E433="",F433="",OR(G433="Critical",G433="Major",G433="Minor"))),1,0)</formula>
    </cfRule>
  </conditionalFormatting>
  <conditionalFormatting sqref="F535 F496 F434:F435 F437:F441 F444 F446:F448 F453 F456 F459:F461 F463 F467:F469 F473:F477 F479 F482:F483 F485:F486 F489:F490 F493:F494 F500 F502 F505:F506 F509:F514 F517 F520 F524:F526">
    <cfRule type="expression" dxfId="329" priority="362">
      <formula>IF(AND(F434="",OR(E434="Accuracy",E434="Fluency",E434="Segment",E434="Other")),1,0)</formula>
    </cfRule>
  </conditionalFormatting>
  <conditionalFormatting sqref="G514 G507 G453:G455 G447:G450 G443:G444 G435">
    <cfRule type="expression" dxfId="328" priority="364">
      <formula>IF(AND(OR(G435="",#REF!="Segment"),OR(#REF!="Accuracy",#REF!="Fluency",#REF!="Other")),1,0)</formula>
    </cfRule>
  </conditionalFormatting>
  <conditionalFormatting sqref="G433">
    <cfRule type="expression" dxfId="327" priority="361">
      <formula>IF(AND(OR(G433="",#REF!="Segment"),OR(#REF!="Accuracy",#REF!="Fluency",#REF!="Other")),1,0)</formula>
    </cfRule>
  </conditionalFormatting>
  <conditionalFormatting sqref="G434">
    <cfRule type="expression" dxfId="326" priority="360">
      <formula>IF(AND(OR(G434="",#REF!="Segment"),OR(#REF!="Accuracy",#REF!="Fluency",#REF!="Other")),1,0)</formula>
    </cfRule>
  </conditionalFormatting>
  <conditionalFormatting sqref="H436">
    <cfRule type="expression" dxfId="325" priority="359">
      <formula>IF(OR(AND(H436="",J436="",OR(#REF!="Critical",#REF!="Major",#REF!="Minor"))),1,0)</formula>
    </cfRule>
  </conditionalFormatting>
  <conditionalFormatting sqref="G436">
    <cfRule type="expression" dxfId="324" priority="358">
      <formula>IF(AND(OR(G436="",#REF!="Segment"),OR(#REF!="Accuracy",#REF!="Fluency",#REF!="Other")),1,0)</formula>
    </cfRule>
  </conditionalFormatting>
  <conditionalFormatting sqref="G437">
    <cfRule type="expression" dxfId="323" priority="357">
      <formula>IF(AND(OR(G437="",#REF!="Segment"),OR(#REF!="Accuracy",#REF!="Fluency",#REF!="Other")),1,0)</formula>
    </cfRule>
  </conditionalFormatting>
  <conditionalFormatting sqref="G438">
    <cfRule type="expression" dxfId="322" priority="356">
      <formula>IF(AND(OR(G438="",#REF!="Segment"),OR(#REF!="Accuracy",#REF!="Fluency",#REF!="Other")),1,0)</formula>
    </cfRule>
  </conditionalFormatting>
  <conditionalFormatting sqref="G439">
    <cfRule type="expression" dxfId="321" priority="355">
      <formula>IF(AND(OR(G439="",#REF!="Segment"),OR(#REF!="Accuracy",#REF!="Fluency",#REF!="Other")),1,0)</formula>
    </cfRule>
  </conditionalFormatting>
  <conditionalFormatting sqref="G440">
    <cfRule type="expression" dxfId="320" priority="354">
      <formula>IF(AND(OR(G440="",#REF!="Segment"),OR(#REF!="Accuracy",#REF!="Fluency",#REF!="Other")),1,0)</formula>
    </cfRule>
  </conditionalFormatting>
  <conditionalFormatting sqref="G441">
    <cfRule type="expression" dxfId="319" priority="353">
      <formula>IF(AND(OR(G441="",#REF!="Segment"),OR(#REF!="Accuracy",#REF!="Fluency",#REF!="Other")),1,0)</formula>
    </cfRule>
  </conditionalFormatting>
  <conditionalFormatting sqref="G442">
    <cfRule type="expression" dxfId="318" priority="352">
      <formula>IF(AND(OR(G442="",#REF!="Segment"),OR(#REF!="Accuracy",#REF!="Fluency",#REF!="Other")),1,0)</formula>
    </cfRule>
  </conditionalFormatting>
  <conditionalFormatting sqref="G445">
    <cfRule type="expression" dxfId="317" priority="351">
      <formula>IF(AND(OR(G445="",#REF!="Segment"),OR(#REF!="Accuracy",#REF!="Fluency",#REF!="Other")),1,0)</formula>
    </cfRule>
  </conditionalFormatting>
  <conditionalFormatting sqref="G446">
    <cfRule type="expression" dxfId="316" priority="350">
      <formula>IF(AND(OR(G446="",#REF!="Segment"),OR(#REF!="Accuracy",#REF!="Fluency",#REF!="Other")),1,0)</formula>
    </cfRule>
  </conditionalFormatting>
  <conditionalFormatting sqref="G447">
    <cfRule type="expression" dxfId="315" priority="349">
      <formula>IF(AND(OR(G447="",#REF!="Segment"),OR(#REF!="Accuracy",#REF!="Fluency",#REF!="Other")),1,0)</formula>
    </cfRule>
  </conditionalFormatting>
  <conditionalFormatting sqref="G447">
    <cfRule type="expression" dxfId="314" priority="348">
      <formula>IF(AND(OR(G447="",#REF!="Segment"),OR(#REF!="Accuracy",#REF!="Fluency",#REF!="Other")),1,0)</formula>
    </cfRule>
  </conditionalFormatting>
  <conditionalFormatting sqref="G448">
    <cfRule type="expression" dxfId="313" priority="347">
      <formula>IF(AND(OR(G448="",#REF!="Segment"),OR(#REF!="Accuracy",#REF!="Fluency",#REF!="Other")),1,0)</formula>
    </cfRule>
  </conditionalFormatting>
  <conditionalFormatting sqref="G448">
    <cfRule type="expression" dxfId="312" priority="346">
      <formula>IF(AND(OR(G448="",#REF!="Segment"),OR(#REF!="Accuracy",#REF!="Fluency",#REF!="Other")),1,0)</formula>
    </cfRule>
  </conditionalFormatting>
  <conditionalFormatting sqref="G451">
    <cfRule type="expression" dxfId="311" priority="345">
      <formula>IF(AND(OR(G451="",#REF!="Segment"),OR(#REF!="Accuracy",#REF!="Fluency",#REF!="Other")),1,0)</formula>
    </cfRule>
  </conditionalFormatting>
  <conditionalFormatting sqref="G452">
    <cfRule type="expression" dxfId="310" priority="344">
      <formula>IF(AND(OR(G452="",#REF!="Segment"),OR(#REF!="Accuracy",#REF!="Fluency",#REF!="Other")),1,0)</formula>
    </cfRule>
  </conditionalFormatting>
  <conditionalFormatting sqref="G456">
    <cfRule type="expression" dxfId="309" priority="343">
      <formula>IF(AND(OR(G456="",#REF!="Segment"),OR(#REF!="Accuracy",#REF!="Fluency",#REF!="Other")),1,0)</formula>
    </cfRule>
  </conditionalFormatting>
  <conditionalFormatting sqref="G457">
    <cfRule type="expression" dxfId="308" priority="342">
      <formula>IF(AND(OR(G457="",#REF!="Segment"),OR(#REF!="Accuracy",#REF!="Fluency",#REF!="Other")),1,0)</formula>
    </cfRule>
  </conditionalFormatting>
  <conditionalFormatting sqref="G458">
    <cfRule type="expression" dxfId="307" priority="341">
      <formula>IF(AND(OR(G458="",#REF!="Segment"),OR(#REF!="Accuracy",#REF!="Fluency",#REF!="Other")),1,0)</formula>
    </cfRule>
  </conditionalFormatting>
  <conditionalFormatting sqref="G459:G460">
    <cfRule type="expression" dxfId="306" priority="340">
      <formula>IF(AND(OR(G459="",#REF!="Segment"),OR(#REF!="Accuracy",#REF!="Fluency",#REF!="Other")),1,0)</formula>
    </cfRule>
  </conditionalFormatting>
  <conditionalFormatting sqref="G461">
    <cfRule type="expression" dxfId="305" priority="339">
      <formula>IF(AND(OR(G461="",#REF!="Segment"),OR(#REF!="Accuracy",#REF!="Fluency",#REF!="Other")),1,0)</formula>
    </cfRule>
  </conditionalFormatting>
  <conditionalFormatting sqref="G462">
    <cfRule type="expression" dxfId="304" priority="337">
      <formula>IF(OR(AND(G462="",#REF!="",OR(I462="Critical",I462="Major",I462="Minor"))),1,0)</formula>
    </cfRule>
  </conditionalFormatting>
  <conditionalFormatting sqref="G462">
    <cfRule type="expression" dxfId="303" priority="336">
      <formula>IF(AND(OR(G462="",#REF!="Segment"),OR(#REF!="Accuracy",#REF!="Fluency",#REF!="Other")),1,0)</formula>
    </cfRule>
  </conditionalFormatting>
  <conditionalFormatting sqref="G463">
    <cfRule type="expression" dxfId="302" priority="335">
      <formula>IF(AND(OR(G463="",#REF!="Segment"),OR(#REF!="Accuracy",#REF!="Fluency",#REF!="Other")),1,0)</formula>
    </cfRule>
  </conditionalFormatting>
  <conditionalFormatting sqref="G464:G466">
    <cfRule type="expression" dxfId="301" priority="334">
      <formula>IF(AND(OR(G464="",#REF!="Segment"),OR(#REF!="Accuracy",#REF!="Fluency",#REF!="Other")),1,0)</formula>
    </cfRule>
  </conditionalFormatting>
  <conditionalFormatting sqref="G467">
    <cfRule type="expression" dxfId="300" priority="333">
      <formula>IF(AND(OR(G467="",#REF!="Segment"),OR(#REF!="Accuracy",#REF!="Fluency",#REF!="Other")),1,0)</formula>
    </cfRule>
  </conditionalFormatting>
  <conditionalFormatting sqref="G468">
    <cfRule type="expression" dxfId="299" priority="332">
      <formula>IF(AND(OR(G468="",#REF!="Segment"),OR(#REF!="Accuracy",#REF!="Fluency",#REF!="Other")),1,0)</formula>
    </cfRule>
  </conditionalFormatting>
  <conditionalFormatting sqref="G469">
    <cfRule type="expression" dxfId="298" priority="331">
      <formula>IF(AND(OR(G469="",#REF!="Segment"),OR(#REF!="Accuracy",#REF!="Fluency",#REF!="Other")),1,0)</formula>
    </cfRule>
  </conditionalFormatting>
  <conditionalFormatting sqref="G470">
    <cfRule type="expression" dxfId="297" priority="330">
      <formula>IF(AND(OR(G470="",#REF!="Segment"),OR(#REF!="Accuracy",#REF!="Fluency",#REF!="Other")),1,0)</formula>
    </cfRule>
  </conditionalFormatting>
  <conditionalFormatting sqref="G471">
    <cfRule type="expression" dxfId="296" priority="329">
      <formula>IF(AND(OR(G471="",#REF!="Segment"),OR(#REF!="Accuracy",#REF!="Fluency",#REF!="Other")),1,0)</formula>
    </cfRule>
  </conditionalFormatting>
  <conditionalFormatting sqref="G472">
    <cfRule type="expression" dxfId="295" priority="328">
      <formula>IF(AND(OR(G472="",#REF!="Segment"),OR(#REF!="Accuracy",#REF!="Fluency",#REF!="Other")),1,0)</formula>
    </cfRule>
  </conditionalFormatting>
  <conditionalFormatting sqref="G473">
    <cfRule type="expression" dxfId="294" priority="327">
      <formula>IF(AND(OR(G473="",#REF!="Segment"),OR(#REF!="Accuracy",#REF!="Fluency",#REF!="Other")),1,0)</formula>
    </cfRule>
  </conditionalFormatting>
  <conditionalFormatting sqref="G474:G475">
    <cfRule type="expression" dxfId="293" priority="326">
      <formula>IF(AND(OR(G474="",#REF!="Segment"),OR(#REF!="Accuracy",#REF!="Fluency",#REF!="Other")),1,0)</formula>
    </cfRule>
  </conditionalFormatting>
  <conditionalFormatting sqref="G476">
    <cfRule type="expression" dxfId="292" priority="325">
      <formula>IF(AND(OR(G476="",#REF!="Segment"),OR(#REF!="Accuracy",#REF!="Fluency",#REF!="Other")),1,0)</formula>
    </cfRule>
  </conditionalFormatting>
  <conditionalFormatting sqref="G477:G478">
    <cfRule type="expression" dxfId="291" priority="324">
      <formula>IF(AND(OR(G477="",#REF!="Segment"),OR(#REF!="Accuracy",#REF!="Fluency",#REF!="Other")),1,0)</formula>
    </cfRule>
  </conditionalFormatting>
  <conditionalFormatting sqref="G479">
    <cfRule type="expression" dxfId="290" priority="323">
      <formula>IF(AND(OR(G479="",#REF!="Segment"),OR(#REF!="Accuracy",#REF!="Fluency",#REF!="Other")),1,0)</formula>
    </cfRule>
  </conditionalFormatting>
  <conditionalFormatting sqref="G480">
    <cfRule type="expression" dxfId="289" priority="322">
      <formula>IF(AND(OR(G480="",#REF!="Segment"),OR(#REF!="Accuracy",#REF!="Fluency",#REF!="Other")),1,0)</formula>
    </cfRule>
  </conditionalFormatting>
  <conditionalFormatting sqref="G481">
    <cfRule type="expression" dxfId="288" priority="321">
      <formula>IF(AND(OR(G481="",#REF!="Segment"),OR(#REF!="Accuracy",#REF!="Fluency",#REF!="Other")),1,0)</formula>
    </cfRule>
  </conditionalFormatting>
  <conditionalFormatting sqref="G482">
    <cfRule type="expression" dxfId="287" priority="320">
      <formula>IF(AND(OR(G482="",#REF!="Segment"),OR(#REF!="Accuracy",#REF!="Fluency",#REF!="Other")),1,0)</formula>
    </cfRule>
  </conditionalFormatting>
  <conditionalFormatting sqref="G483">
    <cfRule type="expression" dxfId="286" priority="319">
      <formula>IF(AND(OR(G483="",#REF!="Segment"),OR(#REF!="Accuracy",#REF!="Fluency",#REF!="Other")),1,0)</formula>
    </cfRule>
  </conditionalFormatting>
  <conditionalFormatting sqref="G511 G500:G501 G485:G486">
    <cfRule type="expression" dxfId="285" priority="317">
      <formula>IF(OR(AND(G485="",H484="",OR(I485="Critical",I485="Major",I485="Minor"))),1,0)</formula>
    </cfRule>
  </conditionalFormatting>
  <conditionalFormatting sqref="F511 F500 F485:F486">
    <cfRule type="expression" dxfId="284" priority="318">
      <formula>IF(OR(AND(F485="",G485="",OR(H484="Critical",H484="Major",H484="Minor"))),1,0)</formula>
    </cfRule>
  </conditionalFormatting>
  <conditionalFormatting sqref="G486">
    <cfRule type="expression" dxfId="283" priority="314">
      <formula>IF(AND(OR(G486="",#REF!="Segment"),OR(#REF!="Accuracy",#REF!="Fluency",#REF!="Other")),1,0)</formula>
    </cfRule>
  </conditionalFormatting>
  <conditionalFormatting sqref="G484">
    <cfRule type="expression" dxfId="282" priority="316">
      <formula>IF(AND(OR(G484="",#REF!="Segment"),OR(#REF!="Accuracy",#REF!="Fluency",#REF!="Other")),1,0)</formula>
    </cfRule>
  </conditionalFormatting>
  <conditionalFormatting sqref="G485">
    <cfRule type="expression" dxfId="281" priority="315">
      <formula>IF(AND(OR(G485="",#REF!="Segment"),OR(#REF!="Accuracy",#REF!="Fluency",#REF!="Other")),1,0)</formula>
    </cfRule>
  </conditionalFormatting>
  <conditionalFormatting sqref="G487">
    <cfRule type="expression" dxfId="280" priority="313">
      <formula>IF(AND(OR(G487="",#REF!="Segment"),OR(#REF!="Accuracy",#REF!="Fluency",#REF!="Other")),1,0)</formula>
    </cfRule>
  </conditionalFormatting>
  <conditionalFormatting sqref="G488">
    <cfRule type="expression" dxfId="279" priority="312">
      <formula>IF(AND(OR(G488="",#REF!="Segment"),OR(#REF!="Accuracy",#REF!="Fluency",#REF!="Other")),1,0)</formula>
    </cfRule>
  </conditionalFormatting>
  <conditionalFormatting sqref="G489">
    <cfRule type="expression" dxfId="278" priority="311">
      <formula>IF(AND(OR(G489="",#REF!="Segment"),OR(#REF!="Accuracy",#REF!="Fluency",#REF!="Other")),1,0)</formula>
    </cfRule>
  </conditionalFormatting>
  <conditionalFormatting sqref="G490">
    <cfRule type="expression" dxfId="277" priority="310">
      <formula>IF(AND(OR(G490="",#REF!="Segment"),OR(#REF!="Accuracy",#REF!="Fluency",#REF!="Other")),1,0)</formula>
    </cfRule>
  </conditionalFormatting>
  <conditionalFormatting sqref="G491">
    <cfRule type="expression" dxfId="276" priority="309">
      <formula>IF(AND(OR(G491="",#REF!="Segment"),OR(#REF!="Accuracy",#REF!="Fluency",#REF!="Other")),1,0)</formula>
    </cfRule>
  </conditionalFormatting>
  <conditionalFormatting sqref="G492">
    <cfRule type="expression" dxfId="275" priority="308">
      <formula>IF(AND(OR(G492="",#REF!="Segment"),OR(#REF!="Accuracy",#REF!="Fluency",#REF!="Other")),1,0)</formula>
    </cfRule>
  </conditionalFormatting>
  <conditionalFormatting sqref="G493:G494">
    <cfRule type="expression" dxfId="274" priority="307">
      <formula>IF(AND(OR(G493="",#REF!="Segment"),OR(#REF!="Accuracy",#REF!="Fluency",#REF!="Other")),1,0)</formula>
    </cfRule>
  </conditionalFormatting>
  <conditionalFormatting sqref="G496">
    <cfRule type="expression" dxfId="273" priority="306">
      <formula>IF(AND(OR(G496="",#REF!="Segment"),OR(#REF!="Accuracy",#REF!="Fluency",#REF!="Other")),1,0)</formula>
    </cfRule>
  </conditionalFormatting>
  <conditionalFormatting sqref="G497">
    <cfRule type="expression" dxfId="272" priority="305">
      <formula>IF(AND(OR(G497="",#REF!="Segment"),OR(#REF!="Accuracy",#REF!="Fluency",#REF!="Other")),1,0)</formula>
    </cfRule>
  </conditionalFormatting>
  <conditionalFormatting sqref="G498">
    <cfRule type="expression" dxfId="271" priority="304">
      <formula>IF(AND(OR(G498="",#REF!="Segment"),OR(#REF!="Accuracy",#REF!="Fluency",#REF!="Other")),1,0)</formula>
    </cfRule>
  </conditionalFormatting>
  <conditionalFormatting sqref="G499">
    <cfRule type="expression" dxfId="270" priority="303">
      <formula>IF(AND(OR(G499="",#REF!="Segment"),OR(#REF!="Accuracy",#REF!="Fluency",#REF!="Other")),1,0)</formula>
    </cfRule>
  </conditionalFormatting>
  <conditionalFormatting sqref="G500">
    <cfRule type="expression" dxfId="269" priority="302">
      <formula>IF(AND(OR(G500="",#REF!="Segment"),OR(#REF!="Accuracy",#REF!="Fluency",#REF!="Other")),1,0)</formula>
    </cfRule>
  </conditionalFormatting>
  <conditionalFormatting sqref="G501">
    <cfRule type="expression" dxfId="268" priority="301">
      <formula>IF(AND(OR(G501="",#REF!="Segment"),OR(#REF!="Accuracy",#REF!="Fluency",#REF!="Other")),1,0)</formula>
    </cfRule>
  </conditionalFormatting>
  <conditionalFormatting sqref="G502">
    <cfRule type="expression" dxfId="267" priority="300">
      <formula>IF(AND(OR(G502="",#REF!="Segment"),OR(#REF!="Accuracy",#REF!="Fluency",#REF!="Other")),1,0)</formula>
    </cfRule>
  </conditionalFormatting>
  <conditionalFormatting sqref="G503:G504">
    <cfRule type="expression" dxfId="266" priority="299">
      <formula>IF(AND(OR(G503="",#REF!="Segment"),OR(#REF!="Accuracy",#REF!="Fluency",#REF!="Other")),1,0)</formula>
    </cfRule>
  </conditionalFormatting>
  <conditionalFormatting sqref="G505">
    <cfRule type="expression" dxfId="265" priority="298">
      <formula>IF(AND(OR(G505="",#REF!="Segment"),OR(#REF!="Accuracy",#REF!="Fluency",#REF!="Other")),1,0)</formula>
    </cfRule>
  </conditionalFormatting>
  <conditionalFormatting sqref="G506">
    <cfRule type="expression" dxfId="264" priority="297">
      <formula>IF(AND(OR(G506="",#REF!="Segment"),OR(#REF!="Accuracy",#REF!="Fluency",#REF!="Other")),1,0)</formula>
    </cfRule>
  </conditionalFormatting>
  <conditionalFormatting sqref="G509">
    <cfRule type="expression" dxfId="263" priority="296">
      <formula>IF(AND(OR(G509="",#REF!="Segment"),OR(#REF!="Accuracy",#REF!="Fluency",#REF!="Other")),1,0)</formula>
    </cfRule>
  </conditionalFormatting>
  <conditionalFormatting sqref="G510">
    <cfRule type="expression" dxfId="262" priority="295">
      <formula>IF(AND(OR(G510="",#REF!="Segment"),OR(#REF!="Accuracy",#REF!="Fluency",#REF!="Other")),1,0)</formula>
    </cfRule>
  </conditionalFormatting>
  <conditionalFormatting sqref="G508">
    <cfRule type="expression" dxfId="261" priority="294">
      <formula>IF(AND(OR(G508="",#REF!="Segment"),OR(#REF!="Accuracy",#REF!="Fluency",#REF!="Other")),1,0)</formula>
    </cfRule>
  </conditionalFormatting>
  <conditionalFormatting sqref="G511">
    <cfRule type="expression" dxfId="260" priority="293">
      <formula>IF(AND(OR(G511="",#REF!="Segment"),OR(#REF!="Accuracy",#REF!="Fluency",#REF!="Other")),1,0)</formula>
    </cfRule>
  </conditionalFormatting>
  <conditionalFormatting sqref="G512">
    <cfRule type="expression" dxfId="259" priority="292">
      <formula>IF(AND(OR(G512="",#REF!="Segment"),OR(#REF!="Accuracy",#REF!="Fluency",#REF!="Other")),1,0)</formula>
    </cfRule>
  </conditionalFormatting>
  <conditionalFormatting sqref="G513">
    <cfRule type="expression" dxfId="258" priority="291">
      <formula>IF(AND(OR(G513="",#REF!="Segment"),OR(#REF!="Accuracy",#REF!="Fluency",#REF!="Other")),1,0)</formula>
    </cfRule>
  </conditionalFormatting>
  <conditionalFormatting sqref="G515">
    <cfRule type="expression" dxfId="257" priority="290">
      <formula>IF(AND(OR(G515="",#REF!="Segment"),OR(#REF!="Accuracy",#REF!="Fluency",#REF!="Other")),1,0)</formula>
    </cfRule>
  </conditionalFormatting>
  <conditionalFormatting sqref="G516">
    <cfRule type="expression" dxfId="256" priority="289">
      <formula>IF(AND(OR(G516="",#REF!="Segment"),OR(#REF!="Accuracy",#REF!="Fluency",#REF!="Other")),1,0)</formula>
    </cfRule>
  </conditionalFormatting>
  <conditionalFormatting sqref="G517">
    <cfRule type="expression" dxfId="255" priority="288">
      <formula>IF(AND(OR(G517="",#REF!="Segment"),OR(#REF!="Accuracy",#REF!="Fluency",#REF!="Other")),1,0)</formula>
    </cfRule>
  </conditionalFormatting>
  <conditionalFormatting sqref="G518:G519">
    <cfRule type="expression" dxfId="254" priority="287">
      <formula>IF(AND(OR(G518="",#REF!="Segment"),OR(#REF!="Accuracy",#REF!="Fluency",#REF!="Other")),1,0)</formula>
    </cfRule>
  </conditionalFormatting>
  <conditionalFormatting sqref="G520">
    <cfRule type="expression" dxfId="253" priority="286">
      <formula>IF(AND(OR(G520="",#REF!="Segment"),OR(#REF!="Accuracy",#REF!="Fluency",#REF!="Other")),1,0)</formula>
    </cfRule>
  </conditionalFormatting>
  <conditionalFormatting sqref="G521:G522">
    <cfRule type="expression" dxfId="252" priority="285">
      <formula>IF(AND(OR(G521="",#REF!="Segment"),OR(#REF!="Accuracy",#REF!="Fluency",#REF!="Other")),1,0)</formula>
    </cfRule>
  </conditionalFormatting>
  <conditionalFormatting sqref="G523">
    <cfRule type="expression" dxfId="251" priority="284">
      <formula>IF(AND(OR(G523="",#REF!="Segment"),OR(#REF!="Accuracy",#REF!="Fluency",#REF!="Other")),1,0)</formula>
    </cfRule>
  </conditionalFormatting>
  <conditionalFormatting sqref="G524">
    <cfRule type="expression" dxfId="250" priority="283">
      <formula>IF(AND(OR(G524="",#REF!="Segment"),OR(#REF!="Accuracy",#REF!="Fluency",#REF!="Other")),1,0)</formula>
    </cfRule>
  </conditionalFormatting>
  <conditionalFormatting sqref="G525">
    <cfRule type="expression" dxfId="249" priority="282">
      <formula>IF(AND(OR(G525="",#REF!="Segment"),OR(#REF!="Accuracy",#REF!="Fluency",#REF!="Other")),1,0)</formula>
    </cfRule>
  </conditionalFormatting>
  <conditionalFormatting sqref="G526">
    <cfRule type="expression" dxfId="248" priority="281">
      <formula>IF(AND(OR(G526="",#REF!="Segment"),OR(#REF!="Accuracy",#REF!="Fluency",#REF!="Other")),1,0)</formula>
    </cfRule>
  </conditionalFormatting>
  <conditionalFormatting sqref="E527:G527">
    <cfRule type="expression" dxfId="247" priority="279">
      <formula>IF(OR(AND(E527="",F527="",OR(G527="Critical",G527="Major",G527="Minor"))),1,0)</formula>
    </cfRule>
  </conditionalFormatting>
  <conditionalFormatting sqref="F527">
    <cfRule type="expression" dxfId="246" priority="278">
      <formula>IF(AND(F527="",OR(E527="Accuracy",E527="Fluency",E527="Segment",E527="Other")),1,0)</formula>
    </cfRule>
  </conditionalFormatting>
  <conditionalFormatting sqref="G527">
    <cfRule type="expression" dxfId="245" priority="280">
      <formula>IF(AND(OR(G527="",#REF!="Segment"),OR(#REF!="Accuracy",#REF!="Fluency",#REF!="Other")),1,0)</formula>
    </cfRule>
  </conditionalFormatting>
  <conditionalFormatting sqref="E528:G528">
    <cfRule type="expression" dxfId="244" priority="276">
      <formula>IF(OR(AND(E528="",F528="",OR(G528="Critical",G528="Major",G528="Minor"))),1,0)</formula>
    </cfRule>
  </conditionalFormatting>
  <conditionalFormatting sqref="F528">
    <cfRule type="expression" dxfId="243" priority="275">
      <formula>IF(AND(F528="",OR(E528="Accuracy",E528="Fluency",E528="Segment",E528="Other")),1,0)</formula>
    </cfRule>
  </conditionalFormatting>
  <conditionalFormatting sqref="G528">
    <cfRule type="expression" dxfId="242" priority="277">
      <formula>IF(AND(OR(G528="",#REF!="Segment"),OR(#REF!="Accuracy",#REF!="Fluency",#REF!="Other")),1,0)</formula>
    </cfRule>
  </conditionalFormatting>
  <conditionalFormatting sqref="G529">
    <cfRule type="expression" dxfId="241" priority="272">
      <formula>IF(AND(OR(G529="",#REF!="Segment"),OR(#REF!="Accuracy",#REF!="Fluency",#REF!="Other")),1,0)</formula>
    </cfRule>
  </conditionalFormatting>
  <conditionalFormatting sqref="G529">
    <cfRule type="expression" dxfId="240" priority="273">
      <formula>IF(OR(AND(G529="",H528="",OR(I529="Critical",I529="Major",I529="Minor"))),1,0)</formula>
    </cfRule>
  </conditionalFormatting>
  <conditionalFormatting sqref="E530:G530">
    <cfRule type="expression" dxfId="239" priority="268">
      <formula>IF(OR(AND(E530="",F530="",OR(G530="Critical",G530="Major",G530="Minor"))),1,0)</formula>
    </cfRule>
  </conditionalFormatting>
  <conditionalFormatting sqref="F530">
    <cfRule type="expression" dxfId="238" priority="267">
      <formula>IF(AND(F530="",OR(E530="Accuracy",E530="Fluency",E530="Segment",E530="Other")),1,0)</formula>
    </cfRule>
  </conditionalFormatting>
  <conditionalFormatting sqref="G530">
    <cfRule type="expression" dxfId="237" priority="269">
      <formula>IF(AND(OR(G530="",#REF!="Segment"),OR(#REF!="Accuracy",#REF!="Fluency",#REF!="Other")),1,0)</formula>
    </cfRule>
  </conditionalFormatting>
  <conditionalFormatting sqref="E533:G533">
    <cfRule type="expression" dxfId="236" priority="265">
      <formula>IF(OR(AND(E533="",F533="",OR(G533="Critical",G533="Major",G533="Minor"))),1,0)</formula>
    </cfRule>
  </conditionalFormatting>
  <conditionalFormatting sqref="F533">
    <cfRule type="expression" dxfId="235" priority="264">
      <formula>IF(AND(F533="",OR(E533="Accuracy",E533="Fluency",E533="Segment",E533="Other")),1,0)</formula>
    </cfRule>
  </conditionalFormatting>
  <conditionalFormatting sqref="G533">
    <cfRule type="expression" dxfId="234" priority="266">
      <formula>IF(AND(OR(G533="",#REF!="Segment"),OR(#REF!="Accuracy",#REF!="Fluency",#REF!="Other")),1,0)</formula>
    </cfRule>
  </conditionalFormatting>
  <conditionalFormatting sqref="G531">
    <cfRule type="expression" dxfId="233" priority="262">
      <formula>IF(OR(AND(G531="",H531="",OR(I531="Critical",I531="Major",I531="Minor"))),1,0)</formula>
    </cfRule>
  </conditionalFormatting>
  <conditionalFormatting sqref="G531">
    <cfRule type="expression" dxfId="232" priority="263">
      <formula>IF(AND(OR(G531="",#REF!="Segment"),OR(#REF!="Accuracy",#REF!="Fluency",#REF!="Other")),1,0)</formula>
    </cfRule>
  </conditionalFormatting>
  <conditionalFormatting sqref="G532">
    <cfRule type="expression" dxfId="231" priority="259">
      <formula>IF(OR(AND(G532="",H532="",OR(I532="Critical",I532="Major",I532="Minor"))),1,0)</formula>
    </cfRule>
  </conditionalFormatting>
  <conditionalFormatting sqref="G532">
    <cfRule type="expression" dxfId="230" priority="260">
      <formula>IF(AND(OR(G532="",#REF!="Segment"),OR(#REF!="Accuracy",#REF!="Fluency",#REF!="Other")),1,0)</formula>
    </cfRule>
  </conditionalFormatting>
  <conditionalFormatting sqref="G534">
    <cfRule type="expression" dxfId="229" priority="255">
      <formula>IF(AND(OR(G534="",#REF!="Segment"),OR(#REF!="Accuracy",#REF!="Fluency",#REF!="Other")),1,0)</formula>
    </cfRule>
  </conditionalFormatting>
  <conditionalFormatting sqref="G534">
    <cfRule type="expression" dxfId="228" priority="256">
      <formula>IF(OR(AND(G534="",H532="",OR(I532="Critical",I532="Major",I532="Minor"))),1,0)</formula>
    </cfRule>
  </conditionalFormatting>
  <conditionalFormatting sqref="G535">
    <cfRule type="expression" dxfId="227" priority="253">
      <formula>IF(AND(OR(G535="",#REF!="Segment"),OR(#REF!="Accuracy",#REF!="Fluency",#REF!="Other")),1,0)</formula>
    </cfRule>
  </conditionalFormatting>
  <conditionalFormatting sqref="E536:G536">
    <cfRule type="expression" dxfId="226" priority="251">
      <formula>IF(OR(AND(E536="",F536="",OR(G536="Critical",G536="Major",G536="Minor"))),1,0)</formula>
    </cfRule>
  </conditionalFormatting>
  <conditionalFormatting sqref="F536">
    <cfRule type="expression" dxfId="225" priority="250">
      <formula>IF(AND(F536="",OR(E536="Accuracy",E536="Fluency",E536="Segment",E536="Other")),1,0)</formula>
    </cfRule>
  </conditionalFormatting>
  <conditionalFormatting sqref="G536">
    <cfRule type="expression" dxfId="224" priority="252">
      <formula>IF(AND(OR(G536="",#REF!="Segment"),OR(#REF!="Accuracy",#REF!="Fluency",#REF!="Other")),1,0)</formula>
    </cfRule>
  </conditionalFormatting>
  <conditionalFormatting sqref="E537:G537">
    <cfRule type="expression" dxfId="223" priority="248">
      <formula>IF(OR(AND(E537="",F537="",OR(G537="Critical",G537="Major",G537="Minor"))),1,0)</formula>
    </cfRule>
  </conditionalFormatting>
  <conditionalFormatting sqref="F537">
    <cfRule type="expression" dxfId="222" priority="247">
      <formula>IF(AND(F537="",OR(E537="Accuracy",E537="Fluency",E537="Segment",E537="Other")),1,0)</formula>
    </cfRule>
  </conditionalFormatting>
  <conditionalFormatting sqref="G537">
    <cfRule type="expression" dxfId="221" priority="249">
      <formula>IF(AND(OR(G537="",#REF!="Segment"),OR(#REF!="Accuracy",#REF!="Fluency",#REF!="Other")),1,0)</formula>
    </cfRule>
  </conditionalFormatting>
  <conditionalFormatting sqref="G538">
    <cfRule type="expression" dxfId="220" priority="246">
      <formula>IF(AND(OR(G538="",#REF!="Segment"),OR(#REF!="Accuracy",#REF!="Fluency",#REF!="Other")),1,0)</formula>
    </cfRule>
  </conditionalFormatting>
  <conditionalFormatting sqref="G538">
    <cfRule type="expression" dxfId="219" priority="245">
      <formula>IF(OR(AND(G538="",H538="",OR(I538="Critical",I538="Major",I538="Minor"))),1,0)</formula>
    </cfRule>
  </conditionalFormatting>
  <conditionalFormatting sqref="E539:G539">
    <cfRule type="expression" dxfId="218" priority="242">
      <formula>IF(OR(AND(E539="",F539="",OR(G539="Critical",G539="Major",G539="Minor"))),1,0)</formula>
    </cfRule>
  </conditionalFormatting>
  <conditionalFormatting sqref="F539">
    <cfRule type="expression" dxfId="217" priority="241">
      <formula>IF(AND(F539="",OR(E539="Accuracy",E539="Fluency",E539="Segment",E539="Other")),1,0)</formula>
    </cfRule>
  </conditionalFormatting>
  <conditionalFormatting sqref="G539">
    <cfRule type="expression" dxfId="216" priority="243">
      <formula>IF(AND(OR(G539="",#REF!="Segment"),OR(#REF!="Accuracy",#REF!="Fluency",#REF!="Other")),1,0)</formula>
    </cfRule>
  </conditionalFormatting>
  <conditionalFormatting sqref="G540">
    <cfRule type="expression" dxfId="215" priority="239">
      <formula>IF(OR(AND(G540="",H540="",OR(I540="Critical",I540="Major",I540="Minor"))),1,0)</formula>
    </cfRule>
  </conditionalFormatting>
  <conditionalFormatting sqref="G540">
    <cfRule type="expression" dxfId="214" priority="240">
      <formula>IF(AND(OR(G540="",#REF!="Segment"),OR(#REF!="Accuracy",#REF!="Fluency",#REF!="Other")),1,0)</formula>
    </cfRule>
  </conditionalFormatting>
  <conditionalFormatting sqref="E541:G541">
    <cfRule type="expression" dxfId="213" priority="236">
      <formula>IF(OR(AND(E541="",F541="",OR(G541="Critical",G541="Major",G541="Minor"))),1,0)</formula>
    </cfRule>
  </conditionalFormatting>
  <conditionalFormatting sqref="F541">
    <cfRule type="expression" dxfId="212" priority="235">
      <formula>IF(AND(F541="",OR(E541="Accuracy",E541="Fluency",E541="Segment",E541="Other")),1,0)</formula>
    </cfRule>
  </conditionalFormatting>
  <conditionalFormatting sqref="G541">
    <cfRule type="expression" dxfId="211" priority="237">
      <formula>IF(AND(OR(G541="",#REF!="Segment"),OR(#REF!="Accuracy",#REF!="Fluency",#REF!="Other")),1,0)</formula>
    </cfRule>
  </conditionalFormatting>
  <conditionalFormatting sqref="H544">
    <cfRule type="expression" dxfId="210" priority="234">
      <formula>IF(OR(AND(H544="",J544="",OR(#REF!="Critical",#REF!="Major",#REF!="Minor"))),1,0)</formula>
    </cfRule>
  </conditionalFormatting>
  <conditionalFormatting sqref="G542">
    <cfRule type="expression" dxfId="209" priority="232">
      <formula>IF(AND(OR(G542="",#REF!="Segment"),OR(#REF!="Accuracy",#REF!="Fluency",#REF!="Other")),1,0)</formula>
    </cfRule>
  </conditionalFormatting>
  <conditionalFormatting sqref="G542">
    <cfRule type="expression" dxfId="208" priority="233">
      <formula>IF(OR(AND(G542="",#REF!="",OR(I542="Critical",I542="Major",I542="Minor"))),1,0)</formula>
    </cfRule>
  </conditionalFormatting>
  <conditionalFormatting sqref="E542:F542">
    <cfRule type="expression" dxfId="207" priority="231">
      <formula>IF(OR(AND(E542="",F542="",OR(G542="Critical",G542="Major",G542="Minor"))),1,0)</formula>
    </cfRule>
  </conditionalFormatting>
  <conditionalFormatting sqref="F542">
    <cfRule type="expression" dxfId="206" priority="230">
      <formula>IF(AND(F542="",OR(E542="Accuracy",E542="Fluency",E542="Segment",E542="Other")),1,0)</formula>
    </cfRule>
  </conditionalFormatting>
  <conditionalFormatting sqref="G543">
    <cfRule type="expression" dxfId="205" priority="228">
      <formula>IF(AND(OR(G543="",#REF!="Segment"),OR(#REF!="Accuracy",#REF!="Fluency",#REF!="Other")),1,0)</formula>
    </cfRule>
  </conditionalFormatting>
  <conditionalFormatting sqref="G543">
    <cfRule type="expression" dxfId="204" priority="229">
      <formula>IF(OR(AND(G543="",#REF!="",OR(I543="Critical",I543="Major",I543="Minor"))),1,0)</formula>
    </cfRule>
  </conditionalFormatting>
  <conditionalFormatting sqref="E543:F543">
    <cfRule type="expression" dxfId="203" priority="227">
      <formula>IF(OR(AND(E543="",F543="",OR(G543="Critical",G543="Major",G543="Minor"))),1,0)</formula>
    </cfRule>
  </conditionalFormatting>
  <conditionalFormatting sqref="F543">
    <cfRule type="expression" dxfId="202" priority="226">
      <formula>IF(AND(F543="",OR(E543="Accuracy",E543="Fluency",E543="Segment",E543="Other")),1,0)</formula>
    </cfRule>
  </conditionalFormatting>
  <conditionalFormatting sqref="G544">
    <cfRule type="expression" dxfId="201" priority="224">
      <formula>IF(OR(AND(G544="",H544="",OR(I544="Critical",I544="Major",I544="Minor"))),1,0)</formula>
    </cfRule>
  </conditionalFormatting>
  <conditionalFormatting sqref="G544">
    <cfRule type="expression" dxfId="200" priority="225">
      <formula>IF(AND(OR(G544="",#REF!="Segment"),OR(#REF!="Accuracy",#REF!="Fluency",#REF!="Other")),1,0)</formula>
    </cfRule>
  </conditionalFormatting>
  <conditionalFormatting sqref="G545">
    <cfRule type="expression" dxfId="199" priority="221">
      <formula>IF(OR(AND(G545="",H545="",OR(I545="Critical",I545="Major",I545="Minor"))),1,0)</formula>
    </cfRule>
  </conditionalFormatting>
  <conditionalFormatting sqref="G545">
    <cfRule type="expression" dxfId="198" priority="222">
      <formula>IF(AND(OR(G545="",#REF!="Segment"),OR(#REF!="Accuracy",#REF!="Fluency",#REF!="Other")),1,0)</formula>
    </cfRule>
  </conditionalFormatting>
  <conditionalFormatting sqref="H547">
    <cfRule type="expression" dxfId="197" priority="219">
      <formula>IF(OR(AND(H547="",J547="",OR(#REF!="Critical",#REF!="Major",#REF!="Minor"))),1,0)</formula>
    </cfRule>
  </conditionalFormatting>
  <conditionalFormatting sqref="G546">
    <cfRule type="expression" dxfId="196" priority="217">
      <formula>IF(OR(AND(G546="",H546="",OR(I546="Critical",I546="Major",I546="Minor"))),1,0)</formula>
    </cfRule>
  </conditionalFormatting>
  <conditionalFormatting sqref="G546">
    <cfRule type="expression" dxfId="195" priority="218">
      <formula>IF(AND(OR(G546="",#REF!="Segment"),OR(#REF!="Accuracy",#REF!="Fluency",#REF!="Other")),1,0)</formula>
    </cfRule>
  </conditionalFormatting>
  <conditionalFormatting sqref="E546:F546">
    <cfRule type="expression" dxfId="194" priority="216">
      <formula>IF(OR(AND(E546="",F546="",OR(G546="Critical",G546="Major",G546="Minor"))),1,0)</formula>
    </cfRule>
  </conditionalFormatting>
  <conditionalFormatting sqref="F546">
    <cfRule type="expression" dxfId="193" priority="215">
      <formula>IF(AND(F546="",OR(E546="Accuracy",E546="Fluency",E546="Segment",E546="Other")),1,0)</formula>
    </cfRule>
  </conditionalFormatting>
  <conditionalFormatting sqref="G547">
    <cfRule type="expression" dxfId="192" priority="213">
      <formula>IF(OR(AND(G547="",H547="",OR(I547="Critical",I547="Major",I547="Minor"))),1,0)</formula>
    </cfRule>
  </conditionalFormatting>
  <conditionalFormatting sqref="G547">
    <cfRule type="expression" dxfId="191" priority="214">
      <formula>IF(AND(OR(G547="",#REF!="Segment"),OR(#REF!="Accuracy",#REF!="Fluency",#REF!="Other")),1,0)</formula>
    </cfRule>
  </conditionalFormatting>
  <conditionalFormatting sqref="E547:F547">
    <cfRule type="expression" dxfId="190" priority="212">
      <formula>IF(OR(AND(E547="",F547="",OR(G547="Critical",G547="Major",G547="Minor"))),1,0)</formula>
    </cfRule>
  </conditionalFormatting>
  <conditionalFormatting sqref="F547">
    <cfRule type="expression" dxfId="189" priority="211">
      <formula>IF(AND(F547="",OR(E547="Accuracy",E547="Fluency",E547="Segment",E547="Other")),1,0)</formula>
    </cfRule>
  </conditionalFormatting>
  <conditionalFormatting sqref="E564:G564 E558:G558 E554:G554 E548:G548">
    <cfRule type="expression" dxfId="188" priority="209">
      <formula>IF(OR(AND(E548="",F548="",OR(G548="Critical",G548="Major",G548="Minor"))),1,0)</formula>
    </cfRule>
  </conditionalFormatting>
  <conditionalFormatting sqref="F564 F558 F554 F548">
    <cfRule type="expression" dxfId="187" priority="208">
      <formula>IF(AND(F548="",OR(E548="Accuracy",E548="Fluency",E548="Segment",E548="Other")),1,0)</formula>
    </cfRule>
  </conditionalFormatting>
  <conditionalFormatting sqref="G564 G558 G554 G548">
    <cfRule type="expression" dxfId="186" priority="210">
      <formula>IF(AND(OR(G548="",#REF!="Segment"),OR(#REF!="Accuracy",#REF!="Fluency",#REF!="Other")),1,0)</formula>
    </cfRule>
  </conditionalFormatting>
  <conditionalFormatting sqref="G549">
    <cfRule type="expression" dxfId="185" priority="206">
      <formula>IF(OR(AND(G549="",H549="",OR(I549="Critical",I549="Major",I549="Minor"))),1,0)</formula>
    </cfRule>
  </conditionalFormatting>
  <conditionalFormatting sqref="G549">
    <cfRule type="expression" dxfId="184" priority="207">
      <formula>IF(AND(OR(G549="",#REF!="Segment"),OR(#REF!="Accuracy",#REF!="Fluency",#REF!="Other")),1,0)</formula>
    </cfRule>
  </conditionalFormatting>
  <conditionalFormatting sqref="E552:G553">
    <cfRule type="expression" dxfId="183" priority="203">
      <formula>IF(OR(AND(E552="",F552="",OR(G552="Critical",G552="Major",G552="Minor"))),1,0)</formula>
    </cfRule>
  </conditionalFormatting>
  <conditionalFormatting sqref="F552:F553">
    <cfRule type="expression" dxfId="182" priority="202">
      <formula>IF(AND(F552="",OR(E552="Accuracy",E552="Fluency",E552="Segment",E552="Other")),1,0)</formula>
    </cfRule>
  </conditionalFormatting>
  <conditionalFormatting sqref="G552:G553">
    <cfRule type="expression" dxfId="181" priority="204">
      <formula>IF(AND(OR(G552="",#REF!="Segment"),OR(#REF!="Accuracy",#REF!="Fluency",#REF!="Other")),1,0)</formula>
    </cfRule>
  </conditionalFormatting>
  <conditionalFormatting sqref="G550">
    <cfRule type="expression" dxfId="180" priority="200">
      <formula>IF(OR(AND(G550="",H550="",OR(I550="Critical",I550="Major",I550="Minor"))),1,0)</formula>
    </cfRule>
  </conditionalFormatting>
  <conditionalFormatting sqref="G550">
    <cfRule type="expression" dxfId="179" priority="201">
      <formula>IF(AND(OR(G550="",#REF!="Segment"),OR(#REF!="Accuracy",#REF!="Fluency",#REF!="Other")),1,0)</formula>
    </cfRule>
  </conditionalFormatting>
  <conditionalFormatting sqref="G551">
    <cfRule type="expression" dxfId="178" priority="197">
      <formula>IF(OR(AND(G551="",H551="",OR(I551="Critical",I551="Major",I551="Minor"))),1,0)</formula>
    </cfRule>
  </conditionalFormatting>
  <conditionalFormatting sqref="G551">
    <cfRule type="expression" dxfId="177" priority="198">
      <formula>IF(AND(OR(G551="",#REF!="Segment"),OR(#REF!="Accuracy",#REF!="Fluency",#REF!="Other")),1,0)</formula>
    </cfRule>
  </conditionalFormatting>
  <conditionalFormatting sqref="E555:G555">
    <cfRule type="expression" dxfId="176" priority="194">
      <formula>IF(OR(AND(E555="",F555="",OR(G555="Critical",G555="Major",G555="Minor"))),1,0)</formula>
    </cfRule>
  </conditionalFormatting>
  <conditionalFormatting sqref="F555">
    <cfRule type="expression" dxfId="175" priority="193">
      <formula>IF(AND(F555="",OR(E555="Accuracy",E555="Fluency",E555="Segment",E555="Other")),1,0)</formula>
    </cfRule>
  </conditionalFormatting>
  <conditionalFormatting sqref="G555">
    <cfRule type="expression" dxfId="174" priority="195">
      <formula>IF(AND(OR(G555="",#REF!="Segment"),OR(#REF!="Accuracy",#REF!="Fluency",#REF!="Other")),1,0)</formula>
    </cfRule>
  </conditionalFormatting>
  <conditionalFormatting sqref="G559">
    <cfRule type="expression" dxfId="173" priority="191">
      <formula>IF(OR(AND(G559="",H559="",OR(I559="Critical",I559="Major",I559="Minor"))),1,0)</formula>
    </cfRule>
  </conditionalFormatting>
  <conditionalFormatting sqref="G559">
    <cfRule type="expression" dxfId="172" priority="192">
      <formula>IF(AND(OR(G559="",#REF!="Segment"),OR(#REF!="Accuracy",#REF!="Fluency",#REF!="Other")),1,0)</formula>
    </cfRule>
  </conditionalFormatting>
  <conditionalFormatting sqref="E556:G556">
    <cfRule type="expression" dxfId="171" priority="188">
      <formula>IF(OR(AND(E556="",F556="",OR(G556="Critical",G556="Major",G556="Minor"))),1,0)</formula>
    </cfRule>
  </conditionalFormatting>
  <conditionalFormatting sqref="F556">
    <cfRule type="expression" dxfId="170" priority="187">
      <formula>IF(AND(F556="",OR(E556="Accuracy",E556="Fluency",E556="Segment",E556="Other")),1,0)</formula>
    </cfRule>
  </conditionalFormatting>
  <conditionalFormatting sqref="G556">
    <cfRule type="expression" dxfId="169" priority="189">
      <formula>IF(AND(OR(G556="",#REF!="Segment"),OR(#REF!="Accuracy",#REF!="Fluency",#REF!="Other")),1,0)</formula>
    </cfRule>
  </conditionalFormatting>
  <conditionalFormatting sqref="E560">
    <cfRule type="expression" dxfId="168" priority="183">
      <formula>IF(OR(AND(E560="",F560="",OR(G560="Critical",G560="Major",G560="Minor"))),1,0)</formula>
    </cfRule>
  </conditionalFormatting>
  <conditionalFormatting sqref="F560">
    <cfRule type="expression" dxfId="167" priority="182">
      <formula>IF(AND(F560="",OR(E560="Accuracy",E560="Fluency",E560="Segment",E560="Other")),1,0)</formula>
    </cfRule>
  </conditionalFormatting>
  <conditionalFormatting sqref="G560">
    <cfRule type="expression" dxfId="166" priority="184">
      <formula>IF(AND(OR(G560="",#REF!="Segment"),OR(#REF!="Accuracy",#REF!="Fluency",#REF!="Other")),1,0)</formula>
    </cfRule>
  </conditionalFormatting>
  <conditionalFormatting sqref="G560">
    <cfRule type="expression" dxfId="165" priority="185">
      <formula>IF(OR(AND(G560="",H559="",OR(I560="Critical",I560="Major",I560="Minor"))),1,0)</formula>
    </cfRule>
  </conditionalFormatting>
  <conditionalFormatting sqref="F560">
    <cfRule type="expression" dxfId="164" priority="186">
      <formula>IF(OR(AND(F560="",G560="",OR(H559="Critical",H559="Major",H559="Minor"))),1,0)</formula>
    </cfRule>
  </conditionalFormatting>
  <conditionalFormatting sqref="E557:G557">
    <cfRule type="expression" dxfId="163" priority="180">
      <formula>IF(OR(AND(E557="",F557="",OR(G557="Critical",G557="Major",G557="Minor"))),1,0)</formula>
    </cfRule>
  </conditionalFormatting>
  <conditionalFormatting sqref="F557">
    <cfRule type="expression" dxfId="162" priority="179">
      <formula>IF(AND(F557="",OR(E557="Accuracy",E557="Fluency",E557="Segment",E557="Other")),1,0)</formula>
    </cfRule>
  </conditionalFormatting>
  <conditionalFormatting sqref="G557">
    <cfRule type="expression" dxfId="161" priority="181">
      <formula>IF(AND(OR(G557="",#REF!="Segment"),OR(#REF!="Accuracy",#REF!="Fluency",#REF!="Other")),1,0)</formula>
    </cfRule>
  </conditionalFormatting>
  <conditionalFormatting sqref="H561">
    <cfRule type="expression" dxfId="160" priority="178">
      <formula>IF(OR(AND(H561="",F561="",OR(G561="Critical",G561="Major",G561="Minor"))),1,0)</formula>
    </cfRule>
  </conditionalFormatting>
  <conditionalFormatting sqref="G561">
    <cfRule type="expression" dxfId="159" priority="176">
      <formula>IF(OR(AND(G561="",H561="",OR(I561="Critical",I561="Major",I561="Minor"))),1,0)</formula>
    </cfRule>
  </conditionalFormatting>
  <conditionalFormatting sqref="G561">
    <cfRule type="expression" dxfId="158" priority="177">
      <formula>IF(AND(OR(G561="",#REF!="Segment"),OR(#REF!="Accuracy",#REF!="Fluency",#REF!="Other")),1,0)</formula>
    </cfRule>
  </conditionalFormatting>
  <conditionalFormatting sqref="E562:G562">
    <cfRule type="expression" dxfId="157" priority="173">
      <formula>IF(OR(AND(E562="",F562="",OR(G562="Critical",G562="Major",G562="Minor"))),1,0)</formula>
    </cfRule>
  </conditionalFormatting>
  <conditionalFormatting sqref="F562">
    <cfRule type="expression" dxfId="156" priority="172">
      <formula>IF(AND(F562="",OR(E562="Accuracy",E562="Fluency",E562="Segment",E562="Other")),1,0)</formula>
    </cfRule>
  </conditionalFormatting>
  <conditionalFormatting sqref="G562">
    <cfRule type="expression" dxfId="155" priority="174">
      <formula>IF(AND(OR(G562="",#REF!="Segment"),OR(#REF!="Accuracy",#REF!="Fluency",#REF!="Other")),1,0)</formula>
    </cfRule>
  </conditionalFormatting>
  <conditionalFormatting sqref="E563:G563">
    <cfRule type="expression" dxfId="154" priority="170">
      <formula>IF(OR(AND(E563="",F563="",OR(G563="Critical",G563="Major",G563="Minor"))),1,0)</formula>
    </cfRule>
  </conditionalFormatting>
  <conditionalFormatting sqref="F563">
    <cfRule type="expression" dxfId="153" priority="169">
      <formula>IF(AND(F563="",OR(E563="Accuracy",E563="Fluency",E563="Segment",E563="Other")),1,0)</formula>
    </cfRule>
  </conditionalFormatting>
  <conditionalFormatting sqref="G563">
    <cfRule type="expression" dxfId="152" priority="171">
      <formula>IF(AND(OR(G563="",#REF!="Segment"),OR(#REF!="Accuracy",#REF!="Fluency",#REF!="Other")),1,0)</formula>
    </cfRule>
  </conditionalFormatting>
  <conditionalFormatting sqref="G565:G566">
    <cfRule type="expression" dxfId="151" priority="167">
      <formula>IF(OR(AND(G565="",H565="",OR(I565="Critical",I565="Major",I565="Minor"))),1,0)</formula>
    </cfRule>
  </conditionalFormatting>
  <conditionalFormatting sqref="G565:G566">
    <cfRule type="expression" dxfId="150" priority="168">
      <formula>IF(AND(OR(G565="",#REF!="Segment"),OR(#REF!="Accuracy",#REF!="Fluency",#REF!="Other")),1,0)</formula>
    </cfRule>
  </conditionalFormatting>
  <conditionalFormatting sqref="E567:G567">
    <cfRule type="expression" dxfId="149" priority="164">
      <formula>IF(OR(AND(E567="",F567="",OR(G567="Critical",G567="Major",G567="Minor"))),1,0)</formula>
    </cfRule>
  </conditionalFormatting>
  <conditionalFormatting sqref="F567">
    <cfRule type="expression" dxfId="148" priority="163">
      <formula>IF(AND(F567="",OR(E567="Accuracy",E567="Fluency",E567="Segment",E567="Other")),1,0)</formula>
    </cfRule>
  </conditionalFormatting>
  <conditionalFormatting sqref="G567">
    <cfRule type="expression" dxfId="147" priority="165">
      <formula>IF(AND(OR(G567="",#REF!="Segment"),OR(#REF!="Accuracy",#REF!="Fluency",#REF!="Other")),1,0)</formula>
    </cfRule>
  </conditionalFormatting>
  <conditionalFormatting sqref="E568:G568">
    <cfRule type="expression" dxfId="146" priority="161">
      <formula>IF(OR(AND(E568="",F568="",OR(G568="Critical",G568="Major",G568="Minor"))),1,0)</formula>
    </cfRule>
  </conditionalFormatting>
  <conditionalFormatting sqref="F568">
    <cfRule type="expression" dxfId="145" priority="160">
      <formula>IF(AND(F568="",OR(E568="Accuracy",E568="Fluency",E568="Segment",E568="Other")),1,0)</formula>
    </cfRule>
  </conditionalFormatting>
  <conditionalFormatting sqref="G568">
    <cfRule type="expression" dxfId="144" priority="162">
      <formula>IF(AND(OR(G568="",#REF!="Segment"),OR(#REF!="Accuracy",#REF!="Fluency",#REF!="Other")),1,0)</formula>
    </cfRule>
  </conditionalFormatting>
  <conditionalFormatting sqref="E569:G569">
    <cfRule type="expression" dxfId="143" priority="158">
      <formula>IF(OR(AND(E569="",F569="",OR(G569="Critical",G569="Major",G569="Minor"))),1,0)</formula>
    </cfRule>
  </conditionalFormatting>
  <conditionalFormatting sqref="F569">
    <cfRule type="expression" dxfId="142" priority="157">
      <formula>IF(AND(F569="",OR(E569="Accuracy",E569="Fluency",E569="Segment",E569="Other")),1,0)</formula>
    </cfRule>
  </conditionalFormatting>
  <conditionalFormatting sqref="G569">
    <cfRule type="expression" dxfId="141" priority="159">
      <formula>IF(AND(OR(G569="",#REF!="Segment"),OR(#REF!="Accuracy",#REF!="Fluency",#REF!="Other")),1,0)</formula>
    </cfRule>
  </conditionalFormatting>
  <conditionalFormatting sqref="G570">
    <cfRule type="expression" dxfId="140" priority="155">
      <formula>IF(OR(AND(G570="",H570="",OR(I570="Critical",I570="Major",I570="Minor"))),1,0)</formula>
    </cfRule>
  </conditionalFormatting>
  <conditionalFormatting sqref="G570">
    <cfRule type="expression" dxfId="139" priority="156">
      <formula>IF(AND(OR(G570="",#REF!="Segment"),OR(#REF!="Accuracy",#REF!="Fluency",#REF!="Other")),1,0)</formula>
    </cfRule>
  </conditionalFormatting>
  <conditionalFormatting sqref="E571:G571">
    <cfRule type="expression" dxfId="138" priority="151">
      <formula>IF(OR(AND(E571="",F571="",OR(G571="Critical",G571="Major",G571="Minor"))),1,0)</formula>
    </cfRule>
  </conditionalFormatting>
  <conditionalFormatting sqref="F571">
    <cfRule type="expression" dxfId="137" priority="150">
      <formula>IF(AND(F571="",OR(E571="Accuracy",E571="Fluency",E571="Segment",E571="Other")),1,0)</formula>
    </cfRule>
  </conditionalFormatting>
  <conditionalFormatting sqref="G571">
    <cfRule type="expression" dxfId="136" priority="152">
      <formula>IF(AND(OR(G571="",#REF!="Segment"),OR(#REF!="Accuracy",#REF!="Fluency",#REF!="Other")),1,0)</formula>
    </cfRule>
  </conditionalFormatting>
  <conditionalFormatting sqref="E572:G572">
    <cfRule type="expression" dxfId="135" priority="148">
      <formula>IF(OR(AND(E572="",F572="",OR(G572="Critical",G572="Major",G572="Minor"))),1,0)</formula>
    </cfRule>
  </conditionalFormatting>
  <conditionalFormatting sqref="F572">
    <cfRule type="expression" dxfId="134" priority="147">
      <formula>IF(AND(F572="",OR(E572="Accuracy",E572="Fluency",E572="Segment",E572="Other")),1,0)</formula>
    </cfRule>
  </conditionalFormatting>
  <conditionalFormatting sqref="G572">
    <cfRule type="expression" dxfId="133" priority="149">
      <formula>IF(AND(OR(G572="",#REF!="Segment"),OR(#REF!="Accuracy",#REF!="Fluency",#REF!="Other")),1,0)</formula>
    </cfRule>
  </conditionalFormatting>
  <conditionalFormatting sqref="E574">
    <cfRule type="expression" dxfId="132" priority="146">
      <formula>IF(OR(AND(E574="",F574="",OR(G574="Critical",G574="Major",G574="Minor"))),1,0)</formula>
    </cfRule>
  </conditionalFormatting>
  <conditionalFormatting sqref="G573">
    <cfRule type="expression" dxfId="131" priority="144">
      <formula>IF(OR(AND(G573="",H573="",OR(I573="Critical",I573="Major",I573="Minor"))),1,0)</formula>
    </cfRule>
  </conditionalFormatting>
  <conditionalFormatting sqref="G573">
    <cfRule type="expression" dxfId="130" priority="145">
      <formula>IF(AND(OR(G573="",#REF!="Segment"),OR(#REF!="Accuracy",#REF!="Fluency",#REF!="Other")),1,0)</formula>
    </cfRule>
  </conditionalFormatting>
  <conditionalFormatting sqref="G574">
    <cfRule type="expression" dxfId="129" priority="140">
      <formula>IF(OR(AND(G574="",H574="",OR(I574="Critical",I574="Major",I574="Minor"))),1,0)</formula>
    </cfRule>
  </conditionalFormatting>
  <conditionalFormatting sqref="G574">
    <cfRule type="expression" dxfId="128" priority="141">
      <formula>IF(AND(OR(G574="",#REF!="Segment"),OR(#REF!="Accuracy",#REF!="Fluency",#REF!="Other")),1,0)</formula>
    </cfRule>
  </conditionalFormatting>
  <conditionalFormatting sqref="F574">
    <cfRule type="expression" dxfId="127" priority="139">
      <formula>IF(OR(AND(F574="",G574="",OR(H574="Critical",H574="Major",H574="Minor"))),1,0)</formula>
    </cfRule>
  </conditionalFormatting>
  <conditionalFormatting sqref="F574">
    <cfRule type="expression" dxfId="126" priority="138">
      <formula>IF(AND(F574="",OR(E574="Accuracy",E574="Fluency",E574="Segment",E574="Other")),1,0)</formula>
    </cfRule>
  </conditionalFormatting>
  <conditionalFormatting sqref="G575">
    <cfRule type="expression" dxfId="125" priority="136">
      <formula>IF(OR(AND(G575="",H575="",OR(I575="Critical",I575="Major",I575="Minor"))),1,0)</formula>
    </cfRule>
  </conditionalFormatting>
  <conditionalFormatting sqref="G575">
    <cfRule type="expression" dxfId="124" priority="137">
      <formula>IF(AND(OR(G575="",#REF!="Segment"),OR(#REF!="Accuracy",#REF!="Fluency",#REF!="Other")),1,0)</formula>
    </cfRule>
  </conditionalFormatting>
  <conditionalFormatting sqref="G576">
    <cfRule type="expression" dxfId="123" priority="133">
      <formula>IF(OR(AND(G576="",H576="",OR(I576="Critical",I576="Major",I576="Minor"))),1,0)</formula>
    </cfRule>
  </conditionalFormatting>
  <conditionalFormatting sqref="G576">
    <cfRule type="expression" dxfId="122" priority="134">
      <formula>IF(AND(OR(G576="",#REF!="Segment"),OR(#REF!="Accuracy",#REF!="Fluency",#REF!="Other")),1,0)</formula>
    </cfRule>
  </conditionalFormatting>
  <conditionalFormatting sqref="E577:G578">
    <cfRule type="expression" dxfId="121" priority="130">
      <formula>IF(OR(AND(E577="",F577="",OR(G577="Critical",G577="Major",G577="Minor"))),1,0)</formula>
    </cfRule>
  </conditionalFormatting>
  <conditionalFormatting sqref="F577:F578">
    <cfRule type="expression" dxfId="120" priority="129">
      <formula>IF(AND(F577="",OR(E577="Accuracy",E577="Fluency",E577="Segment",E577="Other")),1,0)</formula>
    </cfRule>
  </conditionalFormatting>
  <conditionalFormatting sqref="G577:G578">
    <cfRule type="expression" dxfId="119" priority="131">
      <formula>IF(AND(OR(G577="",#REF!="Segment"),OR(#REF!="Accuracy",#REF!="Fluency",#REF!="Other")),1,0)</formula>
    </cfRule>
  </conditionalFormatting>
  <conditionalFormatting sqref="G579">
    <cfRule type="expression" dxfId="118" priority="127">
      <formula>IF(OR(AND(G579="",H579="",OR(I579="Critical",I579="Major",I579="Minor"))),1,0)</formula>
    </cfRule>
  </conditionalFormatting>
  <conditionalFormatting sqref="G579">
    <cfRule type="expression" dxfId="117" priority="128">
      <formula>IF(AND(OR(G579="",#REF!="Segment"),OR(#REF!="Accuracy",#REF!="Fluency",#REF!="Other")),1,0)</formula>
    </cfRule>
  </conditionalFormatting>
  <conditionalFormatting sqref="G580">
    <cfRule type="expression" dxfId="116" priority="124">
      <formula>IF(OR(AND(G580="",H580="",OR(I580="Critical",I580="Major",I580="Minor"))),1,0)</formula>
    </cfRule>
  </conditionalFormatting>
  <conditionalFormatting sqref="G580">
    <cfRule type="expression" dxfId="115" priority="125">
      <formula>IF(AND(OR(G580="",#REF!="Segment"),OR(#REF!="Accuracy",#REF!="Fluency",#REF!="Other")),1,0)</formula>
    </cfRule>
  </conditionalFormatting>
  <conditionalFormatting sqref="E581:G581">
    <cfRule type="expression" dxfId="114" priority="121">
      <formula>IF(OR(AND(E581="",F581="",OR(G581="Critical",G581="Major",G581="Minor"))),1,0)</formula>
    </cfRule>
  </conditionalFormatting>
  <conditionalFormatting sqref="F581">
    <cfRule type="expression" dxfId="113" priority="120">
      <formula>IF(AND(F581="",OR(E581="Accuracy",E581="Fluency",E581="Segment",E581="Other")),1,0)</formula>
    </cfRule>
  </conditionalFormatting>
  <conditionalFormatting sqref="G581">
    <cfRule type="expression" dxfId="112" priority="122">
      <formula>IF(AND(OR(G581="",#REF!="Segment"),OR(#REF!="Accuracy",#REF!="Fluency",#REF!="Other")),1,0)</formula>
    </cfRule>
  </conditionalFormatting>
  <conditionalFormatting sqref="E582:G582">
    <cfRule type="expression" dxfId="111" priority="118">
      <formula>IF(OR(AND(E582="",F582="",OR(G582="Critical",G582="Major",G582="Minor"))),1,0)</formula>
    </cfRule>
  </conditionalFormatting>
  <conditionalFormatting sqref="F582">
    <cfRule type="expression" dxfId="110" priority="117">
      <formula>IF(AND(F582="",OR(E582="Accuracy",E582="Fluency",E582="Segment",E582="Other")),1,0)</formula>
    </cfRule>
  </conditionalFormatting>
  <conditionalFormatting sqref="G582">
    <cfRule type="expression" dxfId="109" priority="119">
      <formula>IF(AND(OR(G582="",#REF!="Segment"),OR(#REF!="Accuracy",#REF!="Fluency",#REF!="Other")),1,0)</formula>
    </cfRule>
  </conditionalFormatting>
  <conditionalFormatting sqref="G583">
    <cfRule type="expression" dxfId="108" priority="113">
      <formula>IF(OR(AND(G583="",H583="",OR(I583="Critical",I583="Major",I583="Minor"))),1,0)</formula>
    </cfRule>
  </conditionalFormatting>
  <conditionalFormatting sqref="G583">
    <cfRule type="expression" dxfId="107" priority="114">
      <formula>IF(AND(OR(G583="",#REF!="Segment"),OR(#REF!="Accuracy",#REF!="Fluency",#REF!="Other")),1,0)</formula>
    </cfRule>
  </conditionalFormatting>
  <conditionalFormatting sqref="G584">
    <cfRule type="expression" dxfId="106" priority="109">
      <formula>IF(OR(AND(G584="",H584="",OR(I584="Critical",I584="Major",I584="Minor"))),1,0)</formula>
    </cfRule>
  </conditionalFormatting>
  <conditionalFormatting sqref="G584">
    <cfRule type="expression" dxfId="105" priority="110">
      <formula>IF(AND(OR(G584="",#REF!="Segment"),OR(#REF!="Accuracy",#REF!="Fluency",#REF!="Other")),1,0)</formula>
    </cfRule>
  </conditionalFormatting>
  <conditionalFormatting sqref="E585:G585">
    <cfRule type="expression" dxfId="104" priority="107">
      <formula>IF(OR(AND(E585="",F585="",OR(G585="Critical",G585="Major",G585="Minor"))),1,0)</formula>
    </cfRule>
  </conditionalFormatting>
  <conditionalFormatting sqref="F585">
    <cfRule type="expression" dxfId="103" priority="106">
      <formula>IF(AND(F585="",OR(E585="Accuracy",E585="Fluency",E585="Segment",E585="Other")),1,0)</formula>
    </cfRule>
  </conditionalFormatting>
  <conditionalFormatting sqref="G585">
    <cfRule type="expression" dxfId="102" priority="108">
      <formula>IF(AND(OR(G585="",#REF!="Segment"),OR(#REF!="Accuracy",#REF!="Fluency",#REF!="Other")),1,0)</formula>
    </cfRule>
  </conditionalFormatting>
  <conditionalFormatting sqref="E586:G586">
    <cfRule type="expression" dxfId="101" priority="104">
      <formula>IF(OR(AND(E586="",F586="",OR(G586="Critical",G586="Major",G586="Minor"))),1,0)</formula>
    </cfRule>
  </conditionalFormatting>
  <conditionalFormatting sqref="F586">
    <cfRule type="expression" dxfId="100" priority="103">
      <formula>IF(AND(F586="",OR(E586="Accuracy",E586="Fluency",E586="Segment",E586="Other")),1,0)</formula>
    </cfRule>
  </conditionalFormatting>
  <conditionalFormatting sqref="G586">
    <cfRule type="expression" dxfId="99" priority="105">
      <formula>IF(AND(OR(G586="",#REF!="Segment"),OR(#REF!="Accuracy",#REF!="Fluency",#REF!="Other")),1,0)</formula>
    </cfRule>
  </conditionalFormatting>
  <conditionalFormatting sqref="G588">
    <cfRule type="expression" dxfId="98" priority="100">
      <formula>IF(AND(OR(G588="",#REF!="Segment"),OR(#REF!="Accuracy",#REF!="Fluency",#REF!="Other")),1,0)</formula>
    </cfRule>
  </conditionalFormatting>
  <conditionalFormatting sqref="G588">
    <cfRule type="expression" dxfId="97" priority="102">
      <formula>IF(OR(AND(G588="",H587="",OR(I587="Critical",I587="Major",I587="Minor"))),1,0)</formula>
    </cfRule>
  </conditionalFormatting>
  <conditionalFormatting sqref="E587:G587">
    <cfRule type="expression" dxfId="96" priority="97">
      <formula>IF(OR(AND(E587="",F587="",OR(G587="Critical",G587="Major",G587="Minor"))),1,0)</formula>
    </cfRule>
  </conditionalFormatting>
  <conditionalFormatting sqref="F587">
    <cfRule type="expression" dxfId="95" priority="96">
      <formula>IF(AND(F587="",OR(E587="Accuracy",E587="Fluency",E587="Segment",E587="Other")),1,0)</formula>
    </cfRule>
  </conditionalFormatting>
  <conditionalFormatting sqref="G587">
    <cfRule type="expression" dxfId="94" priority="98">
      <formula>IF(AND(OR(G587="",#REF!="Segment"),OR(#REF!="Accuracy",#REF!="Fluency",#REF!="Other")),1,0)</formula>
    </cfRule>
  </conditionalFormatting>
  <conditionalFormatting sqref="E589:G589">
    <cfRule type="expression" dxfId="93" priority="94">
      <formula>IF(OR(AND(E589="",F589="",OR(G589="Critical",G589="Major",G589="Minor"))),1,0)</formula>
    </cfRule>
  </conditionalFormatting>
  <conditionalFormatting sqref="F589">
    <cfRule type="expression" dxfId="92" priority="93">
      <formula>IF(AND(F589="",OR(E589="Accuracy",E589="Fluency",E589="Segment",E589="Other")),1,0)</formula>
    </cfRule>
  </conditionalFormatting>
  <conditionalFormatting sqref="G589">
    <cfRule type="expression" dxfId="91" priority="95">
      <formula>IF(AND(OR(G589="",#REF!="Segment"),OR(#REF!="Accuracy",#REF!="Fluency",#REF!="Other")),1,0)</formula>
    </cfRule>
  </conditionalFormatting>
  <conditionalFormatting sqref="E590:G590">
    <cfRule type="expression" dxfId="90" priority="91">
      <formula>IF(OR(AND(E590="",F590="",OR(G590="Critical",G590="Major",G590="Minor"))),1,0)</formula>
    </cfRule>
  </conditionalFormatting>
  <conditionalFormatting sqref="F590">
    <cfRule type="expression" dxfId="89" priority="90">
      <formula>IF(AND(F590="",OR(E590="Accuracy",E590="Fluency",E590="Segment",E590="Other")),1,0)</formula>
    </cfRule>
  </conditionalFormatting>
  <conditionalFormatting sqref="G590">
    <cfRule type="expression" dxfId="88" priority="92">
      <formula>IF(AND(OR(G590="",#REF!="Segment"),OR(#REF!="Accuracy",#REF!="Fluency",#REF!="Other")),1,0)</formula>
    </cfRule>
  </conditionalFormatting>
  <conditionalFormatting sqref="E591:G591">
    <cfRule type="expression" dxfId="87" priority="88">
      <formula>IF(OR(AND(E591="",F591="",OR(G591="Critical",G591="Major",G591="Minor"))),1,0)</formula>
    </cfRule>
  </conditionalFormatting>
  <conditionalFormatting sqref="F591">
    <cfRule type="expression" dxfId="86" priority="87">
      <formula>IF(AND(F591="",OR(E591="Accuracy",E591="Fluency",E591="Segment",E591="Other")),1,0)</formula>
    </cfRule>
  </conditionalFormatting>
  <conditionalFormatting sqref="G591">
    <cfRule type="expression" dxfId="85" priority="89">
      <formula>IF(AND(OR(G591="",#REF!="Segment"),OR(#REF!="Accuracy",#REF!="Fluency",#REF!="Other")),1,0)</formula>
    </cfRule>
  </conditionalFormatting>
  <conditionalFormatting sqref="G592">
    <cfRule type="expression" dxfId="84" priority="85">
      <formula>IF(OR(AND(G592="",H592="",OR(I592="Critical",I592="Major",I592="Minor"))),1,0)</formula>
    </cfRule>
  </conditionalFormatting>
  <conditionalFormatting sqref="G592">
    <cfRule type="expression" dxfId="83" priority="86">
      <formula>IF(AND(OR(G592="",#REF!="Segment"),OR(#REF!="Accuracy",#REF!="Fluency",#REF!="Other")),1,0)</formula>
    </cfRule>
  </conditionalFormatting>
  <conditionalFormatting sqref="E593:G593">
    <cfRule type="expression" dxfId="82" priority="82">
      <formula>IF(OR(AND(E593="",F593="",OR(G593="Critical",G593="Major",G593="Minor"))),1,0)</formula>
    </cfRule>
  </conditionalFormatting>
  <conditionalFormatting sqref="F593">
    <cfRule type="expression" dxfId="81" priority="81">
      <formula>IF(AND(F593="",OR(E593="Accuracy",E593="Fluency",E593="Segment",E593="Other")),1,0)</formula>
    </cfRule>
  </conditionalFormatting>
  <conditionalFormatting sqref="G593">
    <cfRule type="expression" dxfId="80" priority="83">
      <formula>IF(AND(OR(G593="",#REF!="Segment"),OR(#REF!="Accuracy",#REF!="Fluency",#REF!="Other")),1,0)</formula>
    </cfRule>
  </conditionalFormatting>
  <conditionalFormatting sqref="E594:G594">
    <cfRule type="expression" dxfId="79" priority="79">
      <formula>IF(OR(AND(E594="",F594="",OR(G594="Critical",G594="Major",G594="Minor"))),1,0)</formula>
    </cfRule>
  </conditionalFormatting>
  <conditionalFormatting sqref="F594">
    <cfRule type="expression" dxfId="78" priority="78">
      <formula>IF(AND(F594="",OR(E594="Accuracy",E594="Fluency",E594="Segment",E594="Other")),1,0)</formula>
    </cfRule>
  </conditionalFormatting>
  <conditionalFormatting sqref="G594">
    <cfRule type="expression" dxfId="77" priority="80">
      <formula>IF(AND(OR(G594="",#REF!="Segment"),OR(#REF!="Accuracy",#REF!="Fluency",#REF!="Other")),1,0)</formula>
    </cfRule>
  </conditionalFormatting>
  <conditionalFormatting sqref="E595:E596">
    <cfRule type="expression" dxfId="76" priority="77">
      <formula>IF(OR(AND(E595="",F595="",OR(G595="Critical",G595="Major",G595="Minor"))),1,0)</formula>
    </cfRule>
  </conditionalFormatting>
  <conditionalFormatting sqref="F595:F596">
    <cfRule type="expression" dxfId="75" priority="75">
      <formula>IF(OR(AND(F595="",G595="",OR(H593="Critical",H593="Major",H593="Minor"))),1,0)</formula>
    </cfRule>
  </conditionalFormatting>
  <conditionalFormatting sqref="G595:G596">
    <cfRule type="expression" dxfId="74" priority="76">
      <formula>IF(OR(AND(G595="",H593="",OR(I593="Critical",I593="Major",I593="Minor"))),1,0)</formula>
    </cfRule>
  </conditionalFormatting>
  <conditionalFormatting sqref="F595:F596">
    <cfRule type="expression" dxfId="73" priority="73">
      <formula>IF(AND(F595="",OR(E595="Accuracy",E595="Fluency",E595="Segment",E595="Other")),1,0)</formula>
    </cfRule>
  </conditionalFormatting>
  <conditionalFormatting sqref="G595:G596">
    <cfRule type="expression" dxfId="72" priority="74">
      <formula>IF(AND(OR(G595="",#REF!="Segment"),OR(#REF!="Accuracy",#REF!="Fluency",#REF!="Other")),1,0)</formula>
    </cfRule>
  </conditionalFormatting>
  <conditionalFormatting sqref="E613:G616 E607:G609 E597:G602">
    <cfRule type="expression" dxfId="71" priority="72">
      <formula>IF(OR(AND(E597="",F597="",OR(G597="Critical",G597="Major",G597="Minor"))),1,0)</formula>
    </cfRule>
  </conditionalFormatting>
  <conditionalFormatting sqref="F613:F616 F607:F609 F597:F602">
    <cfRule type="expression" dxfId="70" priority="71">
      <formula>IF(AND(F597="",OR(E597="Accuracy",E597="Fluency",E597="Segment",E597="Other")),1,0)</formula>
    </cfRule>
  </conditionalFormatting>
  <conditionalFormatting sqref="H597:H602">
    <cfRule type="expression" dxfId="69" priority="69">
      <formula>IF(OR(AND(H597="",J597="",OR(#REF!="Critical",#REF!="Major",#REF!="Minor"))),1,0)</formula>
    </cfRule>
  </conditionalFormatting>
  <conditionalFormatting sqref="G597:G602">
    <cfRule type="expression" dxfId="68" priority="70">
      <formula>IF(AND(OR(G597="",#REF!="Segment"),OR(#REF!="Accuracy",#REF!="Fluency",#REF!="Other")),1,0)</formula>
    </cfRule>
  </conditionalFormatting>
  <conditionalFormatting sqref="E603:G604">
    <cfRule type="expression" dxfId="67" priority="67">
      <formula>IF(OR(AND(E603="",F603="",OR(G603="Critical",G603="Major",G603="Minor"))),1,0)</formula>
    </cfRule>
  </conditionalFormatting>
  <conditionalFormatting sqref="F603:F604">
    <cfRule type="expression" dxfId="66" priority="66">
      <formula>IF(AND(F603="",OR(E603="Accuracy",E603="Fluency",E603="Segment",E603="Other")),1,0)</formula>
    </cfRule>
  </conditionalFormatting>
  <conditionalFormatting sqref="G603:G604">
    <cfRule type="expression" dxfId="65" priority="68">
      <formula>IF(AND(OR(G603="",#REF!="Segment"),OR(#REF!="Accuracy",#REF!="Fluency",#REF!="Other")),1,0)</formula>
    </cfRule>
  </conditionalFormatting>
  <conditionalFormatting sqref="E605:G605">
    <cfRule type="expression" dxfId="64" priority="64">
      <formula>IF(OR(AND(E605="",F605="",OR(G605="Critical",G605="Major",G605="Minor"))),1,0)</formula>
    </cfRule>
  </conditionalFormatting>
  <conditionalFormatting sqref="F605">
    <cfRule type="expression" dxfId="63" priority="63">
      <formula>IF(AND(F605="",OR(E605="Accuracy",E605="Fluency",E605="Segment",E605="Other")),1,0)</formula>
    </cfRule>
  </conditionalFormatting>
  <conditionalFormatting sqref="G605">
    <cfRule type="expression" dxfId="62" priority="65">
      <formula>IF(AND(OR(G605="",#REF!="Segment"),OR(#REF!="Accuracy",#REF!="Fluency",#REF!="Other")),1,0)</formula>
    </cfRule>
  </conditionalFormatting>
  <conditionalFormatting sqref="E606:F606">
    <cfRule type="expression" dxfId="61" priority="59">
      <formula>IF(OR(AND(E606="",F606="",OR(G606="Critical",G606="Major",G606="Minor"))),1,0)</formula>
    </cfRule>
  </conditionalFormatting>
  <conditionalFormatting sqref="H606">
    <cfRule type="expression" dxfId="60" priority="62">
      <formula>IF(OR(AND(H606="",J606="",OR(#REF!="Critical",#REF!="Major",#REF!="Minor"))),1,0)</formula>
    </cfRule>
  </conditionalFormatting>
  <conditionalFormatting sqref="G606">
    <cfRule type="expression" dxfId="59" priority="60">
      <formula>IF(OR(AND(G606="",H606="",OR(I606="Critical",I606="Major",I606="Minor"))),1,0)</formula>
    </cfRule>
  </conditionalFormatting>
  <conditionalFormatting sqref="G606">
    <cfRule type="expression" dxfId="58" priority="61">
      <formula>IF(AND(OR(G606="",#REF!="Segment"),OR(#REF!="Accuracy",#REF!="Fluency",#REF!="Other")),1,0)</formula>
    </cfRule>
  </conditionalFormatting>
  <conditionalFormatting sqref="F606">
    <cfRule type="expression" dxfId="57" priority="58">
      <formula>IF(AND(F606="",OR(E606="Accuracy",E606="Fluency",E606="Segment",E606="Other")),1,0)</formula>
    </cfRule>
  </conditionalFormatting>
  <conditionalFormatting sqref="G607:G609">
    <cfRule type="expression" dxfId="56" priority="57">
      <formula>IF(AND(OR(G607="",#REF!="Segment"),OR(#REF!="Accuracy",#REF!="Fluency",#REF!="Other")),1,0)</formula>
    </cfRule>
  </conditionalFormatting>
  <conditionalFormatting sqref="G610:G611">
    <cfRule type="expression" dxfId="55" priority="54">
      <formula>IF(AND(OR(G610="",#REF!="Segment"),OR(#REF!="Accuracy",#REF!="Fluency",#REF!="Other")),1,0)</formula>
    </cfRule>
  </conditionalFormatting>
  <conditionalFormatting sqref="G610:G611">
    <cfRule type="expression" dxfId="54" priority="53">
      <formula>IF(AND(OR(G610="",#REF!="Segment"),OR(#REF!="Accuracy",#REF!="Fluency",#REF!="Other")),1,0)</formula>
    </cfRule>
  </conditionalFormatting>
  <conditionalFormatting sqref="E610:G611">
    <cfRule type="expression" dxfId="53" priority="56">
      <formula>IF(OR(AND(E610="",F610="",OR(G610="Critical",G610="Major",G610="Minor"))),1,0)</formula>
    </cfRule>
  </conditionalFormatting>
  <conditionalFormatting sqref="F610:F611">
    <cfRule type="expression" dxfId="52" priority="55">
      <formula>IF(AND(F610="",OR(E610="Accuracy",E610="Fluency",E610="Segment",E610="Other")),1,0)</formula>
    </cfRule>
  </conditionalFormatting>
  <conditionalFormatting sqref="E612:F612">
    <cfRule type="expression" dxfId="51" priority="52">
      <formula>IF(OR(AND(E612="",F612="",OR(G612="Critical",G612="Major",G612="Minor"))),1,0)</formula>
    </cfRule>
  </conditionalFormatting>
  <conditionalFormatting sqref="F612">
    <cfRule type="expression" dxfId="50" priority="51">
      <formula>IF(AND(F612="",OR(E612="Accuracy",E612="Fluency",E612="Segment",E612="Other")),1,0)</formula>
    </cfRule>
  </conditionalFormatting>
  <conditionalFormatting sqref="G612">
    <cfRule type="expression" dxfId="49" priority="50">
      <formula>IF(OR(AND(G612="",H612="",OR(I612="Critical",I612="Major",I612="Minor"))),1,0)</formula>
    </cfRule>
  </conditionalFormatting>
  <conditionalFormatting sqref="G612">
    <cfRule type="expression" dxfId="48" priority="49">
      <formula>IF(AND(OR(G612="",#REF!="Segment"),OR(#REF!="Accuracy",#REF!="Fluency",#REF!="Other")),1,0)</formula>
    </cfRule>
  </conditionalFormatting>
  <conditionalFormatting sqref="G613:G616">
    <cfRule type="expression" dxfId="47" priority="48">
      <formula>IF(AND(OR(G613="",#REF!="Segment"),OR(#REF!="Accuracy",#REF!="Fluency",#REF!="Other")),1,0)</formula>
    </cfRule>
  </conditionalFormatting>
  <conditionalFormatting sqref="G613:G616">
    <cfRule type="expression" dxfId="46" priority="47">
      <formula>IF(AND(OR(G613="",#REF!="Segment"),OR(#REF!="Accuracy",#REF!="Fluency",#REF!="Other")),1,0)</formula>
    </cfRule>
  </conditionalFormatting>
  <conditionalFormatting sqref="G617:G618">
    <cfRule type="expression" dxfId="45" priority="44">
      <formula>IF(OR(AND(G617="",H617="",OR(I617="Critical",I617="Major",I617="Minor"))),1,0)</formula>
    </cfRule>
  </conditionalFormatting>
  <conditionalFormatting sqref="G617:G618">
    <cfRule type="expression" dxfId="44" priority="43">
      <formula>IF(AND(OR(G617="",#REF!="Segment"),OR(#REF!="Accuracy",#REF!="Fluency",#REF!="Other")),1,0)</formula>
    </cfRule>
  </conditionalFormatting>
  <conditionalFormatting sqref="E617:F618">
    <cfRule type="expression" dxfId="43" priority="46">
      <formula>IF(OR(AND(E617="",F617="",OR(G617="Critical",G617="Major",G617="Minor"))),1,0)</formula>
    </cfRule>
  </conditionalFormatting>
  <conditionalFormatting sqref="F617:F618">
    <cfRule type="expression" dxfId="42" priority="45">
      <formula>IF(AND(F617="",OR(E617="Accuracy",E617="Fluency",E617="Segment",E617="Other")),1,0)</formula>
    </cfRule>
  </conditionalFormatting>
  <conditionalFormatting sqref="F619:F620">
    <cfRule type="expression" dxfId="41" priority="41">
      <formula>IF(OR(AND(F619="",G619="",OR(H617="Critical",H617="Major",H617="Minor"))),1,0)</formula>
    </cfRule>
  </conditionalFormatting>
  <conditionalFormatting sqref="F625 F622">
    <cfRule type="expression" dxfId="40" priority="40">
      <formula>IF(OR(AND(F622="",G622="",OR(H619="Critical",H619="Major",H619="Minor"))),1,0)</formula>
    </cfRule>
  </conditionalFormatting>
  <conditionalFormatting sqref="E619">
    <cfRule type="expression" dxfId="39" priority="37">
      <formula>IF(OR(AND(E619="",F619="",OR(G619="Critical",G619="Major",G619="Minor"))),1,0)</formula>
    </cfRule>
  </conditionalFormatting>
  <conditionalFormatting sqref="F619">
    <cfRule type="expression" dxfId="38" priority="36">
      <formula>IF(AND(F619="",OR(E619="Accuracy",E619="Fluency",E619="Segment",E619="Other")),1,0)</formula>
    </cfRule>
  </conditionalFormatting>
  <conditionalFormatting sqref="G619">
    <cfRule type="expression" dxfId="37" priority="38">
      <formula>IF(OR(AND(G619="",H619="",OR(I619="Critical",I619="Major",I619="Minor"))),1,0)</formula>
    </cfRule>
  </conditionalFormatting>
  <conditionalFormatting sqref="G619">
    <cfRule type="expression" dxfId="36" priority="39">
      <formula>IF(AND(OR(G619="",#REF!="Segment"),OR(#REF!="Accuracy",#REF!="Fluency",#REF!="Other")),1,0)</formula>
    </cfRule>
  </conditionalFormatting>
  <conditionalFormatting sqref="E620">
    <cfRule type="expression" dxfId="35" priority="33">
      <formula>IF(OR(AND(E620="",F620="",OR(G620="Critical",G620="Major",G620="Minor"))),1,0)</formula>
    </cfRule>
  </conditionalFormatting>
  <conditionalFormatting sqref="F620">
    <cfRule type="expression" dxfId="34" priority="32">
      <formula>IF(AND(F620="",OR(E620="Accuracy",E620="Fluency",E620="Segment",E620="Other")),1,0)</formula>
    </cfRule>
  </conditionalFormatting>
  <conditionalFormatting sqref="G620">
    <cfRule type="expression" dxfId="33" priority="34">
      <formula>IF(OR(AND(G620="",H620="",OR(I620="Critical",I620="Major",I620="Minor"))),1,0)</formula>
    </cfRule>
  </conditionalFormatting>
  <conditionalFormatting sqref="G620">
    <cfRule type="expression" dxfId="32" priority="35">
      <formula>IF(AND(OR(G620="",#REF!="Segment"),OR(#REF!="Accuracy",#REF!="Fluency",#REF!="Other")),1,0)</formula>
    </cfRule>
  </conditionalFormatting>
  <conditionalFormatting sqref="E621:E622">
    <cfRule type="expression" dxfId="31" priority="29">
      <formula>IF(OR(AND(E621="",F621="",OR(G621="Critical",G621="Major",G621="Minor"))),1,0)</formula>
    </cfRule>
  </conditionalFormatting>
  <conditionalFormatting sqref="F621:F622">
    <cfRule type="expression" dxfId="30" priority="28">
      <formula>IF(AND(F621="",OR(E621="Accuracy",E621="Fluency",E621="Segment",E621="Other")),1,0)</formula>
    </cfRule>
  </conditionalFormatting>
  <conditionalFormatting sqref="G621:G622">
    <cfRule type="expression" dxfId="29" priority="30">
      <formula>IF(OR(AND(G621="",H621="",OR(I621="Critical",I621="Major",I621="Minor"))),1,0)</formula>
    </cfRule>
  </conditionalFormatting>
  <conditionalFormatting sqref="G621:G622">
    <cfRule type="expression" dxfId="28" priority="31">
      <formula>IF(AND(OR(G621="",#REF!="Segment"),OR(#REF!="Accuracy",#REF!="Fluency",#REF!="Other")),1,0)</formula>
    </cfRule>
  </conditionalFormatting>
  <conditionalFormatting sqref="F621">
    <cfRule type="expression" dxfId="27" priority="42">
      <formula>IF(OR(AND(F621="",G621="",OR(#REF!="Critical",#REF!="Major",#REF!="Minor"))),1,0)</formula>
    </cfRule>
  </conditionalFormatting>
  <conditionalFormatting sqref="F623">
    <cfRule type="expression" dxfId="26" priority="24">
      <formula>IF(AND(F623="",OR(E623="Accuracy",E623="Fluency",E623="Segment",E623="Other")),1,0)</formula>
    </cfRule>
  </conditionalFormatting>
  <conditionalFormatting sqref="G623">
    <cfRule type="expression" dxfId="25" priority="26">
      <formula>IF(OR(AND(G623="",H623="",OR(I623="Critical",I623="Major",I623="Minor"))),1,0)</formula>
    </cfRule>
  </conditionalFormatting>
  <conditionalFormatting sqref="G623">
    <cfRule type="expression" dxfId="24" priority="27">
      <formula>IF(AND(OR(G623="",#REF!="Segment"),OR(#REF!="Accuracy",#REF!="Fluency",#REF!="Other")),1,0)</formula>
    </cfRule>
  </conditionalFormatting>
  <conditionalFormatting sqref="E623:F623">
    <cfRule type="expression" dxfId="23" priority="25">
      <formula>IF(OR(AND(E623="",F623="",OR(G623="Critical",G623="Major",G623="Minor"))),1,0)</formula>
    </cfRule>
  </conditionalFormatting>
  <conditionalFormatting sqref="G624">
    <cfRule type="expression" dxfId="22" priority="23">
      <formula>IF(AND(OR(G624="",#REF!="Segment"),OR(#REF!="Accuracy",#REF!="Fluency",#REF!="Other")),1,0)</formula>
    </cfRule>
  </conditionalFormatting>
  <conditionalFormatting sqref="G624">
    <cfRule type="expression" dxfId="21" priority="22">
      <formula>IF(OR(AND(G624="",H624="",OR(I624="Critical",I624="Major",I624="Minor"))),1,0)</formula>
    </cfRule>
  </conditionalFormatting>
  <conditionalFormatting sqref="E624:F624">
    <cfRule type="expression" dxfId="20" priority="21">
      <formula>IF(OR(AND(E624="",F624="",OR(G624="Critical",G624="Major",G624="Minor"))),1,0)</formula>
    </cfRule>
  </conditionalFormatting>
  <conditionalFormatting sqref="F624">
    <cfRule type="expression" dxfId="19" priority="20">
      <formula>IF(AND(F624="",OR(E624="Accuracy",E624="Fluency",E624="Segment",E624="Other")),1,0)</formula>
    </cfRule>
  </conditionalFormatting>
  <conditionalFormatting sqref="F628:F630">
    <cfRule type="expression" dxfId="18" priority="19">
      <formula>IF(OR(AND(F628="",G628="",OR(H623="Critical",H623="Major",H623="Minor"))),1,0)</formula>
    </cfRule>
  </conditionalFormatting>
  <conditionalFormatting sqref="G628:G630">
    <cfRule type="expression" dxfId="17" priority="18">
      <formula>IF(OR(AND(G628="",H623="",OR(I628="Critical",I628="Major",I628="Minor"))),1,0)</formula>
    </cfRule>
  </conditionalFormatting>
  <conditionalFormatting sqref="E625">
    <cfRule type="expression" dxfId="16" priority="17">
      <formula>IF(OR(AND(E625="",F625="",OR(G625="Critical",G625="Major",G625="Minor"))),1,0)</formula>
    </cfRule>
  </conditionalFormatting>
  <conditionalFormatting sqref="F625 F628:F630">
    <cfRule type="expression" dxfId="15" priority="16">
      <formula>IF(AND(F625="",OR(E625="Accuracy",E625="Fluency",E625="Segment",E625="Other")),1,0)</formula>
    </cfRule>
  </conditionalFormatting>
  <conditionalFormatting sqref="G625">
    <cfRule type="expression" dxfId="14" priority="15">
      <formula>IF(OR(AND(G625="",H622="",OR(I625="Critical",I625="Major",I625="Minor"))),1,0)</formula>
    </cfRule>
  </conditionalFormatting>
  <conditionalFormatting sqref="G625 G628:G630">
    <cfRule type="expression" dxfId="13" priority="14">
      <formula>IF(AND(OR(G625="",#REF!="Segment"),OR(#REF!="Accuracy",#REF!="Fluency",#REF!="Other")),1,0)</formula>
    </cfRule>
  </conditionalFormatting>
  <conditionalFormatting sqref="G626:G627">
    <cfRule type="expression" dxfId="12" priority="12">
      <formula>IF(OR(AND(G626="",H626="",OR(I626="Critical",I626="Major",I626="Minor"))),1,0)</formula>
    </cfRule>
  </conditionalFormatting>
  <conditionalFormatting sqref="E626:F627 E628:E630">
    <cfRule type="expression" dxfId="11" priority="11">
      <formula>IF(OR(AND(E626="",F626="",OR(G626="Critical",G626="Major",G626="Minor"))),1,0)</formula>
    </cfRule>
  </conditionalFormatting>
  <conditionalFormatting sqref="F626:F627">
    <cfRule type="expression" dxfId="10" priority="10">
      <formula>IF(AND(F626="",OR(E626="Accuracy",E626="Fluency",E626="Segment",E626="Other")),1,0)</formula>
    </cfRule>
  </conditionalFormatting>
  <conditionalFormatting sqref="G626:G627">
    <cfRule type="expression" dxfId="9" priority="13">
      <formula>IF(AND(OR(G626="",#REF!="Segment"),OR(#REF!="Accuracy",#REF!="Fluency",#REF!="Other")),1,0)</formula>
    </cfRule>
  </conditionalFormatting>
  <conditionalFormatting sqref="E631:G631 E634:G634">
    <cfRule type="expression" dxfId="8" priority="9">
      <formula>IF(OR(AND(E631="",F631="",OR(G631="Critical",G631="Major",G631="Minor"))),1,0)</formula>
    </cfRule>
  </conditionalFormatting>
  <conditionalFormatting sqref="F631 F634">
    <cfRule type="expression" dxfId="7" priority="8">
      <formula>IF(AND(F631="",OR(E631="Accuracy",E631="Fluency",E631="Segment",E631="Other")),1,0)</formula>
    </cfRule>
  </conditionalFormatting>
  <conditionalFormatting sqref="G631 G634">
    <cfRule type="expression" dxfId="6" priority="7">
      <formula>IF(AND(OR(G631="",E631="Segment"),OR(E631="Accuracy",E631="Fluency",E631="Other")),1,0)</formula>
    </cfRule>
  </conditionalFormatting>
  <conditionalFormatting sqref="E633:G633">
    <cfRule type="expression" dxfId="5" priority="5">
      <formula>IF(OR(AND(E633="",F633="",OR(G633="Critical",G633="Major",G633="Minor"))),1,0)</formula>
    </cfRule>
  </conditionalFormatting>
  <conditionalFormatting sqref="F633">
    <cfRule type="expression" dxfId="4" priority="4">
      <formula>IF(AND(F633="",OR(E633="Accuracy",E633="Fluency",E633="Segment",E633="Other")),1,0)</formula>
    </cfRule>
  </conditionalFormatting>
  <conditionalFormatting sqref="G633">
    <cfRule type="expression" dxfId="3" priority="6">
      <formula>IF(AND(OR(G633="",#REF!="Segment"),OR(#REF!="Accuracy",#REF!="Fluency",#REF!="Other")),1,0)</formula>
    </cfRule>
  </conditionalFormatting>
  <conditionalFormatting sqref="E632:G632">
    <cfRule type="expression" dxfId="2" priority="3">
      <formula>IF(OR(AND(E632="",F632="",OR(G632="Critical",G632="Major",G632="Minor"))),1,0)</formula>
    </cfRule>
  </conditionalFormatting>
  <conditionalFormatting sqref="F632">
    <cfRule type="expression" dxfId="1" priority="2">
      <formula>IF(AND(F632="",OR(E632="Accuracy",E632="Fluency",E632="Segment",E632="Other")),1,0)</formula>
    </cfRule>
  </conditionalFormatting>
  <conditionalFormatting sqref="G632">
    <cfRule type="expression" dxfId="0" priority="1">
      <formula>IF(AND(OR(G632="",E632="Segment"),OR(E632="Accuracy",E632="Fluency",E632="Other")),1,0)</formula>
    </cfRule>
  </conditionalFormatting>
  <dataValidations count="3">
    <dataValidation allowBlank="1" showDropDown="1" showInputMessage="1" showErrorMessage="1" sqref="E1:G1 H1:I71 H194:H282 H284:H368 H370:H398 H400:H403 H405:H411 H73:H192 H413:H494 H496:H519 H521:H541 H543:H549 H551:H616 I72:I816 H619:H816" xr:uid="{00000000-0002-0000-0100-000000000000}"/>
    <dataValidation type="list" allowBlank="1" showInputMessage="1" showErrorMessage="1" sqref="H326 E2:E494 H561 E496:E816" xr:uid="{00000000-0002-0000-0100-000001000000}">
      <formula1>Issue_Type</formula1>
    </dataValidation>
    <dataValidation type="list" allowBlank="1" showInputMessage="1" showErrorMessage="1" sqref="F2:G494 F496:G816" xr:uid="{00000000-0002-0000-0100-000002000000}">
      <formula1>INDIRECT(E2)</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501"/>
  <sheetViews>
    <sheetView zoomScale="110" zoomScaleNormal="110" workbookViewId="0">
      <pane ySplit="1" topLeftCell="A2" activePane="bottomLeft" state="frozen"/>
      <selection pane="bottomLeft" activeCell="C6" sqref="C6"/>
    </sheetView>
  </sheetViews>
  <sheetFormatPr defaultColWidth="9" defaultRowHeight="15"/>
  <cols>
    <col min="1" max="1" width="9" style="82"/>
    <col min="2" max="2" width="23.19921875" style="32" customWidth="1"/>
    <col min="3" max="3" width="47" style="32" customWidth="1"/>
    <col min="4" max="4" width="11" style="32" bestFit="1" customWidth="1"/>
    <col min="5" max="9" width="9" style="32"/>
    <col min="10" max="10" width="17" style="32" bestFit="1" customWidth="1"/>
    <col min="11" max="16384" width="9" style="32"/>
  </cols>
  <sheetData>
    <row r="1" spans="1:10" ht="27.6">
      <c r="A1" s="80" t="s">
        <v>20</v>
      </c>
      <c r="B1" s="13" t="s">
        <v>4</v>
      </c>
      <c r="C1" s="13" t="s">
        <v>5</v>
      </c>
      <c r="D1" s="16" t="s">
        <v>44</v>
      </c>
      <c r="E1" s="12" t="s">
        <v>25</v>
      </c>
      <c r="F1" s="12" t="s">
        <v>23</v>
      </c>
      <c r="G1" s="12" t="s">
        <v>1</v>
      </c>
      <c r="H1" s="12" t="s">
        <v>46</v>
      </c>
      <c r="I1" s="12" t="s">
        <v>47</v>
      </c>
      <c r="J1" s="12" t="s">
        <v>53</v>
      </c>
    </row>
    <row r="2" spans="1:10">
      <c r="A2" s="79" t="s">
        <v>74</v>
      </c>
      <c r="B2" s="70" t="str">
        <f>IF(ISBLANK(A2),"",INDEX('Error Log'!$A:$J,MATCH('Scores per segment'!$A2,'Error Log'!$A:$A,0),MATCH('Scores per segment'!B$1,'Error Log'!$A$1:$J$1,0)))</f>
        <v>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v>
      </c>
      <c r="C2" s="70" t="str">
        <f>IF(ISBLANK(A2),"",INDEX('Error Log'!$A:$J,MATCH('Scores per segment'!$A2,'Error Log'!$A:$A,0),MATCH('Scores per segment'!C$1,'Error Log'!$A$1:$J$1,0)))</f>
        <v>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v>
      </c>
      <c r="D2" s="70">
        <f>IF(H2=0,wdct(TRIM(C2)),0)</f>
        <v>88</v>
      </c>
      <c r="E2" s="70">
        <f>COUNTIFS('Error Log'!$A:$A,$A2,'Error Log'!$J:$J,E$1)</f>
        <v>4</v>
      </c>
      <c r="F2" s="70">
        <f>COUNTIFS('Error Log'!$A:$A,$A2,'Error Log'!$J:$J,F$1)</f>
        <v>3</v>
      </c>
      <c r="G2" s="70">
        <f>COUNTIFS('Error Log'!$A:$A,$A2,'Error Log'!$J:$J,G$1)</f>
        <v>0</v>
      </c>
      <c r="H2" s="70">
        <f>COUNTIFS('Error Log'!$A:$A,$A2,'Error Log'!$F:$F,"Source")</f>
        <v>0</v>
      </c>
      <c r="I2" s="70">
        <f>COUNTIFS('Error Log'!$A:$A,$A2,'Error Log'!$F:$F,"Target")</f>
        <v>0</v>
      </c>
      <c r="J2" s="71">
        <f t="shared" ref="J2:J65" si="0">IF(I2=0,IFERROR((((1-((E2*10+F2*5+G2*1)/D2))*100)+100)/2,0),-150)</f>
        <v>68.75</v>
      </c>
    </row>
    <row r="3" spans="1:10">
      <c r="A3" s="79" t="s">
        <v>85</v>
      </c>
      <c r="B3" s="70" t="str">
        <f>IF(ISBLANK(A3),"",INDEX('Error Log'!$A:$J,MATCH('Scores per segment'!$A3,'Error Log'!$A:$A,0),MATCH('Scores per segment'!B$1,'Error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v>
      </c>
      <c r="C3" s="70" t="str">
        <f>IF(ISBLANK(A3),"",INDEX('Error Log'!$A:$J,MATCH('Scores per segment'!$A3,'Error Log'!$A:$A,0),MATCH('Scores per segment'!C$1,'Error Log'!$A$1:$J$1,0)))</f>
        <v>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manchester city midfielder yaya toure has come in for criticism for his performances this season manuel 
pellegrini has admitted he has been disappointed by the ivory coast midfielder 's level ` i do n't think he 's happy with his performance this</v>
      </c>
      <c r="D3" s="70">
        <f>IF(H3=0,wdct(TRIM(C3)),0)</f>
        <v>98</v>
      </c>
      <c r="E3" s="70">
        <f>COUNTIFS('Error Log'!$A:$A,$A3,'Error Log'!$J:$J,E$1)</f>
        <v>4</v>
      </c>
      <c r="F3" s="70">
        <f>COUNTIFS('Error Log'!$A:$A,$A3,'Error Log'!$J:$J,F$1)</f>
        <v>3</v>
      </c>
      <c r="G3" s="70">
        <f>COUNTIFS('Error Log'!$A:$A,$A3,'Error Log'!$J:$J,G$1)</f>
        <v>0</v>
      </c>
      <c r="H3" s="70">
        <f>COUNTIFS('Error Log'!$A:$A,$A3,'Error Log'!$F:$F,"Source")</f>
        <v>0</v>
      </c>
      <c r="I3" s="70">
        <f>COUNTIFS('Error Log'!$A:$A,$A3,'Error Log'!$F:$F,"Target")</f>
        <v>0</v>
      </c>
      <c r="J3" s="71">
        <f t="shared" si="0"/>
        <v>71.938775510204081</v>
      </c>
    </row>
    <row r="4" spans="1:10">
      <c r="A4" s="79" t="s">
        <v>96</v>
      </c>
      <c r="B4" s="70" t="str">
        <f>IF(ISBLANK(A4),"",INDEX('Error Log'!$A:$J,MATCH('Scores per segment'!$A4,'Error Log'!$A:$A,0),MATCH('Scores per segment'!B$1,'Error Log'!$A$1:$J$1,0)))</f>
        <v>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v>
      </c>
      <c r="C4" s="70" t="str">
        <f>IF(ISBLANK(A4),"",INDEX('Error Log'!$A:$J,MATCH('Scores per segment'!$A4,'Error Log'!$A:$A,0),MATCH('Scores per segment'!C$1,'Error Log'!$A$1:$J$1,0)))</f>
        <v>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v>
      </c>
      <c r="D4" s="70">
        <f>IF(H4=0,wdct(TRIM(C4)),0)</f>
        <v>91</v>
      </c>
      <c r="E4" s="70">
        <f>COUNTIFS('Error Log'!$A:$A,$A4,'Error Log'!$J:$J,E$1)</f>
        <v>5</v>
      </c>
      <c r="F4" s="70">
        <f>COUNTIFS('Error Log'!$A:$A,$A4,'Error Log'!$J:$J,F$1)</f>
        <v>4</v>
      </c>
      <c r="G4" s="70">
        <f>COUNTIFS('Error Log'!$A:$A,$A4,'Error Log'!$J:$J,G$1)</f>
        <v>0</v>
      </c>
      <c r="H4" s="70">
        <f>COUNTIFS('Error Log'!$A:$A,$A4,'Error Log'!$F:$F,"Source")</f>
        <v>0</v>
      </c>
      <c r="I4" s="70">
        <f>COUNTIFS('Error Log'!$A:$A,$A4,'Error Log'!$F:$F,"Target")</f>
        <v>0</v>
      </c>
      <c r="J4" s="71">
        <f t="shared" si="0"/>
        <v>61.538461538461533</v>
      </c>
    </row>
    <row r="5" spans="1:10">
      <c r="A5" s="79" t="s">
        <v>109</v>
      </c>
      <c r="B5" s="70" t="str">
        <f>IF(ISBLANK(A5),"",INDEX('Error Log'!$A:$J,MATCH('Scores per segment'!$A5,'Error Log'!$A:$A,0),MATCH('Scores per segment'!B$1,'Error Log'!$A$1:$J$1,0)))</f>
        <v>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v>
      </c>
      <c r="C5" s="70" t="str">
        <f>IF(ISBLANK(A5),"",INDEX('Error Log'!$A:$J,MATCH('Scores per segment'!$A5,'Error Log'!$A:$A,0),MATCH('Scores per segment'!C$1,'Error Log'!$A$1:$J$1,0)))</f>
        <v xml:space="preserve">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sentence dropped : domenico rancadore ( right and left ) fled to britain in the 1990s and was convicted in his absence in italy for his role as a ` man of honour ' </v>
      </c>
      <c r="D5" s="70">
        <f>IF(H5=0,wdct(TRIM(C5)),0)</f>
        <v>86</v>
      </c>
      <c r="E5" s="70">
        <f>COUNTIFS('Error Log'!$A:$A,$A5,'Error Log'!$J:$J,E$1)</f>
        <v>2</v>
      </c>
      <c r="F5" s="70">
        <f>COUNTIFS('Error Log'!$A:$A,$A5,'Error Log'!$J:$J,F$1)</f>
        <v>4</v>
      </c>
      <c r="G5" s="70">
        <f>COUNTIFS('Error Log'!$A:$A,$A5,'Error Log'!$J:$J,G$1)</f>
        <v>0</v>
      </c>
      <c r="H5" s="70">
        <f>COUNTIFS('Error Log'!$A:$A,$A5,'Error Log'!$F:$F,"Source")</f>
        <v>0</v>
      </c>
      <c r="I5" s="70">
        <f>COUNTIFS('Error Log'!$A:$A,$A5,'Error Log'!$F:$F,"Target")</f>
        <v>0</v>
      </c>
      <c r="J5" s="71">
        <f t="shared" si="0"/>
        <v>76.744186046511629</v>
      </c>
    </row>
    <row r="6" spans="1:10">
      <c r="A6" s="79" t="s">
        <v>119</v>
      </c>
      <c r="B6" s="70" t="str">
        <f>IF(ISBLANK(A6),"",INDEX('Error Log'!$A:$J,MATCH('Scores per segment'!$A6,'Error Log'!$A:$A,0),MATCH('Scores per segment'!B$1,'Error Log'!$A$1:$J$1,0)))</f>
        <v>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v>
      </c>
      <c r="C6" s="70" t="str">
        <f>IF(ISBLANK(A6),"",INDEX('Error Log'!$A:$J,MATCH('Scores per segment'!$A6,'Error Log'!$A:$A,0),MATCH('Scores per segment'!C$1,'Error Log'!$A$1:$J$1,0)))</f>
        <v xml:space="preserve">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there was a spike in deaths related to h3n2 and b/phuket in europe and the us during the northern winter as the vaccine did not cover the strains </v>
      </c>
      <c r="D6" s="70">
        <f>IF(H6=0,wdct(TRIM(C6)),0)</f>
        <v>76</v>
      </c>
      <c r="E6" s="70">
        <f>COUNTIFS('Error Log'!$A:$A,$A6,'Error Log'!$J:$J,E$1)</f>
        <v>0</v>
      </c>
      <c r="F6" s="70">
        <f>COUNTIFS('Error Log'!$A:$A,$A6,'Error Log'!$J:$J,F$1)</f>
        <v>0</v>
      </c>
      <c r="G6" s="70">
        <f>COUNTIFS('Error Log'!$A:$A,$A6,'Error Log'!$J:$J,G$1)</f>
        <v>0</v>
      </c>
      <c r="H6" s="70">
        <f>COUNTIFS('Error Log'!$A:$A,$A6,'Error Log'!$F:$F,"Source")</f>
        <v>0</v>
      </c>
      <c r="I6" s="70">
        <f>COUNTIFS('Error Log'!$A:$A,$A6,'Error Log'!$F:$F,"Target")</f>
        <v>0</v>
      </c>
      <c r="J6" s="71">
        <f t="shared" si="0"/>
        <v>100</v>
      </c>
    </row>
    <row r="7" spans="1:10">
      <c r="A7" s="79" t="s">
        <v>122</v>
      </c>
      <c r="B7" s="70" t="str">
        <f>IF(ISBLANK(A7),"",INDEX('Error Log'!$A:$J,MATCH('Scores per segment'!$A7,'Error Log'!$A:$A,0),MATCH('Scores per segment'!B$1,'Error Log'!$A$1:$J$1,0)))</f>
        <v>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v>
      </c>
      <c r="C7" s="70" t="str">
        <f>IF(ISBLANK(A7),"",INDEX('Error Log'!$A:$J,MATCH('Scores per segment'!$A7,'Error Log'!$A:$A,0),MATCH('Scores per segment'!C$1,'Error Log'!$A$1:$J$1,0)))</f>
        <v xml:space="preserve">paul nicholls-trained mr mole is bracketed with irish raider special tiara and nicky henderson 's sprinter sacre , who will be ridden by cheltenham gold cup winner nico de boinville in the absence of injured barry geraghty . 
ironically , it was after riding mr mole to victory at newbury in february that mccoy shocked the racing world by announcing his intention to quit riding . 
mr mole , ap mccoy 's mount in the grade one celebration chase at sandown on saturday , has been installed as one of three 7-2 co-favourites in the seven-runner line-up . </v>
      </c>
      <c r="D7" s="70">
        <f>IF(H7=0,wdct(TRIM(C7)),0)</f>
        <v>91</v>
      </c>
      <c r="E7" s="70">
        <f>COUNTIFS('Error Log'!$A:$A,$A7,'Error Log'!$J:$J,E$1)</f>
        <v>0</v>
      </c>
      <c r="F7" s="70">
        <f>COUNTIFS('Error Log'!$A:$A,$A7,'Error Log'!$J:$J,F$1)</f>
        <v>1</v>
      </c>
      <c r="G7" s="70">
        <f>COUNTIFS('Error Log'!$A:$A,$A7,'Error Log'!$J:$J,G$1)</f>
        <v>0</v>
      </c>
      <c r="H7" s="70">
        <f>COUNTIFS('Error Log'!$A:$A,$A7,'Error Log'!$F:$F,"Source")</f>
        <v>0</v>
      </c>
      <c r="I7" s="70">
        <f>COUNTIFS('Error Log'!$A:$A,$A7,'Error Log'!$F:$F,"Target")</f>
        <v>0</v>
      </c>
      <c r="J7" s="71">
        <f t="shared" si="0"/>
        <v>97.252747252747241</v>
      </c>
    </row>
    <row r="8" spans="1:10">
      <c r="A8" s="79" t="s">
        <v>126</v>
      </c>
      <c r="B8" s="70" t="str">
        <f>IF(ISBLANK(A8),"",INDEX('Error Log'!$A:$J,MATCH('Scores per segment'!$A8,'Error Log'!$A:$A,0),MATCH('Scores per segment'!B$1,'Error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v>
      </c>
      <c r="C8" s="70" t="str">
        <f>IF(ISBLANK(A8),"",INDEX('Error Log'!$A:$J,MATCH('Scores per segment'!$A8,'Error Log'!$A:$A,0),MATCH('Scores per segment'!C$1,'Error Log'!$A$1:$J$1,0)))</f>
        <v xml:space="preserve">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v>
      </c>
      <c r="D8" s="70">
        <f>IF(H8=0,wdct(TRIM(C8)),0)</f>
        <v>61</v>
      </c>
      <c r="E8" s="70">
        <f>COUNTIFS('Error Log'!$A:$A,$A8,'Error Log'!$J:$J,E$1)</f>
        <v>7</v>
      </c>
      <c r="F8" s="70">
        <f>COUNTIFS('Error Log'!$A:$A,$A8,'Error Log'!$J:$J,F$1)</f>
        <v>3</v>
      </c>
      <c r="G8" s="70">
        <f>COUNTIFS('Error Log'!$A:$A,$A8,'Error Log'!$J:$J,G$1)</f>
        <v>0</v>
      </c>
      <c r="H8" s="70">
        <f>COUNTIFS('Error Log'!$A:$A,$A8,'Error Log'!$F:$F,"Source")</f>
        <v>0</v>
      </c>
      <c r="I8" s="70">
        <f>COUNTIFS('Error Log'!$A:$A,$A8,'Error Log'!$F:$F,"Target")</f>
        <v>0</v>
      </c>
      <c r="J8" s="71">
        <f t="shared" si="0"/>
        <v>30.327868852459016</v>
      </c>
    </row>
    <row r="9" spans="1:10">
      <c r="A9" s="79" t="s">
        <v>140</v>
      </c>
      <c r="B9" s="70" t="str">
        <f>IF(ISBLANK(A9),"",INDEX('Error Log'!$A:$J,MATCH('Scores per segment'!$A9,'Error Log'!$A:$A,0),MATCH('Scores per segment'!B$1,'Error Log'!$A$1:$J$1,0)))</f>
        <v>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v>
      </c>
      <c r="C9" s="70" t="str">
        <f>IF(ISBLANK(A9),"",INDEX('Error Log'!$A:$J,MATCH('Scores per segment'!$A9,'Error Log'!$A:$A,0),MATCH('Scores per segment'!C$1,'Error Log'!$A$1:$J$1,0)))</f>
        <v xml:space="preserve">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v>
      </c>
      <c r="D9" s="70">
        <f>IF(H9=0,wdct(TRIM(C9)),0)</f>
        <v>66</v>
      </c>
      <c r="E9" s="70">
        <f>COUNTIFS('Error Log'!$A:$A,$A9,'Error Log'!$J:$J,E$1)</f>
        <v>3</v>
      </c>
      <c r="F9" s="70">
        <f>COUNTIFS('Error Log'!$A:$A,$A9,'Error Log'!$J:$J,F$1)</f>
        <v>2</v>
      </c>
      <c r="G9" s="70">
        <f>COUNTIFS('Error Log'!$A:$A,$A9,'Error Log'!$J:$J,G$1)</f>
        <v>0</v>
      </c>
      <c r="H9" s="70">
        <f>COUNTIFS('Error Log'!$A:$A,$A9,'Error Log'!$F:$F,"Source")</f>
        <v>0</v>
      </c>
      <c r="I9" s="70">
        <f>COUNTIFS('Error Log'!$A:$A,$A9,'Error Log'!$F:$F,"Target")</f>
        <v>0</v>
      </c>
      <c r="J9" s="71">
        <f t="shared" si="0"/>
        <v>69.696969696969688</v>
      </c>
    </row>
    <row r="10" spans="1:10">
      <c r="A10" s="79" t="s">
        <v>149</v>
      </c>
      <c r="B10" s="70" t="str">
        <f>IF(ISBLANK(A10),"",INDEX('Error Log'!$A:$J,MATCH('Scores per segment'!$A10,'Error Log'!$A:$A,0),MATCH('Scores per segment'!B$1,'Error Log'!$A$1:$J$1,0)))</f>
        <v>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v>
      </c>
      <c r="C10" s="70" t="str">
        <f>IF(ISBLANK(A10),"",INDEX('Error Log'!$A:$J,MATCH('Scores per segment'!$A10,'Error Log'!$A:$A,0),MATCH('Scores per segment'!C$1,'Error Log'!$A$1:$J$1,0)))</f>
        <v>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v>
      </c>
      <c r="D10" s="70">
        <f>IF(H10=0,wdct(TRIM(C10)),0)</f>
        <v>89</v>
      </c>
      <c r="E10" s="70">
        <f>COUNTIFS('Error Log'!$A:$A,$A10,'Error Log'!$J:$J,E$1)</f>
        <v>2</v>
      </c>
      <c r="F10" s="70">
        <f>COUNTIFS('Error Log'!$A:$A,$A10,'Error Log'!$J:$J,F$1)</f>
        <v>3</v>
      </c>
      <c r="G10" s="70">
        <f>COUNTIFS('Error Log'!$A:$A,$A10,'Error Log'!$J:$J,G$1)</f>
        <v>0</v>
      </c>
      <c r="H10" s="70">
        <f>COUNTIFS('Error Log'!$A:$A,$A10,'Error Log'!$F:$F,"Source")</f>
        <v>0</v>
      </c>
      <c r="I10" s="70">
        <f>COUNTIFS('Error Log'!$A:$A,$A10,'Error Log'!$F:$F,"Target")</f>
        <v>0</v>
      </c>
      <c r="J10" s="71">
        <f t="shared" si="0"/>
        <v>80.337078651685388</v>
      </c>
    </row>
    <row r="11" spans="1:10">
      <c r="A11" s="79" t="s">
        <v>158</v>
      </c>
      <c r="B11" s="70" t="str">
        <f>IF(ISBLANK(A11),"",INDEX('Error Log'!$A:$J,MATCH('Scores per segment'!$A11,'Error Log'!$A:$A,0),MATCH('Scores per segment'!B$1,'Error Log'!$A$1:$J$1,0)))</f>
        <v>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v>
      </c>
      <c r="C11" s="70" t="str">
        <f>IF(ISBLANK(A11),"",INDEX('Error Log'!$A:$J,MATCH('Scores per segment'!$A11,'Error Log'!$A:$A,0),MATCH('Scores per segment'!C$1,'Error Log'!$A$1:$J$1,0)))</f>
        <v xml:space="preserve">rory mcilroy tees off at the arnold palmer invitational golf tournament in orlando on march 19 ` for me now it 's a career-long goal to win there to achieve something that only a handful of players have ever achieved , ' the 25-year-old said in an interview with bbc northern ireland . 
mcilroy 's extraordinary success last year came despite the distractions of calling off his wedding to caroline wozniacki and a legal dispute with his former management company which cost him millions of pounds when it was finally settled in february . </v>
      </c>
      <c r="D11" s="70">
        <f>IF(H11=0,wdct(TRIM(C11)),0)</f>
        <v>89</v>
      </c>
      <c r="E11" s="70">
        <f>COUNTIFS('Error Log'!$A:$A,$A11,'Error Log'!$J:$J,E$1)</f>
        <v>3</v>
      </c>
      <c r="F11" s="70">
        <f>COUNTIFS('Error Log'!$A:$A,$A11,'Error Log'!$J:$J,F$1)</f>
        <v>2</v>
      </c>
      <c r="G11" s="70">
        <f>COUNTIFS('Error Log'!$A:$A,$A11,'Error Log'!$J:$J,G$1)</f>
        <v>0</v>
      </c>
      <c r="H11" s="70">
        <f>COUNTIFS('Error Log'!$A:$A,$A11,'Error Log'!$F:$F,"Source")</f>
        <v>0</v>
      </c>
      <c r="I11" s="70">
        <f>COUNTIFS('Error Log'!$A:$A,$A11,'Error Log'!$F:$F,"Target")</f>
        <v>0</v>
      </c>
      <c r="J11" s="71">
        <f t="shared" si="0"/>
        <v>77.528089887640448</v>
      </c>
    </row>
    <row r="12" spans="1:10">
      <c r="A12" s="79" t="s">
        <v>167</v>
      </c>
      <c r="B12" s="70" t="str">
        <f>IF(ISBLANK(A12),"",INDEX('Error Log'!$A:$J,MATCH('Scores per segment'!$A12,'Error Log'!$A:$A,0),MATCH('Scores per segment'!B$1,'Error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v>
      </c>
      <c r="C12" s="70" t="str">
        <f>IF(ISBLANK(A12),"",INDEX('Error Log'!$A:$J,MATCH('Scores per segment'!$A12,'Error Log'!$A:$A,0),MATCH('Scores per segment'!C$1,'Error Log'!$A$1:$J$1,0)))</f>
        <v xml:space="preserve">jurgen klopp confirmed in a press conference he is to leave borussia dortmund this summer 
an emotional klopp said he believed dortmund need a change of manager next season 
klopp will officially cease to be dortmund manager on june 30 as he looks for a fresh start elsewhere </v>
      </c>
      <c r="D12" s="70">
        <f>IF(H12=0,wdct(TRIM(C12)),0)</f>
        <v>48</v>
      </c>
      <c r="E12" s="70">
        <f>COUNTIFS('Error Log'!$A:$A,$A12,'Error Log'!$J:$J,E$1)</f>
        <v>2</v>
      </c>
      <c r="F12" s="70">
        <f>COUNTIFS('Error Log'!$A:$A,$A12,'Error Log'!$J:$J,F$1)</f>
        <v>1</v>
      </c>
      <c r="G12" s="70">
        <f>COUNTIFS('Error Log'!$A:$A,$A12,'Error Log'!$J:$J,G$1)</f>
        <v>0</v>
      </c>
      <c r="H12" s="70">
        <f>COUNTIFS('Error Log'!$A:$A,$A12,'Error Log'!$F:$F,"Source")</f>
        <v>0</v>
      </c>
      <c r="I12" s="70">
        <f>COUNTIFS('Error Log'!$A:$A,$A12,'Error Log'!$F:$F,"Target")</f>
        <v>0</v>
      </c>
      <c r="J12" s="71">
        <f t="shared" si="0"/>
        <v>73.958333333333329</v>
      </c>
    </row>
    <row r="13" spans="1:10">
      <c r="A13" s="79" t="s">
        <v>174</v>
      </c>
      <c r="B13" s="70" t="str">
        <f>IF(ISBLANK(A13),"",INDEX('Error Log'!$A:$J,MATCH('Scores per segment'!$A13,'Error Log'!$A:$A,0),MATCH('Scores per segment'!B$1,'Error Log'!$A$1:$J$1,0)))</f>
        <v>(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v>
      </c>
      <c r="C13" s="70" t="str">
        <f>IF(ISBLANK(A13),"",INDEX('Error Log'!$A:$J,MATCH('Scores per segment'!$A13,'Error Log'!$A:$A,0),MATCH('Scores per segment'!C$1,'Error Log'!$A$1:$J$1,0)))</f>
        <v xml:space="preserve">if you were n't online much , here 's some of the best of what you missed : 
after the new york area received a large amount of rain , four rainbows appeared to stretch across the early morning sky on tuesday . 
johnny depp is nearly unrecognizable in the ` black mass ' trailer here 's one way to announce you 're pregnant : reference " the fresh prince of bel-air . " </v>
      </c>
      <c r="D13" s="70">
        <f>IF(H13=0,wdct(TRIM(C13)),0)</f>
        <v>64</v>
      </c>
      <c r="E13" s="70">
        <f>COUNTIFS('Error Log'!$A:$A,$A13,'Error Log'!$J:$J,E$1)</f>
        <v>0</v>
      </c>
      <c r="F13" s="70">
        <f>COUNTIFS('Error Log'!$A:$A,$A13,'Error Log'!$J:$J,F$1)</f>
        <v>2</v>
      </c>
      <c r="G13" s="70">
        <f>COUNTIFS('Error Log'!$A:$A,$A13,'Error Log'!$J:$J,G$1)</f>
        <v>0</v>
      </c>
      <c r="H13" s="70">
        <f>COUNTIFS('Error Log'!$A:$A,$A13,'Error Log'!$F:$F,"Source")</f>
        <v>0</v>
      </c>
      <c r="I13" s="70">
        <f>COUNTIFS('Error Log'!$A:$A,$A13,'Error Log'!$F:$F,"Target")</f>
        <v>0</v>
      </c>
      <c r="J13" s="71">
        <f t="shared" si="0"/>
        <v>92.1875</v>
      </c>
    </row>
    <row r="14" spans="1:10">
      <c r="A14" s="79" t="s">
        <v>179</v>
      </c>
      <c r="B14" s="70" t="str">
        <f>IF(ISBLANK(A14),"",INDEX('Error Log'!$A:$J,MATCH('Scores per segment'!$A14,'Error Log'!$A:$A,0),MATCH('Scores per segment'!B$1,'Error Log'!$A$1:$J$1,0)))</f>
        <v>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v>
      </c>
      <c r="C14" s="70" t="str">
        <f>IF(ISBLANK(A14),"",INDEX('Error Log'!$A:$J,MATCH('Scores per segment'!$A14,'Error Log'!$A:$A,0),MATCH('Scores per segment'!C$1,'Error Log'!$A$1:$J$1,0)))</f>
        <v xml:space="preserve">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v>
      </c>
      <c r="D14" s="70">
        <f>IF(H14=0,wdct(TRIM(C14)),0)</f>
        <v>50</v>
      </c>
      <c r="E14" s="70">
        <f>COUNTIFS('Error Log'!$A:$A,$A14,'Error Log'!$J:$J,E$1)</f>
        <v>1</v>
      </c>
      <c r="F14" s="70">
        <f>COUNTIFS('Error Log'!$A:$A,$A14,'Error Log'!$J:$J,F$1)</f>
        <v>4</v>
      </c>
      <c r="G14" s="70">
        <f>COUNTIFS('Error Log'!$A:$A,$A14,'Error Log'!$J:$J,G$1)</f>
        <v>0</v>
      </c>
      <c r="H14" s="70">
        <f>COUNTIFS('Error Log'!$A:$A,$A14,'Error Log'!$F:$F,"Source")</f>
        <v>0</v>
      </c>
      <c r="I14" s="70">
        <f>COUNTIFS('Error Log'!$A:$A,$A14,'Error Log'!$F:$F,"Target")</f>
        <v>0</v>
      </c>
      <c r="J14" s="71">
        <f t="shared" si="0"/>
        <v>70</v>
      </c>
    </row>
    <row r="15" spans="1:10">
      <c r="A15" s="79" t="s">
        <v>188</v>
      </c>
      <c r="B15" s="70" t="str">
        <f>IF(ISBLANK(A15),"",INDEX('Error Log'!$A:$J,MATCH('Scores per segment'!$A15,'Error Log'!$A:$A,0),MATCH('Scores per segment'!B$1,'Error Log'!$A$1:$J$1,0)))</f>
        <v>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v>
      </c>
      <c r="C15" s="70" t="str">
        <f>IF(ISBLANK(A15),"",INDEX('Error Log'!$A:$J,MATCH('Scores per segment'!$A15,'Error Log'!$A:$A,0),MATCH('Scores per segment'!C$1,'Error Log'!$A$1:$J$1,0)))</f>
        <v>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tip of the iceberg : research by the world health organisation suggests that at least one in 100 babies born in the uk could</v>
      </c>
      <c r="D15" s="70">
        <f>IF(H15=0,wdct(TRIM(C15)),0)</f>
        <v>94</v>
      </c>
      <c r="E15" s="70">
        <f>COUNTIFS('Error Log'!$A:$A,$A15,'Error Log'!$J:$J,E$1)</f>
        <v>3</v>
      </c>
      <c r="F15" s="70">
        <f>COUNTIFS('Error Log'!$A:$A,$A15,'Error Log'!$J:$J,F$1)</f>
        <v>1</v>
      </c>
      <c r="G15" s="70">
        <f>COUNTIFS('Error Log'!$A:$A,$A15,'Error Log'!$J:$J,G$1)</f>
        <v>0</v>
      </c>
      <c r="H15" s="70">
        <f>COUNTIFS('Error Log'!$A:$A,$A15,'Error Log'!$F:$F,"Source")</f>
        <v>0</v>
      </c>
      <c r="I15" s="70">
        <f>COUNTIFS('Error Log'!$A:$A,$A15,'Error Log'!$F:$F,"Target")</f>
        <v>0</v>
      </c>
      <c r="J15" s="71">
        <f t="shared" si="0"/>
        <v>81.38297872340425</v>
      </c>
    </row>
    <row r="16" spans="1:10">
      <c r="A16" s="79" t="s">
        <v>196</v>
      </c>
      <c r="B16" s="70" t="str">
        <f>IF(ISBLANK(A16),"",INDEX('Error Log'!$A:$J,MATCH('Scores per segment'!$A16,'Error Log'!$A:$A,0),MATCH('Scores per segment'!B$1,'Error Log'!$A$1:$J$1,0)))</f>
        <v>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v>
      </c>
      <c r="C16" s="70" t="str">
        <f>IF(ISBLANK(A16),"",INDEX('Error Log'!$A:$J,MATCH('Scores per segment'!$A16,'Error Log'!$A:$A,0),MATCH('Scores per segment'!C$1,'Error Log'!$A$1:$J$1,0)))</f>
        <v xml:space="preserve">despite the plurality of opinion , very little space seems to be given to the discussion in pakistani mainstream media or academia ; 
the debate seems to be shut down before it can even begin , " she posted on facebook . " 
on a wall in t2f is a spray painted technicolor image of marilyn monroe from " the seven year itch , " </v>
      </c>
      <c r="D16" s="70">
        <f>IF(H16=0,wdct(TRIM(C16)),0)</f>
        <v>56</v>
      </c>
      <c r="E16" s="70">
        <f>COUNTIFS('Error Log'!$A:$A,$A16,'Error Log'!$J:$J,E$1)</f>
        <v>3</v>
      </c>
      <c r="F16" s="70">
        <f>COUNTIFS('Error Log'!$A:$A,$A16,'Error Log'!$J:$J,F$1)</f>
        <v>3</v>
      </c>
      <c r="G16" s="70">
        <f>COUNTIFS('Error Log'!$A:$A,$A16,'Error Log'!$J:$J,G$1)</f>
        <v>0</v>
      </c>
      <c r="H16" s="70">
        <f>COUNTIFS('Error Log'!$A:$A,$A16,'Error Log'!$F:$F,"Source")</f>
        <v>0</v>
      </c>
      <c r="I16" s="70">
        <f>COUNTIFS('Error Log'!$A:$A,$A16,'Error Log'!$F:$F,"Target")</f>
        <v>0</v>
      </c>
      <c r="J16" s="71">
        <f t="shared" si="0"/>
        <v>59.821428571428569</v>
      </c>
    </row>
    <row r="17" spans="1:10">
      <c r="A17" s="79" t="s">
        <v>206</v>
      </c>
      <c r="B17" s="70" t="str">
        <f>IF(ISBLANK(A17),"",INDEX('Error Log'!$A:$J,MATCH('Scores per segment'!$A17,'Error Log'!$A:$A,0),MATCH('Scores per segment'!B$1,'Error Log'!$A$1:$J$1,0)))</f>
        <v>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v>
      </c>
      <c r="C17" s="70" t="str">
        <f>IF(ISBLANK(A17),"",INDEX('Error Log'!$A:$J,MATCH('Scores per segment'!$A17,'Error Log'!$A:$A,0),MATCH('Scores per segment'!C$1,'Error Log'!$A$1:$J$1,0)))</f>
        <v>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the masked 31-year-old waved an axe as he demanded cash from terrified assistant andrea brighty , but he did not see owner sab dhillon 's rugby</v>
      </c>
      <c r="D17" s="70">
        <f>IF(H17=0,wdct(TRIM(C17)),0)</f>
        <v>93</v>
      </c>
      <c r="E17" s="70">
        <f>COUNTIFS('Error Log'!$A:$A,$A17,'Error Log'!$J:$J,E$1)</f>
        <v>4</v>
      </c>
      <c r="F17" s="70">
        <f>COUNTIFS('Error Log'!$A:$A,$A17,'Error Log'!$J:$J,F$1)</f>
        <v>3</v>
      </c>
      <c r="G17" s="70">
        <f>COUNTIFS('Error Log'!$A:$A,$A17,'Error Log'!$J:$J,G$1)</f>
        <v>0</v>
      </c>
      <c r="H17" s="70">
        <f>COUNTIFS('Error Log'!$A:$A,$A17,'Error Log'!$F:$F,"Source")</f>
        <v>0</v>
      </c>
      <c r="I17" s="70">
        <f>COUNTIFS('Error Log'!$A:$A,$A17,'Error Log'!$F:$F,"Target")</f>
        <v>0</v>
      </c>
      <c r="J17" s="71">
        <f t="shared" si="0"/>
        <v>70.430107526881727</v>
      </c>
    </row>
    <row r="18" spans="1:10">
      <c r="A18" s="79" t="s">
        <v>217</v>
      </c>
      <c r="B18" s="70" t="str">
        <f>IF(ISBLANK(A18),"",INDEX('Error Log'!$A:$J,MATCH('Scores per segment'!$A18,'Error Log'!$A:$A,0),MATCH('Scores per segment'!B$1,'Error Log'!$A$1:$J$1,0)))</f>
        <v>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v>
      </c>
      <c r="C18" s="70" t="str">
        <f>IF(ISBLANK(A18),"",INDEX('Error Log'!$A:$J,MATCH('Scores per segment'!$A18,'Error Log'!$A:$A,0),MATCH('Scores per segment'!C$1,'Error Log'!$A$1:$J$1,0)))</f>
        <v>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v>
      </c>
      <c r="D18" s="70">
        <f>IF(H18=0,wdct(TRIM(C18)),0)</f>
        <v>85</v>
      </c>
      <c r="E18" s="70">
        <f>COUNTIFS('Error Log'!$A:$A,$A18,'Error Log'!$J:$J,E$1)</f>
        <v>2</v>
      </c>
      <c r="F18" s="70">
        <f>COUNTIFS('Error Log'!$A:$A,$A18,'Error Log'!$J:$J,F$1)</f>
        <v>2</v>
      </c>
      <c r="G18" s="70">
        <f>COUNTIFS('Error Log'!$A:$A,$A18,'Error Log'!$J:$J,G$1)</f>
        <v>0</v>
      </c>
      <c r="H18" s="70">
        <f>COUNTIFS('Error Log'!$A:$A,$A18,'Error Log'!$F:$F,"Source")</f>
        <v>0</v>
      </c>
      <c r="I18" s="70">
        <f>COUNTIFS('Error Log'!$A:$A,$A18,'Error Log'!$F:$F,"Target")</f>
        <v>0</v>
      </c>
      <c r="J18" s="71">
        <f t="shared" si="0"/>
        <v>82.35294117647058</v>
      </c>
    </row>
    <row r="19" spans="1:10">
      <c r="A19" s="79" t="s">
        <v>225</v>
      </c>
      <c r="B19" s="70" t="str">
        <f>IF(ISBLANK(A19),"",INDEX('Error Log'!$A:$J,MATCH('Scores per segment'!$A19,'Error Log'!$A:$A,0),MATCH('Scores per segment'!B$1,'Error Log'!$A$1:$J$1,0)))</f>
        <v>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v>
      </c>
      <c r="C19" s="70" t="str">
        <f>IF(ISBLANK(A19),"",INDEX('Error Log'!$A:$J,MATCH('Scores per segment'!$A19,'Error Log'!$A:$A,0),MATCH('Scores per segment'!C$1,'Error Log'!$A$1:$J$1,0)))</f>
        <v>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v>
      </c>
      <c r="D19" s="70">
        <f>IF(H19=0,wdct(TRIM(C19)),0)</f>
        <v>75</v>
      </c>
      <c r="E19" s="70">
        <f>COUNTIFS('Error Log'!$A:$A,$A19,'Error Log'!$J:$J,E$1)</f>
        <v>3</v>
      </c>
      <c r="F19" s="70">
        <f>COUNTIFS('Error Log'!$A:$A,$A19,'Error Log'!$J:$J,F$1)</f>
        <v>3</v>
      </c>
      <c r="G19" s="70">
        <f>COUNTIFS('Error Log'!$A:$A,$A19,'Error Log'!$J:$J,G$1)</f>
        <v>0</v>
      </c>
      <c r="H19" s="70">
        <f>COUNTIFS('Error Log'!$A:$A,$A19,'Error Log'!$F:$F,"Source")</f>
        <v>0</v>
      </c>
      <c r="I19" s="70">
        <f>COUNTIFS('Error Log'!$A:$A,$A19,'Error Log'!$F:$F,"Target")</f>
        <v>0</v>
      </c>
      <c r="J19" s="71">
        <f t="shared" si="0"/>
        <v>70</v>
      </c>
    </row>
    <row r="20" spans="1:10">
      <c r="A20" s="79" t="s">
        <v>242</v>
      </c>
      <c r="B20" s="70" t="str">
        <f>IF(ISBLANK(A20),"",INDEX('Error Log'!$A:$J,MATCH('Scores per segment'!$A20,'Error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 nicklaus holds up his ball to an adoring crowd as gary player ( left ) and ben crenshaw salute the great . crenshaw and nicklaus fist pump following his ace on the 130-yard hole at augusta national .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20" s="70" t="str">
        <f>IF(ISBLANK(A20),"",INDEX('Error Log'!$A:$J,MATCH('Scores per segment'!$A20,'Error Log'!$A:$A,0),MATCH('Scores per segment'!C$1,'Error Log'!$A$1:$J$1,0)))</f>
        <v xml:space="preserve">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v>
      </c>
      <c r="D20" s="70">
        <f>IF(H20=0,wdct(TRIM(C20)),0)</f>
        <v>54</v>
      </c>
      <c r="E20" s="70">
        <f>COUNTIFS('Error Log'!$A:$A,$A20,'Error Log'!$J:$J,E$1)</f>
        <v>2</v>
      </c>
      <c r="F20" s="70">
        <f>COUNTIFS('Error Log'!$A:$A,$A20,'Error Log'!$J:$J,F$1)</f>
        <v>1</v>
      </c>
      <c r="G20" s="70">
        <f>COUNTIFS('Error Log'!$A:$A,$A20,'Error Log'!$J:$J,G$1)</f>
        <v>0</v>
      </c>
      <c r="H20" s="70">
        <f>COUNTIFS('Error Log'!$A:$A,$A20,'Error Log'!$F:$F,"Source")</f>
        <v>0</v>
      </c>
      <c r="I20" s="70">
        <f>COUNTIFS('Error Log'!$A:$A,$A20,'Error Log'!$F:$F,"Target")</f>
        <v>0</v>
      </c>
      <c r="J20" s="71">
        <f t="shared" si="0"/>
        <v>76.851851851851848</v>
      </c>
    </row>
    <row r="21" spans="1:10">
      <c r="A21" s="79" t="s">
        <v>248</v>
      </c>
      <c r="B21" s="70" t="str">
        <f>IF(ISBLANK(A21),"",INDEX('Error Log'!$A:$J,MATCH('Scores per segment'!$A21,'Error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 cnn 's jason morris and ed lavandera contributed to this report .</v>
      </c>
      <c r="C21" s="70" t="str">
        <f>IF(ISBLANK(A21),"",INDEX('Error Log'!$A:$J,MATCH('Scores per segment'!$A21,'Error Log'!$A:$A,0),MATCH('Scores per segment'!C$1,'Error Log'!$A$1:$J$1,0)))</f>
        <v>the lawyer for the family of the man who was killed claims that bates was n't qualified to be on the force , but received preferential treatment because he 'd made donations to the agency and was a friend of the sheriff . 
this will give us an opportunity to deal with the facts in the courtroom instead of the media and we 're looking very much forward to that , " said clark brewster , one of his lawyers , after the hearing . 
( cnn ) an oklahoma reserve sheriff 's deputy accused of fatally shooting a man</v>
      </c>
      <c r="D21" s="70">
        <f>IF(H21=0,wdct(TRIM(C21)),0)</f>
        <v>91</v>
      </c>
      <c r="E21" s="70">
        <f>COUNTIFS('Error Log'!$A:$A,$A21,'Error Log'!$J:$J,E$1)</f>
        <v>3</v>
      </c>
      <c r="F21" s="70">
        <f>COUNTIFS('Error Log'!$A:$A,$A21,'Error Log'!$J:$J,F$1)</f>
        <v>0</v>
      </c>
      <c r="G21" s="70">
        <f>COUNTIFS('Error Log'!$A:$A,$A21,'Error Log'!$J:$J,G$1)</f>
        <v>0</v>
      </c>
      <c r="H21" s="70">
        <f>COUNTIFS('Error Log'!$A:$A,$A21,'Error Log'!$F:$F,"Source")</f>
        <v>0</v>
      </c>
      <c r="I21" s="70">
        <f>COUNTIFS('Error Log'!$A:$A,$A21,'Error Log'!$F:$F,"Target")</f>
        <v>0</v>
      </c>
      <c r="J21" s="71">
        <f t="shared" si="0"/>
        <v>83.516483516483518</v>
      </c>
    </row>
    <row r="22" spans="1:10">
      <c r="A22" s="78" t="s">
        <v>254</v>
      </c>
      <c r="B22" s="70" t="str">
        <f>IF(ISBLANK(A22),"",INDEX('Error Log'!$A:$J,MATCH('Scores per segment'!$A22,'Error Log'!$A:$A,0),MATCH('Scores per segment'!B$1,'Error Log'!$A$1:$J$1,0)))</f>
        <v>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v>
      </c>
      <c r="C22" s="70" t="str">
        <f>IF(ISBLANK(A22),"",INDEX('Error Log'!$A:$J,MATCH('Scores per segment'!$A22,'Error Log'!$A:$A,0),MATCH('Scores per segment'!C$1,'Error Log'!$A$1:$J$1,0)))</f>
        <v xml:space="preserve">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v>
      </c>
      <c r="D22" s="70">
        <f>IF(H22=0,wdct(TRIM(C22)),0)</f>
        <v>69</v>
      </c>
      <c r="E22" s="70">
        <f>COUNTIFS('Error Log'!$A:$A,$A22,'Error Log'!$J:$J,E$1)</f>
        <v>2</v>
      </c>
      <c r="F22" s="70">
        <f>COUNTIFS('Error Log'!$A:$A,$A22,'Error Log'!$J:$J,F$1)</f>
        <v>1</v>
      </c>
      <c r="G22" s="70">
        <f>COUNTIFS('Error Log'!$A:$A,$A22,'Error Log'!$J:$J,G$1)</f>
        <v>0</v>
      </c>
      <c r="H22" s="70">
        <f>COUNTIFS('Error Log'!$A:$A,$A22,'Error Log'!$F:$F,"Source")</f>
        <v>0</v>
      </c>
      <c r="I22" s="70">
        <f>COUNTIFS('Error Log'!$A:$A,$A22,'Error Log'!$F:$F,"Target")</f>
        <v>0</v>
      </c>
      <c r="J22" s="71">
        <f t="shared" si="0"/>
        <v>81.884057971014485</v>
      </c>
    </row>
    <row r="23" spans="1:10">
      <c r="A23" s="1" t="s">
        <v>261</v>
      </c>
      <c r="B23" s="70" t="str">
        <f>IF(ISBLANK(A23),"",INDEX('Error Log'!$A:$J,MATCH('Scores per segment'!$A23,'Error Log'!$A:$A,0),MATCH('Scores per segment'!B$1,'Error Log'!$A$1:$J$1,0)))</f>
        <v>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v>
      </c>
      <c r="C23" s="70" t="str">
        <f>IF(ISBLANK(A23),"",INDEX('Error Log'!$A:$J,MATCH('Scores per segment'!$A23,'Error Log'!$A:$A,0),MATCH('Scores per segment'!C$1,'Error Log'!$A$1:$J$1,0)))</f>
        <v xml:space="preserve">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v>
      </c>
      <c r="D23" s="70">
        <f>IF(H23=0,wdct(TRIM(C23)),0)</f>
        <v>59</v>
      </c>
      <c r="E23" s="70">
        <f>COUNTIFS('Error Log'!$A:$A,$A23,'Error Log'!$J:$J,E$1)</f>
        <v>2</v>
      </c>
      <c r="F23" s="70">
        <f>COUNTIFS('Error Log'!$A:$A,$A23,'Error Log'!$J:$J,F$1)</f>
        <v>2</v>
      </c>
      <c r="G23" s="70">
        <f>COUNTIFS('Error Log'!$A:$A,$A23,'Error Log'!$J:$J,G$1)</f>
        <v>0</v>
      </c>
      <c r="H23" s="70">
        <f>COUNTIFS('Error Log'!$A:$A,$A23,'Error Log'!$F:$F,"Source")</f>
        <v>0</v>
      </c>
      <c r="I23" s="70">
        <f>COUNTIFS('Error Log'!$A:$A,$A23,'Error Log'!$F:$F,"Target")</f>
        <v>0</v>
      </c>
      <c r="J23" s="71">
        <f t="shared" si="0"/>
        <v>74.576271186440678</v>
      </c>
    </row>
    <row r="24" spans="1:10">
      <c r="A24" s="1" t="s">
        <v>269</v>
      </c>
      <c r="B24" s="70" t="str">
        <f>IF(ISBLANK(A24),"",INDEX('Error Log'!$A:$J,MATCH('Scores per segment'!$A24,'Error Log'!$A:$A,0),MATCH('Scores per segment'!B$1,'Error Log'!$A$1:$J$1,0)))</f>
        <v>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v>
      </c>
      <c r="C24" s="70" t="str">
        <f>IF(ISBLANK(A24),"",INDEX('Error Log'!$A:$J,MATCH('Scores per segment'!$A24,'Error Log'!$A:$A,0),MATCH('Scores per segment'!C$1,'Error Log'!$A$1:$J$1,0)))</f>
        <v>england head coach stuart lancaster has remained steadfast in his policy not to select overseas players 
england players deserve to go on to the field knowing they have been given the best chance of winning . 
matt giteau and drew mitchell , for example , are top-class performers for toulon and if england lose to australia with those two playing out of their skins , you know exactly what the headlines will be .</v>
      </c>
      <c r="D24" s="70">
        <f>IF(H24=0,wdct(TRIM(C24)),0)</f>
        <v>69</v>
      </c>
      <c r="E24" s="70">
        <f>COUNTIFS('Error Log'!$A:$A,$A24,'Error Log'!$J:$J,E$1)</f>
        <v>3</v>
      </c>
      <c r="F24" s="70">
        <f>COUNTIFS('Error Log'!$A:$A,$A24,'Error Log'!$J:$J,F$1)</f>
        <v>3</v>
      </c>
      <c r="G24" s="70">
        <f>COUNTIFS('Error Log'!$A:$A,$A24,'Error Log'!$J:$J,G$1)</f>
        <v>0</v>
      </c>
      <c r="H24" s="70">
        <f>COUNTIFS('Error Log'!$A:$A,$A24,'Error Log'!$F:$F,"Source")</f>
        <v>0</v>
      </c>
      <c r="I24" s="70">
        <f>COUNTIFS('Error Log'!$A:$A,$A24,'Error Log'!$F:$F,"Target")</f>
        <v>0</v>
      </c>
      <c r="J24" s="71">
        <f t="shared" si="0"/>
        <v>67.391304347826093</v>
      </c>
    </row>
    <row r="25" spans="1:10">
      <c r="A25" s="78" t="s">
        <v>279</v>
      </c>
      <c r="B25" s="70" t="str">
        <f>IF(ISBLANK(A25),"",INDEX('Error Log'!$A:$J,MATCH('Scores per segment'!$A25,'Error Log'!$A:$A,0),MATCH('Scores per segment'!B$1,'Error Log'!$A$1:$J$1,0)))</f>
        <v>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v>
      </c>
      <c r="C25" s="70" t="str">
        <f>IF(ISBLANK(A25),"",INDEX('Error Log'!$A:$J,MATCH('Scores per segment'!$A25,'Error Log'!$A:$A,0),MATCH('Scores per segment'!C$1,'Error Log'!$A$1:$J$1,0)))</f>
        <v>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v>
      </c>
      <c r="D25" s="70">
        <f>IF(H25=0,wdct(TRIM(C25)),0)</f>
        <v>90</v>
      </c>
      <c r="E25" s="70">
        <f>COUNTIFS('Error Log'!$A:$A,$A25,'Error Log'!$J:$J,E$1)</f>
        <v>3</v>
      </c>
      <c r="F25" s="70">
        <f>COUNTIFS('Error Log'!$A:$A,$A25,'Error Log'!$J:$J,F$1)</f>
        <v>3</v>
      </c>
      <c r="G25" s="70">
        <f>COUNTIFS('Error Log'!$A:$A,$A25,'Error Log'!$J:$J,G$1)</f>
        <v>0</v>
      </c>
      <c r="H25" s="70">
        <f>COUNTIFS('Error Log'!$A:$A,$A25,'Error Log'!$F:$F,"Source")</f>
        <v>0</v>
      </c>
      <c r="I25" s="70">
        <f>COUNTIFS('Error Log'!$A:$A,$A25,'Error Log'!$F:$F,"Target")</f>
        <v>0</v>
      </c>
      <c r="J25" s="71">
        <f t="shared" si="0"/>
        <v>75</v>
      </c>
    </row>
    <row r="26" spans="1:10">
      <c r="A26" s="1" t="s">
        <v>289</v>
      </c>
      <c r="B26" s="70" t="str">
        <f>IF(ISBLANK(A26),"",INDEX('Error Log'!$A:$J,MATCH('Scores per segment'!$A26,'Error Log'!$A:$A,0),MATCH('Scores per segment'!B$1,'Error Log'!$A$1:$J$1,0)))</f>
        <v>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v>
      </c>
      <c r="C26" s="70" t="str">
        <f>IF(ISBLANK(A26),"",INDEX('Error Log'!$A:$J,MATCH('Scores per segment'!$A26,'Error Log'!$A:$A,0),MATCH('Scores per segment'!C$1,'Error Log'!$A$1:$J$1,0)))</f>
        <v>^[[Ainternet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christophe daligault , chief marketing officer at open garden told daily dot : ` the combination between [ greenstone ] and the smartphones will enable a community , or a neighbourhood , or a hospital ,</v>
      </c>
      <c r="D26" s="70">
        <f>IF(H26=0,wdct(TRIM(C26)),0)</f>
        <v>85</v>
      </c>
      <c r="E26" s="70">
        <f>COUNTIFS('Error Log'!$A:$A,$A26,'Error Log'!$J:$J,E$1)</f>
        <v>5</v>
      </c>
      <c r="F26" s="70">
        <f>COUNTIFS('Error Log'!$A:$A,$A26,'Error Log'!$J:$J,F$1)</f>
        <v>4</v>
      </c>
      <c r="G26" s="70">
        <f>COUNTIFS('Error Log'!$A:$A,$A26,'Error Log'!$J:$J,G$1)</f>
        <v>0</v>
      </c>
      <c r="H26" s="70">
        <f>COUNTIFS('Error Log'!$A:$A,$A26,'Error Log'!$F:$F,"Source")</f>
        <v>0</v>
      </c>
      <c r="I26" s="70">
        <f>COUNTIFS('Error Log'!$A:$A,$A26,'Error Log'!$F:$F,"Target")</f>
        <v>0</v>
      </c>
      <c r="J26" s="71">
        <f t="shared" si="0"/>
        <v>58.82352941176471</v>
      </c>
    </row>
    <row r="27" spans="1:10">
      <c r="A27" s="78" t="s">
        <v>303</v>
      </c>
      <c r="B27" s="70" t="str">
        <f>IF(ISBLANK(A27),"",INDEX('Error Log'!$A:$J,MATCH('Scores per segment'!$A27,'Error Log'!$A:$A,0),MATCH('Scores per segment'!B$1,'Error Log'!$A$1:$J$1,0)))</f>
        <v>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v>
      </c>
      <c r="C27" s="70" t="str">
        <f>IF(ISBLANK(A27),"",INDEX('Error Log'!$A:$J,MATCH('Scores per segment'!$A27,'Error Log'!$A:$A,0),MATCH('Scores per segment'!C$1,'Error Log'!$A$1:$J$1,0)))</f>
        <v>^[[Asent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biggest hike : passengers travelling with the rail firm between london and the cotswolds could face increases of up to 87 per cent come may 17</v>
      </c>
      <c r="D27" s="70">
        <f>IF(H27=0,wdct(TRIM(C27)),0)</f>
        <v>75</v>
      </c>
      <c r="E27" s="70">
        <f>COUNTIFS('Error Log'!$A:$A,$A27,'Error Log'!$J:$J,E$1)</f>
        <v>1</v>
      </c>
      <c r="F27" s="70">
        <f>COUNTIFS('Error Log'!$A:$A,$A27,'Error Log'!$J:$J,F$1)</f>
        <v>1</v>
      </c>
      <c r="G27" s="70">
        <f>COUNTIFS('Error Log'!$A:$A,$A27,'Error Log'!$J:$J,G$1)</f>
        <v>0</v>
      </c>
      <c r="H27" s="70">
        <f>COUNTIFS('Error Log'!$A:$A,$A27,'Error Log'!$F:$F,"Source")</f>
        <v>0</v>
      </c>
      <c r="I27" s="70">
        <f>COUNTIFS('Error Log'!$A:$A,$A27,'Error Log'!$F:$F,"Target")</f>
        <v>0</v>
      </c>
      <c r="J27" s="71">
        <f t="shared" si="0"/>
        <v>90</v>
      </c>
    </row>
    <row r="28" spans="1:10">
      <c r="A28" s="1" t="s">
        <v>308</v>
      </c>
      <c r="B28" s="70" t="str">
        <f>IF(ISBLANK(A28),"",INDEX('Error Log'!$A:$J,MATCH('Scores per segment'!$A28,'Error Log'!$A:$A,0),MATCH('Scores per segment'!B$1,'Error Log'!$A$1:$J$1,0)))</f>
        <v>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v>
      </c>
      <c r="C28" s="70" t="str">
        <f>IF(ISBLANK(A28),"",INDEX('Error Log'!$A:$J,MATCH('Scores per segment'!$A28,'Error Log'!$A:$A,0),MATCH('Scores per segment'!C$1,'Error Log'!$A$1:$J$1,0)))</f>
        <v>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v>
      </c>
      <c r="D28" s="70">
        <f>IF(H28=0,wdct(TRIM(C28)),0)</f>
        <v>82</v>
      </c>
      <c r="E28" s="70">
        <f>COUNTIFS('Error Log'!$A:$A,$A28,'Error Log'!$J:$J,E$1)</f>
        <v>2</v>
      </c>
      <c r="F28" s="70">
        <f>COUNTIFS('Error Log'!$A:$A,$A28,'Error Log'!$J:$J,F$1)</f>
        <v>2</v>
      </c>
      <c r="G28" s="70">
        <f>COUNTIFS('Error Log'!$A:$A,$A28,'Error Log'!$J:$J,G$1)</f>
        <v>0</v>
      </c>
      <c r="H28" s="70">
        <f>COUNTIFS('Error Log'!$A:$A,$A28,'Error Log'!$F:$F,"Source")</f>
        <v>0</v>
      </c>
      <c r="I28" s="70">
        <f>COUNTIFS('Error Log'!$A:$A,$A28,'Error Log'!$F:$F,"Target")</f>
        <v>0</v>
      </c>
      <c r="J28" s="71">
        <f t="shared" si="0"/>
        <v>81.707317073170728</v>
      </c>
    </row>
    <row r="29" spans="1:10">
      <c r="A29" s="78" t="s">
        <v>316</v>
      </c>
      <c r="B29" s="70" t="str">
        <f>IF(ISBLANK(A29),"",INDEX('Error Log'!$A:$J,MATCH('Scores per segment'!$A29,'Error Log'!$A:$A,0),MATCH('Scores per segment'!B$1,'Error Log'!$A$1:$J$1,0)))</f>
        <v>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v>
      </c>
      <c r="C29" s="70" t="str">
        <f>IF(ISBLANK(A29),"",INDEX('Error Log'!$A:$J,MATCH('Scores per segment'!$A29,'Error Log'!$A:$A,0),MATCH('Scores per segment'!C$1,'Error Log'!$A$1:$J$1,0)))</f>
        <v>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v>
      </c>
      <c r="D29" s="70">
        <f>IF(H29=0,wdct(TRIM(C29)),0)</f>
        <v>73</v>
      </c>
      <c r="E29" s="70">
        <f>COUNTIFS('Error Log'!$A:$A,$A29,'Error Log'!$J:$J,E$1)</f>
        <v>2</v>
      </c>
      <c r="F29" s="70">
        <f>COUNTIFS('Error Log'!$A:$A,$A29,'Error Log'!$J:$J,F$1)</f>
        <v>2</v>
      </c>
      <c r="G29" s="70">
        <f>COUNTIFS('Error Log'!$A:$A,$A29,'Error Log'!$J:$J,G$1)</f>
        <v>0</v>
      </c>
      <c r="H29" s="70">
        <f>COUNTIFS('Error Log'!$A:$A,$A29,'Error Log'!$F:$F,"Source")</f>
        <v>0</v>
      </c>
      <c r="I29" s="70">
        <f>COUNTIFS('Error Log'!$A:$A,$A29,'Error Log'!$F:$F,"Target")</f>
        <v>0</v>
      </c>
      <c r="J29" s="71">
        <f t="shared" si="0"/>
        <v>79.452054794520549</v>
      </c>
    </row>
    <row r="30" spans="1:10">
      <c r="A30" s="1" t="s">
        <v>324</v>
      </c>
      <c r="B30" s="70" t="str">
        <f>IF(ISBLANK(A30),"",INDEX('Error Log'!$A:$J,MATCH('Scores per segment'!$A30,'Error Log'!$A:$A,0),MATCH('Scores per segment'!B$1,'Error Log'!$A$1:$J$1,0)))</f>
        <v>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v>
      </c>
      <c r="C30" s="70" t="str">
        <f>IF(ISBLANK(A30),"",INDEX('Error Log'!$A:$J,MATCH('Scores per segment'!$A30,'Error Log'!$A:$A,0),MATCH('Scores per segment'!C$1,'Error Log'!$A$1:$J$1,0)))</f>
        <v>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v>
      </c>
      <c r="D30" s="70">
        <f>IF(H30=0,wdct(TRIM(C30)),0)</f>
        <v>61</v>
      </c>
      <c r="E30" s="70">
        <f>COUNTIFS('Error Log'!$A:$A,$A30,'Error Log'!$J:$J,E$1)</f>
        <v>1</v>
      </c>
      <c r="F30" s="70">
        <f>COUNTIFS('Error Log'!$A:$A,$A30,'Error Log'!$J:$J,F$1)</f>
        <v>3</v>
      </c>
      <c r="G30" s="70">
        <f>COUNTIFS('Error Log'!$A:$A,$A30,'Error Log'!$J:$J,G$1)</f>
        <v>0</v>
      </c>
      <c r="H30" s="70">
        <f>COUNTIFS('Error Log'!$A:$A,$A30,'Error Log'!$F:$F,"Source")</f>
        <v>0</v>
      </c>
      <c r="I30" s="70">
        <f>COUNTIFS('Error Log'!$A:$A,$A30,'Error Log'!$F:$F,"Target")</f>
        <v>0</v>
      </c>
      <c r="J30" s="71">
        <f t="shared" si="0"/>
        <v>79.508196721311478</v>
      </c>
    </row>
    <row r="31" spans="1:10">
      <c r="A31" s="1" t="s">
        <v>332</v>
      </c>
      <c r="B31" s="70" t="str">
        <f>IF(ISBLANK(A31),"",INDEX('Error Log'!$A:$J,MATCH('Scores per segment'!$A31,'Error Log'!$A:$A,0),MATCH('Scores per segment'!B$1,'Error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v>
      </c>
      <c r="C31" s="70" t="str">
        <f>IF(ISBLANK(A31),"",INDEX('Error Log'!$A:$J,MATCH('Scores per segment'!$A31,'Error Log'!$A:$A,0),MATCH('Scores per segment'!C$1,'Error Log'!$A$1:$J$1,0)))</f>
        <v xml:space="preserve">derbyshire wicketkeeper tom poynton has been rewarded for his successful return from injury 
he will be available for the start of the season and has now committed himself to the county until the end of the 2016 season . 
` he has worked tirelessly both in training and in his off-the-field role to prepare him for his return and everyone at the club is delighted to see him back on the field playing for derbyshire . </v>
      </c>
      <c r="D31" s="70">
        <f>IF(H31=0,wdct(TRIM(C31)),0)</f>
        <v>73</v>
      </c>
      <c r="E31" s="70">
        <f>COUNTIFS('Error Log'!$A:$A,$A31,'Error Log'!$J:$J,E$1)</f>
        <v>1</v>
      </c>
      <c r="F31" s="70">
        <f>COUNTIFS('Error Log'!$A:$A,$A31,'Error Log'!$J:$J,F$1)</f>
        <v>1</v>
      </c>
      <c r="G31" s="70">
        <f>COUNTIFS('Error Log'!$A:$A,$A31,'Error Log'!$J:$J,G$1)</f>
        <v>0</v>
      </c>
      <c r="H31" s="70">
        <f>COUNTIFS('Error Log'!$A:$A,$A31,'Error Log'!$F:$F,"Source")</f>
        <v>0</v>
      </c>
      <c r="I31" s="70">
        <f>COUNTIFS('Error Log'!$A:$A,$A31,'Error Log'!$F:$F,"Target")</f>
        <v>0</v>
      </c>
      <c r="J31" s="71">
        <f t="shared" si="0"/>
        <v>89.726027397260282</v>
      </c>
    </row>
    <row r="32" spans="1:10">
      <c r="A32" s="78" t="s">
        <v>337</v>
      </c>
      <c r="B32" s="70" t="str">
        <f>IF(ISBLANK(A32),"",INDEX('Error Log'!$A:$J,MATCH('Scores per segment'!$A32,'Error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 curry ( centre ) hit eight three-pointers to to eclipse his previous nba best of 272 made in a single season .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 point guard derrick rose ( right ) scored 12 points for the bulls as he continued his comeback from injury .</v>
      </c>
      <c r="C32" s="70" t="str">
        <f>IF(ISBLANK(A32),"",INDEX('Error Log'!$A:$J,MATCH('Scores per segment'!$A32,'Error Log'!$A:$A,0),MATCH('Scores per segment'!C$1,'Error Log'!$A$1:$J$1,0)))</f>
        <v xml:space="preserve">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v>
      </c>
      <c r="D32" s="70">
        <f>IF(H32=0,wdct(TRIM(C32)),0)</f>
        <v>64</v>
      </c>
      <c r="E32" s="70">
        <f>COUNTIFS('Error Log'!$A:$A,$A32,'Error Log'!$J:$J,E$1)</f>
        <v>2</v>
      </c>
      <c r="F32" s="70">
        <f>COUNTIFS('Error Log'!$A:$A,$A32,'Error Log'!$J:$J,F$1)</f>
        <v>1</v>
      </c>
      <c r="G32" s="70">
        <f>COUNTIFS('Error Log'!$A:$A,$A32,'Error Log'!$J:$J,G$1)</f>
        <v>0</v>
      </c>
      <c r="H32" s="70">
        <f>COUNTIFS('Error Log'!$A:$A,$A32,'Error Log'!$F:$F,"Source")</f>
        <v>0</v>
      </c>
      <c r="I32" s="70">
        <f>COUNTIFS('Error Log'!$A:$A,$A32,'Error Log'!$F:$F,"Target")</f>
        <v>0</v>
      </c>
      <c r="J32" s="71">
        <f t="shared" si="0"/>
        <v>80.46875</v>
      </c>
    </row>
    <row r="33" spans="1:10">
      <c r="A33" s="1" t="s">
        <v>343</v>
      </c>
      <c r="B33" s="70" t="str">
        <f>IF(ISBLANK(A33),"",INDEX('Error Log'!$A:$J,MATCH('Scores per segment'!$A33,'Error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 mcgregor ( left ) poses in the shop with a fan shortly after having his tattoo on his stomach done . mcgregor is challenging jose aldo for his featherweight champion title in las vegas on july 11 .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 mcgregor claims he has greater motivation to win the title than aldo has to defend it for the eighth time .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33" s="70" t="str">
        <f>IF(ISBLANK(A33),"",INDEX('Error Log'!$A:$J,MATCH('Scores per segment'!$A33,'Error Log'!$A:$A,0),MATCH('Scores per segment'!C$1,'Error Log'!$A$1:$J$1,0)))</f>
        <v>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v>
      </c>
      <c r="D33" s="70">
        <f>IF(H33=0,wdct(TRIM(C33)),0)</f>
        <v>50</v>
      </c>
      <c r="E33" s="70">
        <f>COUNTIFS('Error Log'!$A:$A,$A33,'Error Log'!$J:$J,E$1)</f>
        <v>1</v>
      </c>
      <c r="F33" s="70">
        <f>COUNTIFS('Error Log'!$A:$A,$A33,'Error Log'!$J:$J,F$1)</f>
        <v>1</v>
      </c>
      <c r="G33" s="70">
        <f>COUNTIFS('Error Log'!$A:$A,$A33,'Error Log'!$J:$J,G$1)</f>
        <v>0</v>
      </c>
      <c r="H33" s="70">
        <f>COUNTIFS('Error Log'!$A:$A,$A33,'Error Log'!$F:$F,"Source")</f>
        <v>0</v>
      </c>
      <c r="I33" s="70">
        <f>COUNTIFS('Error Log'!$A:$A,$A33,'Error Log'!$F:$F,"Target")</f>
        <v>0</v>
      </c>
      <c r="J33" s="71">
        <f t="shared" si="0"/>
        <v>85</v>
      </c>
    </row>
    <row r="34" spans="1:10">
      <c r="A34" s="1" t="s">
        <v>348</v>
      </c>
      <c r="B34" s="70" t="str">
        <f>IF(ISBLANK(A34),"",INDEX('Error Log'!$A:$J,MATCH('Scores per segment'!$A34,'Error Log'!$A:$A,0),MATCH('Scores per segment'!B$1,'Error Log'!$A$1:$J$1,0)))</f>
        <v xml:space="preserve">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 van velzen lines up his first free-kick of the day as the liverpool stars watch on . balotelli and lambert watch as van velzen showcases his dead-ball skills at melwood . the stand-in keeper was helpless as the youtube star 's strike sailed into the top corner . after a poor first effort , balotelli sends a perfectly-executed free-kick into the top corner . balotelli looks pleased with his effort as markovic ( left ) and van velzen wait for their turn .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 balotelli wore his famous t-shirt during manchester city 's 6-1 win over united in october 2011 . </v>
      </c>
      <c r="C34" s="70" t="str">
        <f>IF(ISBLANK(A34),"",INDEX('Error Log'!$A:$J,MATCH('Scores per segment'!$A34,'Error Log'!$A:$A,0),MATCH('Scores per segment'!C$1,'Error Log'!$A$1:$J$1,0)))</f>
        <v xml:space="preserve">( left to right ) rickie lambert , fabio borini , lazar markovic and mario balotelli meet bas van velzen 
van velzen lines up his first free-kick of the day as the liverpool stars watch on 
balotelli and lambert watch as van velzen showcases his dead-ball skills at melwood </v>
      </c>
      <c r="D34" s="70">
        <f>IF(H34=0,wdct(TRIM(C34)),0)</f>
        <v>45</v>
      </c>
      <c r="E34" s="70">
        <f>COUNTIFS('Error Log'!$A:$A,$A34,'Error Log'!$J:$J,E$1)</f>
        <v>3</v>
      </c>
      <c r="F34" s="70">
        <f>COUNTIFS('Error Log'!$A:$A,$A34,'Error Log'!$J:$J,F$1)</f>
        <v>1</v>
      </c>
      <c r="G34" s="70">
        <f>COUNTIFS('Error Log'!$A:$A,$A34,'Error Log'!$J:$J,G$1)</f>
        <v>0</v>
      </c>
      <c r="H34" s="70">
        <f>COUNTIFS('Error Log'!$A:$A,$A34,'Error Log'!$F:$F,"Source")</f>
        <v>0</v>
      </c>
      <c r="I34" s="70">
        <f>COUNTIFS('Error Log'!$A:$A,$A34,'Error Log'!$F:$F,"Target")</f>
        <v>0</v>
      </c>
      <c r="J34" s="71">
        <f t="shared" si="0"/>
        <v>61.111111111111114</v>
      </c>
    </row>
    <row r="35" spans="1:10">
      <c r="A35" s="78" t="s">
        <v>356</v>
      </c>
      <c r="B35" s="70" t="str">
        <f>IF(ISBLANK(A35),"",INDEX('Error Log'!$A:$J,MATCH('Scores per segment'!$A35,'Error Log'!$A:$A,0),MATCH('Scores per segment'!B$1,'Error Log'!$A$1:$J$1,0)))</f>
        <v>tony abbott may have thrilled players at an australian rules function by skolling a beer but he’s drawn the ire of anti-drinking campaigners who claim he’s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isn’t about socialising with friends , it’s about how quickly and how much you can drink , ’ she said . scroll down for video . australian prime minister tony abbott was cheered on by a crowd of about 50 as he skolled a schooner of beer . mr abbott came under fire after the incident as anti-drinking campaigners said he was glorifying binge drinking . ‘ it sets up a culture that drinking isn’t about socialising with friends , it’s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abbott’s learning to drink beer without adding lemonade to it ' . mr abbott was labelled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 it appeared to take the prime minister about six seconds to down the schooner , as players cheered and chanted ' skol ' and ' tony '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don’t necessarily think it’s a partisan thing but i do think the climate has changed and we didn’t [ used to ] have the concern over binge drinking that we do now , ' she said . mr abbott was asked to have a drink by university of technology sydney bats coach simon carradous , and the prime minister happily obliged . ' he drank the entire schooner , dribbling bits on his shirt ... he was proud as punch , ' a witness said .</v>
      </c>
      <c r="C35" s="70" t="str">
        <f>IF(ISBLANK(A35),"",INDEX('Error Log'!$A:$J,MATCH('Scores per segment'!$A35,'Error Log'!$A:$A,0),MATCH('Scores per segment'!C$1,'Error Log'!$A$1:$J$1,0)))</f>
        <v xml:space="preserve">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v>
      </c>
      <c r="D35" s="70">
        <f>IF(H35=0,wdct(TRIM(C35)),0)</f>
        <v>69</v>
      </c>
      <c r="E35" s="70">
        <f>COUNTIFS('Error Log'!$A:$A,$A35,'Error Log'!$J:$J,E$1)</f>
        <v>2</v>
      </c>
      <c r="F35" s="70">
        <f>COUNTIFS('Error Log'!$A:$A,$A35,'Error Log'!$J:$J,F$1)</f>
        <v>2</v>
      </c>
      <c r="G35" s="70">
        <f>COUNTIFS('Error Log'!$A:$A,$A35,'Error Log'!$J:$J,G$1)</f>
        <v>0</v>
      </c>
      <c r="H35" s="70">
        <f>COUNTIFS('Error Log'!$A:$A,$A35,'Error Log'!$F:$F,"Source")</f>
        <v>0</v>
      </c>
      <c r="I35" s="70">
        <f>COUNTIFS('Error Log'!$A:$A,$A35,'Error Log'!$F:$F,"Target")</f>
        <v>0</v>
      </c>
      <c r="J35" s="71">
        <f t="shared" si="0"/>
        <v>78.260869565217391</v>
      </c>
    </row>
    <row r="36" spans="1:10">
      <c r="A36" s="78" t="s">
        <v>364</v>
      </c>
      <c r="B36" s="70" t="str">
        <f>IF(ISBLANK(A36),"",INDEX('Error Log'!$A:$J,MATCH('Scores per segment'!$A36,'Error Log'!$A:$A,0),MATCH('Scores per segment'!B$1,'Error Log'!$A$1:$J$1,0)))</f>
        <v xml:space="preserve">carriers of the brca1 gene , like hollywood star angelina jolie , can reduce their risk of death once they have been diagnosed with breast cancer by having their ovaries removed .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source : breast cancer campaign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 </v>
      </c>
      <c r="C36" s="70" t="str">
        <f>IF(ISBLANK(A36),"",INDEX('Error Log'!$A:$J,MATCH('Scores per segment'!$A36,'Error Log'!$A:$A,0),MATCH('Scores per segment'!C$1,'Error Log'!$A$1:$J$1,0)))</f>
        <v>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dr steven narod , of the women 's college research institute , toronto , called for follow-up studies on women who undergo oophorectomy as part of their initial treatment , in particular , those who had the surgery within</v>
      </c>
      <c r="D36" s="70">
        <f>IF(H36=0,wdct(TRIM(C36)),0)</f>
        <v>92</v>
      </c>
      <c r="E36" s="70">
        <f>COUNTIFS('Error Log'!$A:$A,$A36,'Error Log'!$J:$J,E$1)</f>
        <v>4</v>
      </c>
      <c r="F36" s="70">
        <f>COUNTIFS('Error Log'!$A:$A,$A36,'Error Log'!$J:$J,F$1)</f>
        <v>1</v>
      </c>
      <c r="G36" s="70">
        <f>COUNTIFS('Error Log'!$A:$A,$A36,'Error Log'!$J:$J,G$1)</f>
        <v>0</v>
      </c>
      <c r="H36" s="70">
        <f>COUNTIFS('Error Log'!$A:$A,$A36,'Error Log'!$F:$F,"Source")</f>
        <v>0</v>
      </c>
      <c r="I36" s="70">
        <f>COUNTIFS('Error Log'!$A:$A,$A36,'Error Log'!$F:$F,"Target")</f>
        <v>0</v>
      </c>
      <c r="J36" s="71">
        <f t="shared" si="0"/>
        <v>75.543478260869563</v>
      </c>
    </row>
    <row r="37" spans="1:10">
      <c r="A37" s="78" t="s">
        <v>373</v>
      </c>
      <c r="B37" s="70" t="str">
        <f>IF(ISBLANK(A37),"",INDEX('Error Log'!$A:$J,MATCH('Scores per segment'!$A37,'Error Log'!$A:$A,0),MATCH('Scores per segment'!B$1,'Error Log'!$A$1:$J$1,0)))</f>
        <v xml:space="preserve">indiana has seen a ' significant increase ' in the number of cases of hiv more than two weeks into a short-term needle exchange program approved by gov .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scroll down for video . more than two weeks into a short-term needle exchange program approved by gov . mike pence , there are now 120 confirmed hiv cases and 10 preliminary positive cases tied to scott county , about 30 miles north of louisville , kentucky .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 mike pence in an attempt to curb the state 's largest-ever hiv outbreak .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v>
      </c>
      <c r="C37" s="70" t="str">
        <f>IF(ISBLANK(A37),"",INDEX('Error Log'!$A:$J,MATCH('Scores per segment'!$A37,'Error Log'!$A:$A,0),MATCH('Scores per segment'!C$1,'Error Log'!$A$1:$J$1,0)))</f>
        <v>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nor was he sure whether the senate would support legislation sponsored by house public health committee chairman ed clere , r-new albany , that would allow the 23 indiana counties with the highest rate-per-population of hepatitis c to establish their own needle-exchange programs</v>
      </c>
      <c r="D37" s="70">
        <f>IF(H37=0,wdct(TRIM(C37)),0)</f>
        <v>94</v>
      </c>
      <c r="E37" s="70">
        <f>COUNTIFS('Error Log'!$A:$A,$A37,'Error Log'!$J:$J,E$1)</f>
        <v>3</v>
      </c>
      <c r="F37" s="70">
        <f>COUNTIFS('Error Log'!$A:$A,$A37,'Error Log'!$J:$J,F$1)</f>
        <v>2</v>
      </c>
      <c r="G37" s="70">
        <f>COUNTIFS('Error Log'!$A:$A,$A37,'Error Log'!$J:$J,G$1)</f>
        <v>0</v>
      </c>
      <c r="H37" s="70">
        <f>COUNTIFS('Error Log'!$A:$A,$A37,'Error Log'!$F:$F,"Source")</f>
        <v>0</v>
      </c>
      <c r="I37" s="70">
        <f>COUNTIFS('Error Log'!$A:$A,$A37,'Error Log'!$F:$F,"Target")</f>
        <v>0</v>
      </c>
      <c r="J37" s="71">
        <f t="shared" si="0"/>
        <v>78.723404255319153</v>
      </c>
    </row>
    <row r="38" spans="1:10">
      <c r="A38" s="78" t="s">
        <v>382</v>
      </c>
      <c r="B38" s="70" t="str">
        <f>IF(ISBLANK(A38),"",INDEX('Error Log'!$A:$J,MATCH('Scores per segment'!$A38,'Error Log'!$A:$A,0),MATCH('Scores per segment'!B$1,'Error Log'!$A$1:$J$1,0)))</f>
        <v>police in north carolina say a married couple is dead after an amtrak train hit them on easter morning as they lingered on the tracks . derek lowe , 38 , and tina lowe , 33 , were hit shortly before 10am on sunday in durham by a train heading north . amtrak spokesman marc magliari said train no . 80 , the carolinian , was headed from charlotte to new york city when the accident occurred on property owned by norfolk-southern . scroll down for video . derek lowe , 38 , and tina lowe , 33 , were struck and killed by an amtrak train shortly before 10am on easter sunday in durham , north carolina . authorities say none of the 166 passengers on the train were injured , although a man who fell ill during the delay did receive treatment .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v>
      </c>
      <c r="C38" s="70" t="str">
        <f>IF(ISBLANK(A38),"",INDEX('Error Log'!$A:$J,MATCH('Scores per segment'!$A38,'Error Log'!$A:$A,0),MATCH('Scores per segment'!C$1,'Error Log'!$A$1:$J$1,0)))</f>
        <v xml:space="preserve">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v>
      </c>
      <c r="D38" s="70">
        <f>IF(H38=0,wdct(TRIM(C38)),0)</f>
        <v>61</v>
      </c>
      <c r="E38" s="70">
        <f>COUNTIFS('Error Log'!$A:$A,$A38,'Error Log'!$J:$J,E$1)</f>
        <v>3</v>
      </c>
      <c r="F38" s="70">
        <f>COUNTIFS('Error Log'!$A:$A,$A38,'Error Log'!$J:$J,F$1)</f>
        <v>0</v>
      </c>
      <c r="G38" s="70">
        <f>COUNTIFS('Error Log'!$A:$A,$A38,'Error Log'!$J:$J,G$1)</f>
        <v>0</v>
      </c>
      <c r="H38" s="70">
        <f>COUNTIFS('Error Log'!$A:$A,$A38,'Error Log'!$F:$F,"Source")</f>
        <v>0</v>
      </c>
      <c r="I38" s="70">
        <f>COUNTIFS('Error Log'!$A:$A,$A38,'Error Log'!$F:$F,"Target")</f>
        <v>0</v>
      </c>
      <c r="J38" s="71">
        <f t="shared" si="0"/>
        <v>75.409836065573771</v>
      </c>
    </row>
    <row r="39" spans="1:10">
      <c r="A39" s="78" t="s">
        <v>389</v>
      </c>
      <c r="B39" s="70" t="str">
        <f>IF(ISBLANK(A39),"",INDEX('Error Log'!$A:$J,MATCH('Scores per segment'!$A39,'Error Log'!$A:$A,0),MATCH('Scores per segment'!B$1,'Error Log'!$A$1:$J$1,0)))</f>
        <v>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 saskiaisabxlla , commenting ' boyfriend made me take an @ arsenal exam ! ' with emoticons showing she did n't know whether to laugh or cry . we do n't blame her . saskia 's football fan boyfriend made her take an arsenal test and did n't dump her thanks to her a grade .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a ) olivier giroud . b ) santi cazorla . c ) aaron ramsey . d ) per mertesacker . why are arsenal the best team to ever grace english football ? questions put to her in the test included : ' what was the scoreline for the 2014 fa cup final vs hull city ?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tut tut . she scored some decent points for her more creative answers . asked to explain why alexis sanchez is better than eden hazard in her own words , she wrote , ' sanchez is buff , scores lots of goals , hazard is a p***k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doh ! saskia struggled to name all 11 players of the starting squad and got confused on the player positions . saskia 's boyfriend drew an angry face when she got a question wrong - this man means business .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 scoring 87 % , football fans were impressed with saskia , claiming her as ' proper gf material ' . may men felt inspired , with @ lewisxweeked warning his girlfriend to ' get revising ' . indeed , @ gstarrs85 congratulated saskia and stating that she was ' proper gf material ' . plenty of men felt inspired by the post , with @ lewisxweekes telling his girlfriend @ laycijade to ' get revising ' and @ digsxiii crying ' where can i get this test from ? ' others , though , felt that the boyfriend had taken things a tad too far . @ gunsaured11 stated ' football fans are nuts ' , and @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 eduardo claims ' football fans are nuts ' despite appearing to be one as he holds what looks suspiciously like the fa cup in his hands ... some thought saskia 's boyfriend took things too far with @ dcslfc creatively naming him a 'biff-head '</v>
      </c>
      <c r="C39" s="70" t="str">
        <f>IF(ISBLANK(A39),"",INDEX('Error Log'!$A:$J,MATCH('Scores per segment'!$A39,'Error Log'!$A:$A,0),MATCH('Scores per segment'!C$1,'Error Log'!$A$1:$J$1,0)))</f>
        <v xml:space="preserve">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v>
      </c>
      <c r="D39" s="70">
        <f>IF(H39=0,wdct(TRIM(C39)),0)</f>
        <v>52</v>
      </c>
      <c r="E39" s="70">
        <f>COUNTIFS('Error Log'!$A:$A,$A39,'Error Log'!$J:$J,E$1)</f>
        <v>3</v>
      </c>
      <c r="F39" s="70">
        <f>COUNTIFS('Error Log'!$A:$A,$A39,'Error Log'!$J:$J,F$1)</f>
        <v>3</v>
      </c>
      <c r="G39" s="70">
        <f>COUNTIFS('Error Log'!$A:$A,$A39,'Error Log'!$J:$J,G$1)</f>
        <v>0</v>
      </c>
      <c r="H39" s="70">
        <f>COUNTIFS('Error Log'!$A:$A,$A39,'Error Log'!$F:$F,"Source")</f>
        <v>0</v>
      </c>
      <c r="I39" s="70">
        <f>COUNTIFS('Error Log'!$A:$A,$A39,'Error Log'!$F:$F,"Target")</f>
        <v>0</v>
      </c>
      <c r="J39" s="71">
        <f t="shared" si="0"/>
        <v>56.730769230769226</v>
      </c>
    </row>
    <row r="40" spans="1:10">
      <c r="A40" s="1" t="s">
        <v>399</v>
      </c>
      <c r="B40" s="70" t="str">
        <f>IF(ISBLANK(A40),"",INDEX('Error Log'!$A:$J,MATCH('Scores per segment'!$A40,'Error Log'!$A:$A,0),MATCH('Scores per segment'!B$1,'Error Log'!$A$1:$J$1,0)))</f>
        <v xml:space="preserve">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scroll down for video . carlos toro , seen in 1982 , is facing deportation from the united states after working for the dea for 27 years . toro , 66 , was one of the dea 's strongest assets and helped carry out undercover stings around the world . carlos lehder rivas of colombia was taken down thanks in part to former medellin cartel member toro .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but i atoned . ' many times over , i atoned . ' all i want now is what they promised me . '  </v>
      </c>
      <c r="C40" s="70" t="str">
        <f>IF(ISBLANK(A40),"",INDEX('Error Log'!$A:$J,MATCH('Scores per segment'!$A40,'Error Log'!$A:$A,0),MATCH('Scores per segment'!C$1,'Error Log'!$A$1:$J$1,0)))</f>
        <v xml:space="preserve">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v>
      </c>
      <c r="D40" s="70">
        <f>IF(H40=0,wdct(TRIM(C40)),0)</f>
        <v>56</v>
      </c>
      <c r="E40" s="70">
        <f>COUNTIFS('Error Log'!$A:$A,$A40,'Error Log'!$J:$J,E$1)</f>
        <v>3</v>
      </c>
      <c r="F40" s="70">
        <f>COUNTIFS('Error Log'!$A:$A,$A40,'Error Log'!$J:$J,F$1)</f>
        <v>1</v>
      </c>
      <c r="G40" s="70">
        <f>COUNTIFS('Error Log'!$A:$A,$A40,'Error Log'!$J:$J,G$1)</f>
        <v>0</v>
      </c>
      <c r="H40" s="70">
        <f>COUNTIFS('Error Log'!$A:$A,$A40,'Error Log'!$F:$F,"Source")</f>
        <v>0</v>
      </c>
      <c r="I40" s="70">
        <f>COUNTIFS('Error Log'!$A:$A,$A40,'Error Log'!$F:$F,"Target")</f>
        <v>0</v>
      </c>
      <c r="J40" s="71">
        <f t="shared" si="0"/>
        <v>68.75</v>
      </c>
    </row>
    <row r="41" spans="1:10">
      <c r="A41" s="1" t="s">
        <v>407</v>
      </c>
      <c r="B41" s="70" t="str">
        <f>IF(ISBLANK(A41),"",INDEX('Error Log'!$A:$J,MATCH('Scores per segment'!$A41,'Error Log'!$A:$A,0),MATCH('Scores per segment'!B$1,'Error Log'!$A$1:$J$1,0)))</f>
        <v xml:space="preserve">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scroll down for video . carlos toro , seen in 1982 , is facing deportation from the united states after working for the dea for 27 years . toro , 66 , was one of the dea 's strongest assets and helped carry out undercover stings around the world . carlos lehder rivas of colombia was taken down thanks in part to former medellin cartel member toro .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but i atoned . ' many times over , i atoned . ' all i want now is what they promised me . '  </v>
      </c>
      <c r="C41" s="70" t="str">
        <f>IF(ISBLANK(A41),"",INDEX('Error Log'!$A:$J,MATCH('Scores per segment'!$A41,'Error Log'!$A:$A,0),MATCH('Scores per segment'!C$1,'Error Log'!$A$1:$J$1,0)))</f>
        <v>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muliaina is led away by police following his side 's 14-7 defeat by gloucester on friday night</v>
      </c>
      <c r="D41" s="70">
        <f>IF(H41=0,wdct(TRIM(C41)),0)</f>
        <v>81</v>
      </c>
      <c r="E41" s="70">
        <f>COUNTIFS('Error Log'!$A:$A,$A41,'Error Log'!$J:$J,E$1)</f>
        <v>3</v>
      </c>
      <c r="F41" s="70">
        <f>COUNTIFS('Error Log'!$A:$A,$A41,'Error Log'!$J:$J,F$1)</f>
        <v>1</v>
      </c>
      <c r="G41" s="70">
        <f>COUNTIFS('Error Log'!$A:$A,$A41,'Error Log'!$J:$J,G$1)</f>
        <v>0</v>
      </c>
      <c r="H41" s="70">
        <f>COUNTIFS('Error Log'!$A:$A,$A41,'Error Log'!$F:$F,"Source")</f>
        <v>0</v>
      </c>
      <c r="I41" s="70">
        <f>COUNTIFS('Error Log'!$A:$A,$A41,'Error Log'!$F:$F,"Target")</f>
        <v>0</v>
      </c>
      <c r="J41" s="71">
        <f t="shared" si="0"/>
        <v>78.395061728395063</v>
      </c>
    </row>
    <row r="42" spans="1:10">
      <c r="A42" s="78" t="s">
        <v>414</v>
      </c>
      <c r="B42" s="70" t="str">
        <f>IF(ISBLANK(A42),"",INDEX('Error Log'!$A:$J,MATCH('Scores per segment'!$A42,'Error Log'!$A:$A,0),MATCH('Scores per segment'!B$1,'Error Log'!$A$1:$J$1,0)))</f>
        <v>the us body that regulates internet addresses is looking to crack down on a canadian company using the new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'.sucks ' domain taken down . kevin spacey is reportedly among celebrities paying out to have their name removed from one of the '.sucks ' domains which opened on 30 march . taylor swift has also had to spend defensively in the past to remove her name from '.porn ' and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'.us . ' but it is backtracking after an advisory panel made up of industry groups and companies like microsoft , verizon and ebay complained last month . vox populi began accepting registrations using '.sucks ' on march 30 from trademark holders and celebrities before it is released to public applicants . taylor swift has also had to spend defensively in the past to remove her name from '.porn ' and '.adult ' domains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'.sucks , ' calling it a ' shakedown scheme ' and ' predatory . ' companies like godaddy.com register some domain names for just $ 1 a year , and vox populi will offer consumers the right to secure a '.sucks ' address for just $ 10 a year starting in september . the advisory body says that the threat of opening a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'.sucks ' site to the average consumer later is ' an essential element of vox populi 's coercive scheme .</v>
      </c>
      <c r="C42" s="70" t="str">
        <f>IF(ISBLANK(A42),"",INDEX('Error Log'!$A:$J,MATCH('Scores per segment'!$A42,'Error Log'!$A:$A,0),MATCH('Scores per segment'!C$1,'Error Log'!$A$1:$J$1,0)))</f>
        <v>the internet corporation for assigned names and numbers , or ` icann , ' sent a letter on thursday to the u.s. federal trade commission and canada 's office of consumer affairs to see if the actions of company vox populi registry ltd. were illegal . 
icann said in its letter that if canadian or u.s. regulators find vox populi 's actions are illegal , it could declare the company in breach of its contract and seek to change the registry 's behavior . 
berard has said the domain name is meant to create destinations for companies to interact with</v>
      </c>
      <c r="D42" s="70">
        <f>IF(H42=0,wdct(TRIM(C42)),0)</f>
        <v>95</v>
      </c>
      <c r="E42" s="70">
        <f>COUNTIFS('Error Log'!$A:$A,$A42,'Error Log'!$J:$J,E$1)</f>
        <v>4</v>
      </c>
      <c r="F42" s="70">
        <f>COUNTIFS('Error Log'!$A:$A,$A42,'Error Log'!$J:$J,F$1)</f>
        <v>1</v>
      </c>
      <c r="G42" s="70">
        <f>COUNTIFS('Error Log'!$A:$A,$A42,'Error Log'!$J:$J,G$1)</f>
        <v>0</v>
      </c>
      <c r="H42" s="70">
        <f>COUNTIFS('Error Log'!$A:$A,$A42,'Error Log'!$F:$F,"Source")</f>
        <v>0</v>
      </c>
      <c r="I42" s="70">
        <f>COUNTIFS('Error Log'!$A:$A,$A42,'Error Log'!$F:$F,"Target")</f>
        <v>0</v>
      </c>
      <c r="J42" s="71">
        <f t="shared" si="0"/>
        <v>76.31578947368422</v>
      </c>
    </row>
    <row r="43" spans="1:10">
      <c r="A43" s="1" t="s">
        <v>423</v>
      </c>
      <c r="B43" s="70" t="str">
        <f>IF(ISBLANK(A43),"",INDEX('Error Log'!$A:$J,MATCH('Scores per segment'!$A43,'Error Log'!$A:$A,0),MATCH('Scores per segment'!B$1,'Error Log'!$A$1:$J$1,0)))</f>
        <v>a teenager set herself on fire after allegedly being raped by five men from her village in india – and her family reportedly told her to keep quiet about the attack . the 14-year-old is now fighting for her life in delhi’s safdarjung hospital with 70 per cent burns . she was allegedly gang-raped on sunday when she went outside her house in kosi kalan , in uttar pradesh 's mathura district , to relieve herself . scroll down for video . a teenager set herself on fire after allegedly being raped by five men from her village in india . she is now recovering in delhi’s safdarjung hospital ( pictured ) . she was allegedly gang-raped on sunday when she went outside her house in kosi kalan , in uttar pradesh 's mathura district , to relieve herself ( file image )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v>
      </c>
      <c r="C43" s="70" t="str">
        <f>IF(ISBLANK(A43),"",INDEX('Error Log'!$A:$J,MATCH('Scores per segment'!$A43,'Error Log'!$A:$A,0),MATCH('Scores per segment'!C$1,'Error Log'!$A$1:$J$1,0)))</f>
        <v>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v>
      </c>
      <c r="D43" s="70">
        <f>IF(H43=0,wdct(TRIM(C43)),0)</f>
        <v>59</v>
      </c>
      <c r="E43" s="70">
        <f>COUNTIFS('Error Log'!$A:$A,$A43,'Error Log'!$J:$J,E$1)</f>
        <v>0</v>
      </c>
      <c r="F43" s="70">
        <f>COUNTIFS('Error Log'!$A:$A,$A43,'Error Log'!$J:$J,F$1)</f>
        <v>4</v>
      </c>
      <c r="G43" s="70">
        <f>COUNTIFS('Error Log'!$A:$A,$A43,'Error Log'!$J:$J,G$1)</f>
        <v>0</v>
      </c>
      <c r="H43" s="70">
        <f>COUNTIFS('Error Log'!$A:$A,$A43,'Error Log'!$F:$F,"Source")</f>
        <v>0</v>
      </c>
      <c r="I43" s="70">
        <f>COUNTIFS('Error Log'!$A:$A,$A43,'Error Log'!$F:$F,"Target")</f>
        <v>0</v>
      </c>
      <c r="J43" s="71">
        <f t="shared" si="0"/>
        <v>83.050847457627128</v>
      </c>
    </row>
    <row r="44" spans="1:10">
      <c r="A44" s="78" t="s">
        <v>431</v>
      </c>
      <c r="B44" s="70" t="str">
        <f>IF(ISBLANK(A44),"",INDEX('Error Log'!$A:$J,MATCH('Scores per segment'!$A44,'Error Log'!$A:$A,0),MATCH('Scores per segment'!B$1,'Error Log'!$A$1:$J$1,0)))</f>
        <v>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scroll down for video . unsolved case : a police officer searches windmill pit , the norfolk pond where the baby boy 's body was found back in 1988 . the boy 's body was exhumed by officers as part of a case review , with dna samples leading police to the boy 's mother . he has now been reburied at weasenham st peter church , norfolk .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v>
      </c>
      <c r="C44" s="70" t="str">
        <f>IF(ISBLANK(A44),"",INDEX('Error Log'!$A:$J,MATCH('Scores per segment'!$A44,'Error Log'!$A:$A,0),MATCH('Scores per segment'!C$1,'Error Log'!$A$1:$J$1,0)))</f>
        <v xml:space="preserve">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a report in the eastern daily press from 1988 tells how the body was found floating on the pond </v>
      </c>
      <c r="D44" s="70">
        <f>IF(H44=0,wdct(TRIM(C44)),0)</f>
        <v>70</v>
      </c>
      <c r="E44" s="70">
        <f>COUNTIFS('Error Log'!$A:$A,$A44,'Error Log'!$J:$J,E$1)</f>
        <v>4</v>
      </c>
      <c r="F44" s="70">
        <f>COUNTIFS('Error Log'!$A:$A,$A44,'Error Log'!$J:$J,F$1)</f>
        <v>3</v>
      </c>
      <c r="G44" s="70">
        <f>COUNTIFS('Error Log'!$A:$A,$A44,'Error Log'!$J:$J,G$1)</f>
        <v>0</v>
      </c>
      <c r="H44" s="70">
        <f>COUNTIFS('Error Log'!$A:$A,$A44,'Error Log'!$F:$F,"Source")</f>
        <v>0</v>
      </c>
      <c r="I44" s="70">
        <f>COUNTIFS('Error Log'!$A:$A,$A44,'Error Log'!$F:$F,"Target")</f>
        <v>0</v>
      </c>
      <c r="J44" s="71">
        <f t="shared" si="0"/>
        <v>60.714285714285715</v>
      </c>
    </row>
    <row r="45" spans="1:10">
      <c r="A45" s="78" t="s">
        <v>448</v>
      </c>
      <c r="B45" s="70" t="str">
        <f>IF(ISBLANK(A45),"",INDEX('Error Log'!$A:$J,MATCH('Scores per segment'!$A45,'Error Log'!$A:$A,0),MATCH('Scores per segment'!B$1,'Error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 louis van gaal explained at his press conference on friday that van persie is not yet fit enough to play . united players train in the sunshine ahead of their game against local rivals city on sunday .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 manager van gaal ( left ) oversees the training while captain wayne rooney runs with the ball . goalkeeper david de gea ( left ) , winger angel di maria ( centre ) and radamel falcao were in training action . rooney leads the way in training as he runs through some cones in the sunshine on friday in manchester . ( left to right ) di maria , juan mata , falcao , marcos rojo and ander herrera prepare to take on city .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that is possible . ' the united boss also ruled out a potential return for luke shaw . like van persie , van gaal does not yet consider him fit enough to feature . ' i don’t think shaw is fit enough to play , ' van gaal said . ' but i can not say they are not fit , but in my opinion they are not fit to play . that is a different question . ' luke shaw is another player yet to be at the standard of match fitness required by van gaal . ( left to right ) rooney , ashley young , goalkeeper anders lindegaard and michael carrick have a breather . falcao ( left ) and antonio valencia ( second right ) look in high spirits as they prepare for the derby . herrera will be hoping to continue the fine form that has seen him become one of united 's key players recently .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wouldn’t say it . i say it because i feel it . '</v>
      </c>
      <c r="C45" s="70" t="str">
        <f>IF(ISBLANK(A45),"",INDEX('Error Log'!$A:$J,MATCH('Scores per segment'!$A45,'Error Log'!$A:$A,0),MATCH('Scores per segment'!C$1,'Error Log'!$A$1:$J$1,0)))</f>
        <v xml:space="preserve">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v>
      </c>
      <c r="D45" s="70">
        <f>IF(H45=0,wdct(TRIM(C45)),0)</f>
        <v>50</v>
      </c>
      <c r="E45" s="70">
        <f>COUNTIFS('Error Log'!$A:$A,$A45,'Error Log'!$J:$J,E$1)</f>
        <v>3</v>
      </c>
      <c r="F45" s="70">
        <f>COUNTIFS('Error Log'!$A:$A,$A45,'Error Log'!$J:$J,F$1)</f>
        <v>3</v>
      </c>
      <c r="G45" s="70">
        <f>COUNTIFS('Error Log'!$A:$A,$A45,'Error Log'!$J:$J,G$1)</f>
        <v>0</v>
      </c>
      <c r="H45" s="70">
        <f>COUNTIFS('Error Log'!$A:$A,$A45,'Error Log'!$F:$F,"Source")</f>
        <v>0</v>
      </c>
      <c r="I45" s="70">
        <f>COUNTIFS('Error Log'!$A:$A,$A45,'Error Log'!$F:$F,"Target")</f>
        <v>0</v>
      </c>
      <c r="J45" s="71">
        <f t="shared" si="0"/>
        <v>55</v>
      </c>
    </row>
    <row r="46" spans="1:10">
      <c r="A46" s="1" t="s">
        <v>458</v>
      </c>
      <c r="B46" s="70" t="str">
        <f>IF(ISBLANK(A46),"",INDEX('Error Log'!$A:$J,MATCH('Scores per segment'!$A46,'Error Log'!$A:$A,0),MATCH('Scores per segment'!B$1,'Error Log'!$A$1:$J$1,0)))</f>
        <v xml:space="preserve">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 </v>
      </c>
      <c r="C46" s="70" t="str">
        <f>IF(ISBLANK(A46),"",INDEX('Error Log'!$A:$J,MATCH('Scores per segment'!$A46,'Error Log'!$A:$A,0),MATCH('Scores per segment'!C$1,'Error Log'!$A$1:$J$1,0)))</f>
        <v>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speaking at the time the claim was lodged with the high court , james davies , said : ` whilst he has undergone extensive treatment and rehabilitation , he has developed post-traumatic epilepsy , headaches , fatigue , suffers</v>
      </c>
      <c r="D46" s="70">
        <f>IF(H46=0,wdct(TRIM(C46)),0)</f>
        <v>86</v>
      </c>
      <c r="E46" s="70">
        <f>COUNTIFS('Error Log'!$A:$A,$A46,'Error Log'!$J:$J,E$1)</f>
        <v>5</v>
      </c>
      <c r="F46" s="70">
        <f>COUNTIFS('Error Log'!$A:$A,$A46,'Error Log'!$J:$J,F$1)</f>
        <v>6</v>
      </c>
      <c r="G46" s="70">
        <f>COUNTIFS('Error Log'!$A:$A,$A46,'Error Log'!$J:$J,G$1)</f>
        <v>1</v>
      </c>
      <c r="H46" s="70">
        <f>COUNTIFS('Error Log'!$A:$A,$A46,'Error Log'!$F:$F,"Source")</f>
        <v>0</v>
      </c>
      <c r="I46" s="70">
        <f>COUNTIFS('Error Log'!$A:$A,$A46,'Error Log'!$F:$F,"Target")</f>
        <v>0</v>
      </c>
      <c r="J46" s="71">
        <f t="shared" si="0"/>
        <v>52.906976744186046</v>
      </c>
    </row>
    <row r="47" spans="1:10">
      <c r="A47" s="78" t="s">
        <v>473</v>
      </c>
      <c r="B47" s="70" t="str">
        <f>IF(ISBLANK(A47),"",INDEX('Error Log'!$A:$J,MATCH('Scores per segment'!$A47,'Error Log'!$A:$A,0),MATCH('Scores per segment'!B$1,'Error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£5.14billion tv rights deal with banners held up inside and outside the ground . with tickets at the sold-out emirates starting from £64 for the 12.45pm kick-off , protesters hope the image of empty seats around the ground will raise awareness of the struggles fans face to meet the rising costs of following their clubs . fans inside the emirates stadium display a banner reading : '£5bn and what do we get ? £64 a ticket ' . the cheapest tickets for the lunchtime kick-off were £64 , some of the highest prices in the premier league . supporters of both sides gathered outside the 60,000-capacity stadium before kick-off to show off banners against the rising costs of modern football . a banner inside the stadium , held between the home and away ends , read : '£5bn and what do we get ? £64 a ticket ' . ahead of the game , kelvin meadows of arsenal 's black scarf movement - who organised the event with liverpool's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 fans show off a banner reading ' football without fans is nothing ' outside the stadium before kick-off .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v>
      </c>
      <c r="C47" s="70" t="str">
        <f>IF(ISBLANK(A47),"",INDEX('Error Log'!$A:$J,MATCH('Scores per segment'!$A47,'Error Log'!$A:$A,0),MATCH('Scores per segment'!C$1,'Error Log'!$A$1:$J$1,0)))</f>
        <v>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v>
      </c>
      <c r="D47" s="70">
        <f>IF(H47=0,wdct(TRIM(C47)),0)</f>
        <v>46</v>
      </c>
      <c r="E47" s="70">
        <f>COUNTIFS('Error Log'!$A:$A,$A47,'Error Log'!$J:$J,E$1)</f>
        <v>2</v>
      </c>
      <c r="F47" s="70">
        <f>COUNTIFS('Error Log'!$A:$A,$A47,'Error Log'!$J:$J,F$1)</f>
        <v>2</v>
      </c>
      <c r="G47" s="70">
        <f>COUNTIFS('Error Log'!$A:$A,$A47,'Error Log'!$J:$J,G$1)</f>
        <v>0</v>
      </c>
      <c r="H47" s="70">
        <f>COUNTIFS('Error Log'!$A:$A,$A47,'Error Log'!$F:$F,"Source")</f>
        <v>0</v>
      </c>
      <c r="I47" s="70">
        <f>COUNTIFS('Error Log'!$A:$A,$A47,'Error Log'!$F:$F,"Target")</f>
        <v>0</v>
      </c>
      <c r="J47" s="71">
        <f t="shared" si="0"/>
        <v>67.391304347826093</v>
      </c>
    </row>
    <row r="48" spans="1:10">
      <c r="A48" s="1" t="s">
        <v>481</v>
      </c>
      <c r="B48" s="70" t="str">
        <f>IF(ISBLANK(A48),"",INDEX('Error Log'!$A:$J,MATCH('Scores per segment'!$A48,'Error Log'!$A:$A,0),MATCH('Scores per segment'!B$1,'Error Log'!$A$1:$J$1,0)))</f>
        <v>(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v>
      </c>
      <c r="C48" s="70" t="str">
        <f>IF(ISBLANK(A48),"",INDEX('Error Log'!$A:$J,MATCH('Scores per segment'!$A48,'Error Log'!$A:$A,0),MATCH('Scores per segment'!C$1,'Error Log'!$A$1:$J$1,0)))</f>
        <v>on thursday , more storms are expected in the midwest , mississippi river valley , tennessee river valley and near the southern great lakes , the weather service said . 
the national weather service indicated a tornado may have touched down in the small town of potosi , missouri , about 70 miles from st. louis . 
not far away from potosi , shyler and christin strube in leadington posted an instagram picture of some unusual dark clouds .</v>
      </c>
      <c r="D48" s="70">
        <f>IF(H48=0,wdct(TRIM(C48)),0)</f>
        <v>69</v>
      </c>
      <c r="E48" s="70">
        <f>COUNTIFS('Error Log'!$A:$A,$A48,'Error Log'!$J:$J,E$1)</f>
        <v>2</v>
      </c>
      <c r="F48" s="70">
        <f>COUNTIFS('Error Log'!$A:$A,$A48,'Error Log'!$J:$J,F$1)</f>
        <v>1</v>
      </c>
      <c r="G48" s="70">
        <f>COUNTIFS('Error Log'!$A:$A,$A48,'Error Log'!$J:$J,G$1)</f>
        <v>0</v>
      </c>
      <c r="H48" s="70">
        <f>COUNTIFS('Error Log'!$A:$A,$A48,'Error Log'!$F:$F,"Source")</f>
        <v>0</v>
      </c>
      <c r="I48" s="70">
        <f>COUNTIFS('Error Log'!$A:$A,$A48,'Error Log'!$F:$F,"Target")</f>
        <v>0</v>
      </c>
      <c r="J48" s="71">
        <f t="shared" si="0"/>
        <v>81.884057971014485</v>
      </c>
    </row>
    <row r="49" spans="1:10">
      <c r="A49" s="78" t="s">
        <v>488</v>
      </c>
      <c r="B49" s="70" t="str">
        <f>IF(ISBLANK(A49),"",INDEX('Error Log'!$A:$J,MATCH('Scores per segment'!$A49,'Error Log'!$A:$A,0),MATCH('Scores per segment'!B$1,'Error Log'!$A$1:$J$1,0)))</f>
        <v>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 while the baby 's mother was not a suitable match , her twin sister proved an ideal candidate . they are pictured as children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it’s all thanks to my twin sister . i can’t thank her enough , ' her other added . speaking of the decision , shanell said : ' i didn’t hesitate to step forward to save star . she’s my niece and i would do anything to help her . ’ since the operation in november baby star has made a good recovery as has her aunt shanell who said she did not hesitate when confronted with the choice of giving up part of her liver .</v>
      </c>
      <c r="C49" s="70" t="str">
        <f>IF(ISBLANK(A49),"",INDEX('Error Log'!$A:$J,MATCH('Scores per segment'!$A49,'Error Log'!$A:$A,0),MATCH('Scores per segment'!C$1,'Error Log'!$A$1:$J$1,0)))</f>
        <v xml:space="preserve">jade reader ( left ) said she was ` overcome with emotion ' when her twin sister shanell ( right ) gave up part of her liver to save niece star 
with neither parent a suitable match , her maternal aunt shanell reader offered part of her organ , and has since saved her niece 's life . 
within days of being born , star 's parents knew something was wrong when she her skin turned a yellowy tinge </v>
      </c>
      <c r="D49" s="70">
        <f>IF(H49=0,wdct(TRIM(C49)),0)</f>
        <v>69</v>
      </c>
      <c r="E49" s="70">
        <f>COUNTIFS('Error Log'!$A:$A,$A49,'Error Log'!$J:$J,E$1)</f>
        <v>3</v>
      </c>
      <c r="F49" s="70">
        <f>COUNTIFS('Error Log'!$A:$A,$A49,'Error Log'!$J:$J,F$1)</f>
        <v>2</v>
      </c>
      <c r="G49" s="70">
        <f>COUNTIFS('Error Log'!$A:$A,$A49,'Error Log'!$J:$J,G$1)</f>
        <v>0</v>
      </c>
      <c r="H49" s="70">
        <f>COUNTIFS('Error Log'!$A:$A,$A49,'Error Log'!$F:$F,"Source")</f>
        <v>0</v>
      </c>
      <c r="I49" s="70">
        <f>COUNTIFS('Error Log'!$A:$A,$A49,'Error Log'!$F:$F,"Target")</f>
        <v>0</v>
      </c>
      <c r="J49" s="71">
        <f t="shared" si="0"/>
        <v>71.014492753623188</v>
      </c>
    </row>
    <row r="50" spans="1:10">
      <c r="A50" s="1" t="s">
        <v>496</v>
      </c>
      <c r="B50" s="70" t="str">
        <f>IF(ISBLANK(A50),"",INDEX('Error Log'!$A:$J,MATCH('Scores per segment'!$A50,'Error Log'!$A:$A,0),MATCH('Scores per segment'!B$1,'Error Log'!$A$1:$J$1,0)))</f>
        <v xml:space="preserve">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 machida lands a side kick as he works out in front of fans and media .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 machida is also coming off the back of a victory , against cb dollaway in brazil .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to see any mistakes he makes . ' i am very well prepared for this fight . i had eight weeks of camp and i had great training . glover [ teixeira ] was there and many , many other fighters . so i am feeling very well , very calm , and i think i can do a great job . '  </v>
      </c>
      <c r="C50" s="70" t="str">
        <f>IF(ISBLANK(A50),"",INDEX('Error Log'!$A:$J,MATCH('Scores per segment'!$A50,'Error Log'!$A:$A,0),MATCH('Scores per segment'!C$1,'Error Log'!$A$1:$J$1,0)))</f>
        <v xml:space="preserve">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v>
      </c>
      <c r="D50" s="70">
        <f>IF(H50=0,wdct(TRIM(C50)),0)</f>
        <v>56</v>
      </c>
      <c r="E50" s="70">
        <f>COUNTIFS('Error Log'!$A:$A,$A50,'Error Log'!$J:$J,E$1)</f>
        <v>2</v>
      </c>
      <c r="F50" s="70">
        <f>COUNTIFS('Error Log'!$A:$A,$A50,'Error Log'!$J:$J,F$1)</f>
        <v>2</v>
      </c>
      <c r="G50" s="70">
        <f>COUNTIFS('Error Log'!$A:$A,$A50,'Error Log'!$J:$J,G$1)</f>
        <v>0</v>
      </c>
      <c r="H50" s="70">
        <f>COUNTIFS('Error Log'!$A:$A,$A50,'Error Log'!$F:$F,"Source")</f>
        <v>0</v>
      </c>
      <c r="I50" s="70">
        <f>COUNTIFS('Error Log'!$A:$A,$A50,'Error Log'!$F:$F,"Target")</f>
        <v>0</v>
      </c>
      <c r="J50" s="71">
        <f t="shared" si="0"/>
        <v>73.214285714285722</v>
      </c>
    </row>
    <row r="51" spans="1:10">
      <c r="A51" s="78" t="s">
        <v>504</v>
      </c>
      <c r="B51" s="70" t="str">
        <f>IF(ISBLANK(A51),"",INDEX('Error Log'!$A:$J,MATCH('Scores per segment'!$A51,'Error Log'!$A:$A,0),MATCH('Scores per segment'!B$1,'Error Log'!$A$1:$J$1,0)))</f>
        <v>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 17-goal man eden hazard and youngster nathan ake took on blues ' team-mates loic remy and willian . from there , they take to a makeshift tennis court , where the net is replaced by a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£127,000 r8 v10 plus audi , which played the part of tennis net in one challenge . the final challenge involved the players shooting at cars from long range , with remy and willian winning . hazard throws footballs up to his team-mate ake , who tries to fire them into the boot of an audi .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 willian laughs after being allowed to drive one of the audi 's that was part of the football challenge .</v>
      </c>
      <c r="C51" s="70" t="str">
        <f>IF(ISBLANK(A51),"",INDEX('Error Log'!$A:$J,MATCH('Scores per segment'!$A51,'Error Log'!$A:$A,0),MATCH('Scores per segment'!C$1,'Error Log'!$A$1:$J$1,0)))</f>
        <v>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v>
      </c>
      <c r="D51" s="70">
        <f>IF(H51=0,wdct(TRIM(C51)),0)</f>
        <v>56</v>
      </c>
      <c r="E51" s="70">
        <f>COUNTIFS('Error Log'!$A:$A,$A51,'Error Log'!$J:$J,E$1)</f>
        <v>4</v>
      </c>
      <c r="F51" s="70">
        <f>COUNTIFS('Error Log'!$A:$A,$A51,'Error Log'!$J:$J,F$1)</f>
        <v>3</v>
      </c>
      <c r="G51" s="70">
        <f>COUNTIFS('Error Log'!$A:$A,$A51,'Error Log'!$J:$J,G$1)</f>
        <v>0</v>
      </c>
      <c r="H51" s="70">
        <f>COUNTIFS('Error Log'!$A:$A,$A51,'Error Log'!$F:$F,"Source")</f>
        <v>0</v>
      </c>
      <c r="I51" s="70">
        <f>COUNTIFS('Error Log'!$A:$A,$A51,'Error Log'!$F:$F,"Target")</f>
        <v>0</v>
      </c>
      <c r="J51" s="71">
        <f t="shared" si="0"/>
        <v>50.892857142857146</v>
      </c>
    </row>
    <row r="52" spans="1:10">
      <c r="A52" s="78" t="s">
        <v>515</v>
      </c>
      <c r="B52" s="70" t="str">
        <f>IF(ISBLANK(A52),"",INDEX('Error Log'!$A:$J,MATCH('Scores per segment'!$A52,'Error Log'!$A:$A,0),MATCH('Scores per segment'!B$1,'Error Log'!$A$1:$J$1,0)))</f>
        <v>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 the video maker can be heard saying that the plane’s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 he added : ‘it’s amazing the aeroplane engines did not get destroyed during the propellers impact and the pilot did not stall during the forced take-off with the high angle of attack and damaged propellers . ’ according to wpbf 25 news , the plane’s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v>
      </c>
      <c r="C52" s="70" t="str">
        <f>IF(ISBLANK(A52),"",INDEX('Error Log'!$A:$J,MATCH('Scores per segment'!$A52,'Error Log'!$A:$A,0),MATCH('Scores per segment'!C$1,'Error Log'!$A$1:$J$1,0)))</f>
        <v xml:space="preserve">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the video maker noted that once the pilot realized his mistake he began re-engaging the engine </v>
      </c>
      <c r="D52" s="70">
        <f>IF(H52=0,wdct(TRIM(C52)),0)</f>
        <v>71</v>
      </c>
      <c r="E52" s="70">
        <f>COUNTIFS('Error Log'!$A:$A,$A52,'Error Log'!$J:$J,E$1)</f>
        <v>4</v>
      </c>
      <c r="F52" s="70">
        <f>COUNTIFS('Error Log'!$A:$A,$A52,'Error Log'!$J:$J,F$1)</f>
        <v>2</v>
      </c>
      <c r="G52" s="70">
        <f>COUNTIFS('Error Log'!$A:$A,$A52,'Error Log'!$J:$J,G$1)</f>
        <v>0</v>
      </c>
      <c r="H52" s="70">
        <f>COUNTIFS('Error Log'!$A:$A,$A52,'Error Log'!$F:$F,"Source")</f>
        <v>0</v>
      </c>
      <c r="I52" s="70">
        <f>COUNTIFS('Error Log'!$A:$A,$A52,'Error Log'!$F:$F,"Target")</f>
        <v>0</v>
      </c>
      <c r="J52" s="71">
        <f t="shared" si="0"/>
        <v>64.788732394366207</v>
      </c>
    </row>
    <row r="53" spans="1:10">
      <c r="A53" s="79" t="s">
        <v>525</v>
      </c>
      <c r="B53" s="70" t="str">
        <f>IF(ISBLANK(A53),"",INDEX('Error Log'!$A:$J,MATCH('Scores per segment'!$A53,'Error Log'!$A:$A,0),MATCH('Scores per segment'!B$1,'Error Log'!$A$1:$J$1,0)))</f>
        <v>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v>
      </c>
      <c r="C53" s="70" t="str">
        <f>IF(ISBLANK(A53),"",INDEX('Error Log'!$A:$J,MATCH('Scores per segment'!$A53,'Error Log'!$A:$A,0),MATCH('Scores per segment'!C$1,'Error Log'!$A$1:$J$1,0)))</f>
        <v xml:space="preserve">actor tommy lee jones played the villain 
the grinch costume from the jim carrey film how the grinch stole christmas is listed at $ 8,000 
this mikey costume from men in black has an estimated value of $ 30,000 and is one of the pricier lots </v>
      </c>
      <c r="D53" s="70">
        <f>IF(H53=0,wdct(TRIM(C53)),0)</f>
        <v>44</v>
      </c>
      <c r="E53" s="70">
        <f>COUNTIFS('Error Log'!$A:$A,$A53,'Error Log'!$J:$J,E$1)</f>
        <v>5</v>
      </c>
      <c r="F53" s="70">
        <f>COUNTIFS('Error Log'!$A:$A,$A53,'Error Log'!$J:$J,F$1)</f>
        <v>3</v>
      </c>
      <c r="G53" s="70">
        <f>COUNTIFS('Error Log'!$A:$A,$A53,'Error Log'!$J:$J,G$1)</f>
        <v>0</v>
      </c>
      <c r="H53" s="70">
        <f>COUNTIFS('Error Log'!$A:$A,$A53,'Error Log'!$F:$F,"Source")</f>
        <v>0</v>
      </c>
      <c r="I53" s="70">
        <f>COUNTIFS('Error Log'!$A:$A,$A53,'Error Log'!$F:$F,"Target")</f>
        <v>0</v>
      </c>
      <c r="J53" s="71">
        <f t="shared" si="0"/>
        <v>26.136363636363637</v>
      </c>
    </row>
    <row r="54" spans="1:10">
      <c r="A54" s="79" t="s">
        <v>539</v>
      </c>
      <c r="B54" s="70" t="str">
        <f>IF(ISBLANK(A54),"",INDEX('Error Log'!$A:$J,MATCH('Scores per segment'!$A54,'Error Log'!$A:$A,0),MATCH('Scores per segment'!B$1,'Error Log'!$A$1:$J$1,0)))</f>
        <v>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v>
      </c>
      <c r="C54" s="70" t="str">
        <f>IF(ISBLANK(A54),"",INDEX('Error Log'!$A:$J,MATCH('Scores per segment'!$A54,'Error Log'!$A:$A,0),MATCH('Scores per segment'!C$1,'Error Log'!$A$1:$J$1,0)))</f>
        <v xml:space="preserve">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v>
      </c>
      <c r="D54" s="70">
        <f>IF(H54=0,wdct(TRIM(C54)),0)</f>
        <v>64</v>
      </c>
      <c r="E54" s="70">
        <f>COUNTIFS('Error Log'!$A:$A,$A54,'Error Log'!$J:$J,E$1)</f>
        <v>3</v>
      </c>
      <c r="F54" s="70">
        <f>COUNTIFS('Error Log'!$A:$A,$A54,'Error Log'!$J:$J,F$1)</f>
        <v>2</v>
      </c>
      <c r="G54" s="70">
        <f>COUNTIFS('Error Log'!$A:$A,$A54,'Error Log'!$J:$J,G$1)</f>
        <v>0</v>
      </c>
      <c r="H54" s="70">
        <f>COUNTIFS('Error Log'!$A:$A,$A54,'Error Log'!$F:$F,"Source")</f>
        <v>0</v>
      </c>
      <c r="I54" s="70">
        <f>COUNTIFS('Error Log'!$A:$A,$A54,'Error Log'!$F:$F,"Target")</f>
        <v>0</v>
      </c>
      <c r="J54" s="71">
        <f t="shared" si="0"/>
        <v>68.75</v>
      </c>
    </row>
    <row r="55" spans="1:10">
      <c r="A55" s="79" t="s">
        <v>548</v>
      </c>
      <c r="B55" s="70" t="str">
        <f>IF(ISBLANK(A55),"",INDEX('Error Log'!$A:$J,MATCH('Scores per segment'!$A55,'Error Log'!$A:$A,0),MATCH('Scores per segment'!B$1,'Error Log'!$A$1:$J$1,0)))</f>
        <v>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v>
      </c>
      <c r="C55" s="70" t="str">
        <f>IF(ISBLANK(A55),"",INDEX('Error Log'!$A:$J,MATCH('Scores per segment'!$A55,'Error Log'!$A:$A,0),MATCH('Scores per segment'!C$1,'Error Log'!$A$1:$J$1,0)))</f>
        <v>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v>
      </c>
      <c r="D55" s="70">
        <f>IF(H55=0,wdct(TRIM(C55)),0)</f>
        <v>57</v>
      </c>
      <c r="E55" s="70">
        <f>COUNTIFS('Error Log'!$A:$A,$A55,'Error Log'!$J:$J,E$1)</f>
        <v>5</v>
      </c>
      <c r="F55" s="70">
        <f>COUNTIFS('Error Log'!$A:$A,$A55,'Error Log'!$J:$J,F$1)</f>
        <v>3</v>
      </c>
      <c r="G55" s="70">
        <f>COUNTIFS('Error Log'!$A:$A,$A55,'Error Log'!$J:$J,G$1)</f>
        <v>0</v>
      </c>
      <c r="H55" s="70">
        <f>COUNTIFS('Error Log'!$A:$A,$A55,'Error Log'!$F:$F,"Source")</f>
        <v>0</v>
      </c>
      <c r="I55" s="70">
        <f>COUNTIFS('Error Log'!$A:$A,$A55,'Error Log'!$F:$F,"Target")</f>
        <v>0</v>
      </c>
      <c r="J55" s="71">
        <f t="shared" si="0"/>
        <v>42.982456140350877</v>
      </c>
    </row>
    <row r="56" spans="1:10">
      <c r="A56" s="79" t="s">
        <v>560</v>
      </c>
      <c r="B56" s="70" t="str">
        <f>IF(ISBLANK(A56),"",INDEX('Error Log'!$A:$J,MATCH('Scores per segment'!$A56,'Error Log'!$A:$A,0),MATCH('Scores per segment'!B$1,'Error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v>
      </c>
      <c r="C56" s="70" t="str">
        <f>IF(ISBLANK(A56),"",INDEX('Error Log'!$A:$J,MATCH('Scores per segment'!$A56,'Error Log'!$A:$A,0),MATCH('Scores per segment'!C$1,'Error Log'!$A$1:$J$1,0)))</f>
        <v xml:space="preserve">jack grealish takes on liverpool 's emre can at wembley during aston villa 's 2-1 victory at wembley 
grealish ( centre ) impressed against liverpool and is wanted by the republic of ireland and england 
` it 's up to jack where he wants to go . </v>
      </c>
      <c r="D56" s="70">
        <f>IF(H56=0,wdct(TRIM(C56)),0)</f>
        <v>43</v>
      </c>
      <c r="E56" s="70">
        <f>COUNTIFS('Error Log'!$A:$A,$A56,'Error Log'!$J:$J,E$1)</f>
        <v>2</v>
      </c>
      <c r="F56" s="70">
        <f>COUNTIFS('Error Log'!$A:$A,$A56,'Error Log'!$J:$J,F$1)</f>
        <v>3</v>
      </c>
      <c r="G56" s="70">
        <f>COUNTIFS('Error Log'!$A:$A,$A56,'Error Log'!$J:$J,G$1)</f>
        <v>0</v>
      </c>
      <c r="H56" s="70">
        <f>COUNTIFS('Error Log'!$A:$A,$A56,'Error Log'!$F:$F,"Source")</f>
        <v>0</v>
      </c>
      <c r="I56" s="70">
        <f>COUNTIFS('Error Log'!$A:$A,$A56,'Error Log'!$F:$F,"Target")</f>
        <v>0</v>
      </c>
      <c r="J56" s="71">
        <f t="shared" si="0"/>
        <v>59.302325581395351</v>
      </c>
    </row>
    <row r="57" spans="1:10">
      <c r="A57" s="79" t="s">
        <v>568</v>
      </c>
      <c r="B57" s="70" t="str">
        <f>IF(ISBLANK(A57),"",INDEX('Error Log'!$A:$J,MATCH('Scores per segment'!$A57,'Error Log'!$A:$A,0),MATCH('Scores per segment'!B$1,'Error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v>
      </c>
      <c r="C57" s="70" t="str">
        <f>IF(ISBLANK(A57),"",INDEX('Error Log'!$A:$J,MATCH('Scores per segment'!$A57,'Error Log'!$A:$A,0),MATCH('Scores per segment'!C$1,'Error Log'!$A$1:$J$1,0)))</f>
        <v>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laura scurr , 15 , has spoken out about the pressures on young girls to be a size zero after , having becoming obsessed with her own weight , she developed</v>
      </c>
      <c r="D57" s="70">
        <f>IF(H57=0,wdct(TRIM(C57)),0)</f>
        <v>91</v>
      </c>
      <c r="E57" s="70">
        <f>COUNTIFS('Error Log'!$A:$A,$A57,'Error Log'!$J:$J,E$1)</f>
        <v>3</v>
      </c>
      <c r="F57" s="70">
        <f>COUNTIFS('Error Log'!$A:$A,$A57,'Error Log'!$J:$J,F$1)</f>
        <v>1</v>
      </c>
      <c r="G57" s="70">
        <f>COUNTIFS('Error Log'!$A:$A,$A57,'Error Log'!$J:$J,G$1)</f>
        <v>0</v>
      </c>
      <c r="H57" s="70">
        <f>COUNTIFS('Error Log'!$A:$A,$A57,'Error Log'!$F:$F,"Source")</f>
        <v>0</v>
      </c>
      <c r="I57" s="70">
        <f>COUNTIFS('Error Log'!$A:$A,$A57,'Error Log'!$F:$F,"Target")</f>
        <v>0</v>
      </c>
      <c r="J57" s="71">
        <f t="shared" si="0"/>
        <v>80.769230769230774</v>
      </c>
    </row>
    <row r="58" spans="1:10">
      <c r="A58" s="79" t="s">
        <v>576</v>
      </c>
      <c r="B58" s="70" t="str">
        <f>IF(ISBLANK(A58),"",INDEX('Error Log'!$A:$J,MATCH('Scores per segment'!$A58,'Error Log'!$A:$A,0),MATCH('Scores per segment'!B$1,'Error Log'!$A$1:$J$1,0)))</f>
        <v>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v>
      </c>
      <c r="C58" s="70" t="str">
        <f>IF(ISBLANK(A58),"",INDEX('Error Log'!$A:$J,MATCH('Scores per segment'!$A58,'Error Log'!$A:$A,0),MATCH('Scores per segment'!C$1,'Error Log'!$A$1:$J$1,0)))</f>
        <v>haneda airport in tokyo , japan : £ 4,559 ( $ 6,850 ) 
narita international airport in tokyo , japan : £ 3,728 ( $ 5,600 ) 
kansai international airport in osaka , japan : £ 3,594 ( $ 5,400 )</v>
      </c>
      <c r="D58" s="70">
        <f>IF(H58=0,wdct(TRIM(C58)),0)</f>
        <v>23</v>
      </c>
      <c r="E58" s="70">
        <f>COUNTIFS('Error Log'!$A:$A,$A58,'Error Log'!$J:$J,E$1)</f>
        <v>2</v>
      </c>
      <c r="F58" s="70">
        <f>COUNTIFS('Error Log'!$A:$A,$A58,'Error Log'!$J:$J,F$1)</f>
        <v>3</v>
      </c>
      <c r="G58" s="70">
        <f>COUNTIFS('Error Log'!$A:$A,$A58,'Error Log'!$J:$J,G$1)</f>
        <v>0</v>
      </c>
      <c r="H58" s="70">
        <f>COUNTIFS('Error Log'!$A:$A,$A58,'Error Log'!$F:$F,"Source")</f>
        <v>0</v>
      </c>
      <c r="I58" s="70">
        <f>COUNTIFS('Error Log'!$A:$A,$A58,'Error Log'!$F:$F,"Target")</f>
        <v>0</v>
      </c>
      <c r="J58" s="71">
        <f t="shared" si="0"/>
        <v>23.913043478260864</v>
      </c>
    </row>
    <row r="59" spans="1:10">
      <c r="A59" s="79" t="s">
        <v>585</v>
      </c>
      <c r="B59" s="70" t="str">
        <f>IF(ISBLANK(A59),"",INDEX('Error Log'!$A:$J,MATCH('Scores per segment'!$A59,'Error Log'!$A:$A,0),MATCH('Scores per segment'!B$1,'Error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v>
      </c>
      <c r="C59" s="70" t="str">
        <f>IF(ISBLANK(A59),"",INDEX('Error Log'!$A:$J,MATCH('Scores per segment'!$A59,'Error Log'!$A:$A,0),MATCH('Scores per segment'!C$1,'Error Log'!$A$1:$J$1,0)))</f>
        <v>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v>
      </c>
      <c r="D59" s="70">
        <f>IF(H59=0,wdct(TRIM(C59)),0)</f>
        <v>62</v>
      </c>
      <c r="E59" s="70">
        <f>COUNTIFS('Error Log'!$A:$A,$A59,'Error Log'!$J:$J,E$1)</f>
        <v>4</v>
      </c>
      <c r="F59" s="70">
        <f>COUNTIFS('Error Log'!$A:$A,$A59,'Error Log'!$J:$J,F$1)</f>
        <v>3</v>
      </c>
      <c r="G59" s="70">
        <f>COUNTIFS('Error Log'!$A:$A,$A59,'Error Log'!$J:$J,G$1)</f>
        <v>0</v>
      </c>
      <c r="H59" s="70">
        <f>COUNTIFS('Error Log'!$A:$A,$A59,'Error Log'!$F:$F,"Source")</f>
        <v>0</v>
      </c>
      <c r="I59" s="70">
        <f>COUNTIFS('Error Log'!$A:$A,$A59,'Error Log'!$F:$F,"Target")</f>
        <v>0</v>
      </c>
      <c r="J59" s="71">
        <f t="shared" si="0"/>
        <v>55.645161290322584</v>
      </c>
    </row>
    <row r="60" spans="1:10">
      <c r="A60" s="79" t="s">
        <v>596</v>
      </c>
      <c r="B60" s="70" t="str">
        <f>IF(ISBLANK(A60),"",INDEX('Error Log'!$A:$J,MATCH('Scores per segment'!$A60,'Error Log'!$A:$A,0),MATCH('Scores per segment'!B$1,'Error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2017 by a points landslide , thereby retaining the world super-middleweight title .
but sugar ray took most pride from the trilogy from forcing duran to say no mas .
he said : ` to me , making roberto duran to quit was better than knocking him out . '</v>
      </c>
      <c r="C60" s="70" t="str">
        <f>IF(ISBLANK(A60),"",INDEX('Error Log'!$A:$J,MATCH('Scores per segment'!$A60,'Error Log'!$A:$A,0),MATCH('Scores per segment'!C$1,'Error Log'!$A$1:$J$1,0)))</f>
        <v>sugar ray leonard celebrates after roberto duran quit in their fight in louisiana in november 1980 
leonard decided to use his exceptional speed and movement to beat the panamanian in the second fight 
october 30 , 1974 , kinshasa , zaire</v>
      </c>
      <c r="D60" s="70">
        <f>IF(H60=0,wdct(TRIM(C60)),0)</f>
        <v>38</v>
      </c>
      <c r="E60" s="70">
        <f>COUNTIFS('Error Log'!$A:$A,$A60,'Error Log'!$J:$J,E$1)</f>
        <v>3</v>
      </c>
      <c r="F60" s="70">
        <f>COUNTIFS('Error Log'!$A:$A,$A60,'Error Log'!$J:$J,F$1)</f>
        <v>3</v>
      </c>
      <c r="G60" s="70">
        <f>COUNTIFS('Error Log'!$A:$A,$A60,'Error Log'!$J:$J,G$1)</f>
        <v>0</v>
      </c>
      <c r="H60" s="70">
        <f>COUNTIFS('Error Log'!$A:$A,$A60,'Error Log'!$F:$F,"Source")</f>
        <v>0</v>
      </c>
      <c r="I60" s="70">
        <f>COUNTIFS('Error Log'!$A:$A,$A60,'Error Log'!$F:$F,"Target")</f>
        <v>0</v>
      </c>
      <c r="J60" s="71">
        <f t="shared" si="0"/>
        <v>40.789473684210535</v>
      </c>
    </row>
    <row r="61" spans="1:10">
      <c r="A61" s="79" t="s">
        <v>606</v>
      </c>
      <c r="B61" s="70" t="str">
        <f>IF(ISBLANK(A61),"",INDEX('Error Log'!$A:$J,MATCH('Scores per segment'!$A61,'Error Log'!$A:$A,0),MATCH('Scores per segment'!B$1,'Error Log'!$A$1:$J$1,0)))</f>
        <v>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v>
      </c>
      <c r="C61" s="70" t="str">
        <f>IF(ISBLANK(A61),"",INDEX('Error Log'!$A:$J,MATCH('Scores per segment'!$A61,'Error Log'!$A:$A,0),MATCH('Scores per segment'!C$1,'Error Log'!$A$1:$J$1,0)))</f>
        <v>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the survey uses the 13ft ( four metres ) victor m. blanco telescope ( middle ) located at the cerro tololo inter-american observatory ( ctio ) in chile , outfitted with a newly designed , state-of-the-art dark energy camera ( decam ) . `</v>
      </c>
      <c r="D61" s="70">
        <f>IF(H61=0,wdct(TRIM(C61)),0)</f>
        <v>84</v>
      </c>
      <c r="E61" s="70">
        <f>COUNTIFS('Error Log'!$A:$A,$A61,'Error Log'!$J:$J,E$1)</f>
        <v>4</v>
      </c>
      <c r="F61" s="70">
        <f>COUNTIFS('Error Log'!$A:$A,$A61,'Error Log'!$J:$J,F$1)</f>
        <v>3</v>
      </c>
      <c r="G61" s="70">
        <f>COUNTIFS('Error Log'!$A:$A,$A61,'Error Log'!$J:$J,G$1)</f>
        <v>0</v>
      </c>
      <c r="H61" s="70">
        <f>COUNTIFS('Error Log'!$A:$A,$A61,'Error Log'!$F:$F,"Source")</f>
        <v>0</v>
      </c>
      <c r="I61" s="70">
        <f>COUNTIFS('Error Log'!$A:$A,$A61,'Error Log'!$F:$F,"Target")</f>
        <v>0</v>
      </c>
      <c r="J61" s="71">
        <f t="shared" si="0"/>
        <v>67.261904761904759</v>
      </c>
    </row>
    <row r="62" spans="1:10">
      <c r="A62" s="79" t="s">
        <v>617</v>
      </c>
      <c r="B62" s="70" t="str">
        <f>IF(ISBLANK(A62),"",INDEX('Error Log'!$A:$J,MATCH('Scores per segment'!$A62,'Error Log'!$A:$A,0),MATCH('Scores per segment'!B$1,'Error Log'!$A$1:$J$1,0)))</f>
        <v>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v>
      </c>
      <c r="C62" s="70" t="str">
        <f>IF(ISBLANK(A62),"",INDEX('Error Log'!$A:$J,MATCH('Scores per segment'!$A62,'Error Log'!$A:$A,0),MATCH('Scores per segment'!C$1,'Error Log'!$A$1:$J$1,0)))</f>
        <v xml:space="preserve">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v>
      </c>
      <c r="D62" s="70">
        <f>IF(H62=0,wdct(TRIM(C62)),0)</f>
        <v>73</v>
      </c>
      <c r="E62" s="70">
        <f>COUNTIFS('Error Log'!$A:$A,$A62,'Error Log'!$J:$J,E$1)</f>
        <v>1</v>
      </c>
      <c r="F62" s="70">
        <f>COUNTIFS('Error Log'!$A:$A,$A62,'Error Log'!$J:$J,F$1)</f>
        <v>5</v>
      </c>
      <c r="G62" s="70">
        <f>COUNTIFS('Error Log'!$A:$A,$A62,'Error Log'!$J:$J,G$1)</f>
        <v>0</v>
      </c>
      <c r="H62" s="70">
        <f>COUNTIFS('Error Log'!$A:$A,$A62,'Error Log'!$F:$F,"Source")</f>
        <v>0</v>
      </c>
      <c r="I62" s="70">
        <f>COUNTIFS('Error Log'!$A:$A,$A62,'Error Log'!$F:$F,"Target")</f>
        <v>0</v>
      </c>
      <c r="J62" s="71">
        <f t="shared" si="0"/>
        <v>76.027397260273972</v>
      </c>
    </row>
    <row r="63" spans="1:10">
      <c r="A63" s="78" t="s">
        <v>627</v>
      </c>
      <c r="B63" s="70" t="str">
        <f>IF(ISBLANK(A63),"",INDEX('Error Log'!$A:$J,MATCH('Scores per segment'!$A63,'Error Log'!$A:$A,0),MATCH('Scores per segment'!B$1,'Error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v>
      </c>
      <c r="C63" s="70" t="str">
        <f>IF(ISBLANK(A63),"",INDEX('Error Log'!$A:$J,MATCH('Scores per segment'!$A63,'Error Log'!$A:$A,0),MATCH('Scores per segment'!C$1,'Error Log'!$A$1:$J$1,0)))</f>
        <v xml:space="preserve">chelsea are in early discussions over a possible partnership with belgian club royal mouscron-peruwelz 
mouscron had a partnership with lille but that is now set to end meaning there is to be room for chelsea 
mouscron are currently 13th in belgium 's pro league , with players including tristan dingome ( left ) </v>
      </c>
      <c r="D63" s="70">
        <f>IF(H63=0,wdct(TRIM(C63)),0)</f>
        <v>50</v>
      </c>
      <c r="E63" s="70">
        <f>COUNTIFS('Error Log'!$A:$A,$A63,'Error Log'!$J:$J,E$1)</f>
        <v>1</v>
      </c>
      <c r="F63" s="70">
        <f>COUNTIFS('Error Log'!$A:$A,$A63,'Error Log'!$J:$J,F$1)</f>
        <v>2</v>
      </c>
      <c r="G63" s="70">
        <f>COUNTIFS('Error Log'!$A:$A,$A63,'Error Log'!$J:$J,G$1)</f>
        <v>0</v>
      </c>
      <c r="H63" s="70">
        <f>COUNTIFS('Error Log'!$A:$A,$A63,'Error Log'!$F:$F,"Source")</f>
        <v>0</v>
      </c>
      <c r="I63" s="70">
        <f>COUNTIFS('Error Log'!$A:$A,$A63,'Error Log'!$F:$F,"Target")</f>
        <v>0</v>
      </c>
      <c r="J63" s="71">
        <f t="shared" si="0"/>
        <v>80</v>
      </c>
    </row>
    <row r="64" spans="1:10">
      <c r="A64" s="78" t="s">
        <v>638</v>
      </c>
      <c r="B64" s="70" t="str">
        <f>IF(ISBLANK(A64),"",INDEX('Error Log'!$A:$J,MATCH('Scores per segment'!$A64,'Error Log'!$A:$A,0),MATCH('Scores per segment'!B$1,'Error Log'!$A$1:$J$1,0)))</f>
        <v>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$ 4.17 billion</v>
      </c>
      <c r="C64" s="70" t="str">
        <f>IF(ISBLANK(A64),"",INDEX('Error Log'!$A:$J,MATCH('Scores per segment'!$A64,'Error Log'!$A:$A,0),MATCH('Scores per segment'!C$1,'Error Log'!$A$1:$J$1,0)))</f>
        <v xml:space="preserve">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v>
      </c>
      <c r="D64" s="70">
        <f>IF(H64=0,wdct(TRIM(C64)),0)</f>
        <v>49</v>
      </c>
      <c r="E64" s="70">
        <f>COUNTIFS('Error Log'!$A:$A,$A64,'Error Log'!$J:$J,E$1)</f>
        <v>5</v>
      </c>
      <c r="F64" s="70">
        <f>COUNTIFS('Error Log'!$A:$A,$A64,'Error Log'!$J:$J,F$1)</f>
        <v>3</v>
      </c>
      <c r="G64" s="70">
        <f>COUNTIFS('Error Log'!$A:$A,$A64,'Error Log'!$J:$J,G$1)</f>
        <v>0</v>
      </c>
      <c r="H64" s="70">
        <f>COUNTIFS('Error Log'!$A:$A,$A64,'Error Log'!$F:$F,"Source")</f>
        <v>0</v>
      </c>
      <c r="I64" s="70">
        <f>COUNTIFS('Error Log'!$A:$A,$A64,'Error Log'!$F:$F,"Target")</f>
        <v>0</v>
      </c>
      <c r="J64" s="71">
        <f t="shared" si="0"/>
        <v>33.673469387755105</v>
      </c>
    </row>
    <row r="65" spans="1:10">
      <c r="A65" s="78" t="s">
        <v>657</v>
      </c>
      <c r="B65" s="70" t="str">
        <f>IF(ISBLANK(A65),"",INDEX('Error Log'!$A:$J,MATCH('Scores per segment'!$A65,'Error Log'!$A:$A,0),MATCH('Scores per segment'!B$1,'Error Log'!$A$1:$J$1,0)))</f>
        <v>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2011 .
pacquiao is promoted by bob arum 's top rank company .
actor mark wahlberg is a big fan of pacquiao .</v>
      </c>
      <c r="C65" s="70" t="str">
        <f>IF(ISBLANK(A65),"",INDEX('Error Log'!$A:$J,MATCH('Scores per segment'!$A65,'Error Log'!$A:$A,0),MATCH('Scores per segment'!C$1,'Error Log'!$A$1:$J$1,0)))</f>
        <v>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v>
      </c>
      <c r="D65" s="70">
        <f>IF(H65=0,wdct(TRIM(C65)),0)</f>
        <v>42</v>
      </c>
      <c r="E65" s="70">
        <f>COUNTIFS('Error Log'!$A:$A,$A65,'Error Log'!$J:$J,E$1)</f>
        <v>2</v>
      </c>
      <c r="F65" s="70">
        <f>COUNTIFS('Error Log'!$A:$A,$A65,'Error Log'!$J:$J,F$1)</f>
        <v>3</v>
      </c>
      <c r="G65" s="70">
        <f>COUNTIFS('Error Log'!$A:$A,$A65,'Error Log'!$J:$J,G$1)</f>
        <v>0</v>
      </c>
      <c r="H65" s="70">
        <f>COUNTIFS('Error Log'!$A:$A,$A65,'Error Log'!$F:$F,"Source")</f>
        <v>0</v>
      </c>
      <c r="I65" s="70">
        <f>COUNTIFS('Error Log'!$A:$A,$A65,'Error Log'!$F:$F,"Target")</f>
        <v>0</v>
      </c>
      <c r="J65" s="71">
        <f t="shared" si="0"/>
        <v>58.333333333333329</v>
      </c>
    </row>
    <row r="66" spans="1:10">
      <c r="A66" s="78" t="s">
        <v>674</v>
      </c>
      <c r="B66" s="70" t="str">
        <f>IF(ISBLANK(A66),"",INDEX('Error Log'!$A:$J,MATCH('Scores per segment'!$A66,'Error Log'!$A:$A,0),MATCH('Scores per segment'!B$1,'Error Log'!$A$1:$J$1,0)))</f>
        <v>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29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v>
      </c>
      <c r="C66" s="70" t="str">
        <f>IF(ISBLANK(A66),"",INDEX('Error Log'!$A:$J,MATCH('Scores per segment'!$A66,'Error Log'!$A:$A,0),MATCH('Scores per segment'!C$1,'Error Log'!$A$1:$J$1,0)))</f>
        <v>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training : locations in ceredigion , powys and pembrokeshire in west wales , illustrated above , are being used to radicalise muslims , according to an</v>
      </c>
      <c r="D66" s="70">
        <f>IF(H66=0,wdct(TRIM(C66)),0)</f>
        <v>83</v>
      </c>
      <c r="E66" s="70">
        <f>COUNTIFS('Error Log'!$A:$A,$A66,'Error Log'!$J:$J,E$1)</f>
        <v>3</v>
      </c>
      <c r="F66" s="70">
        <f>COUNTIFS('Error Log'!$A:$A,$A66,'Error Log'!$J:$J,F$1)</f>
        <v>2</v>
      </c>
      <c r="G66" s="70">
        <f>COUNTIFS('Error Log'!$A:$A,$A66,'Error Log'!$J:$J,G$1)</f>
        <v>0</v>
      </c>
      <c r="H66" s="70">
        <f>COUNTIFS('Error Log'!$A:$A,$A66,'Error Log'!$F:$F,"Source")</f>
        <v>0</v>
      </c>
      <c r="I66" s="70">
        <f>COUNTIFS('Error Log'!$A:$A,$A66,'Error Log'!$F:$F,"Target")</f>
        <v>0</v>
      </c>
      <c r="J66" s="71">
        <f t="shared" ref="J66:J129" si="1">IF(I66=0,IFERROR((((1-((E66*10+F66*5+G66*1)/D66))*100)+100)/2,0),-150)</f>
        <v>75.903614457831324</v>
      </c>
    </row>
    <row r="67" spans="1:10">
      <c r="A67" s="78" t="s">
        <v>691</v>
      </c>
      <c r="B67" s="70" t="str">
        <f>IF(ISBLANK(A67),"",INDEX('Error Log'!$A:$J,MATCH('Scores per segment'!$A67,'Error Log'!$A:$A,0),MATCH('Scores per segment'!B$1,'Error Log'!$A$1:$J$1,0)))</f>
        <v>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3-13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v>
      </c>
      <c r="C67" s="70" t="str">
        <f>IF(ISBLANK(A67),"",INDEX('Error Log'!$A:$J,MATCH('Scores per segment'!$A67,'Error Log'!$A:$A,0),MATCH('Scores per segment'!C$1,'Error Log'!$A$1:$J$1,0)))</f>
        <v xml:space="preserve">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v>
      </c>
      <c r="D67" s="70">
        <f>IF(H67=0,wdct(TRIM(C67)),0)</f>
        <v>60</v>
      </c>
      <c r="E67" s="70">
        <f>COUNTIFS('Error Log'!$A:$A,$A67,'Error Log'!$J:$J,E$1)</f>
        <v>3</v>
      </c>
      <c r="F67" s="70">
        <f>COUNTIFS('Error Log'!$A:$A,$A67,'Error Log'!$J:$J,F$1)</f>
        <v>5</v>
      </c>
      <c r="G67" s="70">
        <f>COUNTIFS('Error Log'!$A:$A,$A67,'Error Log'!$J:$J,G$1)</f>
        <v>0</v>
      </c>
      <c r="H67" s="70">
        <f>COUNTIFS('Error Log'!$A:$A,$A67,'Error Log'!$F:$F,"Source")</f>
        <v>0</v>
      </c>
      <c r="I67" s="70">
        <f>COUNTIFS('Error Log'!$A:$A,$A67,'Error Log'!$F:$F,"Target")</f>
        <v>0</v>
      </c>
      <c r="J67" s="71">
        <f t="shared" si="1"/>
        <v>54.166666666666671</v>
      </c>
    </row>
    <row r="68" spans="1:10">
      <c r="A68" s="78" t="s">
        <v>714</v>
      </c>
      <c r="B68" s="70" t="str">
        <f>IF(ISBLANK(A68),"",INDEX('Error Log'!$A:$J,MATCH('Scores per segment'!$A68,'Error Log'!$A:$A,0),MATCH('Scores per segment'!B$1,'Error Log'!$A$1:$J$1,0)))</f>
        <v>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67 vertebrae</v>
      </c>
      <c r="C68" s="70" t="str">
        <f>IF(ISBLANK(A68),"",INDEX('Error Log'!$A:$J,MATCH('Scores per segment'!$A68,'Error Log'!$A:$A,0),MATCH('Scores per segment'!C$1,'Error Log'!$A$1:$J$1,0)))</f>
        <v>it left authorities confused as they struggled to identify the rare species 
environment minister albert jacob said the find was ` highly significant ' for whale scientists because very little was known about the species . 
identifying the 5.68 m juvenile female was at first difficult for department of parks and wildlife staff , who eventually confirmed it was an omura 's whale with dna profiling .</v>
      </c>
      <c r="D68" s="70">
        <f>IF(H68=0,wdct(TRIM(C68)),0)</f>
        <v>62</v>
      </c>
      <c r="E68" s="70">
        <f>COUNTIFS('Error Log'!$A:$A,$A68,'Error Log'!$J:$J,E$1)</f>
        <v>3</v>
      </c>
      <c r="F68" s="70">
        <f>COUNTIFS('Error Log'!$A:$A,$A68,'Error Log'!$J:$J,F$1)</f>
        <v>1</v>
      </c>
      <c r="G68" s="70">
        <f>COUNTIFS('Error Log'!$A:$A,$A68,'Error Log'!$J:$J,G$1)</f>
        <v>0</v>
      </c>
      <c r="H68" s="70">
        <f>COUNTIFS('Error Log'!$A:$A,$A68,'Error Log'!$F:$F,"Source")</f>
        <v>0</v>
      </c>
      <c r="I68" s="70">
        <f>COUNTIFS('Error Log'!$A:$A,$A68,'Error Log'!$F:$F,"Target")</f>
        <v>0</v>
      </c>
      <c r="J68" s="71">
        <f t="shared" si="1"/>
        <v>71.774193548387089</v>
      </c>
    </row>
    <row r="69" spans="1:10">
      <c r="A69" s="78" t="s">
        <v>728</v>
      </c>
      <c r="B69" s="70" t="str">
        <f>IF(ISBLANK(A69),"",INDEX('Error Log'!$A:$J,MATCH('Scores per segment'!$A69,'Error Log'!$A:$A,0),MATCH('Scores per segment'!B$1,'Error Log'!$A$1:$J$1,0)))</f>
        <v>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35 ) : on for abraham and showed explosive pace straight away but was let down by a hurried attempt at a finish which flew over the bar .
isaiah brown holds off a tackle from fikayo tomori , during another impressive display for the young forward</v>
      </c>
      <c r="C69" s="70" t="str">
        <f>IF(ISBLANK(A69),"",INDEX('Error Log'!$A:$J,MATCH('Scores per segment'!$A69,'Error Log'!$A:$A,0),MATCH('Scores per segment'!C$1,'Error Log'!$A$1:$J$1,0)))</f>
        <v xml:space="preserve">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sportsmail was at the academy stadium to see how the youngsters got on ... </v>
      </c>
      <c r="D69" s="70">
        <f>IF(H69=0,wdct(TRIM(C69)),0)</f>
        <v>72</v>
      </c>
      <c r="E69" s="70">
        <f>COUNTIFS('Error Log'!$A:$A,$A69,'Error Log'!$J:$J,E$1)</f>
        <v>3</v>
      </c>
      <c r="F69" s="70">
        <f>COUNTIFS('Error Log'!$A:$A,$A69,'Error Log'!$J:$J,F$1)</f>
        <v>3</v>
      </c>
      <c r="G69" s="70">
        <f>COUNTIFS('Error Log'!$A:$A,$A69,'Error Log'!$J:$J,G$1)</f>
        <v>0</v>
      </c>
      <c r="H69" s="70">
        <f>COUNTIFS('Error Log'!$A:$A,$A69,'Error Log'!$F:$F,"Source")</f>
        <v>0</v>
      </c>
      <c r="I69" s="70">
        <f>COUNTIFS('Error Log'!$A:$A,$A69,'Error Log'!$F:$F,"Target")</f>
        <v>0</v>
      </c>
      <c r="J69" s="71">
        <f t="shared" si="1"/>
        <v>68.75</v>
      </c>
    </row>
    <row r="70" spans="1:10">
      <c r="A70" s="78" t="s">
        <v>743</v>
      </c>
      <c r="B70" s="70" t="str">
        <f>IF(ISBLANK(A70),"",INDEX('Error Log'!$A:$J,MATCH('Scores per segment'!$A70,'Error Log'!$A:$A,0),MATCH('Scores per segment'!B$1,'Error Log'!$A$1:$J$1,0)))</f>
        <v>(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2023 .
correction : an earlier version of this article incorrectly stated that canadians elected their first female prime minister , kim campbell .</v>
      </c>
      <c r="C70" s="70" t="str">
        <f>IF(ISBLANK(A70),"",INDEX('Error Log'!$A:$J,MATCH('Scores per segment'!$A70,'Error Log'!$A:$A,0),MATCH('Scores per segment'!C$1,'Error Log'!$A$1:$J$1,0)))</f>
        <v>but underneath the biochemistry debate is a much scarier consideration : the bias against women in the workplace is so well established that even in 2015 , a female candidate will be hard-pressed to get elected unless we have a serious discussion about ending gender bias . 
in a compelling series about women and work , wharton school professor adam grant and facebook coo sheryl sandberg lay out the startling facts about the bias women face at work and the profound benefit of eradicating gender stereotypes . 
if science does n't convince you , just google " cheating politicians "</v>
      </c>
      <c r="D70" s="70">
        <f>IF(H70=0,wdct(TRIM(C70)),0)</f>
        <v>92</v>
      </c>
      <c r="E70" s="70">
        <f>COUNTIFS('Error Log'!$A:$A,$A70,'Error Log'!$J:$J,E$1)</f>
        <v>2</v>
      </c>
      <c r="F70" s="70">
        <f>COUNTIFS('Error Log'!$A:$A,$A70,'Error Log'!$J:$J,F$1)</f>
        <v>1</v>
      </c>
      <c r="G70" s="70">
        <f>COUNTIFS('Error Log'!$A:$A,$A70,'Error Log'!$J:$J,G$1)</f>
        <v>0</v>
      </c>
      <c r="H70" s="70">
        <f>COUNTIFS('Error Log'!$A:$A,$A70,'Error Log'!$F:$F,"Source")</f>
        <v>0</v>
      </c>
      <c r="I70" s="70">
        <f>COUNTIFS('Error Log'!$A:$A,$A70,'Error Log'!$F:$F,"Target")</f>
        <v>0</v>
      </c>
      <c r="J70" s="71">
        <f t="shared" si="1"/>
        <v>86.413043478260875</v>
      </c>
    </row>
    <row r="71" spans="1:10">
      <c r="A71" s="78" t="s">
        <v>752</v>
      </c>
      <c r="B71" s="70" t="str">
        <f>IF(ISBLANK(A71),"",INDEX('Error Log'!$A:$J,MATCH('Scores per segment'!$A71,'Error Log'!$A:$A,0),MATCH('Scores per segment'!B$1,'Error Log'!$A$1:$J$1,0)))</f>
        <v>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$ 47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v>
      </c>
      <c r="C71" s="70" t="str">
        <f>IF(ISBLANK(A71),"",INDEX('Error Log'!$A:$J,MATCH('Scores per segment'!$A71,'Error Log'!$A:$A,0),MATCH('Scores per segment'!C$1,'Error Log'!$A$1:$J$1,0)))</f>
        <v>donors have said their candidate has already received monetary commitments in excess of the $ 40 million he will likely need to battle through a presidential primary season that will feature a crowd of seasoned republican candidates with strong financial backing . 
` ultimately , if someone that you care for and is part of your family has decided to move in one direction or another or feels that way because of who they love , you respect that because you love them . ' the presidential candidate spoke to cbs 's face the nation after admitting in an interview</v>
      </c>
      <c r="D71" s="70">
        <f>IF(H71=0,wdct(TRIM(C71)),0)</f>
        <v>93</v>
      </c>
      <c r="E71" s="70">
        <f>COUNTIFS('Error Log'!$A:$A,$A71,'Error Log'!$J:$J,E$1)</f>
        <v>3</v>
      </c>
      <c r="F71" s="70">
        <f>COUNTIFS('Error Log'!$A:$A,$A71,'Error Log'!$J:$J,F$1)</f>
        <v>2</v>
      </c>
      <c r="G71" s="70">
        <f>COUNTIFS('Error Log'!$A:$A,$A71,'Error Log'!$J:$J,G$1)</f>
        <v>0</v>
      </c>
      <c r="H71" s="70">
        <f>COUNTIFS('Error Log'!$A:$A,$A71,'Error Log'!$F:$F,"Source")</f>
        <v>0</v>
      </c>
      <c r="I71" s="70">
        <f>COUNTIFS('Error Log'!$A:$A,$A71,'Error Log'!$F:$F,"Target")</f>
        <v>0</v>
      </c>
      <c r="J71" s="71">
        <f t="shared" si="1"/>
        <v>78.494623655913983</v>
      </c>
    </row>
    <row r="72" spans="1:10">
      <c r="A72" s="79" t="s">
        <v>769</v>
      </c>
      <c r="B72" s="70" t="str">
        <f>IF(ISBLANK(A72),"",INDEX('Error Log'!$A:$J,MATCH('Scores per segment'!$A72,'Error Log'!$A:$A,0),MATCH('Scores per segment'!B$1,'Error Log'!$A$1:$J$1,0)))</f>
        <v>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v>
      </c>
      <c r="C72" s="70" t="str">
        <f>IF(ISBLANK(A72),"",INDEX('Error Log'!$A:$J,MATCH('Scores per segment'!$A72,'Error Log'!$A:$A,0),MATCH('Scores per segment'!C$1,'Error Log'!$A$1:$J$1,0)))</f>
        <v>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v>
      </c>
      <c r="D72" s="70">
        <f>IF(H72=0,wdct(TRIM(C72)),0)</f>
        <v>89</v>
      </c>
      <c r="E72" s="70">
        <f>COUNTIFS('Error Log'!$A:$A,$A72,'Error Log'!$J:$J,E$1)</f>
        <v>1</v>
      </c>
      <c r="F72" s="70">
        <f>COUNTIFS('Error Log'!$A:$A,$A72,'Error Log'!$J:$J,F$1)</f>
        <v>1</v>
      </c>
      <c r="G72" s="70">
        <f>COUNTIFS('Error Log'!$A:$A,$A72,'Error Log'!$J:$J,G$1)</f>
        <v>0</v>
      </c>
      <c r="H72" s="70">
        <f>COUNTIFS('Error Log'!$A:$A,$A72,'Error Log'!$F:$F,"Source")</f>
        <v>0</v>
      </c>
      <c r="I72" s="70">
        <f>COUNTIFS('Error Log'!$A:$A,$A72,'Error Log'!$F:$F,"Target")</f>
        <v>0</v>
      </c>
      <c r="J72" s="71">
        <f t="shared" si="1"/>
        <v>91.573033707865164</v>
      </c>
    </row>
    <row r="73" spans="1:10">
      <c r="A73" s="79" t="s">
        <v>774</v>
      </c>
      <c r="B73" s="70" t="str">
        <f>IF(ISBLANK(A73),"",INDEX('Error Log'!$A:$J,MATCH('Scores per segment'!$A73,'Error Log'!$A:$A,0),MATCH('Scores per segment'!B$1,'Error Log'!$A$1:$J$1,0)))</f>
        <v>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222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v>
      </c>
      <c r="C73" s="70" t="str">
        <f>IF(ISBLANK(A73),"",INDEX('Error Log'!$A:$J,MATCH('Scores per segment'!$A73,'Error Log'!$A:$A,0),MATCH('Scores per segment'!C$1,'Error Log'!$A$1:$J$1,0)))</f>
        <v xml:space="preserve">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v>
      </c>
      <c r="D73" s="70">
        <f>IF(H73=0,wdct(TRIM(C73)),0)</f>
        <v>67</v>
      </c>
      <c r="E73" s="70">
        <f>COUNTIFS('Error Log'!$A:$A,$A73,'Error Log'!$J:$J,E$1)</f>
        <v>2</v>
      </c>
      <c r="F73" s="70">
        <f>COUNTIFS('Error Log'!$A:$A,$A73,'Error Log'!$J:$J,F$1)</f>
        <v>2</v>
      </c>
      <c r="G73" s="70">
        <f>COUNTIFS('Error Log'!$A:$A,$A73,'Error Log'!$J:$J,G$1)</f>
        <v>0</v>
      </c>
      <c r="H73" s="70">
        <f>COUNTIFS('Error Log'!$A:$A,$A73,'Error Log'!$F:$F,"Source")</f>
        <v>0</v>
      </c>
      <c r="I73" s="70">
        <f>COUNTIFS('Error Log'!$A:$A,$A73,'Error Log'!$F:$F,"Target")</f>
        <v>0</v>
      </c>
      <c r="J73" s="71">
        <f t="shared" si="1"/>
        <v>77.611940298507463</v>
      </c>
    </row>
    <row r="74" spans="1:10">
      <c r="A74" s="79" t="s">
        <v>785</v>
      </c>
      <c r="B74" s="70" t="str">
        <f>IF(ISBLANK(A74),"",INDEX('Error Log'!$A:$J,MATCH('Scores per segment'!$A74,'Error Log'!$A:$A,0),MATCH('Scores per segment'!B$1,'Error Log'!$A$1:$J$1,0)))</f>
        <v>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v>
      </c>
      <c r="C74" s="70" t="str">
        <f>IF(ISBLANK(A74),"",INDEX('Error Log'!$A:$J,MATCH('Scores per segment'!$A74,'Error Log'!$A:$A,0),MATCH('Scores per segment'!C$1,'Error Log'!$A$1:$J$1,0)))</f>
        <v>police say michael scott shemansky came to their attention after he failed to appear for a supervised visit with his son on the same day mother sandra shemansky , 57 , was found dead at the home they shared in winter garden . 
michael scott shemansky is on the run after authorities named him as a suspect in the murder of his mother 
a florida man wanted as a suspect in the murder of his own mother has been on the run from police since saturday .</v>
      </c>
      <c r="D74" s="70">
        <f>IF(H74=0,wdct(TRIM(C74)),0)</f>
        <v>83</v>
      </c>
      <c r="E74" s="70">
        <f>COUNTIFS('Error Log'!$A:$A,$A74,'Error Log'!$J:$J,E$1)</f>
        <v>1</v>
      </c>
      <c r="F74" s="70">
        <f>COUNTIFS('Error Log'!$A:$A,$A74,'Error Log'!$J:$J,F$1)</f>
        <v>1</v>
      </c>
      <c r="G74" s="70">
        <f>COUNTIFS('Error Log'!$A:$A,$A74,'Error Log'!$J:$J,G$1)</f>
        <v>0</v>
      </c>
      <c r="H74" s="70">
        <f>COUNTIFS('Error Log'!$A:$A,$A74,'Error Log'!$F:$F,"Source")</f>
        <v>0</v>
      </c>
      <c r="I74" s="70">
        <f>COUNTIFS('Error Log'!$A:$A,$A74,'Error Log'!$F:$F,"Target")</f>
        <v>0</v>
      </c>
      <c r="J74" s="71">
        <f t="shared" si="1"/>
        <v>90.963855421686745</v>
      </c>
    </row>
    <row r="75" spans="1:10">
      <c r="A75" s="79" t="s">
        <v>790</v>
      </c>
      <c r="B75" s="70" t="str">
        <f>IF(ISBLANK(A75),"",INDEX('Error Log'!$A:$J,MATCH('Scores per segment'!$A75,'Error Log'!$A:$A,0),MATCH('Scores per segment'!B$1,'Error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v>
      </c>
      <c r="C75" s="70" t="str">
        <f>IF(ISBLANK(A75),"",INDEX('Error Log'!$A:$J,MATCH('Scores per segment'!$A75,'Error Log'!$A:$A,0),MATCH('Scores per segment'!C$1,'Error Log'!$A$1:$J$1,0)))</f>
        <v xml:space="preserve">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v>
      </c>
      <c r="D75" s="70">
        <f>IF(H75=0,wdct(TRIM(C75)),0)</f>
        <v>87</v>
      </c>
      <c r="E75" s="70">
        <f>COUNTIFS('Error Log'!$A:$A,$A75,'Error Log'!$J:$J,E$1)</f>
        <v>1</v>
      </c>
      <c r="F75" s="70">
        <f>COUNTIFS('Error Log'!$A:$A,$A75,'Error Log'!$J:$J,F$1)</f>
        <v>1</v>
      </c>
      <c r="G75" s="70">
        <f>COUNTIFS('Error Log'!$A:$A,$A75,'Error Log'!$J:$J,G$1)</f>
        <v>0</v>
      </c>
      <c r="H75" s="70">
        <f>COUNTIFS('Error Log'!$A:$A,$A75,'Error Log'!$F:$F,"Source")</f>
        <v>0</v>
      </c>
      <c r="I75" s="70">
        <f>COUNTIFS('Error Log'!$A:$A,$A75,'Error Log'!$F:$F,"Target")</f>
        <v>0</v>
      </c>
      <c r="J75" s="71">
        <f t="shared" si="1"/>
        <v>91.379310344827587</v>
      </c>
    </row>
    <row r="76" spans="1:10">
      <c r="A76" s="79" t="s">
        <v>795</v>
      </c>
      <c r="B76" s="70" t="str">
        <f>IF(ISBLANK(A76),"",INDEX('Error Log'!$A:$J,MATCH('Scores per segment'!$A76,'Error Log'!$A:$A,0),MATCH('Scores per segment'!B$1,'Error Log'!$A$1:$J$1,0)))</f>
        <v>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2019 iaaf world athletics championships in moscow</v>
      </c>
      <c r="C76" s="70" t="str">
        <f>IF(ISBLANK(A76),"",INDEX('Error Log'!$A:$J,MATCH('Scores per segment'!$A76,'Error Log'!$A:$A,0),MATCH('Scores per segment'!C$1,'Error Log'!$A$1:$J$1,0)))</f>
        <v>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v>
      </c>
      <c r="D76" s="70">
        <f>IF(H76=0,wdct(TRIM(C76)),0)</f>
        <v>91</v>
      </c>
      <c r="E76" s="70">
        <f>COUNTIFS('Error Log'!$A:$A,$A76,'Error Log'!$J:$J,E$1)</f>
        <v>2</v>
      </c>
      <c r="F76" s="70">
        <f>COUNTIFS('Error Log'!$A:$A,$A76,'Error Log'!$J:$J,F$1)</f>
        <v>1</v>
      </c>
      <c r="G76" s="70">
        <f>COUNTIFS('Error Log'!$A:$A,$A76,'Error Log'!$J:$J,G$1)</f>
        <v>0</v>
      </c>
      <c r="H76" s="70">
        <f>COUNTIFS('Error Log'!$A:$A,$A76,'Error Log'!$F:$F,"Source")</f>
        <v>0</v>
      </c>
      <c r="I76" s="70">
        <f>COUNTIFS('Error Log'!$A:$A,$A76,'Error Log'!$F:$F,"Target")</f>
        <v>0</v>
      </c>
      <c r="J76" s="71">
        <f t="shared" si="1"/>
        <v>86.263736263736263</v>
      </c>
    </row>
    <row r="77" spans="1:10">
      <c r="A77" s="79" t="s">
        <v>802</v>
      </c>
      <c r="B77" s="70" t="str">
        <f>IF(ISBLANK(A77),"",INDEX('Error Log'!$A:$J,MATCH('Scores per segment'!$A77,'Error Log'!$A:$A,0),MATCH('Scores per segment'!B$1,'Error Log'!$A$1:$J$1,0)))</f>
        <v>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2028 campaign that champions people at the heart and soul of the game by putting grassroots clubs on the global stage .</v>
      </c>
      <c r="C77" s="70" t="str">
        <f>IF(ISBLANK(A77),"",INDEX('Error Log'!$A:$J,MATCH('Scores per segment'!$A77,'Error Log'!$A:$A,0),MATCH('Scores per segment'!C$1,'Error Log'!$A$1:$J$1,0)))</f>
        <v xml:space="preserve">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v>
      </c>
      <c r="D77" s="70">
        <f>IF(H77=0,wdct(TRIM(C77)),0)</f>
        <v>53</v>
      </c>
      <c r="E77" s="70">
        <f>COUNTIFS('Error Log'!$A:$A,$A77,'Error Log'!$J:$J,E$1)</f>
        <v>2</v>
      </c>
      <c r="F77" s="70">
        <f>COUNTIFS('Error Log'!$A:$A,$A77,'Error Log'!$J:$J,F$1)</f>
        <v>3</v>
      </c>
      <c r="G77" s="70">
        <f>COUNTIFS('Error Log'!$A:$A,$A77,'Error Log'!$J:$J,G$1)</f>
        <v>0</v>
      </c>
      <c r="H77" s="70">
        <f>COUNTIFS('Error Log'!$A:$A,$A77,'Error Log'!$F:$F,"Source")</f>
        <v>0</v>
      </c>
      <c r="I77" s="70">
        <f>COUNTIFS('Error Log'!$A:$A,$A77,'Error Log'!$F:$F,"Target")</f>
        <v>0</v>
      </c>
      <c r="J77" s="71">
        <f t="shared" si="1"/>
        <v>66.981132075471692</v>
      </c>
    </row>
    <row r="78" spans="1:10">
      <c r="A78" s="79" t="s">
        <v>819</v>
      </c>
      <c r="B78" s="70" t="str">
        <f>IF(ISBLANK(A78),"",INDEX('Error Log'!$A:$J,MATCH('Scores per segment'!$A78,'Error Log'!$A:$A,0),MATCH('Scores per segment'!B$1,'Error Log'!$A$1:$J$1,0)))</f>
        <v>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£ 70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v>
      </c>
      <c r="C78" s="70" t="str">
        <f>IF(ISBLANK(A78),"",INDEX('Error Log'!$A:$J,MATCH('Scores per segment'!$A78,'Error Log'!$A:$A,0),MATCH('Scores per segment'!C$1,'Error Log'!$A$1:$J$1,0)))</f>
        <v>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v>
      </c>
      <c r="D78" s="70">
        <f>IF(H78=0,wdct(TRIM(C78)),0)</f>
        <v>66</v>
      </c>
      <c r="E78" s="70">
        <f>COUNTIFS('Error Log'!$A:$A,$A78,'Error Log'!$J:$J,E$1)</f>
        <v>3</v>
      </c>
      <c r="F78" s="70">
        <f>COUNTIFS('Error Log'!$A:$A,$A78,'Error Log'!$J:$J,F$1)</f>
        <v>3</v>
      </c>
      <c r="G78" s="70">
        <f>COUNTIFS('Error Log'!$A:$A,$A78,'Error Log'!$J:$J,G$1)</f>
        <v>0</v>
      </c>
      <c r="H78" s="70">
        <f>COUNTIFS('Error Log'!$A:$A,$A78,'Error Log'!$F:$F,"Source")</f>
        <v>0</v>
      </c>
      <c r="I78" s="70">
        <f>COUNTIFS('Error Log'!$A:$A,$A78,'Error Log'!$F:$F,"Target")</f>
        <v>0</v>
      </c>
      <c r="J78" s="71">
        <f t="shared" si="1"/>
        <v>65.909090909090907</v>
      </c>
    </row>
    <row r="79" spans="1:10">
      <c r="A79" s="79" t="s">
        <v>839</v>
      </c>
      <c r="B79" s="70" t="str">
        <f>IF(ISBLANK(A79),"",INDEX('Error Log'!$A:$J,MATCH('Scores per segment'!$A79,'Error Log'!$A:$A,0),MATCH('Scores per segment'!B$1,'Error Log'!$A$1:$J$1,0)))</f>
        <v>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10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v>
      </c>
      <c r="C79" s="70" t="str">
        <f>IF(ISBLANK(A79),"",INDEX('Error Log'!$A:$J,MATCH('Scores per segment'!$A79,'Error Log'!$A:$A,0),MATCH('Scores per segment'!C$1,'Error Log'!$A$1:$J$1,0)))</f>
        <v>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research has revealed that the frequency with which britons are having sex has been in decline since the emergence of the internet ( file picture )</v>
      </c>
      <c r="D79" s="70">
        <f>IF(H79=0,wdct(TRIM(C79)),0)</f>
        <v>78</v>
      </c>
      <c r="E79" s="70">
        <f>COUNTIFS('Error Log'!$A:$A,$A79,'Error Log'!$J:$J,E$1)</f>
        <v>2</v>
      </c>
      <c r="F79" s="70">
        <f>COUNTIFS('Error Log'!$A:$A,$A79,'Error Log'!$J:$J,F$1)</f>
        <v>4</v>
      </c>
      <c r="G79" s="70">
        <f>COUNTIFS('Error Log'!$A:$A,$A79,'Error Log'!$J:$J,G$1)</f>
        <v>0</v>
      </c>
      <c r="H79" s="70">
        <f>COUNTIFS('Error Log'!$A:$A,$A79,'Error Log'!$F:$F,"Source")</f>
        <v>0</v>
      </c>
      <c r="I79" s="70">
        <f>COUNTIFS('Error Log'!$A:$A,$A79,'Error Log'!$F:$F,"Target")</f>
        <v>0</v>
      </c>
      <c r="J79" s="71">
        <f t="shared" si="1"/>
        <v>74.358974358974365</v>
      </c>
    </row>
    <row r="80" spans="1:10">
      <c r="A80" s="79" t="s">
        <v>853</v>
      </c>
      <c r="B80" s="70" t="str">
        <f>IF(ISBLANK(A80),"",INDEX('Error Log'!$A:$J,MATCH('Scores per segment'!$A80,'Error Log'!$A:$A,0),MATCH('Scores per segment'!B$1,'Error Log'!$A$1:$J$1,0)))</f>
        <v>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3-17 win over hull city , but that was his first in five games
mourinho is looking to guide his team over the line in the premier league title race , with fabregas a key cog</v>
      </c>
      <c r="C80" s="70" t="str">
        <f>IF(ISBLANK(A80),"",INDEX('Error Log'!$A:$J,MATCH('Scores per segment'!$A80,'Error Log'!$A:$A,0),MATCH('Scores per segment'!C$1,'Error Log'!$A$1:$J$1,0)))</f>
        <v xml:space="preserve">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v>
      </c>
      <c r="D80" s="70">
        <f>IF(H80=0,wdct(TRIM(C80)),0)</f>
        <v>50</v>
      </c>
      <c r="E80" s="70">
        <f>COUNTIFS('Error Log'!$A:$A,$A80,'Error Log'!$J:$J,E$1)</f>
        <v>2</v>
      </c>
      <c r="F80" s="70">
        <f>COUNTIFS('Error Log'!$A:$A,$A80,'Error Log'!$J:$J,F$1)</f>
        <v>2</v>
      </c>
      <c r="G80" s="70">
        <f>COUNTIFS('Error Log'!$A:$A,$A80,'Error Log'!$J:$J,G$1)</f>
        <v>0</v>
      </c>
      <c r="H80" s="70">
        <f>COUNTIFS('Error Log'!$A:$A,$A80,'Error Log'!$F:$F,"Source")</f>
        <v>0</v>
      </c>
      <c r="I80" s="70">
        <f>COUNTIFS('Error Log'!$A:$A,$A80,'Error Log'!$F:$F,"Target")</f>
        <v>0</v>
      </c>
      <c r="J80" s="71">
        <f t="shared" si="1"/>
        <v>70</v>
      </c>
    </row>
    <row r="81" spans="1:10">
      <c r="A81" s="79" t="s">
        <v>861</v>
      </c>
      <c r="B81" s="70" t="str">
        <f>IF(ISBLANK(A81),"",INDEX('Error Log'!$A:$J,MATCH('Scores per segment'!$A81,'Error Log'!$A:$A,0),MATCH('Scores per segment'!B$1,'Error Log'!$A$1:$J$1,0)))</f>
        <v>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v>
      </c>
      <c r="C81" s="70" t="str">
        <f>IF(ISBLANK(A81),"",INDEX('Error Log'!$A:$J,MATCH('Scores per segment'!$A81,'Error Log'!$A:$A,0),MATCH('Scores per segment'!C$1,'Error Log'!$A$1:$J$1,0)))</f>
        <v xml:space="preserve">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v>
      </c>
      <c r="D81" s="70">
        <f>IF(H81=0,wdct(TRIM(C81)),0)</f>
        <v>74</v>
      </c>
      <c r="E81" s="70">
        <f>COUNTIFS('Error Log'!$A:$A,$A81,'Error Log'!$J:$J,E$1)</f>
        <v>4</v>
      </c>
      <c r="F81" s="70">
        <f>COUNTIFS('Error Log'!$A:$A,$A81,'Error Log'!$J:$J,F$1)</f>
        <v>3</v>
      </c>
      <c r="G81" s="70">
        <f>COUNTIFS('Error Log'!$A:$A,$A81,'Error Log'!$J:$J,G$1)</f>
        <v>0</v>
      </c>
      <c r="H81" s="70">
        <f>COUNTIFS('Error Log'!$A:$A,$A81,'Error Log'!$F:$F,"Source")</f>
        <v>0</v>
      </c>
      <c r="I81" s="70">
        <f>COUNTIFS('Error Log'!$A:$A,$A81,'Error Log'!$F:$F,"Target")</f>
        <v>0</v>
      </c>
      <c r="J81" s="71">
        <f t="shared" si="1"/>
        <v>62.837837837837839</v>
      </c>
    </row>
    <row r="82" spans="1:10">
      <c r="A82" s="79" t="s">
        <v>878</v>
      </c>
      <c r="B82" s="70" t="str">
        <f>IF(ISBLANK(A82),"",INDEX('Error Log'!$A:$J,MATCH('Scores per segment'!$A82,'Error Log'!$A:$A,0),MATCH('Scores per segment'!B$1,'Error Log'!$A$1:$J$1,0)))</f>
        <v>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v>
      </c>
      <c r="C82" s="70" t="str">
        <f>IF(ISBLANK(A82),"",INDEX('Error Log'!$A:$J,MATCH('Scores per segment'!$A82,'Error Log'!$A:$A,0),MATCH('Scores per segment'!C$1,'Error Log'!$A$1:$J$1,0)))</f>
        <v>premier league outfit west ham are closing in on the signature of jamaican starlet deshane beckford 
meanwhile , west ham have revealed season tickets at the olympic stadium will cost as little as £ 289 . 
the skilful 17-year-old forward from montego bay united was invited to train with west ham 's academy earlier this month and has impressed coaches after spending two weeks with the club .</v>
      </c>
      <c r="D82" s="70">
        <f>IF(H82=0,wdct(TRIM(C82)),0)</f>
        <v>64</v>
      </c>
      <c r="E82" s="70">
        <f>COUNTIFS('Error Log'!$A:$A,$A82,'Error Log'!$J:$J,E$1)</f>
        <v>1</v>
      </c>
      <c r="F82" s="70">
        <f>COUNTIFS('Error Log'!$A:$A,$A82,'Error Log'!$J:$J,F$1)</f>
        <v>1</v>
      </c>
      <c r="G82" s="70">
        <f>COUNTIFS('Error Log'!$A:$A,$A82,'Error Log'!$J:$J,G$1)</f>
        <v>0</v>
      </c>
      <c r="H82" s="70">
        <f>COUNTIFS('Error Log'!$A:$A,$A82,'Error Log'!$F:$F,"Source")</f>
        <v>0</v>
      </c>
      <c r="I82" s="70">
        <f>COUNTIFS('Error Log'!$A:$A,$A82,'Error Log'!$F:$F,"Target")</f>
        <v>0</v>
      </c>
      <c r="J82" s="71">
        <f t="shared" si="1"/>
        <v>88.28125</v>
      </c>
    </row>
    <row r="83" spans="1:10">
      <c r="A83" s="79" t="s">
        <v>883</v>
      </c>
      <c r="B83" s="70" t="str">
        <f>IF(ISBLANK(A83),"",INDEX('Error Log'!$A:$J,MATCH('Scores per segment'!$A83,'Error Log'!$A:$A,0),MATCH('Scores per segment'!B$1,'Error Log'!$A$1:$J$1,0)))</f>
        <v>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€ 75,005 fine . "
she said women needed to be better " educated that what they 're going through is not normal " , and that the message must reach " aggressors and witnesses " .</v>
      </c>
      <c r="C83" s="70" t="str">
        <f>IF(ISBLANK(A83),"",INDEX('Error Log'!$A:$J,MATCH('Scores per segment'!$A83,'Error Log'!$A:$A,0),MATCH('Scores per segment'!C$1,'Error Log'!$A$1:$J$1,0)))</f>
        <v>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every woman surveyed in paris claimed to have been a victim of some kind of sexual harassment on the city 's public transport 
the poll of 600 women from the area around paris found that</v>
      </c>
      <c r="D83" s="70">
        <f>IF(H83=0,wdct(TRIM(C83)),0)</f>
        <v>87</v>
      </c>
      <c r="E83" s="70">
        <f>COUNTIFS('Error Log'!$A:$A,$A83,'Error Log'!$J:$J,E$1)</f>
        <v>2</v>
      </c>
      <c r="F83" s="70">
        <f>COUNTIFS('Error Log'!$A:$A,$A83,'Error Log'!$J:$J,F$1)</f>
        <v>1</v>
      </c>
      <c r="G83" s="70">
        <f>COUNTIFS('Error Log'!$A:$A,$A83,'Error Log'!$J:$J,G$1)</f>
        <v>0</v>
      </c>
      <c r="H83" s="70">
        <f>COUNTIFS('Error Log'!$A:$A,$A83,'Error Log'!$F:$F,"Source")</f>
        <v>0</v>
      </c>
      <c r="I83" s="70">
        <f>COUNTIFS('Error Log'!$A:$A,$A83,'Error Log'!$F:$F,"Target")</f>
        <v>0</v>
      </c>
      <c r="J83" s="71">
        <f t="shared" si="1"/>
        <v>85.632183908045988</v>
      </c>
    </row>
    <row r="84" spans="1:10">
      <c r="A84" s="79" t="s">
        <v>891</v>
      </c>
      <c r="B84" s="70" t="str">
        <f>IF(ISBLANK(A84),"",INDEX('Error Log'!$A:$J,MATCH('Scores per segment'!$A84,'Error Log'!$A:$A,0),MATCH('Scores per segment'!B$1,'Error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v>
      </c>
      <c r="C84" s="70" t="str">
        <f>IF(ISBLANK(A84),"",INDEX('Error Log'!$A:$J,MATCH('Scores per segment'!$A84,'Error Log'!$A:$A,0),MATCH('Scores per segment'!C$1,'Error Log'!$A$1:$J$1,0)))</f>
        <v xml:space="preserve">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james cameron , 53 , vice-chairman of the tedworth hunt , added : ` their decision is disappointing , but this highlights how difficult it is for police to do their job when saboteurs turn up wearing face coverings . ' </v>
      </c>
      <c r="D84" s="70">
        <f>IF(H84=0,wdct(TRIM(C84)),0)</f>
        <v>82</v>
      </c>
      <c r="E84" s="70">
        <f>COUNTIFS('Error Log'!$A:$A,$A84,'Error Log'!$J:$J,E$1)</f>
        <v>3</v>
      </c>
      <c r="F84" s="70">
        <f>COUNTIFS('Error Log'!$A:$A,$A84,'Error Log'!$J:$J,F$1)</f>
        <v>2</v>
      </c>
      <c r="G84" s="70">
        <f>COUNTIFS('Error Log'!$A:$A,$A84,'Error Log'!$J:$J,G$1)</f>
        <v>0</v>
      </c>
      <c r="H84" s="70">
        <f>COUNTIFS('Error Log'!$A:$A,$A84,'Error Log'!$F:$F,"Source")</f>
        <v>0</v>
      </c>
      <c r="I84" s="70">
        <f>COUNTIFS('Error Log'!$A:$A,$A84,'Error Log'!$F:$F,"Target")</f>
        <v>0</v>
      </c>
      <c r="J84" s="71">
        <f t="shared" si="1"/>
        <v>75.609756097560975</v>
      </c>
    </row>
    <row r="85" spans="1:10">
      <c r="A85" s="79" t="s">
        <v>900</v>
      </c>
      <c r="B85" s="70" t="str">
        <f>IF(ISBLANK(A85),"",INDEX('Error Log'!$A:$J,MATCH('Scores per segment'!$A85,'Error Log'!$A:$A,0),MATCH('Scores per segment'!B$1,'Error Log'!$A$1:$J$1,0)))</f>
        <v>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40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v>
      </c>
      <c r="C85" s="70" t="str">
        <f>IF(ISBLANK(A85),"",INDEX('Error Log'!$A:$J,MATCH('Scores per segment'!$A85,'Error Log'!$A:$A,0),MATCH('Scores per segment'!C$1,'Error Log'!$A$1:$J$1,0)))</f>
        <v xml:space="preserve">not being able to sleep ( 46 per cent * ) 
losing your keys ( 37 per cent ) 
being stuck in traffic when already late ( 35 per cent ) </v>
      </c>
      <c r="D85" s="70">
        <f>IF(H85=0,wdct(TRIM(C85)),0)</f>
        <v>24</v>
      </c>
      <c r="E85" s="70">
        <f>COUNTIFS('Error Log'!$A:$A,$A85,'Error Log'!$J:$J,E$1)</f>
        <v>4</v>
      </c>
      <c r="F85" s="70">
        <f>COUNTIFS('Error Log'!$A:$A,$A85,'Error Log'!$J:$J,F$1)</f>
        <v>3</v>
      </c>
      <c r="G85" s="70">
        <f>COUNTIFS('Error Log'!$A:$A,$A85,'Error Log'!$J:$J,G$1)</f>
        <v>0</v>
      </c>
      <c r="H85" s="70">
        <f>COUNTIFS('Error Log'!$A:$A,$A85,'Error Log'!$F:$F,"Source")</f>
        <v>0</v>
      </c>
      <c r="I85" s="70">
        <f>COUNTIFS('Error Log'!$A:$A,$A85,'Error Log'!$F:$F,"Target")</f>
        <v>0</v>
      </c>
      <c r="J85" s="71">
        <f t="shared" si="1"/>
        <v>-14.583333333333329</v>
      </c>
    </row>
    <row r="86" spans="1:10">
      <c r="A86" s="79" t="s">
        <v>923</v>
      </c>
      <c r="B86" s="70" t="str">
        <f>IF(ISBLANK(A86),"",INDEX('Error Log'!$A:$J,MATCH('Scores per segment'!$A86,'Error Log'!$A:$A,0),MATCH('Scores per segment'!B$1,'Error Log'!$A$1:$J$1,0)))</f>
        <v>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v>
      </c>
      <c r="C86" s="70" t="str">
        <f>IF(ISBLANK(A86),"",INDEX('Error Log'!$A:$J,MATCH('Scores per segment'!$A86,'Error Log'!$A:$A,0),MATCH('Scores per segment'!C$1,'Error Log'!$A$1:$J$1,0)))</f>
        <v xml:space="preserve">the former hearts boss joined the club as assistant boss to allan johnston last summer but took control of the team when his ex-tynecastle team-mate quit at the start of february . 
gary locke has been given the job at kilmarnock on a permanent basis after a successful interim spell 
locke shakes hands with chairman jim mann after signing a three-year deal at the club </v>
      </c>
      <c r="D86" s="70">
        <f>IF(H86=0,wdct(TRIM(C86)),0)</f>
        <v>64</v>
      </c>
      <c r="E86" s="70">
        <f>COUNTIFS('Error Log'!$A:$A,$A86,'Error Log'!$J:$J,E$1)</f>
        <v>1</v>
      </c>
      <c r="F86" s="70">
        <f>COUNTIFS('Error Log'!$A:$A,$A86,'Error Log'!$J:$J,F$1)</f>
        <v>1</v>
      </c>
      <c r="G86" s="70">
        <f>COUNTIFS('Error Log'!$A:$A,$A86,'Error Log'!$J:$J,G$1)</f>
        <v>0</v>
      </c>
      <c r="H86" s="70">
        <f>COUNTIFS('Error Log'!$A:$A,$A86,'Error Log'!$F:$F,"Source")</f>
        <v>0</v>
      </c>
      <c r="I86" s="70">
        <f>COUNTIFS('Error Log'!$A:$A,$A86,'Error Log'!$F:$F,"Target")</f>
        <v>0</v>
      </c>
      <c r="J86" s="71">
        <f t="shared" si="1"/>
        <v>88.28125</v>
      </c>
    </row>
    <row r="87" spans="1:10">
      <c r="A87" s="79" t="s">
        <v>928</v>
      </c>
      <c r="B87" s="70" t="str">
        <f>IF(ISBLANK(A87),"",INDEX('Error Log'!$A:$J,MATCH('Scores per segment'!$A87,'Error Log'!$A:$A,0),MATCH('Scores per segment'!B$1,'Error Log'!$A$1:$J$1,0)))</f>
        <v>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v>
      </c>
      <c r="C87" s="70" t="str">
        <f>IF(ISBLANK(A87),"",INDEX('Error Log'!$A:$J,MATCH('Scores per segment'!$A87,'Error Log'!$A:$A,0),MATCH('Scores per segment'!C$1,'Error Log'!$A$1:$J$1,0)))</f>
        <v>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s
he is pictured above with deputy chief superintendent neil adamson at a press conference following his death adding the fact that chief constable sue sim was ` wrong ' , mr vaz said commissioners should never have been given the ability to allocate public funds to charity .</v>
      </c>
      <c r="D87" s="70">
        <f>IF(H87=0,wdct(TRIM(C87)),0)</f>
        <v>93</v>
      </c>
      <c r="E87" s="70">
        <f>COUNTIFS('Error Log'!$A:$A,$A87,'Error Log'!$J:$J,E$1)</f>
        <v>2</v>
      </c>
      <c r="F87" s="70">
        <f>COUNTIFS('Error Log'!$A:$A,$A87,'Error Log'!$J:$J,F$1)</f>
        <v>2</v>
      </c>
      <c r="G87" s="70">
        <f>COUNTIFS('Error Log'!$A:$A,$A87,'Error Log'!$J:$J,G$1)</f>
        <v>0</v>
      </c>
      <c r="H87" s="70">
        <f>COUNTIFS('Error Log'!$A:$A,$A87,'Error Log'!$F:$F,"Source")</f>
        <v>0</v>
      </c>
      <c r="I87" s="70">
        <f>COUNTIFS('Error Log'!$A:$A,$A87,'Error Log'!$F:$F,"Target")</f>
        <v>0</v>
      </c>
      <c r="J87" s="71">
        <f t="shared" si="1"/>
        <v>83.870967741935488</v>
      </c>
    </row>
    <row r="88" spans="1:10">
      <c r="A88" s="79" t="s">
        <v>936</v>
      </c>
      <c r="B88" s="70" t="str">
        <f>IF(ISBLANK(A88),"",INDEX('Error Log'!$A:$J,MATCH('Scores per segment'!$A88,'Error Log'!$A:$A,0),MATCH('Scores per segment'!B$1,'Error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2042 letter from gadahn making recommendations for al qaeda 's media strategy .
gadahn was married to a muslim woman from afghanistan and reportedly had at least one child .
cnn 's steve almasy contributed to this report .</v>
      </c>
      <c r="C88" s="70" t="str">
        <f>IF(ISBLANK(A88),"",INDEX('Error Log'!$A:$J,MATCH('Scores per segment'!$A88,'Error Log'!$A:$A,0),MATCH('Scores per segment'!C$1,'Error Log'!$A$1:$J$1,0)))</f>
        <v>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your failure to heed our demands ... means that you and your people will ... experience things which will make you forget about the horrors of september 11 , afghanistan and iraq and virginia tech , " he said ,</v>
      </c>
      <c r="D88" s="70">
        <f>IF(H88=0,wdct(TRIM(C88)),0)</f>
        <v>86</v>
      </c>
      <c r="E88" s="70">
        <f>COUNTIFS('Error Log'!$A:$A,$A88,'Error Log'!$J:$J,E$1)</f>
        <v>3</v>
      </c>
      <c r="F88" s="70">
        <f>COUNTIFS('Error Log'!$A:$A,$A88,'Error Log'!$J:$J,F$1)</f>
        <v>2</v>
      </c>
      <c r="G88" s="70">
        <f>COUNTIFS('Error Log'!$A:$A,$A88,'Error Log'!$J:$J,G$1)</f>
        <v>0</v>
      </c>
      <c r="H88" s="70">
        <f>COUNTIFS('Error Log'!$A:$A,$A88,'Error Log'!$F:$F,"Source")</f>
        <v>0</v>
      </c>
      <c r="I88" s="70">
        <f>COUNTIFS('Error Log'!$A:$A,$A88,'Error Log'!$F:$F,"Target")</f>
        <v>0</v>
      </c>
      <c r="J88" s="71">
        <f t="shared" si="1"/>
        <v>76.744186046511629</v>
      </c>
    </row>
    <row r="89" spans="1:10">
      <c r="A89" s="79" t="s">
        <v>235</v>
      </c>
      <c r="B89" s="70" t="str">
        <f>IF(ISBLANK(A89),"",INDEX('Error Log'!$A:$J,MATCH('Scores per segment'!$A89,'Error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 accomplices : sandra ng , 19 ( left ) , campbell 's girlfriend , was sentenced to 23 months in state prison for her role in the shocking assault last year , while another defendant jennifer pratt , 40 , is awaiting trial .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 i have nightmares . i ca n't sleep . ' all three were charged with aggravated assault , conspiracy and false imprisonment . they all pleaded guilty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89" s="70" t="str">
        <f>IF(ISBLANK(A89),"",INDEX('Error Log'!$A:$J,MATCH('Scores per segment'!$A89,'Error Log'!$A:$A,0),MATCH('Scores per segment'!C$1,'Error Log'!$A$1:$J$1,0)))</f>
        <v>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v>
      </c>
      <c r="D89" s="70">
        <f>IF(H89=0,wdct(TRIM(C89)),0)</f>
        <v>58</v>
      </c>
      <c r="E89" s="70">
        <f>COUNTIFS('Error Log'!$A:$A,$A89,'Error Log'!$J:$J,E$1)</f>
        <v>5</v>
      </c>
      <c r="F89" s="70">
        <f>COUNTIFS('Error Log'!$A:$A,$A89,'Error Log'!$J:$J,F$1)</f>
        <v>2</v>
      </c>
      <c r="G89" s="70">
        <f>COUNTIFS('Error Log'!$A:$A,$A89,'Error Log'!$J:$J,G$1)</f>
        <v>1</v>
      </c>
      <c r="H89" s="70">
        <f>COUNTIFS('Error Log'!$A:$A,$A89,'Error Log'!$F:$F,"Source")</f>
        <v>0</v>
      </c>
      <c r="I89" s="70">
        <f>COUNTIFS('Error Log'!$A:$A,$A89,'Error Log'!$F:$F,"Target")</f>
        <v>0</v>
      </c>
      <c r="J89" s="71">
        <f t="shared" si="1"/>
        <v>47.413793103448278</v>
      </c>
    </row>
    <row r="90" spans="1:10">
      <c r="A90" s="89" t="s">
        <v>1212</v>
      </c>
      <c r="B90" s="70" t="str">
        <f>IF(ISBLANK(A90),"",INDEX('Error Log'!$A:$J,MATCH('Scores per segment'!$A90,'Error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90" s="70" t="str">
        <f>IF(ISBLANK(A90),"",INDEX('Error Log'!$A:$J,MATCH('Scores per segment'!$A90,'Error Log'!$A:$A,0),MATCH('Scores per segment'!C$1,'Error Log'!$A$1:$J$1,0)))</f>
        <v xml:space="preserve">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v>
      </c>
      <c r="D90" s="70">
        <f>IF(H90=0,wdct(TRIM(C90)),0)</f>
        <v>52</v>
      </c>
      <c r="E90" s="70">
        <f>COUNTIFS('Error Log'!$A:$A,$A90,'Error Log'!$J:$J,E$1)</f>
        <v>1</v>
      </c>
      <c r="F90" s="70">
        <f>COUNTIFS('Error Log'!$A:$A,$A90,'Error Log'!$J:$J,F$1)</f>
        <v>2</v>
      </c>
      <c r="G90" s="70">
        <f>COUNTIFS('Error Log'!$A:$A,$A90,'Error Log'!$J:$J,G$1)</f>
        <v>0</v>
      </c>
      <c r="H90" s="70">
        <f>COUNTIFS('Error Log'!$A:$A,$A90,'Error Log'!$F:$F,"Source")</f>
        <v>0</v>
      </c>
      <c r="I90" s="70">
        <f>COUNTIFS('Error Log'!$A:$A,$A90,'Error Log'!$F:$F,"Target")</f>
        <v>0</v>
      </c>
      <c r="J90" s="71">
        <f t="shared" si="1"/>
        <v>80.769230769230774</v>
      </c>
    </row>
    <row r="91" spans="1:10">
      <c r="A91" s="89" t="s">
        <v>1213</v>
      </c>
      <c r="B91" s="70" t="str">
        <f>IF(ISBLANK(A91),"",INDEX('Error Log'!$A:$J,MATCH('Scores per segment'!$A91,'Error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91" s="70" t="str">
        <f>IF(ISBLANK(A91),"",INDEX('Error Log'!$A:$J,MATCH('Scores per segment'!$A91,'Error Log'!$A:$A,0),MATCH('Scores per segment'!C$1,'Error Log'!$A$1:$J$1,0)))</f>
        <v>jessica kemp from eustis says teachers at seminole county elementary warned they would remove kindergartner logan from class because the products , manufactured by doterra , smell and are a distraction to youngsters around him .
the 32-year-old puts the oil on his neck as she believes it keeps him calm and focused
she claims her boy has been using them all year , but then a teacher 's aide complained .</v>
      </c>
      <c r="D91" s="70">
        <f>IF(H91=0,wdct(TRIM(C91)),0)</f>
        <v>67</v>
      </c>
      <c r="E91" s="70">
        <f>COUNTIFS('Error Log'!$A:$A,$A91,'Error Log'!$J:$J,E$1)</f>
        <v>2</v>
      </c>
      <c r="F91" s="70">
        <f>COUNTIFS('Error Log'!$A:$A,$A91,'Error Log'!$J:$J,F$1)</f>
        <v>1</v>
      </c>
      <c r="G91" s="70">
        <f>COUNTIFS('Error Log'!$A:$A,$A91,'Error Log'!$J:$J,G$1)</f>
        <v>0</v>
      </c>
      <c r="H91" s="70">
        <f>COUNTIFS('Error Log'!$A:$A,$A91,'Error Log'!$F:$F,"Source")</f>
        <v>0</v>
      </c>
      <c r="I91" s="70">
        <f>COUNTIFS('Error Log'!$A:$A,$A91,'Error Log'!$F:$F,"Target")</f>
        <v>0</v>
      </c>
      <c r="J91" s="71">
        <f t="shared" si="1"/>
        <v>81.343283582089555</v>
      </c>
    </row>
    <row r="92" spans="1:10">
      <c r="A92" s="89" t="s">
        <v>1214</v>
      </c>
      <c r="B92" s="70" t="str">
        <f>IF(ISBLANK(A92),"",INDEX('Error Log'!$A:$J,MATCH('Scores per segment'!$A92,'Error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92" s="70" t="str">
        <f>IF(ISBLANK(A92),"",INDEX('Error Log'!$A:$J,MATCH('Scores per segment'!$A92,'Error Log'!$A:$A,0),MATCH('Scores per segment'!C$1,'Error Log'!$A$1:$J$1,0)))</f>
        <v>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the rise of hand car washes has been blamed for a decrease in drivers washing their own cars ( file pic )</v>
      </c>
      <c r="D92" s="70">
        <f>IF(H92=0,wdct(TRIM(C92)),0)</f>
        <v>84</v>
      </c>
      <c r="E92" s="70">
        <f>COUNTIFS('Error Log'!$A:$A,$A92,'Error Log'!$J:$J,E$1)</f>
        <v>0</v>
      </c>
      <c r="F92" s="70">
        <f>COUNTIFS('Error Log'!$A:$A,$A92,'Error Log'!$J:$J,F$1)</f>
        <v>4</v>
      </c>
      <c r="G92" s="70">
        <f>COUNTIFS('Error Log'!$A:$A,$A92,'Error Log'!$J:$J,G$1)</f>
        <v>0</v>
      </c>
      <c r="H92" s="70">
        <f>COUNTIFS('Error Log'!$A:$A,$A92,'Error Log'!$F:$F,"Source")</f>
        <v>0</v>
      </c>
      <c r="I92" s="70">
        <f>COUNTIFS('Error Log'!$A:$A,$A92,'Error Log'!$F:$F,"Target")</f>
        <v>0</v>
      </c>
      <c r="J92" s="71">
        <f t="shared" si="1"/>
        <v>88.095238095238102</v>
      </c>
    </row>
    <row r="93" spans="1:10">
      <c r="A93" s="89" t="s">
        <v>1215</v>
      </c>
      <c r="B93" s="70" t="str">
        <f>IF(ISBLANK(A93),"",INDEX('Error Log'!$A:$J,MATCH('Scores per segment'!$A93,'Error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93" s="70" t="str">
        <f>IF(ISBLANK(A93),"",INDEX('Error Log'!$A:$J,MATCH('Scores per segment'!$A93,'Error Log'!$A:$A,0),MATCH('Scores per segment'!C$1,'Error Log'!$A$1:$J$1,0)))</f>
        <v xml:space="preserve">`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v>
      </c>
      <c r="D93" s="70">
        <f>IF(H93=0,wdct(TRIM(C93)),0)</f>
        <v>56</v>
      </c>
      <c r="E93" s="70">
        <f>COUNTIFS('Error Log'!$A:$A,$A93,'Error Log'!$J:$J,E$1)</f>
        <v>1</v>
      </c>
      <c r="F93" s="70">
        <f>COUNTIFS('Error Log'!$A:$A,$A93,'Error Log'!$J:$J,F$1)</f>
        <v>1</v>
      </c>
      <c r="G93" s="70">
        <f>COUNTIFS('Error Log'!$A:$A,$A93,'Error Log'!$J:$J,G$1)</f>
        <v>0</v>
      </c>
      <c r="H93" s="70">
        <f>COUNTIFS('Error Log'!$A:$A,$A93,'Error Log'!$F:$F,"Source")</f>
        <v>0</v>
      </c>
      <c r="I93" s="70">
        <f>COUNTIFS('Error Log'!$A:$A,$A93,'Error Log'!$F:$F,"Target")</f>
        <v>0</v>
      </c>
      <c r="J93" s="71">
        <f t="shared" si="1"/>
        <v>86.607142857142861</v>
      </c>
    </row>
    <row r="94" spans="1:10">
      <c r="A94" s="89" t="s">
        <v>1216</v>
      </c>
      <c r="B94" s="70" t="str">
        <f>IF(ISBLANK(A94),"",INDEX('Error Log'!$A:$J,MATCH('Scores per segment'!$A94,'Error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94" s="70" t="str">
        <f>IF(ISBLANK(A94),"",INDEX('Error Log'!$A:$J,MATCH('Scores per segment'!$A94,'Error Log'!$A:$A,0),MATCH('Scores per segment'!C$1,'Error Log'!$A$1:$J$1,0)))</f>
        <v xml:space="preserve">barker was a dancer in such new york nightspots as the cotton club and the cafe zanzibar in the 1930s and 1940s , part of chorus lines that entertained alongside notables including bill " bojangles " robinson and frank sinatra . 
mark cantor of jazz-on-film.com and some volunteers put together a video of " soundies " -- early music videos -- and showed them to barker at the nursing home where she lives . 
( cnn ) with help from some filmmakers , 102-year-old alice barker went back in time . </v>
      </c>
      <c r="D94" s="70">
        <f>IF(H94=0,wdct(TRIM(C94)),0)</f>
        <v>79</v>
      </c>
      <c r="E94" s="70">
        <f>COUNTIFS('Error Log'!$A:$A,$A94,'Error Log'!$J:$J,E$1)</f>
        <v>0</v>
      </c>
      <c r="F94" s="70">
        <f>COUNTIFS('Error Log'!$A:$A,$A94,'Error Log'!$J:$J,F$1)</f>
        <v>2</v>
      </c>
      <c r="G94" s="70">
        <f>COUNTIFS('Error Log'!$A:$A,$A94,'Error Log'!$J:$J,G$1)</f>
        <v>0</v>
      </c>
      <c r="H94" s="70">
        <f>COUNTIFS('Error Log'!$A:$A,$A94,'Error Log'!$F:$F,"Source")</f>
        <v>0</v>
      </c>
      <c r="I94" s="70">
        <f>COUNTIFS('Error Log'!$A:$A,$A94,'Error Log'!$F:$F,"Target")</f>
        <v>0</v>
      </c>
      <c r="J94" s="71">
        <f t="shared" si="1"/>
        <v>93.670886075949369</v>
      </c>
    </row>
    <row r="95" spans="1:10">
      <c r="A95" s="89" t="s">
        <v>1217</v>
      </c>
      <c r="B95" s="70" t="str">
        <f>IF(ISBLANK(A95),"",INDEX('Error Log'!$A:$J,MATCH('Scores per segment'!$A95,'Error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95" s="70" t="str">
        <f>IF(ISBLANK(A95),"",INDEX('Error Log'!$A:$J,MATCH('Scores per segment'!$A95,'Error Log'!$A:$A,0),MATCH('Scores per segment'!C$1,'Error Log'!$A$1:$J$1,0)))</f>
        <v xml:space="preserve">equine enthusiast : her majesty adores the ponies and breeds them at hampton court 
no helmet : the queen never wears a riding helmet , preferring instead to ride in a silk headscarf 
cutting back : she has ridden less in recent years as a result of a niggling knee injury </v>
      </c>
      <c r="D95" s="70">
        <f>IF(H95=0,wdct(TRIM(C95)),0)</f>
        <v>47</v>
      </c>
      <c r="E95" s="70">
        <f>COUNTIFS('Error Log'!$A:$A,$A95,'Error Log'!$J:$J,E$1)</f>
        <v>2</v>
      </c>
      <c r="F95" s="70">
        <f>COUNTIFS('Error Log'!$A:$A,$A95,'Error Log'!$J:$J,F$1)</f>
        <v>2</v>
      </c>
      <c r="G95" s="70">
        <f>COUNTIFS('Error Log'!$A:$A,$A95,'Error Log'!$J:$J,G$1)</f>
        <v>0</v>
      </c>
      <c r="H95" s="70">
        <f>COUNTIFS('Error Log'!$A:$A,$A95,'Error Log'!$F:$F,"Source")</f>
        <v>0</v>
      </c>
      <c r="I95" s="70">
        <f>COUNTIFS('Error Log'!$A:$A,$A95,'Error Log'!$F:$F,"Target")</f>
        <v>0</v>
      </c>
      <c r="J95" s="71">
        <f t="shared" si="1"/>
        <v>68.085106382978722</v>
      </c>
    </row>
    <row r="96" spans="1:10">
      <c r="A96" s="89" t="s">
        <v>1218</v>
      </c>
      <c r="B96" s="70" t="str">
        <f>IF(ISBLANK(A96),"",INDEX('Error Log'!$A:$J,MATCH('Scores per segment'!$A96,'Error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96" s="70" t="str">
        <f>IF(ISBLANK(A96),"",INDEX('Error Log'!$A:$J,MATCH('Scores per segment'!$A96,'Error Log'!$A:$A,0),MATCH('Scores per segment'!C$1,'Error Log'!$A$1:$J$1,0)))</f>
        <v xml:space="preserve">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the size of a domestic cat quokkas can be found on some small islands off the west australian coast in particular off rottnest island off perth and bald island near albany </v>
      </c>
      <c r="D96" s="70">
        <f>IF(H96=0,wdct(TRIM(C96)),0)</f>
        <v>85</v>
      </c>
      <c r="E96" s="70">
        <f>COUNTIFS('Error Log'!$A:$A,$A96,'Error Log'!$J:$J,E$1)</f>
        <v>1</v>
      </c>
      <c r="F96" s="70">
        <f>COUNTIFS('Error Log'!$A:$A,$A96,'Error Log'!$J:$J,F$1)</f>
        <v>2</v>
      </c>
      <c r="G96" s="70">
        <f>COUNTIFS('Error Log'!$A:$A,$A96,'Error Log'!$J:$J,G$1)</f>
        <v>0</v>
      </c>
      <c r="H96" s="70">
        <f>COUNTIFS('Error Log'!$A:$A,$A96,'Error Log'!$F:$F,"Source")</f>
        <v>0</v>
      </c>
      <c r="I96" s="70">
        <f>COUNTIFS('Error Log'!$A:$A,$A96,'Error Log'!$F:$F,"Target")</f>
        <v>0</v>
      </c>
      <c r="J96" s="71">
        <f t="shared" si="1"/>
        <v>88.235294117647058</v>
      </c>
    </row>
    <row r="97" spans="1:10">
      <c r="A97" s="89" t="s">
        <v>1219</v>
      </c>
      <c r="B97" s="70" t="str">
        <f>IF(ISBLANK(A97),"",INDEX('Error Log'!$A:$J,MATCH('Scores per segment'!$A97,'Error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97" s="70" t="str">
        <f>IF(ISBLANK(A97),"",INDEX('Error Log'!$A:$J,MATCH('Scores per segment'!$A97,'Error Log'!$A:$A,0),MATCH('Scores per segment'!C$1,'Error Log'!$A$1:$J$1,0)))</f>
        <v>phillip pama covered his face as he left brisbane magistrate courts where he was granted conditional bail on friday 
pama , a married father of three , works a 3 am shift at a nearby warehouse and was sleeping at the time mr yeaman was making a commotion . 
the father of three allegedly killed his 55-year-old neighbour with one punch after he refused to turn his music down</v>
      </c>
      <c r="D97" s="70">
        <f>IF(H97=0,wdct(TRIM(C97)),0)</f>
        <v>66</v>
      </c>
      <c r="E97" s="70">
        <f>COUNTIFS('Error Log'!$A:$A,$A97,'Error Log'!$J:$J,E$1)</f>
        <v>1</v>
      </c>
      <c r="F97" s="70">
        <f>COUNTIFS('Error Log'!$A:$A,$A97,'Error Log'!$J:$J,F$1)</f>
        <v>2</v>
      </c>
      <c r="G97" s="70">
        <f>COUNTIFS('Error Log'!$A:$A,$A97,'Error Log'!$J:$J,G$1)</f>
        <v>0</v>
      </c>
      <c r="H97" s="70">
        <f>COUNTIFS('Error Log'!$A:$A,$A97,'Error Log'!$F:$F,"Source")</f>
        <v>0</v>
      </c>
      <c r="I97" s="70">
        <f>COUNTIFS('Error Log'!$A:$A,$A97,'Error Log'!$F:$F,"Target")</f>
        <v>0</v>
      </c>
      <c r="J97" s="71">
        <f t="shared" si="1"/>
        <v>84.848484848484844</v>
      </c>
    </row>
    <row r="98" spans="1:10">
      <c r="A98" s="89" t="s">
        <v>1220</v>
      </c>
      <c r="B98" s="70" t="str">
        <f>IF(ISBLANK(A98),"",INDEX('Error Log'!$A:$J,MATCH('Scores per segment'!$A98,'Error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98" s="70" t="str">
        <f>IF(ISBLANK(A98),"",INDEX('Error Log'!$A:$J,MATCH('Scores per segment'!$A98,'Error Log'!$A:$A,0),MATCH('Scores per segment'!C$1,'Error Log'!$A$1:$J$1,0)))</f>
        <v>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v>
      </c>
      <c r="D98" s="70">
        <f>IF(H98=0,wdct(TRIM(C98)),0)</f>
        <v>89</v>
      </c>
      <c r="E98" s="70">
        <f>COUNTIFS('Error Log'!$A:$A,$A98,'Error Log'!$J:$J,E$1)</f>
        <v>3</v>
      </c>
      <c r="F98" s="70">
        <f>COUNTIFS('Error Log'!$A:$A,$A98,'Error Log'!$J:$J,F$1)</f>
        <v>2</v>
      </c>
      <c r="G98" s="70">
        <f>COUNTIFS('Error Log'!$A:$A,$A98,'Error Log'!$J:$J,G$1)</f>
        <v>0</v>
      </c>
      <c r="H98" s="70">
        <f>COUNTIFS('Error Log'!$A:$A,$A98,'Error Log'!$F:$F,"Source")</f>
        <v>0</v>
      </c>
      <c r="I98" s="70">
        <f>COUNTIFS('Error Log'!$A:$A,$A98,'Error Log'!$F:$F,"Target")</f>
        <v>0</v>
      </c>
      <c r="J98" s="71">
        <f t="shared" si="1"/>
        <v>77.528089887640448</v>
      </c>
    </row>
    <row r="99" spans="1:10">
      <c r="A99" s="89" t="s">
        <v>1221</v>
      </c>
      <c r="B99" s="70" t="str">
        <f>IF(ISBLANK(A99),"",INDEX('Error Log'!$A:$J,MATCH('Scores per segment'!$A99,'Error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99" s="70" t="str">
        <f>IF(ISBLANK(A99),"",INDEX('Error Log'!$A:$J,MATCH('Scores per segment'!$A99,'Error Log'!$A:$A,0),MATCH('Scores per segment'!C$1,'Error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part of £ 1,400 offered for a ` hit ' , police arrested the 52-year-old in her car</v>
      </c>
      <c r="D99" s="70">
        <f>IF(H99=0,wdct(TRIM(C99)),0)</f>
        <v>61</v>
      </c>
      <c r="E99" s="70">
        <f>COUNTIFS('Error Log'!$A:$A,$A99,'Error Log'!$J:$J,E$1)</f>
        <v>1</v>
      </c>
      <c r="F99" s="70">
        <f>COUNTIFS('Error Log'!$A:$A,$A99,'Error Log'!$J:$J,F$1)</f>
        <v>1</v>
      </c>
      <c r="G99" s="70">
        <f>COUNTIFS('Error Log'!$A:$A,$A99,'Error Log'!$J:$J,G$1)</f>
        <v>0</v>
      </c>
      <c r="H99" s="70">
        <f>COUNTIFS('Error Log'!$A:$A,$A99,'Error Log'!$F:$F,"Source")</f>
        <v>0</v>
      </c>
      <c r="I99" s="70">
        <f>COUNTIFS('Error Log'!$A:$A,$A99,'Error Log'!$F:$F,"Target")</f>
        <v>0</v>
      </c>
      <c r="J99" s="71">
        <f t="shared" si="1"/>
        <v>87.704918032786878</v>
      </c>
    </row>
    <row r="100" spans="1:10">
      <c r="A100" s="89" t="s">
        <v>1222</v>
      </c>
      <c r="B100" s="70" t="str">
        <f>IF(ISBLANK(A100),"",INDEX('Error Log'!$A:$J,MATCH('Scores per segment'!$A100,'Error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100" s="70" t="str">
        <f>IF(ISBLANK(A100),"",INDEX('Error Log'!$A:$J,MATCH('Scores per segment'!$A100,'Error Log'!$A:$A,0),MATCH('Scores per segment'!C$1,'Error Log'!$A$1:$J$1,0)))</f>
        <v xml:space="preserve">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v>
      </c>
      <c r="D100" s="70">
        <f>IF(H100=0,wdct(TRIM(C100)),0)</f>
        <v>58</v>
      </c>
      <c r="E100" s="70">
        <f>COUNTIFS('Error Log'!$A:$A,$A100,'Error Log'!$J:$J,E$1)</f>
        <v>2</v>
      </c>
      <c r="F100" s="70">
        <f>COUNTIFS('Error Log'!$A:$A,$A100,'Error Log'!$J:$J,F$1)</f>
        <v>4</v>
      </c>
      <c r="G100" s="70">
        <f>COUNTIFS('Error Log'!$A:$A,$A100,'Error Log'!$J:$J,G$1)</f>
        <v>0</v>
      </c>
      <c r="H100" s="70">
        <f>COUNTIFS('Error Log'!$A:$A,$A100,'Error Log'!$F:$F,"Source")</f>
        <v>0</v>
      </c>
      <c r="I100" s="70">
        <f>COUNTIFS('Error Log'!$A:$A,$A100,'Error Log'!$F:$F,"Target")</f>
        <v>0</v>
      </c>
      <c r="J100" s="71">
        <f t="shared" si="1"/>
        <v>65.517241379310349</v>
      </c>
    </row>
    <row r="101" spans="1:10">
      <c r="A101" s="89" t="s">
        <v>1223</v>
      </c>
      <c r="B101" s="70" t="str">
        <f>IF(ISBLANK(A101),"",INDEX('Error Log'!$A:$J,MATCH('Scores per segment'!$A101,'Error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101" s="70" t="str">
        <f>IF(ISBLANK(A101),"",INDEX('Error Log'!$A:$J,MATCH('Scores per segment'!$A101,'Error Log'!$A:$A,0),MATCH('Scores per segment'!C$1,'Error Log'!$A$1:$J$1,0)))</f>
        <v>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D101" s="70">
        <f>IF(H101=0,wdct(TRIM(C101)),0)</f>
        <v>60</v>
      </c>
      <c r="E101" s="70">
        <f>COUNTIFS('Error Log'!$A:$A,$A101,'Error Log'!$J:$J,E$1)</f>
        <v>4</v>
      </c>
      <c r="F101" s="70">
        <f>COUNTIFS('Error Log'!$A:$A,$A101,'Error Log'!$J:$J,F$1)</f>
        <v>3</v>
      </c>
      <c r="G101" s="70">
        <f>COUNTIFS('Error Log'!$A:$A,$A101,'Error Log'!$J:$J,G$1)</f>
        <v>0</v>
      </c>
      <c r="H101" s="70">
        <f>COUNTIFS('Error Log'!$A:$A,$A101,'Error Log'!$F:$F,"Source")</f>
        <v>0</v>
      </c>
      <c r="I101" s="70">
        <f>COUNTIFS('Error Log'!$A:$A,$A101,'Error Log'!$F:$F,"Target")</f>
        <v>0</v>
      </c>
      <c r="J101" s="71">
        <f t="shared" si="1"/>
        <v>54.166666666666671</v>
      </c>
    </row>
    <row r="102" spans="1:10">
      <c r="A102" s="89" t="s">
        <v>1224</v>
      </c>
      <c r="B102" s="70" t="str">
        <f>IF(ISBLANK(A102),"",INDEX('Error Log'!$A:$J,MATCH('Scores per segment'!$A102,'Error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102" s="70" t="str">
        <f>IF(ISBLANK(A102),"",INDEX('Error Log'!$A:$J,MATCH('Scores per segment'!$A102,'Error Log'!$A:$A,0),MATCH('Scores per segment'!C$1,'Error Log'!$A$1:$J$1,0)))</f>
        <v xml:space="preserve">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v>
      </c>
      <c r="D102" s="70">
        <f>IF(H102=0,wdct(TRIM(C102)),0)</f>
        <v>57</v>
      </c>
      <c r="E102" s="70">
        <f>COUNTIFS('Error Log'!$A:$A,$A102,'Error Log'!$J:$J,E$1)</f>
        <v>1</v>
      </c>
      <c r="F102" s="70">
        <f>COUNTIFS('Error Log'!$A:$A,$A102,'Error Log'!$J:$J,F$1)</f>
        <v>2</v>
      </c>
      <c r="G102" s="70">
        <f>COUNTIFS('Error Log'!$A:$A,$A102,'Error Log'!$J:$J,G$1)</f>
        <v>0</v>
      </c>
      <c r="H102" s="70">
        <f>COUNTIFS('Error Log'!$A:$A,$A102,'Error Log'!$F:$F,"Source")</f>
        <v>0</v>
      </c>
      <c r="I102" s="70">
        <f>COUNTIFS('Error Log'!$A:$A,$A102,'Error Log'!$F:$F,"Target")</f>
        <v>0</v>
      </c>
      <c r="J102" s="71">
        <f t="shared" si="1"/>
        <v>82.456140350877192</v>
      </c>
    </row>
    <row r="103" spans="1:10">
      <c r="A103" s="79" t="s">
        <v>1225</v>
      </c>
      <c r="B103" s="70" t="str">
        <f>IF(ISBLANK(A103),"",INDEX('Error Log'!$A:$J,MATCH('Scores per segment'!$A103,'Error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103" s="70" t="str">
        <f>IF(ISBLANK(A103),"",INDEX('Error Log'!$A:$J,MATCH('Scores per segment'!$A103,'Error Log'!$A:$A,0),MATCH('Scores per segment'!C$1,'Error Log'!$A$1:$J$1,0)))</f>
        <v xml:space="preserve">looking spry at 91 , barker handled the first price-guessing game of the show , the classic " lucky seven , " before turning hosting duties over to carey , who finished up . 
on the april 1 edition of " the price is right " encountered not host drew carey but another familiar face in charge of the proceedings . 
contestants told to " come on down ! " </v>
      </c>
      <c r="D103" s="70">
        <f>IF(H103=0,wdct(TRIM(C103)),0)</f>
        <v>57</v>
      </c>
      <c r="E103" s="70">
        <f>COUNTIFS('Error Log'!$A:$A,$A103,'Error Log'!$J:$J,E$1)</f>
        <v>1</v>
      </c>
      <c r="F103" s="70">
        <f>COUNTIFS('Error Log'!$A:$A,$A103,'Error Log'!$J:$J,F$1)</f>
        <v>3</v>
      </c>
      <c r="G103" s="70">
        <f>COUNTIFS('Error Log'!$A:$A,$A103,'Error Log'!$J:$J,G$1)</f>
        <v>0</v>
      </c>
      <c r="H103" s="70">
        <f>COUNTIFS('Error Log'!$A:$A,$A103,'Error Log'!$F:$F,"Source")</f>
        <v>0</v>
      </c>
      <c r="I103" s="70">
        <f>COUNTIFS('Error Log'!$A:$A,$A103,'Error Log'!$F:$F,"Target")</f>
        <v>0</v>
      </c>
      <c r="J103" s="71">
        <f t="shared" si="1"/>
        <v>78.070175438596493</v>
      </c>
    </row>
    <row r="104" spans="1:10">
      <c r="A104" s="79" t="s">
        <v>1226</v>
      </c>
      <c r="B104" s="70" t="str">
        <f>IF(ISBLANK(A104),"",INDEX('Error Log'!$A:$J,MATCH('Scores per segment'!$A104,'Error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104" s="70" t="str">
        <f>IF(ISBLANK(A104),"",INDEX('Error Log'!$A:$J,MATCH('Scores per segment'!$A104,'Error Log'!$A:$A,0),MATCH('Scores per segment'!C$1,'Error Log'!$A$1:$J$1,0)))</f>
        <v xml:space="preserve">amateur jockey lee lewis ferguson has just a cut on his nose to show for his ordeal 
teenager ferguson was flung from his horse in spectacular fashion at wincanton 
` it was just a blur , ' he said . </v>
      </c>
      <c r="D104" s="70">
        <f>IF(H104=0,wdct(TRIM(C104)),0)</f>
        <v>36</v>
      </c>
      <c r="E104" s="70">
        <f>COUNTIFS('Error Log'!$A:$A,$A104,'Error Log'!$J:$J,E$1)</f>
        <v>2</v>
      </c>
      <c r="F104" s="70">
        <f>COUNTIFS('Error Log'!$A:$A,$A104,'Error Log'!$J:$J,F$1)</f>
        <v>1</v>
      </c>
      <c r="G104" s="70">
        <f>COUNTIFS('Error Log'!$A:$A,$A104,'Error Log'!$J:$J,G$1)</f>
        <v>0</v>
      </c>
      <c r="H104" s="70">
        <f>COUNTIFS('Error Log'!$A:$A,$A104,'Error Log'!$F:$F,"Source")</f>
        <v>0</v>
      </c>
      <c r="I104" s="70">
        <f>COUNTIFS('Error Log'!$A:$A,$A104,'Error Log'!$F:$F,"Target")</f>
        <v>0</v>
      </c>
      <c r="J104" s="71">
        <f t="shared" si="1"/>
        <v>65.277777777777771</v>
      </c>
    </row>
    <row r="105" spans="1:10">
      <c r="A105" s="79" t="s">
        <v>1227</v>
      </c>
      <c r="B105" s="70" t="str">
        <f>IF(ISBLANK(A105),"",INDEX('Error Log'!$A:$J,MATCH('Scores per segment'!$A105,'Error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105" s="70" t="str">
        <f>IF(ISBLANK(A105),"",INDEX('Error Log'!$A:$J,MATCH('Scores per segment'!$A105,'Error Log'!$A:$A,0),MATCH('Scores per segment'!C$1,'Error Log'!$A$1:$J$1,0)))</f>
        <v xml:space="preserve">residential : baldwin was arrested here , on the 3200 block of d street se , not long after midnight friday 
the metropolitan police department told dailymail.com that baldwin was arrested by officers returning to the scene of the alleged crime , on the 3200 block of d street se . 
the inspector general is already investigating a march 4 incident in which two high-ranking agency officials are accused of driving into a secure area at the white house after a night of drinking . </v>
      </c>
      <c r="D105" s="70">
        <f>IF(H105=0,wdct(TRIM(C105)),0)</f>
        <v>80</v>
      </c>
      <c r="E105" s="70">
        <f>COUNTIFS('Error Log'!$A:$A,$A105,'Error Log'!$J:$J,E$1)</f>
        <v>2</v>
      </c>
      <c r="F105" s="70">
        <f>COUNTIFS('Error Log'!$A:$A,$A105,'Error Log'!$J:$J,F$1)</f>
        <v>2</v>
      </c>
      <c r="G105" s="70">
        <f>COUNTIFS('Error Log'!$A:$A,$A105,'Error Log'!$J:$J,G$1)</f>
        <v>0</v>
      </c>
      <c r="H105" s="70">
        <f>COUNTIFS('Error Log'!$A:$A,$A105,'Error Log'!$F:$F,"Source")</f>
        <v>0</v>
      </c>
      <c r="I105" s="70">
        <f>COUNTIFS('Error Log'!$A:$A,$A105,'Error Log'!$F:$F,"Target")</f>
        <v>0</v>
      </c>
      <c r="J105" s="71">
        <f t="shared" si="1"/>
        <v>81.25</v>
      </c>
    </row>
    <row r="106" spans="1:10">
      <c r="A106" s="79" t="s">
        <v>1228</v>
      </c>
      <c r="B106" s="70" t="str">
        <f>IF(ISBLANK(A106),"",INDEX('Error Log'!$A:$J,MATCH('Scores per segment'!$A106,'Error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106" s="70" t="str">
        <f>IF(ISBLANK(A106),"",INDEX('Error Log'!$A:$J,MATCH('Scores per segment'!$A106,'Error Log'!$A:$A,0),MATCH('Scores per segment'!C$1,'Error Log'!$A$1:$J$1,0)))</f>
        <v>pirlo has established himself as one of the best midfielders in world football and is hugely popular 
totti ( 10 ) is a roma legend and osvaldo feels that he would be just as loved if he moved to argentina 
the 29-year-old moved to his current side on a loan deal from southampton and has become an instant hit - scoring three goals in six games .</v>
      </c>
      <c r="D106" s="70">
        <f>IF(H106=0,wdct(TRIM(C106)),0)</f>
        <v>63</v>
      </c>
      <c r="E106" s="70">
        <f>COUNTIFS('Error Log'!$A:$A,$A106,'Error Log'!$J:$J,E$1)</f>
        <v>2</v>
      </c>
      <c r="F106" s="70">
        <f>COUNTIFS('Error Log'!$A:$A,$A106,'Error Log'!$J:$J,F$1)</f>
        <v>2</v>
      </c>
      <c r="G106" s="70">
        <f>COUNTIFS('Error Log'!$A:$A,$A106,'Error Log'!$J:$J,G$1)</f>
        <v>0</v>
      </c>
      <c r="H106" s="70">
        <f>COUNTIFS('Error Log'!$A:$A,$A106,'Error Log'!$F:$F,"Source")</f>
        <v>0</v>
      </c>
      <c r="I106" s="70">
        <f>COUNTIFS('Error Log'!$A:$A,$A106,'Error Log'!$F:$F,"Target")</f>
        <v>0</v>
      </c>
      <c r="J106" s="71">
        <f t="shared" si="1"/>
        <v>76.19047619047619</v>
      </c>
    </row>
    <row r="107" spans="1:10">
      <c r="A107" s="79" t="s">
        <v>1229</v>
      </c>
      <c r="B107" s="70" t="str">
        <f>IF(ISBLANK(A107),"",INDEX('Error Log'!$A:$J,MATCH('Scores per segment'!$A107,'Error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107" s="70" t="str">
        <f>IF(ISBLANK(A107),"",INDEX('Error Log'!$A:$J,MATCH('Scores per segment'!$A107,'Error Log'!$A:$A,0),MATCH('Scores per segment'!C$1,'Error Log'!$A$1:$J$1,0)))</f>
        <v xml:space="preserve">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v>
      </c>
      <c r="D107" s="70">
        <f>IF(H107=0,wdct(TRIM(C107)),0)</f>
        <v>73</v>
      </c>
      <c r="E107" s="70">
        <f>COUNTIFS('Error Log'!$A:$A,$A107,'Error Log'!$J:$J,E$1)</f>
        <v>0</v>
      </c>
      <c r="F107" s="70">
        <f>COUNTIFS('Error Log'!$A:$A,$A107,'Error Log'!$J:$J,F$1)</f>
        <v>0</v>
      </c>
      <c r="G107" s="70">
        <f>COUNTIFS('Error Log'!$A:$A,$A107,'Error Log'!$J:$J,G$1)</f>
        <v>0</v>
      </c>
      <c r="H107" s="70">
        <f>COUNTIFS('Error Log'!$A:$A,$A107,'Error Log'!$F:$F,"Source")</f>
        <v>0</v>
      </c>
      <c r="I107" s="70">
        <f>COUNTIFS('Error Log'!$A:$A,$A107,'Error Log'!$F:$F,"Target")</f>
        <v>0</v>
      </c>
      <c r="J107" s="71">
        <f t="shared" si="1"/>
        <v>100</v>
      </c>
    </row>
    <row r="108" spans="1:10">
      <c r="A108" s="79" t="s">
        <v>1230</v>
      </c>
      <c r="B108" s="70" t="str">
        <f>IF(ISBLANK(A108),"",INDEX('Error Log'!$A:$J,MATCH('Scores per segment'!$A108,'Error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v>
      </c>
      <c r="C108" s="70" t="str">
        <f>IF(ISBLANK(A108),"",INDEX('Error Log'!$A:$J,MATCH('Scores per segment'!$A108,'Error Log'!$A:$A,0),MATCH('Scores per segment'!C$1,'Error Log'!$A$1:$J$1,0)))</f>
        <v xml:space="preserve">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v>
      </c>
      <c r="D108" s="70">
        <f>IF(H108=0,wdct(TRIM(C108)),0)</f>
        <v>83</v>
      </c>
      <c r="E108" s="70">
        <f>COUNTIFS('Error Log'!$A:$A,$A108,'Error Log'!$J:$J,E$1)</f>
        <v>0</v>
      </c>
      <c r="F108" s="70">
        <f>COUNTIFS('Error Log'!$A:$A,$A108,'Error Log'!$J:$J,F$1)</f>
        <v>3</v>
      </c>
      <c r="G108" s="70">
        <f>COUNTIFS('Error Log'!$A:$A,$A108,'Error Log'!$J:$J,G$1)</f>
        <v>0</v>
      </c>
      <c r="H108" s="70">
        <f>COUNTIFS('Error Log'!$A:$A,$A108,'Error Log'!$F:$F,"Source")</f>
        <v>0</v>
      </c>
      <c r="I108" s="70">
        <f>COUNTIFS('Error Log'!$A:$A,$A108,'Error Log'!$F:$F,"Target")</f>
        <v>0</v>
      </c>
      <c r="J108" s="71">
        <f t="shared" si="1"/>
        <v>90.963855421686745</v>
      </c>
    </row>
    <row r="109" spans="1:10">
      <c r="A109" s="79" t="s">
        <v>1232</v>
      </c>
      <c r="B109" s="70" t="str">
        <f>IF(ISBLANK(A109),"",INDEX('Error Log'!$A:$J,MATCH('Scores per segment'!$A109,'Error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109" s="70" t="str">
        <f>IF(ISBLANK(A109),"",INDEX('Error Log'!$A:$J,MATCH('Scores per segment'!$A109,'Error Log'!$A:$A,0),MATCH('Scores per segment'!C$1,'Error Log'!$A$1:$J$1,0)))</f>
        <v xml:space="preserve">to the right is a tattoo artist 's rendering of how the actual tattoo may have appeared originally 
the deceased woman had no identification on her , but she sported a distinctive tattoo on her right leg . 
death in the street : the unnamed woman , believed to be 25 to 45 years old , was discovered lying unconscious march 22 in the area near shore parkway and 26th avenue in the gravesend section of brooklyn </v>
      </c>
      <c r="D109" s="70">
        <f>IF(H109=0,wdct(TRIM(C109)),0)</f>
        <v>72</v>
      </c>
      <c r="E109" s="70">
        <f>COUNTIFS('Error Log'!$A:$A,$A109,'Error Log'!$J:$J,E$1)</f>
        <v>0</v>
      </c>
      <c r="F109" s="70">
        <f>COUNTIFS('Error Log'!$A:$A,$A109,'Error Log'!$J:$J,F$1)</f>
        <v>1</v>
      </c>
      <c r="G109" s="70">
        <f>COUNTIFS('Error Log'!$A:$A,$A109,'Error Log'!$J:$J,G$1)</f>
        <v>0</v>
      </c>
      <c r="H109" s="70">
        <f>COUNTIFS('Error Log'!$A:$A,$A109,'Error Log'!$F:$F,"Source")</f>
        <v>0</v>
      </c>
      <c r="I109" s="70">
        <f>COUNTIFS('Error Log'!$A:$A,$A109,'Error Log'!$F:$F,"Target")</f>
        <v>0</v>
      </c>
      <c r="J109" s="71">
        <f t="shared" si="1"/>
        <v>96.527777777777771</v>
      </c>
    </row>
    <row r="110" spans="1:10">
      <c r="A110" s="79" t="s">
        <v>1231</v>
      </c>
      <c r="B110" s="70" t="str">
        <f>IF(ISBLANK(A110),"",INDEX('Error Log'!$A:$J,MATCH('Scores per segment'!$A110,'Error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110" s="70" t="str">
        <f>IF(ISBLANK(A110),"",INDEX('Error Log'!$A:$J,MATCH('Scores per segment'!$A110,'Error Log'!$A:$A,0),MATCH('Scores per segment'!C$1,'Error Log'!$A$1:$J$1,0)))</f>
        <v>humayoon humayoon , an afghan member of parliament for khost province , and the other protesters were on their way to join a larger rally against the provincial governor , according to zahir jan , an eyewitness . 
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v>
      </c>
      <c r="D110" s="70">
        <f>IF(H110=0,wdct(TRIM(C110)),0)</f>
        <v>87</v>
      </c>
      <c r="E110" s="70">
        <f>COUNTIFS('Error Log'!$A:$A,$A110,'Error Log'!$J:$J,E$1)</f>
        <v>1</v>
      </c>
      <c r="F110" s="70">
        <f>COUNTIFS('Error Log'!$A:$A,$A110,'Error Log'!$J:$J,F$1)</f>
        <v>2</v>
      </c>
      <c r="G110" s="70">
        <f>COUNTIFS('Error Log'!$A:$A,$A110,'Error Log'!$J:$J,G$1)</f>
        <v>0</v>
      </c>
      <c r="H110" s="70">
        <f>COUNTIFS('Error Log'!$A:$A,$A110,'Error Log'!$F:$F,"Source")</f>
        <v>0</v>
      </c>
      <c r="I110" s="70">
        <f>COUNTIFS('Error Log'!$A:$A,$A110,'Error Log'!$F:$F,"Target")</f>
        <v>0</v>
      </c>
      <c r="J110" s="71">
        <f t="shared" si="1"/>
        <v>88.505747126436788</v>
      </c>
    </row>
    <row r="111" spans="1:10">
      <c r="A111" s="79" t="s">
        <v>1233</v>
      </c>
      <c r="B111" s="70" t="str">
        <f>IF(ISBLANK(A111),"",INDEX('Error Log'!$A:$J,MATCH('Scores per segment'!$A111,'Error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111" s="70" t="str">
        <f>IF(ISBLANK(A111),"",INDEX('Error Log'!$A:$J,MATCH('Scores per segment'!$A111,'Error Log'!$A:$A,0),MATCH('Scores per segment'!C$1,'Error Log'!$A$1:$J$1,0)))</f>
        <v>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v>
      </c>
      <c r="D111" s="70">
        <f>IF(H111=0,wdct(TRIM(C111)),0)</f>
        <v>62</v>
      </c>
      <c r="E111" s="70">
        <f>COUNTIFS('Error Log'!$A:$A,$A111,'Error Log'!$J:$J,E$1)</f>
        <v>2</v>
      </c>
      <c r="F111" s="70">
        <f>COUNTIFS('Error Log'!$A:$A,$A111,'Error Log'!$J:$J,F$1)</f>
        <v>2</v>
      </c>
      <c r="G111" s="70">
        <f>COUNTIFS('Error Log'!$A:$A,$A111,'Error Log'!$J:$J,G$1)</f>
        <v>0</v>
      </c>
      <c r="H111" s="70">
        <f>COUNTIFS('Error Log'!$A:$A,$A111,'Error Log'!$F:$F,"Source")</f>
        <v>0</v>
      </c>
      <c r="I111" s="70">
        <f>COUNTIFS('Error Log'!$A:$A,$A111,'Error Log'!$F:$F,"Target")</f>
        <v>0</v>
      </c>
      <c r="J111" s="71">
        <f t="shared" si="1"/>
        <v>75.806451612903231</v>
      </c>
    </row>
    <row r="112" spans="1:10">
      <c r="A112" s="79" t="s">
        <v>1234</v>
      </c>
      <c r="B112" s="70" t="str">
        <f>IF(ISBLANK(A112),"",INDEX('Error Log'!$A:$J,MATCH('Scores per segment'!$A112,'Error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112" s="70" t="str">
        <f>IF(ISBLANK(A112),"",INDEX('Error Log'!$A:$J,MATCH('Scores per segment'!$A112,'Error Log'!$A:$A,0),MATCH('Scores per segment'!C$1,'Error Log'!$A$1:$J$1,0)))</f>
        <v>diana is the favourite name for the second royal baby , name after williams mother - the late princess of wales 
the choices were echoed on social media today , with many twitter users claiming they would be delighted if kate and william decided to name the baby after his mother . 
many people are hoping for a girl though - of the 2,200 people polled , a quarter said they wanted the duke and duchess of cambridge to have a female baby , with only three percent hoping for a younger brother for george .</v>
      </c>
      <c r="D112" s="70">
        <f>IF(H112=0,wdct(TRIM(C112)),0)</f>
        <v>88</v>
      </c>
      <c r="E112" s="70">
        <f>COUNTIFS('Error Log'!$A:$A,$A112,'Error Log'!$J:$J,E$1)</f>
        <v>2</v>
      </c>
      <c r="F112" s="70">
        <f>COUNTIFS('Error Log'!$A:$A,$A112,'Error Log'!$J:$J,F$1)</f>
        <v>2</v>
      </c>
      <c r="G112" s="70">
        <f>COUNTIFS('Error Log'!$A:$A,$A112,'Error Log'!$J:$J,G$1)</f>
        <v>0</v>
      </c>
      <c r="H112" s="70">
        <f>COUNTIFS('Error Log'!$A:$A,$A112,'Error Log'!$F:$F,"Source")</f>
        <v>0</v>
      </c>
      <c r="I112" s="70">
        <f>COUNTIFS('Error Log'!$A:$A,$A112,'Error Log'!$F:$F,"Target")</f>
        <v>0</v>
      </c>
      <c r="J112" s="71">
        <f t="shared" si="1"/>
        <v>82.954545454545467</v>
      </c>
    </row>
    <row r="113" spans="1:10">
      <c r="A113" s="79" t="s">
        <v>1235</v>
      </c>
      <c r="B113" s="70" t="str">
        <f>IF(ISBLANK(A113),"",INDEX('Error Log'!$A:$J,MATCH('Scores per segment'!$A113,'Error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113" s="70" t="str">
        <f>IF(ISBLANK(A113),"",INDEX('Error Log'!$A:$J,MATCH('Scores per segment'!$A113,'Error Log'!$A:$A,0),MATCH('Scores per segment'!C$1,'Error Log'!$A$1:$J$1,0)))</f>
        <v>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in a test than students who used the device on their own and non-ipad users ( stock</v>
      </c>
      <c r="D113" s="70">
        <f>IF(H113=0,wdct(TRIM(C113)),0)</f>
        <v>91</v>
      </c>
      <c r="E113" s="70">
        <f>COUNTIFS('Error Log'!$A:$A,$A113,'Error Log'!$J:$J,E$1)</f>
        <v>0</v>
      </c>
      <c r="F113" s="70">
        <f>COUNTIFS('Error Log'!$A:$A,$A113,'Error Log'!$J:$J,F$1)</f>
        <v>4</v>
      </c>
      <c r="G113" s="70">
        <f>COUNTIFS('Error Log'!$A:$A,$A113,'Error Log'!$J:$J,G$1)</f>
        <v>0</v>
      </c>
      <c r="H113" s="70">
        <f>COUNTIFS('Error Log'!$A:$A,$A113,'Error Log'!$F:$F,"Source")</f>
        <v>0</v>
      </c>
      <c r="I113" s="70">
        <f>COUNTIFS('Error Log'!$A:$A,$A113,'Error Log'!$F:$F,"Target")</f>
        <v>0</v>
      </c>
      <c r="J113" s="71">
        <f t="shared" si="1"/>
        <v>89.010989010989022</v>
      </c>
    </row>
    <row r="114" spans="1:10">
      <c r="A114" s="79" t="s">
        <v>1236</v>
      </c>
      <c r="B114" s="70" t="str">
        <f>IF(ISBLANK(A114),"",INDEX('Error Log'!$A:$J,MATCH('Scores per segment'!$A114,'Error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114" s="70" t="str">
        <f>IF(ISBLANK(A114),"",INDEX('Error Log'!$A:$J,MATCH('Scores per segment'!$A114,'Error Log'!$A:$A,0),MATCH('Scores per segment'!C$1,'Error Log'!$A$1:$J$1,0)))</f>
        <v xml:space="preserve">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v>
      </c>
      <c r="D114" s="70">
        <f>IF(H114=0,wdct(TRIM(C114)),0)</f>
        <v>48</v>
      </c>
      <c r="E114" s="70">
        <f>COUNTIFS('Error Log'!$A:$A,$A114,'Error Log'!$J:$J,E$1)</f>
        <v>1</v>
      </c>
      <c r="F114" s="70">
        <f>COUNTIFS('Error Log'!$A:$A,$A114,'Error Log'!$J:$J,F$1)</f>
        <v>2</v>
      </c>
      <c r="G114" s="70">
        <f>COUNTIFS('Error Log'!$A:$A,$A114,'Error Log'!$J:$J,G$1)</f>
        <v>0</v>
      </c>
      <c r="H114" s="70">
        <f>COUNTIFS('Error Log'!$A:$A,$A114,'Error Log'!$F:$F,"Source")</f>
        <v>0</v>
      </c>
      <c r="I114" s="70">
        <f>COUNTIFS('Error Log'!$A:$A,$A114,'Error Log'!$F:$F,"Target")</f>
        <v>0</v>
      </c>
      <c r="J114" s="71">
        <f t="shared" si="1"/>
        <v>79.166666666666657</v>
      </c>
    </row>
    <row r="115" spans="1:10">
      <c r="A115" s="79" t="s">
        <v>1237</v>
      </c>
      <c r="B115" s="70" t="str">
        <f>IF(ISBLANK(A115),"",INDEX('Error Log'!$A:$J,MATCH('Scores per segment'!$A115,'Error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115" s="70" t="str">
        <f>IF(ISBLANK(A115),"",INDEX('Error Log'!$A:$J,MATCH('Scores per segment'!$A115,'Error Log'!$A:$A,0),MATCH('Scores per segment'!C$1,'Error Log'!$A$1:$J$1,0)))</f>
        <v>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v>
      </c>
      <c r="D115" s="70">
        <f>IF(H115=0,wdct(TRIM(C115)),0)</f>
        <v>70</v>
      </c>
      <c r="E115" s="70">
        <f>COUNTIFS('Error Log'!$A:$A,$A115,'Error Log'!$J:$J,E$1)</f>
        <v>1</v>
      </c>
      <c r="F115" s="70">
        <f>COUNTIFS('Error Log'!$A:$A,$A115,'Error Log'!$J:$J,F$1)</f>
        <v>2</v>
      </c>
      <c r="G115" s="70">
        <f>COUNTIFS('Error Log'!$A:$A,$A115,'Error Log'!$J:$J,G$1)</f>
        <v>0</v>
      </c>
      <c r="H115" s="70">
        <f>COUNTIFS('Error Log'!$A:$A,$A115,'Error Log'!$F:$F,"Source")</f>
        <v>0</v>
      </c>
      <c r="I115" s="70">
        <f>COUNTIFS('Error Log'!$A:$A,$A115,'Error Log'!$F:$F,"Target")</f>
        <v>0</v>
      </c>
      <c r="J115" s="71">
        <f t="shared" si="1"/>
        <v>85.714285714285722</v>
      </c>
    </row>
    <row r="116" spans="1:10">
      <c r="A116" s="79" t="s">
        <v>1238</v>
      </c>
      <c r="B116" s="70" t="str">
        <f>IF(ISBLANK(A116),"",INDEX('Error Log'!$A:$J,MATCH('Scores per segment'!$A116,'Error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116" s="70" t="str">
        <f>IF(ISBLANK(A116),"",INDEX('Error Log'!$A:$J,MATCH('Scores per segment'!$A116,'Error Log'!$A:$A,0),MATCH('Scores per segment'!C$1,'Error Log'!$A$1:$J$1,0)))</f>
        <v>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v>
      </c>
      <c r="D116" s="70">
        <f>IF(H116=0,wdct(TRIM(C116)),0)</f>
        <v>51</v>
      </c>
      <c r="E116" s="70">
        <f>COUNTIFS('Error Log'!$A:$A,$A116,'Error Log'!$J:$J,E$1)</f>
        <v>3</v>
      </c>
      <c r="F116" s="70">
        <f>COUNTIFS('Error Log'!$A:$A,$A116,'Error Log'!$J:$J,F$1)</f>
        <v>3</v>
      </c>
      <c r="G116" s="70">
        <f>COUNTIFS('Error Log'!$A:$A,$A116,'Error Log'!$J:$J,G$1)</f>
        <v>0</v>
      </c>
      <c r="H116" s="70">
        <f>COUNTIFS('Error Log'!$A:$A,$A116,'Error Log'!$F:$F,"Source")</f>
        <v>0</v>
      </c>
      <c r="I116" s="70">
        <f>COUNTIFS('Error Log'!$A:$A,$A116,'Error Log'!$F:$F,"Target")</f>
        <v>0</v>
      </c>
      <c r="J116" s="71">
        <f t="shared" si="1"/>
        <v>55.882352941176471</v>
      </c>
    </row>
    <row r="117" spans="1:10">
      <c r="A117" s="79" t="s">
        <v>1239</v>
      </c>
      <c r="B117" s="70" t="str">
        <f>IF(ISBLANK(A117),"",INDEX('Error Log'!$A:$J,MATCH('Scores per segment'!$A117,'Error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117" s="70" t="str">
        <f>IF(ISBLANK(A117),"",INDEX('Error Log'!$A:$J,MATCH('Scores per segment'!$A117,'Error Log'!$A:$A,0),MATCH('Scores per segment'!C$1,'Error Log'!$A$1:$J$1,0)))</f>
        <v>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todd phillips , a front-outside tire changer for dayle coyne racing , was injuried when he was struck by the car of francesco dracone , who had come in on lap 25 for tires and fuel</v>
      </c>
      <c r="D117" s="70">
        <f>IF(H117=0,wdct(TRIM(C117)),0)</f>
        <v>93</v>
      </c>
      <c r="E117" s="70">
        <f>COUNTIFS('Error Log'!$A:$A,$A117,'Error Log'!$J:$J,E$1)</f>
        <v>1</v>
      </c>
      <c r="F117" s="70">
        <f>COUNTIFS('Error Log'!$A:$A,$A117,'Error Log'!$J:$J,F$1)</f>
        <v>1</v>
      </c>
      <c r="G117" s="70">
        <f>COUNTIFS('Error Log'!$A:$A,$A117,'Error Log'!$J:$J,G$1)</f>
        <v>0</v>
      </c>
      <c r="H117" s="70">
        <f>COUNTIFS('Error Log'!$A:$A,$A117,'Error Log'!$F:$F,"Source")</f>
        <v>0</v>
      </c>
      <c r="I117" s="70">
        <f>COUNTIFS('Error Log'!$A:$A,$A117,'Error Log'!$F:$F,"Target")</f>
        <v>0</v>
      </c>
      <c r="J117" s="71">
        <f t="shared" si="1"/>
        <v>91.935483870967744</v>
      </c>
    </row>
    <row r="118" spans="1:10">
      <c r="A118" s="79" t="s">
        <v>1240</v>
      </c>
      <c r="B118" s="70" t="str">
        <f>IF(ISBLANK(A118),"",INDEX('Error Log'!$A:$J,MATCH('Scores per segment'!$A118,'Error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118" s="70" t="str">
        <f>IF(ISBLANK(A118),"",INDEX('Error Log'!$A:$J,MATCH('Scores per segment'!$A118,'Error Log'!$A:$A,0),MATCH('Scores per segment'!C$1,'Error Log'!$A$1:$J$1,0)))</f>
        <v xml:space="preserve">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pavlyuchenkova saved the match point in the second set before going on to beat lisicki 4-6 , 7-6 ( 4 ) , 6-3 , after svetlana kuznetsova beat julia goerges in straight sets in the opening rubber . </v>
      </c>
      <c r="D118" s="70">
        <f>IF(H118=0,wdct(TRIM(C118)),0)</f>
        <v>81</v>
      </c>
      <c r="E118" s="70">
        <f>COUNTIFS('Error Log'!$A:$A,$A118,'Error Log'!$J:$J,E$1)</f>
        <v>0</v>
      </c>
      <c r="F118" s="70">
        <f>COUNTIFS('Error Log'!$A:$A,$A118,'Error Log'!$J:$J,F$1)</f>
        <v>1</v>
      </c>
      <c r="G118" s="70">
        <f>COUNTIFS('Error Log'!$A:$A,$A118,'Error Log'!$J:$J,G$1)</f>
        <v>0</v>
      </c>
      <c r="H118" s="70">
        <f>COUNTIFS('Error Log'!$A:$A,$A118,'Error Log'!$F:$F,"Source")</f>
        <v>0</v>
      </c>
      <c r="I118" s="70">
        <f>COUNTIFS('Error Log'!$A:$A,$A118,'Error Log'!$F:$F,"Target")</f>
        <v>0</v>
      </c>
      <c r="J118" s="71">
        <f t="shared" si="1"/>
        <v>96.913580246913568</v>
      </c>
    </row>
    <row r="119" spans="1:10">
      <c r="A119" s="79" t="s">
        <v>1241</v>
      </c>
      <c r="B119" s="70" t="str">
        <f>IF(ISBLANK(A119),"",INDEX('Error Log'!$A:$J,MATCH('Scores per segment'!$A119,'Error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119" s="70" t="str">
        <f>IF(ISBLANK(A119),"",INDEX('Error Log'!$A:$J,MATCH('Scores per segment'!$A119,'Error Log'!$A:$A,0),MATCH('Scores per segment'!C$1,'Error Log'!$A$1:$J$1,0)))</f>
        <v>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v>
      </c>
      <c r="D119" s="70">
        <f>IF(H119=0,wdct(TRIM(C119)),0)</f>
        <v>69</v>
      </c>
      <c r="E119" s="70">
        <f>COUNTIFS('Error Log'!$A:$A,$A119,'Error Log'!$J:$J,E$1)</f>
        <v>0</v>
      </c>
      <c r="F119" s="70">
        <f>COUNTIFS('Error Log'!$A:$A,$A119,'Error Log'!$J:$J,F$1)</f>
        <v>1</v>
      </c>
      <c r="G119" s="70">
        <f>COUNTIFS('Error Log'!$A:$A,$A119,'Error Log'!$J:$J,G$1)</f>
        <v>0</v>
      </c>
      <c r="H119" s="70">
        <f>COUNTIFS('Error Log'!$A:$A,$A119,'Error Log'!$F:$F,"Source")</f>
        <v>0</v>
      </c>
      <c r="I119" s="70">
        <f>COUNTIFS('Error Log'!$A:$A,$A119,'Error Log'!$F:$F,"Target")</f>
        <v>0</v>
      </c>
      <c r="J119" s="71">
        <f t="shared" si="1"/>
        <v>96.376811594202906</v>
      </c>
    </row>
    <row r="120" spans="1:10">
      <c r="A120" s="79" t="s">
        <v>1242</v>
      </c>
      <c r="B120" s="70" t="str">
        <f>IF(ISBLANK(A120),"",INDEX('Error Log'!$A:$J,MATCH('Scores per segment'!$A120,'Error Log'!$A:$A,0),MATCH('Scores per segment'!B$1,'Error Log'!$A$1:$J$1,0)))</f>
        <v>(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120" s="70" t="str">
        <f>IF(ISBLANK(A120),"",INDEX('Error Log'!$A:$J,MATCH('Scores per segment'!$A120,'Error Log'!$A:$A,0),MATCH('Scores per segment'!C$1,'Error Log'!$A$1:$J$1,0)))</f>
        <v>houston 's statement matched that from a source with knowledge of brown 's condition , who told cnn on monday that she remained in the same neurological state she has been in for nearly three months . 
in a statement monday , an attorney for the brown family said that bobbi kristina brown 's condition has improved but that the kind of life she will lead remains to be seen . 
" though the 22-year-old is no longer in a medically induced coma , she remains unresponsive , cissy houston said in a statement monday after visiting her granddaughter .</v>
      </c>
      <c r="D120" s="70">
        <f>IF(H120=0,wdct(TRIM(C120)),0)</f>
        <v>92</v>
      </c>
      <c r="E120" s="70">
        <f>COUNTIFS('Error Log'!$A:$A,$A120,'Error Log'!$J:$J,E$1)</f>
        <v>1</v>
      </c>
      <c r="F120" s="70">
        <f>COUNTIFS('Error Log'!$A:$A,$A120,'Error Log'!$J:$J,F$1)</f>
        <v>2</v>
      </c>
      <c r="G120" s="70">
        <f>COUNTIFS('Error Log'!$A:$A,$A120,'Error Log'!$J:$J,G$1)</f>
        <v>0</v>
      </c>
      <c r="H120" s="70">
        <f>COUNTIFS('Error Log'!$A:$A,$A120,'Error Log'!$F:$F,"Source")</f>
        <v>0</v>
      </c>
      <c r="I120" s="70">
        <f>COUNTIFS('Error Log'!$A:$A,$A120,'Error Log'!$F:$F,"Target")</f>
        <v>0</v>
      </c>
      <c r="J120" s="71">
        <f t="shared" si="1"/>
        <v>89.130434782608688</v>
      </c>
    </row>
    <row r="121" spans="1:10">
      <c r="A121" s="79" t="s">
        <v>1243</v>
      </c>
      <c r="B121" s="70" t="str">
        <f>IF(ISBLANK(A121),"",INDEX('Error Log'!$A:$J,MATCH('Scores per segment'!$A121,'Error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121" s="70" t="str">
        <f>IF(ISBLANK(A121),"",INDEX('Error Log'!$A:$J,MATCH('Scores per segment'!$A121,'Error Log'!$A:$A,0),MATCH('Scores per segment'!C$1,'Error Log'!$A$1:$J$1,0)))</f>
        <v>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sarah wilson opened up in a candid interview about how her battle with mental illness drove her to believe her life</v>
      </c>
      <c r="D121" s="70">
        <f>IF(H121=0,wdct(TRIM(C121)),0)</f>
        <v>89</v>
      </c>
      <c r="E121" s="70">
        <f>COUNTIFS('Error Log'!$A:$A,$A121,'Error Log'!$J:$J,E$1)</f>
        <v>2</v>
      </c>
      <c r="F121" s="70">
        <f>COUNTIFS('Error Log'!$A:$A,$A121,'Error Log'!$J:$J,F$1)</f>
        <v>2</v>
      </c>
      <c r="G121" s="70">
        <f>COUNTIFS('Error Log'!$A:$A,$A121,'Error Log'!$J:$J,G$1)</f>
        <v>0</v>
      </c>
      <c r="H121" s="70">
        <f>COUNTIFS('Error Log'!$A:$A,$A121,'Error Log'!$F:$F,"Source")</f>
        <v>0</v>
      </c>
      <c r="I121" s="70">
        <f>COUNTIFS('Error Log'!$A:$A,$A121,'Error Log'!$F:$F,"Target")</f>
        <v>0</v>
      </c>
      <c r="J121" s="71">
        <f t="shared" si="1"/>
        <v>83.146067415730343</v>
      </c>
    </row>
    <row r="122" spans="1:10">
      <c r="A122" s="79" t="s">
        <v>1244</v>
      </c>
      <c r="B122" s="70" t="str">
        <f>IF(ISBLANK(A122),"",INDEX('Error Log'!$A:$J,MATCH('Scores per segment'!$A122,'Error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22" s="70" t="str">
        <f>IF(ISBLANK(A122),"",INDEX('Error Log'!$A:$J,MATCH('Scores per segment'!$A122,'Error Log'!$A:$A,0),MATCH('Scores per segment'!C$1,'Error Log'!$A$1:$J$1,0)))</f>
        <v>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v>
      </c>
      <c r="D122" s="70">
        <f>IF(H122=0,wdct(TRIM(C122)),0)</f>
        <v>58</v>
      </c>
      <c r="E122" s="70">
        <f>COUNTIFS('Error Log'!$A:$A,$A122,'Error Log'!$J:$J,E$1)</f>
        <v>1</v>
      </c>
      <c r="F122" s="70">
        <f>COUNTIFS('Error Log'!$A:$A,$A122,'Error Log'!$J:$J,F$1)</f>
        <v>1</v>
      </c>
      <c r="G122" s="70">
        <f>COUNTIFS('Error Log'!$A:$A,$A122,'Error Log'!$J:$J,G$1)</f>
        <v>0</v>
      </c>
      <c r="H122" s="70">
        <f>COUNTIFS('Error Log'!$A:$A,$A122,'Error Log'!$F:$F,"Source")</f>
        <v>0</v>
      </c>
      <c r="I122" s="70">
        <f>COUNTIFS('Error Log'!$A:$A,$A122,'Error Log'!$F:$F,"Target")</f>
        <v>0</v>
      </c>
      <c r="J122" s="71">
        <f t="shared" si="1"/>
        <v>87.068965517241381</v>
      </c>
    </row>
    <row r="123" spans="1:10">
      <c r="A123" s="79" t="s">
        <v>1245</v>
      </c>
      <c r="B123" s="70" t="str">
        <f>IF(ISBLANK(A123),"",INDEX('Error Log'!$A:$J,MATCH('Scores per segment'!$A123,'Error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23" s="70" t="str">
        <f>IF(ISBLANK(A123),"",INDEX('Error Log'!$A:$J,MATCH('Scores per segment'!$A123,'Error Log'!$A:$A,0),MATCH('Scores per segment'!C$1,'Error Log'!$A$1:$J$1,0)))</f>
        <v xml:space="preserve">elena curtin of portland , oregon , was seven-months pregnant when she was charged with second-degree assault after she struck her boyfriend 's ex in the head and arm with a crowbar in november 2014 
curtin gave birth in january . 
she was set to go to trial in multnomah county circuit court this week , but prosecutors dropped the charge on monday because curtin , 23 , was ` completely justified in her outrage ' . </v>
      </c>
      <c r="D123" s="70">
        <f>IF(H123=0,wdct(TRIM(C123)),0)</f>
        <v>68</v>
      </c>
      <c r="E123" s="70">
        <f>COUNTIFS('Error Log'!$A:$A,$A123,'Error Log'!$J:$J,E$1)</f>
        <v>1</v>
      </c>
      <c r="F123" s="70">
        <f>COUNTIFS('Error Log'!$A:$A,$A123,'Error Log'!$J:$J,F$1)</f>
        <v>1</v>
      </c>
      <c r="G123" s="70">
        <f>COUNTIFS('Error Log'!$A:$A,$A123,'Error Log'!$J:$J,G$1)</f>
        <v>0</v>
      </c>
      <c r="H123" s="70">
        <f>COUNTIFS('Error Log'!$A:$A,$A123,'Error Log'!$F:$F,"Source")</f>
        <v>0</v>
      </c>
      <c r="I123" s="70">
        <f>COUNTIFS('Error Log'!$A:$A,$A123,'Error Log'!$F:$F,"Target")</f>
        <v>0</v>
      </c>
      <c r="J123" s="71">
        <f t="shared" si="1"/>
        <v>88.970588235294116</v>
      </c>
    </row>
    <row r="124" spans="1:10">
      <c r="A124" s="15" t="s">
        <v>1246</v>
      </c>
      <c r="B124" s="70" t="str">
        <f>IF(ISBLANK(A124),"",INDEX('Error Log'!$A:$J,MATCH('Scores per segment'!$A124,'Error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24" s="70" t="str">
        <f>IF(ISBLANK(A124),"",INDEX('Error Log'!$A:$J,MATCH('Scores per segment'!$A124,'Error Log'!$A:$A,0),MATCH('Scores per segment'!C$1,'Error Log'!$A$1:$J$1,0)))</f>
        <v xml:space="preserve">hong kong ( cnn ) six people were hurt after an explosion at a controversial chemical plant in china 's southeastern fujian province sparked a huge fire , provincial authorities told state media . 
more than 600 firefighters were sent to battle the blaze and the fire is now under control , the zhangzhou fire department wrote on their official microblogging account tuesday morning . 
though demonstrations are illegal in china , the construction of px plants has sparked protests , which have occasionally turned violent , in several cities in recent years . </v>
      </c>
      <c r="D124" s="70">
        <f>IF(H124=0,wdct(TRIM(C124)),0)</f>
        <v>84</v>
      </c>
      <c r="E124" s="70">
        <f>COUNTIFS('Error Log'!$A:$A,$A124,'Error Log'!$J:$J,E$1)</f>
        <v>2</v>
      </c>
      <c r="F124" s="70">
        <f>COUNTIFS('Error Log'!$A:$A,$A124,'Error Log'!$J:$J,F$1)</f>
        <v>4</v>
      </c>
      <c r="G124" s="70">
        <f>COUNTIFS('Error Log'!$A:$A,$A124,'Error Log'!$J:$J,G$1)</f>
        <v>0</v>
      </c>
      <c r="H124" s="70">
        <f>COUNTIFS('Error Log'!$A:$A,$A124,'Error Log'!$F:$F,"Source")</f>
        <v>0</v>
      </c>
      <c r="I124" s="70">
        <f>COUNTIFS('Error Log'!$A:$A,$A124,'Error Log'!$F:$F,"Target")</f>
        <v>0</v>
      </c>
      <c r="J124" s="71">
        <f t="shared" si="1"/>
        <v>76.19047619047619</v>
      </c>
    </row>
    <row r="125" spans="1:10">
      <c r="A125" s="15" t="s">
        <v>1247</v>
      </c>
      <c r="B125" s="70" t="str">
        <f>IF(ISBLANK(A125),"",INDEX('Error Log'!$A:$J,MATCH('Scores per segment'!$A125,'Error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25" s="70" t="str">
        <f>IF(ISBLANK(A125),"",INDEX('Error Log'!$A:$J,MATCH('Scores per segment'!$A125,'Error Log'!$A:$A,0),MATCH('Scores per segment'!C$1,'Error Log'!$A$1:$J$1,0)))</f>
        <v xml:space="preserve">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 
when she 's not filling her face , other videos show gemma enjoys sleeping and hanging out with her human family . </v>
      </c>
      <c r="D125" s="70">
        <f>IF(H125=0,wdct(TRIM(C125)),0)</f>
        <v>79</v>
      </c>
      <c r="E125" s="70">
        <f>COUNTIFS('Error Log'!$A:$A,$A125,'Error Log'!$J:$J,E$1)</f>
        <v>0</v>
      </c>
      <c r="F125" s="70">
        <f>COUNTIFS('Error Log'!$A:$A,$A125,'Error Log'!$J:$J,F$1)</f>
        <v>2</v>
      </c>
      <c r="G125" s="70">
        <f>COUNTIFS('Error Log'!$A:$A,$A125,'Error Log'!$J:$J,G$1)</f>
        <v>0</v>
      </c>
      <c r="H125" s="70">
        <f>COUNTIFS('Error Log'!$A:$A,$A125,'Error Log'!$F:$F,"Source")</f>
        <v>0</v>
      </c>
      <c r="I125" s="70">
        <f>COUNTIFS('Error Log'!$A:$A,$A125,'Error Log'!$F:$F,"Target")</f>
        <v>0</v>
      </c>
      <c r="J125" s="71">
        <f t="shared" si="1"/>
        <v>93.670886075949369</v>
      </c>
    </row>
    <row r="126" spans="1:10">
      <c r="A126" s="15" t="s">
        <v>1248</v>
      </c>
      <c r="B126" s="70" t="str">
        <f>IF(ISBLANK(A126),"",INDEX('Error Log'!$A:$J,MATCH('Scores per segment'!$A126,'Error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26" s="70" t="str">
        <f>IF(ISBLANK(A126),"",INDEX('Error Log'!$A:$J,MATCH('Scores per segment'!$A126,'Error Log'!$A:$A,0),MATCH('Scores per segment'!C$1,'Error Log'!$A$1:$J$1,0)))</f>
        <v>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witness robert kushner lost his varsity coaching job at the jack</v>
      </c>
      <c r="D126" s="70">
        <f>IF(H126=0,wdct(TRIM(C126)),0)</f>
        <v>88</v>
      </c>
      <c r="E126" s="70">
        <f>COUNTIFS('Error Log'!$A:$A,$A126,'Error Log'!$J:$J,E$1)</f>
        <v>3</v>
      </c>
      <c r="F126" s="70">
        <f>COUNTIFS('Error Log'!$A:$A,$A126,'Error Log'!$J:$J,F$1)</f>
        <v>3</v>
      </c>
      <c r="G126" s="70">
        <f>COUNTIFS('Error Log'!$A:$A,$A126,'Error Log'!$J:$J,G$1)</f>
        <v>0</v>
      </c>
      <c r="H126" s="70">
        <f>COUNTIFS('Error Log'!$A:$A,$A126,'Error Log'!$F:$F,"Source")</f>
        <v>0</v>
      </c>
      <c r="I126" s="70">
        <f>COUNTIFS('Error Log'!$A:$A,$A126,'Error Log'!$F:$F,"Target")</f>
        <v>0</v>
      </c>
      <c r="J126" s="71">
        <f t="shared" si="1"/>
        <v>74.431818181818187</v>
      </c>
    </row>
    <row r="127" spans="1:10">
      <c r="A127" s="15" t="s">
        <v>1249</v>
      </c>
      <c r="B127" s="70" t="str">
        <f>IF(ISBLANK(A127),"",INDEX('Error Log'!$A:$J,MATCH('Scores per segment'!$A127,'Error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27" s="70" t="str">
        <f>IF(ISBLANK(A127),"",INDEX('Error Log'!$A:$J,MATCH('Scores per segment'!$A127,'Error Log'!$A:$A,0),MATCH('Scores per segment'!C$1,'Error Log'!$A$1:$J$1,0)))</f>
        <v xml:space="preserve">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embarrassing : the porn site took over the young entrepreneurs wards page after they were scrapped in 2011 and the organisers allowed its registration to retire ( hong kong branch pictured ) </v>
      </c>
      <c r="D127" s="70">
        <f>IF(H127=0,wdct(TRIM(C127)),0)</f>
        <v>79</v>
      </c>
      <c r="E127" s="70">
        <f>COUNTIFS('Error Log'!$A:$A,$A127,'Error Log'!$J:$J,E$1)</f>
        <v>2</v>
      </c>
      <c r="F127" s="70">
        <f>COUNTIFS('Error Log'!$A:$A,$A127,'Error Log'!$J:$J,F$1)</f>
        <v>3</v>
      </c>
      <c r="G127" s="70">
        <f>COUNTIFS('Error Log'!$A:$A,$A127,'Error Log'!$J:$J,G$1)</f>
        <v>0</v>
      </c>
      <c r="H127" s="70">
        <f>COUNTIFS('Error Log'!$A:$A,$A127,'Error Log'!$F:$F,"Source")</f>
        <v>0</v>
      </c>
      <c r="I127" s="70">
        <f>COUNTIFS('Error Log'!$A:$A,$A127,'Error Log'!$F:$F,"Target")</f>
        <v>0</v>
      </c>
      <c r="J127" s="71">
        <f t="shared" si="1"/>
        <v>77.848101265822791</v>
      </c>
    </row>
    <row r="128" spans="1:10">
      <c r="A128" s="15" t="s">
        <v>1250</v>
      </c>
      <c r="B128" s="70" t="str">
        <f>IF(ISBLANK(A128),"",INDEX('Error Log'!$A:$J,MATCH('Scores per segment'!$A128,'Error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28" s="70" t="str">
        <f>IF(ISBLANK(A128),"",INDEX('Error Log'!$A:$J,MATCH('Scores per segment'!$A128,'Error Log'!$A:$A,0),MATCH('Scores per segment'!C$1,'Error Log'!$A$1:$J$1,0)))</f>
        <v xml:space="preserve">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 </v>
      </c>
      <c r="D128" s="70">
        <f>IF(H128=0,wdct(TRIM(C128)),0)</f>
        <v>64</v>
      </c>
      <c r="E128" s="70">
        <f>COUNTIFS('Error Log'!$A:$A,$A128,'Error Log'!$J:$J,E$1)</f>
        <v>0</v>
      </c>
      <c r="F128" s="70">
        <f>COUNTIFS('Error Log'!$A:$A,$A128,'Error Log'!$J:$J,F$1)</f>
        <v>1</v>
      </c>
      <c r="G128" s="70">
        <f>COUNTIFS('Error Log'!$A:$A,$A128,'Error Log'!$J:$J,G$1)</f>
        <v>0</v>
      </c>
      <c r="H128" s="70">
        <f>COUNTIFS('Error Log'!$A:$A,$A128,'Error Log'!$F:$F,"Source")</f>
        <v>0</v>
      </c>
      <c r="I128" s="70">
        <f>COUNTIFS('Error Log'!$A:$A,$A128,'Error Log'!$F:$F,"Target")</f>
        <v>0</v>
      </c>
      <c r="J128" s="71">
        <f t="shared" si="1"/>
        <v>96.09375</v>
      </c>
    </row>
    <row r="129" spans="1:10">
      <c r="A129" s="15" t="s">
        <v>1251</v>
      </c>
      <c r="B129" s="70" t="str">
        <f>IF(ISBLANK(A129),"",INDEX('Error Log'!$A:$J,MATCH('Scores per segment'!$A129,'Error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9" s="70" t="str">
        <f>IF(ISBLANK(A129),"",INDEX('Error Log'!$A:$J,MATCH('Scores per segment'!$A129,'Error Log'!$A:$A,0),MATCH('Scores per segment'!C$1,'Error Log'!$A$1:$J$1,0)))</f>
        <v>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a 13-year-old maryland boy provided firefighters with instructions during a 911 call and</v>
      </c>
      <c r="D129" s="70">
        <f>IF(H129=0,wdct(TRIM(C129)),0)</f>
        <v>95</v>
      </c>
      <c r="E129" s="70">
        <f>COUNTIFS('Error Log'!$A:$A,$A129,'Error Log'!$J:$J,E$1)</f>
        <v>1</v>
      </c>
      <c r="F129" s="70">
        <f>COUNTIFS('Error Log'!$A:$A,$A129,'Error Log'!$J:$J,F$1)</f>
        <v>2</v>
      </c>
      <c r="G129" s="70">
        <f>COUNTIFS('Error Log'!$A:$A,$A129,'Error Log'!$J:$J,G$1)</f>
        <v>0</v>
      </c>
      <c r="H129" s="70">
        <f>COUNTIFS('Error Log'!$A:$A,$A129,'Error Log'!$F:$F,"Source")</f>
        <v>0</v>
      </c>
      <c r="I129" s="70">
        <f>COUNTIFS('Error Log'!$A:$A,$A129,'Error Log'!$F:$F,"Target")</f>
        <v>0</v>
      </c>
      <c r="J129" s="71">
        <f t="shared" si="1"/>
        <v>89.473684210526315</v>
      </c>
    </row>
    <row r="130" spans="1:10">
      <c r="A130" s="15" t="s">
        <v>1252</v>
      </c>
      <c r="B130" s="70" t="str">
        <f>IF(ISBLANK(A130),"",INDEX('Error Log'!$A:$J,MATCH('Scores per segment'!$A130,'Error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30" s="70" t="str">
        <f>IF(ISBLANK(A130),"",INDEX('Error Log'!$A:$J,MATCH('Scores per segment'!$A130,'Error Log'!$A:$A,0),MATCH('Scores per segment'!C$1,'Error Log'!$A$1:$J$1,0)))</f>
        <v xml:space="preserve">a picture on the memorial website for abu khdeir shows an israeli flag with two flowers called " blood of the maccabees " in israel , a symbol often used on memorial day , when the country honors its soldiers killed in the line of duty and victims of terrorism . 
indor 's organization wrote a letter to the national insurance institute of israel -- the country 's social security administration , which maintains the memorial site -- demanding that abu khdeir 's name be removed from the memorial wall . </v>
      </c>
      <c r="D130" s="70">
        <f>IF(H130=0,wdct(TRIM(C130)),0)</f>
        <v>82</v>
      </c>
      <c r="E130" s="70">
        <f>COUNTIFS('Error Log'!$A:$A,$A130,'Error Log'!$J:$J,E$1)</f>
        <v>3</v>
      </c>
      <c r="F130" s="70">
        <f>COUNTIFS('Error Log'!$A:$A,$A130,'Error Log'!$J:$J,F$1)</f>
        <v>2</v>
      </c>
      <c r="G130" s="70">
        <f>COUNTIFS('Error Log'!$A:$A,$A130,'Error Log'!$J:$J,G$1)</f>
        <v>0</v>
      </c>
      <c r="H130" s="70">
        <f>COUNTIFS('Error Log'!$A:$A,$A130,'Error Log'!$F:$F,"Source")</f>
        <v>0</v>
      </c>
      <c r="I130" s="70">
        <f>COUNTIFS('Error Log'!$A:$A,$A130,'Error Log'!$F:$F,"Target")</f>
        <v>0</v>
      </c>
      <c r="J130" s="71">
        <f t="shared" ref="J130:J193" si="2">IF(I130=0,IFERROR((((1-((E130*10+F130*5+G130*1)/D130))*100)+100)/2,0),-150)</f>
        <v>75.609756097560975</v>
      </c>
    </row>
    <row r="131" spans="1:10">
      <c r="A131" s="15" t="s">
        <v>1253</v>
      </c>
      <c r="B131" s="70" t="str">
        <f>IF(ISBLANK(A131),"",INDEX('Error Log'!$A:$J,MATCH('Scores per segment'!$A131,'Error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31" s="70" t="str">
        <f>IF(ISBLANK(A131),"",INDEX('Error Log'!$A:$J,MATCH('Scores per segment'!$A131,'Error Log'!$A:$A,0),MATCH('Scores per segment'!C$1,'Error Log'!$A$1:$J$1,0)))</f>
        <v>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v>
      </c>
      <c r="D131" s="70">
        <f>IF(H131=0,wdct(TRIM(C131)),0)</f>
        <v>63</v>
      </c>
      <c r="E131" s="70">
        <f>COUNTIFS('Error Log'!$A:$A,$A131,'Error Log'!$J:$J,E$1)</f>
        <v>2</v>
      </c>
      <c r="F131" s="70">
        <f>COUNTIFS('Error Log'!$A:$A,$A131,'Error Log'!$J:$J,F$1)</f>
        <v>1</v>
      </c>
      <c r="G131" s="70">
        <f>COUNTIFS('Error Log'!$A:$A,$A131,'Error Log'!$J:$J,G$1)</f>
        <v>0</v>
      </c>
      <c r="H131" s="70">
        <f>COUNTIFS('Error Log'!$A:$A,$A131,'Error Log'!$F:$F,"Source")</f>
        <v>0</v>
      </c>
      <c r="I131" s="70">
        <f>COUNTIFS('Error Log'!$A:$A,$A131,'Error Log'!$F:$F,"Target")</f>
        <v>0</v>
      </c>
      <c r="J131" s="71">
        <f t="shared" si="2"/>
        <v>80.158730158730165</v>
      </c>
    </row>
    <row r="132" spans="1:10">
      <c r="A132" s="15" t="s">
        <v>1254</v>
      </c>
      <c r="B132" s="70" t="str">
        <f>IF(ISBLANK(A132),"",INDEX('Error Log'!$A:$J,MATCH('Scores per segment'!$A132,'Error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132" s="70" t="str">
        <f>IF(ISBLANK(A132),"",INDEX('Error Log'!$A:$J,MATCH('Scores per segment'!$A132,'Error Log'!$A:$A,0),MATCH('Scores per segment'!C$1,'Error Log'!$A$1:$J$1,0)))</f>
        <v xml:space="preserve">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v>
      </c>
      <c r="D132" s="70">
        <f>IF(H132=0,wdct(TRIM(C132)),0)</f>
        <v>52</v>
      </c>
      <c r="E132" s="70">
        <f>COUNTIFS('Error Log'!$A:$A,$A132,'Error Log'!$J:$J,E$1)</f>
        <v>1</v>
      </c>
      <c r="F132" s="70">
        <f>COUNTIFS('Error Log'!$A:$A,$A132,'Error Log'!$J:$J,F$1)</f>
        <v>1</v>
      </c>
      <c r="G132" s="70">
        <f>COUNTIFS('Error Log'!$A:$A,$A132,'Error Log'!$J:$J,G$1)</f>
        <v>0</v>
      </c>
      <c r="H132" s="70">
        <f>COUNTIFS('Error Log'!$A:$A,$A132,'Error Log'!$F:$F,"Source")</f>
        <v>0</v>
      </c>
      <c r="I132" s="70">
        <f>COUNTIFS('Error Log'!$A:$A,$A132,'Error Log'!$F:$F,"Target")</f>
        <v>0</v>
      </c>
      <c r="J132" s="71">
        <f t="shared" si="2"/>
        <v>85.57692307692308</v>
      </c>
    </row>
    <row r="133" spans="1:10">
      <c r="A133" s="15" t="s">
        <v>1255</v>
      </c>
      <c r="B133" s="70" t="str">
        <f>IF(ISBLANK(A133),"",INDEX('Error Log'!$A:$J,MATCH('Scores per segment'!$A133,'Error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133" s="70" t="str">
        <f>IF(ISBLANK(A133),"",INDEX('Error Log'!$A:$J,MATCH('Scores per segment'!$A133,'Error Log'!$A:$A,0),MATCH('Scores per segment'!C$1,'Error Log'!$A$1:$J$1,0)))</f>
        <v>breast cancer patients may be spared chemotherapy thanks to new tests that pinpoint genetic ` markers ' breast cancer patients may be spared chemotherapy thanks to new tests that pinpoint genetic ` markers ' in the tumour and determine its aggressiveness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v>
      </c>
      <c r="D133" s="70">
        <f>IF(H133=0,wdct(TRIM(C133)),0)</f>
        <v>85</v>
      </c>
      <c r="E133" s="70">
        <f>COUNTIFS('Error Log'!$A:$A,$A133,'Error Log'!$J:$J,E$1)</f>
        <v>2</v>
      </c>
      <c r="F133" s="70">
        <f>COUNTIFS('Error Log'!$A:$A,$A133,'Error Log'!$J:$J,F$1)</f>
        <v>2</v>
      </c>
      <c r="G133" s="70">
        <f>COUNTIFS('Error Log'!$A:$A,$A133,'Error Log'!$J:$J,G$1)</f>
        <v>0</v>
      </c>
      <c r="H133" s="70">
        <f>COUNTIFS('Error Log'!$A:$A,$A133,'Error Log'!$F:$F,"Source")</f>
        <v>0</v>
      </c>
      <c r="I133" s="70">
        <f>COUNTIFS('Error Log'!$A:$A,$A133,'Error Log'!$F:$F,"Target")</f>
        <v>0</v>
      </c>
      <c r="J133" s="71">
        <f t="shared" si="2"/>
        <v>82.35294117647058</v>
      </c>
    </row>
    <row r="134" spans="1:10">
      <c r="A134" s="15" t="s">
        <v>1256</v>
      </c>
      <c r="B134" s="70" t="str">
        <f>IF(ISBLANK(A134),"",INDEX('Error Log'!$A:$J,MATCH('Scores per segment'!$A134,'Error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134" s="70" t="str">
        <f>IF(ISBLANK(A134),"",INDEX('Error Log'!$A:$J,MATCH('Scores per segment'!$A134,'Error Log'!$A:$A,0),MATCH('Scores per segment'!C$1,'Error Log'!$A$1:$J$1,0)))</f>
        <v xml:space="preserve">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v>
      </c>
      <c r="D134" s="70">
        <f>IF(H134=0,wdct(TRIM(C134)),0)</f>
        <v>60</v>
      </c>
      <c r="E134" s="70">
        <f>COUNTIFS('Error Log'!$A:$A,$A134,'Error Log'!$J:$J,E$1)</f>
        <v>2</v>
      </c>
      <c r="F134" s="70">
        <f>COUNTIFS('Error Log'!$A:$A,$A134,'Error Log'!$J:$J,F$1)</f>
        <v>2</v>
      </c>
      <c r="G134" s="70">
        <f>COUNTIFS('Error Log'!$A:$A,$A134,'Error Log'!$J:$J,G$1)</f>
        <v>0</v>
      </c>
      <c r="H134" s="70">
        <f>COUNTIFS('Error Log'!$A:$A,$A134,'Error Log'!$F:$F,"Source")</f>
        <v>0</v>
      </c>
      <c r="I134" s="70">
        <f>COUNTIFS('Error Log'!$A:$A,$A134,'Error Log'!$F:$F,"Target")</f>
        <v>0</v>
      </c>
      <c r="J134" s="71">
        <f t="shared" si="2"/>
        <v>75</v>
      </c>
    </row>
    <row r="135" spans="1:10">
      <c r="A135" s="15" t="s">
        <v>1257</v>
      </c>
      <c r="B135" s="70" t="str">
        <f>IF(ISBLANK(A135),"",INDEX('Error Log'!$A:$J,MATCH('Scores per segment'!$A135,'Error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135" s="70" t="str">
        <f>IF(ISBLANK(A135),"",INDEX('Error Log'!$A:$J,MATCH('Scores per segment'!$A135,'Error Log'!$A:$A,0),MATCH('Scores per segment'!C$1,'Error Log'!$A$1:$J$1,0)))</f>
        <v>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v>
      </c>
      <c r="D135" s="70">
        <f>IF(H135=0,wdct(TRIM(C135)),0)</f>
        <v>86</v>
      </c>
      <c r="E135" s="70">
        <f>COUNTIFS('Error Log'!$A:$A,$A135,'Error Log'!$J:$J,E$1)</f>
        <v>2</v>
      </c>
      <c r="F135" s="70">
        <f>COUNTIFS('Error Log'!$A:$A,$A135,'Error Log'!$J:$J,F$1)</f>
        <v>2</v>
      </c>
      <c r="G135" s="70">
        <f>COUNTIFS('Error Log'!$A:$A,$A135,'Error Log'!$J:$J,G$1)</f>
        <v>0</v>
      </c>
      <c r="H135" s="70">
        <f>COUNTIFS('Error Log'!$A:$A,$A135,'Error Log'!$F:$F,"Source")</f>
        <v>0</v>
      </c>
      <c r="I135" s="70">
        <f>COUNTIFS('Error Log'!$A:$A,$A135,'Error Log'!$F:$F,"Target")</f>
        <v>0</v>
      </c>
      <c r="J135" s="71">
        <f t="shared" si="2"/>
        <v>82.558139534883722</v>
      </c>
    </row>
    <row r="136" spans="1:10">
      <c r="A136" s="15" t="s">
        <v>1258</v>
      </c>
      <c r="B136" s="70" t="str">
        <f>IF(ISBLANK(A136),"",INDEX('Error Log'!$A:$J,MATCH('Scores per segment'!$A136,'Error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136" s="70" t="str">
        <f>IF(ISBLANK(A136),"",INDEX('Error Log'!$A:$J,MATCH('Scores per segment'!$A136,'Error Log'!$A:$A,0),MATCH('Scores per segment'!C$1,'Error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v>
      </c>
      <c r="D136" s="70">
        <f>IF(H136=0,wdct(TRIM(C136)),0)</f>
        <v>91</v>
      </c>
      <c r="E136" s="70">
        <f>COUNTIFS('Error Log'!$A:$A,$A136,'Error Log'!$J:$J,E$1)</f>
        <v>3</v>
      </c>
      <c r="F136" s="70">
        <f>COUNTIFS('Error Log'!$A:$A,$A136,'Error Log'!$J:$J,F$1)</f>
        <v>2</v>
      </c>
      <c r="G136" s="70">
        <f>COUNTIFS('Error Log'!$A:$A,$A136,'Error Log'!$J:$J,G$1)</f>
        <v>0</v>
      </c>
      <c r="H136" s="70">
        <f>COUNTIFS('Error Log'!$A:$A,$A136,'Error Log'!$F:$F,"Source")</f>
        <v>0</v>
      </c>
      <c r="I136" s="70">
        <f>COUNTIFS('Error Log'!$A:$A,$A136,'Error Log'!$F:$F,"Target")</f>
        <v>0</v>
      </c>
      <c r="J136" s="71">
        <f t="shared" si="2"/>
        <v>78.021978021978015</v>
      </c>
    </row>
    <row r="137" spans="1:10">
      <c r="A137" s="15" t="s">
        <v>1259</v>
      </c>
      <c r="B137" s="70" t="str">
        <f>IF(ISBLANK(A137),"",INDEX('Error Log'!$A:$J,MATCH('Scores per segment'!$A137,'Error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137" s="70" t="str">
        <f>IF(ISBLANK(A137),"",INDEX('Error Log'!$A:$J,MATCH('Scores per segment'!$A137,'Error Log'!$A:$A,0),MATCH('Scores per segment'!C$1,'Error Log'!$A$1:$J$1,0)))</f>
        <v>japanese law restricts drone flights around airports to prevent problems with aircraft , but there are no flight restrictions for most of tokyo , including the prime minister 's residence and local and federal government buildings . 
the discovery came on the same day a japanese court approved a government plan to restart two reactors at the sendai nuclear power plant in kagoshima prefecture , more than four years after the fukushima daiichi nuclear disaster . 
police say the drone was equipped with a small camera , smoke flares and a plastic bottle containing small traces of a radioactive material</v>
      </c>
      <c r="D137" s="70">
        <f>IF(H137=0,wdct(TRIM(C137)),0)</f>
        <v>94</v>
      </c>
      <c r="E137" s="70">
        <f>COUNTIFS('Error Log'!$A:$A,$A137,'Error Log'!$J:$J,E$1)</f>
        <v>1</v>
      </c>
      <c r="F137" s="70">
        <f>COUNTIFS('Error Log'!$A:$A,$A137,'Error Log'!$J:$J,F$1)</f>
        <v>1</v>
      </c>
      <c r="G137" s="70">
        <f>COUNTIFS('Error Log'!$A:$A,$A137,'Error Log'!$J:$J,G$1)</f>
        <v>0</v>
      </c>
      <c r="H137" s="70">
        <f>COUNTIFS('Error Log'!$A:$A,$A137,'Error Log'!$F:$F,"Source")</f>
        <v>0</v>
      </c>
      <c r="I137" s="70">
        <f>COUNTIFS('Error Log'!$A:$A,$A137,'Error Log'!$F:$F,"Target")</f>
        <v>0</v>
      </c>
      <c r="J137" s="71">
        <f t="shared" si="2"/>
        <v>92.021276595744681</v>
      </c>
    </row>
    <row r="138" spans="1:10">
      <c r="A138" s="15" t="s">
        <v>1260</v>
      </c>
      <c r="B138" s="70" t="str">
        <f>IF(ISBLANK(A138),"",INDEX('Error Log'!$A:$J,MATCH('Scores per segment'!$A138,'Error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138" s="70" t="str">
        <f>IF(ISBLANK(A138),"",INDEX('Error Log'!$A:$J,MATCH('Scores per segment'!$A138,'Error Log'!$A:$A,0),MATCH('Scores per segment'!C$1,'Error Log'!$A$1:$J$1,0)))</f>
        <v>talented : five-year-old mai zizhuo shows his outstanding basketball skills in a viral video
skilful : the pint-sized player scored a succession of hoops before running around dribbling two basketballs 
praised : his incredible skills have won him legions of fans across china</v>
      </c>
      <c r="D138" s="70">
        <f>IF(H138=0,wdct(TRIM(C138)),0)</f>
        <v>40</v>
      </c>
      <c r="E138" s="70">
        <f>COUNTIFS('Error Log'!$A:$A,$A138,'Error Log'!$J:$J,E$1)</f>
        <v>1</v>
      </c>
      <c r="F138" s="70">
        <f>COUNTIFS('Error Log'!$A:$A,$A138,'Error Log'!$J:$J,F$1)</f>
        <v>0</v>
      </c>
      <c r="G138" s="70">
        <f>COUNTIFS('Error Log'!$A:$A,$A138,'Error Log'!$J:$J,G$1)</f>
        <v>0</v>
      </c>
      <c r="H138" s="70">
        <f>COUNTIFS('Error Log'!$A:$A,$A138,'Error Log'!$F:$F,"Source")</f>
        <v>0</v>
      </c>
      <c r="I138" s="70">
        <f>COUNTIFS('Error Log'!$A:$A,$A138,'Error Log'!$F:$F,"Target")</f>
        <v>0</v>
      </c>
      <c r="J138" s="71">
        <f t="shared" si="2"/>
        <v>87.5</v>
      </c>
    </row>
    <row r="139" spans="1:10">
      <c r="A139" s="15" t="s">
        <v>1261</v>
      </c>
      <c r="B139" s="70" t="str">
        <f>IF(ISBLANK(A139),"",INDEX('Error Log'!$A:$J,MATCH('Scores per segment'!$A139,'Error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139" s="70" t="str">
        <f>IF(ISBLANK(A139),"",INDEX('Error Log'!$A:$J,MATCH('Scores per segment'!$A139,'Error Log'!$A:$A,0),MATCH('Scores per segment'!C$1,'Error Log'!$A$1:$J$1,0)))</f>
        <v xml:space="preserve">a security guard from china has touched hearts across the country because he takes his 84-year-old mother with him to work on the back of his motorbike every single day , reported the people 's daily online . 
he ties a sash around both of their waists to make sure she does n't fall off 
she would often go up to the mountains to collect firewood and there were a few occasions when she got lost after dark . </v>
      </c>
      <c r="D139" s="70">
        <f>IF(H139=0,wdct(TRIM(C139)),0)</f>
        <v>76</v>
      </c>
      <c r="E139" s="70">
        <f>COUNTIFS('Error Log'!$A:$A,$A139,'Error Log'!$J:$J,E$1)</f>
        <v>2</v>
      </c>
      <c r="F139" s="70">
        <f>COUNTIFS('Error Log'!$A:$A,$A139,'Error Log'!$J:$J,F$1)</f>
        <v>0</v>
      </c>
      <c r="G139" s="70">
        <f>COUNTIFS('Error Log'!$A:$A,$A139,'Error Log'!$J:$J,G$1)</f>
        <v>0</v>
      </c>
      <c r="H139" s="70">
        <f>COUNTIFS('Error Log'!$A:$A,$A139,'Error Log'!$F:$F,"Source")</f>
        <v>0</v>
      </c>
      <c r="I139" s="70">
        <f>COUNTIFS('Error Log'!$A:$A,$A139,'Error Log'!$F:$F,"Target")</f>
        <v>0</v>
      </c>
      <c r="J139" s="71">
        <f t="shared" si="2"/>
        <v>86.84210526315789</v>
      </c>
    </row>
    <row r="140" spans="1:10">
      <c r="A140" s="79" t="s">
        <v>1262</v>
      </c>
      <c r="B140" s="70" t="str">
        <f>IF(ISBLANK(A140),"",INDEX('Error Log'!$A:$J,MATCH('Scores per segment'!$A140,'Error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140" s="70" t="str">
        <f>IF(ISBLANK(A140),"",INDEX('Error Log'!$A:$J,MATCH('Scores per segment'!$A140,'Error Log'!$A:$A,0),MATCH('Scores per segment'!C$1,'Error Log'!$A$1:$J$1,0)))</f>
        <v>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seeking justice : jamar nicholson , second from left , listens to his attorney john harris speak during a press conference on wednesday in south los angeles</v>
      </c>
      <c r="D140" s="70">
        <f>IF(H140=0,wdct(TRIM(C140)),0)</f>
        <v>83</v>
      </c>
      <c r="E140" s="70">
        <f>COUNTIFS('Error Log'!$A:$A,$A140,'Error Log'!$J:$J,E$1)</f>
        <v>1</v>
      </c>
      <c r="F140" s="70">
        <f>COUNTIFS('Error Log'!$A:$A,$A140,'Error Log'!$J:$J,F$1)</f>
        <v>5</v>
      </c>
      <c r="G140" s="70">
        <f>COUNTIFS('Error Log'!$A:$A,$A140,'Error Log'!$J:$J,G$1)</f>
        <v>0</v>
      </c>
      <c r="H140" s="70">
        <f>COUNTIFS('Error Log'!$A:$A,$A140,'Error Log'!$F:$F,"Source")</f>
        <v>0</v>
      </c>
      <c r="I140" s="70">
        <f>COUNTIFS('Error Log'!$A:$A,$A140,'Error Log'!$F:$F,"Target")</f>
        <v>0</v>
      </c>
      <c r="J140" s="71">
        <f t="shared" si="2"/>
        <v>78.9156626506024</v>
      </c>
    </row>
    <row r="141" spans="1:10" ht="15.6">
      <c r="A141" s="97" t="s">
        <v>1271</v>
      </c>
      <c r="B141" s="70" t="str">
        <f>IF(ISBLANK(A141),"",INDEX('Error Log'!$A:$J,MATCH('Scores per segment'!$A141,'Error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141" s="70" t="str">
        <f>IF(ISBLANK(A141),"",INDEX('Error Log'!$A:$J,MATCH('Scores per segment'!$A141,'Error Log'!$A:$A,0),MATCH('Scores per segment'!C$1,'Error Log'!$A$1:$J$1,0)))</f>
        <v>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so the influx of wealthy professionals in cities like san francisco , san jose and oakland -- many in hard-working , hard-partying tech jobs -- may have helped spur significant spikes in drinking rates in the bay area and similar communities , experts said .</v>
      </c>
      <c r="D141" s="70">
        <f>IF(H141=0,wdct(TRIM(C141)),0)</f>
        <v>83</v>
      </c>
      <c r="E141" s="70">
        <f>COUNTIFS('Error Log'!$A:$A,$A141,'Error Log'!$J:$J,E$1)</f>
        <v>1</v>
      </c>
      <c r="F141" s="70">
        <f>COUNTIFS('Error Log'!$A:$A,$A141,'Error Log'!$J:$J,F$1)</f>
        <v>1</v>
      </c>
      <c r="G141" s="70">
        <f>COUNTIFS('Error Log'!$A:$A,$A141,'Error Log'!$J:$J,G$1)</f>
        <v>0</v>
      </c>
      <c r="H141" s="70">
        <f>COUNTIFS('Error Log'!$A:$A,$A141,'Error Log'!$F:$F,"Source")</f>
        <v>0</v>
      </c>
      <c r="I141" s="70">
        <f>COUNTIFS('Error Log'!$A:$A,$A141,'Error Log'!$F:$F,"Target")</f>
        <v>0</v>
      </c>
      <c r="J141" s="71">
        <f t="shared" si="2"/>
        <v>90.963855421686745</v>
      </c>
    </row>
    <row r="142" spans="1:10">
      <c r="A142" s="15" t="s">
        <v>1276</v>
      </c>
      <c r="B142" s="70" t="str">
        <f>IF(ISBLANK(A142),"",INDEX('Error Log'!$A:$J,MATCH('Scores per segment'!$A142,'Error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142" s="70" t="str">
        <f>IF(ISBLANK(A142),"",INDEX('Error Log'!$A:$J,MATCH('Scores per segment'!$A142,'Error Log'!$A:$A,0),MATCH('Scores per segment'!C$1,'Error Log'!$A$1:$J$1,0)))</f>
        <v xml:space="preserve">a passenger filmed the driver and sent the video to bus company ritchies coachlines along with a complaint 
ritchies coachlines boss andrew ritchie said he was embarrassed by the ` idiot ' driver 's actions 
a bus driver was caught reading a newspaper while driving in auckland , new zealand </v>
      </c>
      <c r="D142" s="70">
        <f>IF(H142=0,wdct(TRIM(C142)),0)</f>
        <v>47</v>
      </c>
      <c r="E142" s="70">
        <f>COUNTIFS('Error Log'!$A:$A,$A142,'Error Log'!$J:$J,E$1)</f>
        <v>0</v>
      </c>
      <c r="F142" s="70">
        <f>COUNTIFS('Error Log'!$A:$A,$A142,'Error Log'!$J:$J,F$1)</f>
        <v>0</v>
      </c>
      <c r="G142" s="70">
        <f>COUNTIFS('Error Log'!$A:$A,$A142,'Error Log'!$J:$J,G$1)</f>
        <v>0</v>
      </c>
      <c r="H142" s="70">
        <f>COUNTIFS('Error Log'!$A:$A,$A142,'Error Log'!$F:$F,"Source")</f>
        <v>0</v>
      </c>
      <c r="I142" s="70">
        <f>COUNTIFS('Error Log'!$A:$A,$A142,'Error Log'!$F:$F,"Target")</f>
        <v>0</v>
      </c>
      <c r="J142" s="71">
        <f t="shared" si="2"/>
        <v>100</v>
      </c>
    </row>
    <row r="143" spans="1:10">
      <c r="A143" s="94" t="s">
        <v>1279</v>
      </c>
      <c r="B143" s="70" t="str">
        <f>IF(ISBLANK(A143),"",INDEX('Error Log'!$A:$J,MATCH('Scores per segment'!$A143,'Error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143" s="70" t="str">
        <f>IF(ISBLANK(A143),"",INDEX('Error Log'!$A:$J,MATCH('Scores per segment'!$A143,'Error Log'!$A:$A,0),MATCH('Scores per segment'!C$1,'Error Log'!$A$1:$J$1,0)))</f>
        <v>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doctors are putting the health of women and their babies at risk by performing caesarean sections too readily , un officials warn</v>
      </c>
      <c r="D143" s="70">
        <f>IF(H143=0,wdct(TRIM(C143)),0)</f>
        <v>76</v>
      </c>
      <c r="E143" s="70">
        <f>COUNTIFS('Error Log'!$A:$A,$A143,'Error Log'!$J:$J,E$1)</f>
        <v>0</v>
      </c>
      <c r="F143" s="70">
        <f>COUNTIFS('Error Log'!$A:$A,$A143,'Error Log'!$J:$J,F$1)</f>
        <v>1</v>
      </c>
      <c r="G143" s="70">
        <f>COUNTIFS('Error Log'!$A:$A,$A143,'Error Log'!$J:$J,G$1)</f>
        <v>0</v>
      </c>
      <c r="H143" s="70">
        <f>COUNTIFS('Error Log'!$A:$A,$A143,'Error Log'!$F:$F,"Source")</f>
        <v>0</v>
      </c>
      <c r="I143" s="70">
        <f>COUNTIFS('Error Log'!$A:$A,$A143,'Error Log'!$F:$F,"Target")</f>
        <v>0</v>
      </c>
      <c r="J143" s="71">
        <f t="shared" si="2"/>
        <v>96.71052631578948</v>
      </c>
    </row>
    <row r="144" spans="1:10">
      <c r="A144" s="94" t="s">
        <v>1283</v>
      </c>
      <c r="B144" s="70" t="str">
        <f>IF(ISBLANK(A144),"",INDEX('Error Log'!$A:$J,MATCH('Scores per segment'!$A144,'Error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144" s="70" t="str">
        <f>IF(ISBLANK(A144),"",INDEX('Error Log'!$A:$J,MATCH('Scores per segment'!$A144,'Error Log'!$A:$A,0),MATCH('Scores per segment'!C$1,'Error Log'!$A$1:$J$1,0)))</f>
        <v xml:space="preserve">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v>
      </c>
      <c r="D144" s="70">
        <f>IF(H144=0,wdct(TRIM(C144)),0)</f>
        <v>62</v>
      </c>
      <c r="E144" s="70">
        <f>COUNTIFS('Error Log'!$A:$A,$A144,'Error Log'!$J:$J,E$1)</f>
        <v>1</v>
      </c>
      <c r="F144" s="70">
        <f>COUNTIFS('Error Log'!$A:$A,$A144,'Error Log'!$J:$J,F$1)</f>
        <v>2</v>
      </c>
      <c r="G144" s="70">
        <f>COUNTIFS('Error Log'!$A:$A,$A144,'Error Log'!$J:$J,G$1)</f>
        <v>0</v>
      </c>
      <c r="H144" s="70">
        <f>COUNTIFS('Error Log'!$A:$A,$A144,'Error Log'!$F:$F,"Source")</f>
        <v>0</v>
      </c>
      <c r="I144" s="70">
        <f>COUNTIFS('Error Log'!$A:$A,$A144,'Error Log'!$F:$F,"Target")</f>
        <v>0</v>
      </c>
      <c r="J144" s="71">
        <f t="shared" si="2"/>
        <v>83.870967741935488</v>
      </c>
    </row>
    <row r="145" spans="1:10">
      <c r="A145" s="95" t="s">
        <v>1289</v>
      </c>
      <c r="B145" s="70" t="str">
        <f>IF(ISBLANK(A145),"",INDEX('Error Log'!$A:$J,MATCH('Scores per segment'!$A145,'Error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145" s="70" t="str">
        <f>IF(ISBLANK(A145),"",INDEX('Error Log'!$A:$J,MATCH('Scores per segment'!$A145,'Error Log'!$A:$A,0),MATCH('Scores per segment'!C$1,'Error Log'!$A$1:$J$1,0)))</f>
        <v xml:space="preserve">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v>
      </c>
      <c r="D145" s="70">
        <f>IF(H145=0,wdct(TRIM(C145)),0)</f>
        <v>67</v>
      </c>
      <c r="E145" s="70">
        <f>COUNTIFS('Error Log'!$A:$A,$A145,'Error Log'!$J:$J,E$1)</f>
        <v>1</v>
      </c>
      <c r="F145" s="70">
        <f>COUNTIFS('Error Log'!$A:$A,$A145,'Error Log'!$J:$J,F$1)</f>
        <v>2</v>
      </c>
      <c r="G145" s="70">
        <f>COUNTIFS('Error Log'!$A:$A,$A145,'Error Log'!$J:$J,G$1)</f>
        <v>0</v>
      </c>
      <c r="H145" s="70">
        <f>COUNTIFS('Error Log'!$A:$A,$A145,'Error Log'!$F:$F,"Source")</f>
        <v>0</v>
      </c>
      <c r="I145" s="70">
        <f>COUNTIFS('Error Log'!$A:$A,$A145,'Error Log'!$F:$F,"Target")</f>
        <v>0</v>
      </c>
      <c r="J145" s="71">
        <f t="shared" si="2"/>
        <v>85.074626865671647</v>
      </c>
    </row>
    <row r="146" spans="1:10">
      <c r="A146" s="95" t="s">
        <v>1295</v>
      </c>
      <c r="B146" s="70" t="str">
        <f>IF(ISBLANK(A146),"",INDEX('Error Log'!$A:$J,MATCH('Scores per segment'!$A146,'Error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146" s="70" t="str">
        <f>IF(ISBLANK(A146),"",INDEX('Error Log'!$A:$J,MATCH('Scores per segment'!$A146,'Error Log'!$A:$A,0),MATCH('Scores per segment'!C$1,'Error Log'!$A$1:$J$1,0)))</f>
        <v>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v>
      </c>
      <c r="D146" s="70">
        <f>IF(H146=0,wdct(TRIM(C146)),0)</f>
        <v>72</v>
      </c>
      <c r="E146" s="70">
        <f>COUNTIFS('Error Log'!$A:$A,$A146,'Error Log'!$J:$J,E$1)</f>
        <v>1</v>
      </c>
      <c r="F146" s="70">
        <f>COUNTIFS('Error Log'!$A:$A,$A146,'Error Log'!$J:$J,F$1)</f>
        <v>3</v>
      </c>
      <c r="G146" s="70">
        <f>COUNTIFS('Error Log'!$A:$A,$A146,'Error Log'!$J:$J,G$1)</f>
        <v>0</v>
      </c>
      <c r="H146" s="70">
        <f>COUNTIFS('Error Log'!$A:$A,$A146,'Error Log'!$F:$F,"Source")</f>
        <v>0</v>
      </c>
      <c r="I146" s="70">
        <f>COUNTIFS('Error Log'!$A:$A,$A146,'Error Log'!$F:$F,"Target")</f>
        <v>0</v>
      </c>
      <c r="J146" s="71">
        <f t="shared" si="2"/>
        <v>82.638888888888886</v>
      </c>
    </row>
    <row r="147" spans="1:10">
      <c r="A147" s="95" t="s">
        <v>1302</v>
      </c>
      <c r="B147" s="70" t="str">
        <f>IF(ISBLANK(A147),"",INDEX('Error Log'!$A:$J,MATCH('Scores per segment'!$A147,'Error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147" s="70" t="str">
        <f>IF(ISBLANK(A147),"",INDEX('Error Log'!$A:$J,MATCH('Scores per segment'!$A147,'Error Log'!$A:$A,0),MATCH('Scores per segment'!C$1,'Error Log'!$A$1:$J$1,0)))</f>
        <v xml:space="preserve">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v>
      </c>
      <c r="D147" s="70">
        <f>IF(H147=0,wdct(TRIM(C147)),0)</f>
        <v>86</v>
      </c>
      <c r="E147" s="70">
        <f>COUNTIFS('Error Log'!$A:$A,$A147,'Error Log'!$J:$J,E$1)</f>
        <v>1</v>
      </c>
      <c r="F147" s="70">
        <f>COUNTIFS('Error Log'!$A:$A,$A147,'Error Log'!$J:$J,F$1)</f>
        <v>1</v>
      </c>
      <c r="G147" s="70">
        <f>COUNTIFS('Error Log'!$A:$A,$A147,'Error Log'!$J:$J,G$1)</f>
        <v>0</v>
      </c>
      <c r="H147" s="70">
        <f>COUNTIFS('Error Log'!$A:$A,$A147,'Error Log'!$F:$F,"Source")</f>
        <v>0</v>
      </c>
      <c r="I147" s="70">
        <f>COUNTIFS('Error Log'!$A:$A,$A147,'Error Log'!$F:$F,"Target")</f>
        <v>0</v>
      </c>
      <c r="J147" s="71">
        <f t="shared" si="2"/>
        <v>91.279069767441854</v>
      </c>
    </row>
    <row r="148" spans="1:10">
      <c r="A148" s="95" t="s">
        <v>1307</v>
      </c>
      <c r="B148" s="70" t="str">
        <f>IF(ISBLANK(A148),"",INDEX('Error Log'!$A:$J,MATCH('Scores per segment'!$A148,'Error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148" s="70" t="str">
        <f>IF(ISBLANK(A148),"",INDEX('Error Log'!$A:$J,MATCH('Scores per segment'!$A148,'Error Log'!$A:$A,0),MATCH('Scores per segment'!C$1,'Error Log'!$A$1:$J$1,0)))</f>
        <v xml:space="preserve">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v>
      </c>
      <c r="D148" s="70">
        <f>IF(H148=0,wdct(TRIM(C148)),0)</f>
        <v>51</v>
      </c>
      <c r="E148" s="70">
        <f>COUNTIFS('Error Log'!$A:$A,$A148,'Error Log'!$J:$J,E$1)</f>
        <v>2</v>
      </c>
      <c r="F148" s="70">
        <f>COUNTIFS('Error Log'!$A:$A,$A148,'Error Log'!$J:$J,F$1)</f>
        <v>2</v>
      </c>
      <c r="G148" s="70">
        <f>COUNTIFS('Error Log'!$A:$A,$A148,'Error Log'!$J:$J,G$1)</f>
        <v>0</v>
      </c>
      <c r="H148" s="70">
        <f>COUNTIFS('Error Log'!$A:$A,$A148,'Error Log'!$F:$F,"Source")</f>
        <v>0</v>
      </c>
      <c r="I148" s="70">
        <f>COUNTIFS('Error Log'!$A:$A,$A148,'Error Log'!$F:$F,"Target")</f>
        <v>0</v>
      </c>
      <c r="J148" s="71">
        <f t="shared" si="2"/>
        <v>70.588235294117652</v>
      </c>
    </row>
    <row r="149" spans="1:10">
      <c r="A149" s="94" t="s">
        <v>1314</v>
      </c>
      <c r="B149" s="70" t="str">
        <f>IF(ISBLANK(A149),"",INDEX('Error Log'!$A:$J,MATCH('Scores per segment'!$A149,'Error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149" s="70" t="str">
        <f>IF(ISBLANK(A149),"",INDEX('Error Log'!$A:$J,MATCH('Scores per segment'!$A149,'Error Log'!$A:$A,0),MATCH('Scores per segment'!C$1,'Error Log'!$A$1:$J$1,0)))</f>
        <v>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v>
      </c>
      <c r="D149" s="70">
        <f>IF(H149=0,wdct(TRIM(C149)),0)</f>
        <v>80</v>
      </c>
      <c r="E149" s="70">
        <f>COUNTIFS('Error Log'!$A:$A,$A149,'Error Log'!$J:$J,E$1)</f>
        <v>1</v>
      </c>
      <c r="F149" s="70">
        <f>COUNTIFS('Error Log'!$A:$A,$A149,'Error Log'!$J:$J,F$1)</f>
        <v>1</v>
      </c>
      <c r="G149" s="70">
        <f>COUNTIFS('Error Log'!$A:$A,$A149,'Error Log'!$J:$J,G$1)</f>
        <v>0</v>
      </c>
      <c r="H149" s="70">
        <f>COUNTIFS('Error Log'!$A:$A,$A149,'Error Log'!$F:$F,"Source")</f>
        <v>0</v>
      </c>
      <c r="I149" s="70">
        <f>COUNTIFS('Error Log'!$A:$A,$A149,'Error Log'!$F:$F,"Target")</f>
        <v>0</v>
      </c>
      <c r="J149" s="71">
        <f t="shared" si="2"/>
        <v>90.625</v>
      </c>
    </row>
    <row r="150" spans="1:10">
      <c r="A150" s="94" t="s">
        <v>1319</v>
      </c>
      <c r="B150" s="70" t="str">
        <f>IF(ISBLANK(A150),"",INDEX('Error Log'!$A:$J,MATCH('Scores per segment'!$A150,'Error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150" s="70" t="str">
        <f>IF(ISBLANK(A150),"",INDEX('Error Log'!$A:$J,MATCH('Scores per segment'!$A150,'Error Log'!$A:$A,0),MATCH('Scores per segment'!C$1,'Error Log'!$A$1:$J$1,0)))</f>
        <v>right - 
esme , a lady in her seventies who died of natural causes 
ian used to share his collection with his sister but she found the dolls too mischievous</v>
      </c>
      <c r="D150" s="70">
        <f>IF(H150=0,wdct(TRIM(C150)),0)</f>
        <v>28</v>
      </c>
      <c r="E150" s="70">
        <f>COUNTIFS('Error Log'!$A:$A,$A150,'Error Log'!$J:$J,E$1)</f>
        <v>3</v>
      </c>
      <c r="F150" s="70">
        <f>COUNTIFS('Error Log'!$A:$A,$A150,'Error Log'!$J:$J,F$1)</f>
        <v>3</v>
      </c>
      <c r="G150" s="70">
        <f>COUNTIFS('Error Log'!$A:$A,$A150,'Error Log'!$J:$J,G$1)</f>
        <v>0</v>
      </c>
      <c r="H150" s="70">
        <f>COUNTIFS('Error Log'!$A:$A,$A150,'Error Log'!$F:$F,"Source")</f>
        <v>0</v>
      </c>
      <c r="I150" s="70">
        <f>COUNTIFS('Error Log'!$A:$A,$A150,'Error Log'!$F:$F,"Target")</f>
        <v>0</v>
      </c>
      <c r="J150" s="71">
        <f t="shared" si="2"/>
        <v>19.642857142857139</v>
      </c>
    </row>
    <row r="151" spans="1:10">
      <c r="A151" s="94" t="s">
        <v>1327</v>
      </c>
      <c r="B151" s="70" t="str">
        <f>IF(ISBLANK(A151),"",INDEX('Error Log'!$A:$J,MATCH('Scores per segment'!$A151,'Error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151" s="70" t="str">
        <f>IF(ISBLANK(A151),"",INDEX('Error Log'!$A:$J,MATCH('Scores per segment'!$A151,'Error Log'!$A:$A,0),MATCH('Scores per segment'!C$1,'Error Log'!$A$1:$J$1,0)))</f>
        <v xml:space="preserve">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v>
      </c>
      <c r="D151" s="70">
        <f>IF(H151=0,wdct(TRIM(C151)),0)</f>
        <v>81</v>
      </c>
      <c r="E151" s="70">
        <f>COUNTIFS('Error Log'!$A:$A,$A151,'Error Log'!$J:$J,E$1)</f>
        <v>2</v>
      </c>
      <c r="F151" s="70">
        <f>COUNTIFS('Error Log'!$A:$A,$A151,'Error Log'!$J:$J,F$1)</f>
        <v>2</v>
      </c>
      <c r="G151" s="70">
        <f>COUNTIFS('Error Log'!$A:$A,$A151,'Error Log'!$J:$J,G$1)</f>
        <v>0</v>
      </c>
      <c r="H151" s="70">
        <f>COUNTIFS('Error Log'!$A:$A,$A151,'Error Log'!$F:$F,"Source")</f>
        <v>0</v>
      </c>
      <c r="I151" s="70">
        <f>COUNTIFS('Error Log'!$A:$A,$A151,'Error Log'!$F:$F,"Target")</f>
        <v>0</v>
      </c>
      <c r="J151" s="71">
        <f t="shared" si="2"/>
        <v>81.481481481481481</v>
      </c>
    </row>
    <row r="152" spans="1:10">
      <c r="A152" s="81"/>
      <c r="B152" s="70" t="str">
        <f>IF(ISBLANK(A152),"",INDEX('Error Log'!$A:$J,MATCH('Scores per segment'!$A152,'Error Log'!$A:$A,0),MATCH('Scores per segment'!B$1,'Error Log'!$A$1:$J$1,0)))</f>
        <v/>
      </c>
      <c r="C152" s="70" t="str">
        <f>IF(ISBLANK(A152),"",INDEX('Error Log'!$A:$J,MATCH('Scores per segment'!$A152,'Error Log'!$A:$A,0),MATCH('Scores per segment'!C$1,'Error Log'!$A$1:$J$1,0)))</f>
        <v/>
      </c>
      <c r="D152" s="70">
        <f>IF(H152=0,wdct(TRIM(C152)),0)</f>
        <v>0</v>
      </c>
      <c r="E152" s="70">
        <f>COUNTIFS('Error Log'!$A:$A,$A152,'Error Log'!$J:$J,E$1)</f>
        <v>0</v>
      </c>
      <c r="F152" s="70">
        <f>COUNTIFS('Error Log'!$A:$A,$A152,'Error Log'!$J:$J,F$1)</f>
        <v>0</v>
      </c>
      <c r="G152" s="70">
        <f>COUNTIFS('Error Log'!$A:$A,$A152,'Error Log'!$J:$J,G$1)</f>
        <v>0</v>
      </c>
      <c r="H152" s="70">
        <f>COUNTIFS('Error Log'!$A:$A,$A152,'Error Log'!$F:$F,"Source")</f>
        <v>0</v>
      </c>
      <c r="I152" s="70">
        <f>COUNTIFS('Error Log'!$A:$A,$A152,'Error Log'!$F:$F,"Target")</f>
        <v>0</v>
      </c>
      <c r="J152" s="71">
        <f t="shared" si="2"/>
        <v>0</v>
      </c>
    </row>
    <row r="153" spans="1:10">
      <c r="A153" s="81"/>
      <c r="B153" s="70" t="str">
        <f>IF(ISBLANK(A153),"",INDEX('Error Log'!$A:$J,MATCH('Scores per segment'!$A153,'Error Log'!$A:$A,0),MATCH('Scores per segment'!B$1,'Error Log'!$A$1:$J$1,0)))</f>
        <v/>
      </c>
      <c r="C153" s="70" t="str">
        <f>IF(ISBLANK(A153),"",INDEX('Error Log'!$A:$J,MATCH('Scores per segment'!$A153,'Error Log'!$A:$A,0),MATCH('Scores per segment'!C$1,'Error Log'!$A$1:$J$1,0)))</f>
        <v/>
      </c>
      <c r="D153" s="70">
        <f>IF(H153=0,wdct(TRIM(C153)),0)</f>
        <v>0</v>
      </c>
      <c r="E153" s="70">
        <f>COUNTIFS('Error Log'!$A:$A,$A153,'Error Log'!$J:$J,E$1)</f>
        <v>0</v>
      </c>
      <c r="F153" s="70">
        <f>COUNTIFS('Error Log'!$A:$A,$A153,'Error Log'!$J:$J,F$1)</f>
        <v>0</v>
      </c>
      <c r="G153" s="70">
        <f>COUNTIFS('Error Log'!$A:$A,$A153,'Error Log'!$J:$J,G$1)</f>
        <v>0</v>
      </c>
      <c r="H153" s="70">
        <f>COUNTIFS('Error Log'!$A:$A,$A153,'Error Log'!$F:$F,"Source")</f>
        <v>0</v>
      </c>
      <c r="I153" s="70">
        <f>COUNTIFS('Error Log'!$A:$A,$A153,'Error Log'!$F:$F,"Target")</f>
        <v>0</v>
      </c>
      <c r="J153" s="71">
        <f t="shared" si="2"/>
        <v>0</v>
      </c>
    </row>
    <row r="154" spans="1:10">
      <c r="A154" s="81"/>
      <c r="B154" s="70" t="str">
        <f>IF(ISBLANK(A154),"",INDEX('Error Log'!$A:$J,MATCH('Scores per segment'!$A154,'Error Log'!$A:$A,0),MATCH('Scores per segment'!B$1,'Error Log'!$A$1:$J$1,0)))</f>
        <v/>
      </c>
      <c r="C154" s="70" t="str">
        <f>IF(ISBLANK(A154),"",INDEX('Error Log'!$A:$J,MATCH('Scores per segment'!$A154,'Error Log'!$A:$A,0),MATCH('Scores per segment'!C$1,'Error Log'!$A$1:$J$1,0)))</f>
        <v/>
      </c>
      <c r="D154" s="70">
        <f>IF(H154=0,wdct(TRIM(C154)),0)</f>
        <v>0</v>
      </c>
      <c r="E154" s="70">
        <f>COUNTIFS('Error Log'!$A:$A,$A154,'Error Log'!$J:$J,E$1)</f>
        <v>0</v>
      </c>
      <c r="F154" s="70">
        <f>COUNTIFS('Error Log'!$A:$A,$A154,'Error Log'!$J:$J,F$1)</f>
        <v>0</v>
      </c>
      <c r="G154" s="70">
        <f>COUNTIFS('Error Log'!$A:$A,$A154,'Error Log'!$J:$J,G$1)</f>
        <v>0</v>
      </c>
      <c r="H154" s="70">
        <f>COUNTIFS('Error Log'!$A:$A,$A154,'Error Log'!$F:$F,"Source")</f>
        <v>0</v>
      </c>
      <c r="I154" s="70">
        <f>COUNTIFS('Error Log'!$A:$A,$A154,'Error Log'!$F:$F,"Target")</f>
        <v>0</v>
      </c>
      <c r="J154" s="71">
        <f t="shared" si="2"/>
        <v>0</v>
      </c>
    </row>
    <row r="155" spans="1:10">
      <c r="A155" s="81"/>
      <c r="B155" s="70" t="str">
        <f>IF(ISBLANK(A155),"",INDEX('Error Log'!$A:$J,MATCH('Scores per segment'!$A155,'Error Log'!$A:$A,0),MATCH('Scores per segment'!B$1,'Error Log'!$A$1:$J$1,0)))</f>
        <v/>
      </c>
      <c r="C155" s="70" t="str">
        <f>IF(ISBLANK(A155),"",INDEX('Error Log'!$A:$J,MATCH('Scores per segment'!$A155,'Error Log'!$A:$A,0),MATCH('Scores per segment'!C$1,'Error Log'!$A$1:$J$1,0)))</f>
        <v/>
      </c>
      <c r="D155" s="70">
        <f>IF(H155=0,wdct(TRIM(C155)),0)</f>
        <v>0</v>
      </c>
      <c r="E155" s="70">
        <f>COUNTIFS('Error Log'!$A:$A,$A155,'Error Log'!$J:$J,E$1)</f>
        <v>0</v>
      </c>
      <c r="F155" s="70">
        <f>COUNTIFS('Error Log'!$A:$A,$A155,'Error Log'!$J:$J,F$1)</f>
        <v>0</v>
      </c>
      <c r="G155" s="70">
        <f>COUNTIFS('Error Log'!$A:$A,$A155,'Error Log'!$J:$J,G$1)</f>
        <v>0</v>
      </c>
      <c r="H155" s="70">
        <f>COUNTIFS('Error Log'!$A:$A,$A155,'Error Log'!$F:$F,"Source")</f>
        <v>0</v>
      </c>
      <c r="I155" s="70">
        <f>COUNTIFS('Error Log'!$A:$A,$A155,'Error Log'!$F:$F,"Target")</f>
        <v>0</v>
      </c>
      <c r="J155" s="71">
        <f t="shared" si="2"/>
        <v>0</v>
      </c>
    </row>
    <row r="156" spans="1:10">
      <c r="A156" s="81"/>
      <c r="B156" s="70" t="str">
        <f>IF(ISBLANK(A156),"",INDEX('Error Log'!$A:$J,MATCH('Scores per segment'!$A156,'Error Log'!$A:$A,0),MATCH('Scores per segment'!B$1,'Error Log'!$A$1:$J$1,0)))</f>
        <v/>
      </c>
      <c r="C156" s="70" t="str">
        <f>IF(ISBLANK(A156),"",INDEX('Error Log'!$A:$J,MATCH('Scores per segment'!$A156,'Error Log'!$A:$A,0),MATCH('Scores per segment'!C$1,'Error Log'!$A$1:$J$1,0)))</f>
        <v/>
      </c>
      <c r="D156" s="70">
        <f>IF(H156=0,wdct(TRIM(C156)),0)</f>
        <v>0</v>
      </c>
      <c r="E156" s="70">
        <f>COUNTIFS('Error Log'!$A:$A,$A156,'Error Log'!$J:$J,E$1)</f>
        <v>0</v>
      </c>
      <c r="F156" s="70">
        <f>COUNTIFS('Error Log'!$A:$A,$A156,'Error Log'!$J:$J,F$1)</f>
        <v>0</v>
      </c>
      <c r="G156" s="70">
        <f>COUNTIFS('Error Log'!$A:$A,$A156,'Error Log'!$J:$J,G$1)</f>
        <v>0</v>
      </c>
      <c r="H156" s="70">
        <f>COUNTIFS('Error Log'!$A:$A,$A156,'Error Log'!$F:$F,"Source")</f>
        <v>0</v>
      </c>
      <c r="I156" s="70">
        <f>COUNTIFS('Error Log'!$A:$A,$A156,'Error Log'!$F:$F,"Target")</f>
        <v>0</v>
      </c>
      <c r="J156" s="71">
        <f t="shared" si="2"/>
        <v>0</v>
      </c>
    </row>
    <row r="157" spans="1:10">
      <c r="A157" s="81"/>
      <c r="B157" s="70" t="str">
        <f>IF(ISBLANK(A157),"",INDEX('Error Log'!$A:$J,MATCH('Scores per segment'!$A157,'Error Log'!$A:$A,0),MATCH('Scores per segment'!B$1,'Error Log'!$A$1:$J$1,0)))</f>
        <v/>
      </c>
      <c r="C157" s="70" t="str">
        <f>IF(ISBLANK(A157),"",INDEX('Error Log'!$A:$J,MATCH('Scores per segment'!$A157,'Error Log'!$A:$A,0),MATCH('Scores per segment'!C$1,'Error Log'!$A$1:$J$1,0)))</f>
        <v/>
      </c>
      <c r="D157" s="70">
        <f>IF(H157=0,wdct(TRIM(C157)),0)</f>
        <v>0</v>
      </c>
      <c r="E157" s="70">
        <f>COUNTIFS('Error Log'!$A:$A,$A157,'Error Log'!$J:$J,E$1)</f>
        <v>0</v>
      </c>
      <c r="F157" s="70">
        <f>COUNTIFS('Error Log'!$A:$A,$A157,'Error Log'!$J:$J,F$1)</f>
        <v>0</v>
      </c>
      <c r="G157" s="70">
        <f>COUNTIFS('Error Log'!$A:$A,$A157,'Error Log'!$J:$J,G$1)</f>
        <v>0</v>
      </c>
      <c r="H157" s="70">
        <f>COUNTIFS('Error Log'!$A:$A,$A157,'Error Log'!$F:$F,"Source")</f>
        <v>0</v>
      </c>
      <c r="I157" s="70">
        <f>COUNTIFS('Error Log'!$A:$A,$A157,'Error Log'!$F:$F,"Target")</f>
        <v>0</v>
      </c>
      <c r="J157" s="71">
        <f t="shared" si="2"/>
        <v>0</v>
      </c>
    </row>
    <row r="158" spans="1:10">
      <c r="A158" s="81"/>
      <c r="B158" s="70" t="str">
        <f>IF(ISBLANK(A158),"",INDEX('Error Log'!$A:$J,MATCH('Scores per segment'!$A158,'Error Log'!$A:$A,0),MATCH('Scores per segment'!B$1,'Error Log'!$A$1:$J$1,0)))</f>
        <v/>
      </c>
      <c r="C158" s="70" t="str">
        <f>IF(ISBLANK(A158),"",INDEX('Error Log'!$A:$J,MATCH('Scores per segment'!$A158,'Error Log'!$A:$A,0),MATCH('Scores per segment'!C$1,'Error Log'!$A$1:$J$1,0)))</f>
        <v/>
      </c>
      <c r="D158" s="70">
        <f>IF(H158=0,wdct(TRIM(C158)),0)</f>
        <v>0</v>
      </c>
      <c r="E158" s="70">
        <f>COUNTIFS('Error Log'!$A:$A,$A158,'Error Log'!$J:$J,E$1)</f>
        <v>0</v>
      </c>
      <c r="F158" s="70">
        <f>COUNTIFS('Error Log'!$A:$A,$A158,'Error Log'!$J:$J,F$1)</f>
        <v>0</v>
      </c>
      <c r="G158" s="70">
        <f>COUNTIFS('Error Log'!$A:$A,$A158,'Error Log'!$J:$J,G$1)</f>
        <v>0</v>
      </c>
      <c r="H158" s="70">
        <f>COUNTIFS('Error Log'!$A:$A,$A158,'Error Log'!$F:$F,"Source")</f>
        <v>0</v>
      </c>
      <c r="I158" s="70">
        <f>COUNTIFS('Error Log'!$A:$A,$A158,'Error Log'!$F:$F,"Target")</f>
        <v>0</v>
      </c>
      <c r="J158" s="71">
        <f t="shared" si="2"/>
        <v>0</v>
      </c>
    </row>
    <row r="159" spans="1:10">
      <c r="A159" s="81"/>
      <c r="B159" s="70" t="str">
        <f>IF(ISBLANK(A159),"",INDEX('Error Log'!$A:$J,MATCH('Scores per segment'!$A159,'Error Log'!$A:$A,0),MATCH('Scores per segment'!B$1,'Error Log'!$A$1:$J$1,0)))</f>
        <v/>
      </c>
      <c r="C159" s="70" t="str">
        <f>IF(ISBLANK(A159),"",INDEX('Error Log'!$A:$J,MATCH('Scores per segment'!$A159,'Error Log'!$A:$A,0),MATCH('Scores per segment'!C$1,'Error Log'!$A$1:$J$1,0)))</f>
        <v/>
      </c>
      <c r="D159" s="70">
        <f>IF(H159=0,wdct(TRIM(C159)),0)</f>
        <v>0</v>
      </c>
      <c r="E159" s="70">
        <f>COUNTIFS('Error Log'!$A:$A,$A159,'Error Log'!$J:$J,E$1)</f>
        <v>0</v>
      </c>
      <c r="F159" s="70">
        <f>COUNTIFS('Error Log'!$A:$A,$A159,'Error Log'!$J:$J,F$1)</f>
        <v>0</v>
      </c>
      <c r="G159" s="70">
        <f>COUNTIFS('Error Log'!$A:$A,$A159,'Error Log'!$J:$J,G$1)</f>
        <v>0</v>
      </c>
      <c r="H159" s="70">
        <f>COUNTIFS('Error Log'!$A:$A,$A159,'Error Log'!$F:$F,"Source")</f>
        <v>0</v>
      </c>
      <c r="I159" s="70">
        <f>COUNTIFS('Error Log'!$A:$A,$A159,'Error Log'!$F:$F,"Target")</f>
        <v>0</v>
      </c>
      <c r="J159" s="71">
        <f t="shared" si="2"/>
        <v>0</v>
      </c>
    </row>
    <row r="160" spans="1:10">
      <c r="A160" s="81"/>
      <c r="B160" s="70" t="str">
        <f>IF(ISBLANK(A160),"",INDEX('Error Log'!$A:$J,MATCH('Scores per segment'!$A160,'Error Log'!$A:$A,0),MATCH('Scores per segment'!B$1,'Error Log'!$A$1:$J$1,0)))</f>
        <v/>
      </c>
      <c r="C160" s="70" t="str">
        <f>IF(ISBLANK(A160),"",INDEX('Error Log'!$A:$J,MATCH('Scores per segment'!$A160,'Error Log'!$A:$A,0),MATCH('Scores per segment'!C$1,'Error Log'!$A$1:$J$1,0)))</f>
        <v/>
      </c>
      <c r="D160" s="70">
        <f>IF(H160=0,wdct(TRIM(C160)),0)</f>
        <v>0</v>
      </c>
      <c r="E160" s="70">
        <f>COUNTIFS('Error Log'!$A:$A,$A160,'Error Log'!$J:$J,E$1)</f>
        <v>0</v>
      </c>
      <c r="F160" s="70">
        <f>COUNTIFS('Error Log'!$A:$A,$A160,'Error Log'!$J:$J,F$1)</f>
        <v>0</v>
      </c>
      <c r="G160" s="70">
        <f>COUNTIFS('Error Log'!$A:$A,$A160,'Error Log'!$J:$J,G$1)</f>
        <v>0</v>
      </c>
      <c r="H160" s="70">
        <f>COUNTIFS('Error Log'!$A:$A,$A160,'Error Log'!$F:$F,"Source")</f>
        <v>0</v>
      </c>
      <c r="I160" s="70">
        <f>COUNTIFS('Error Log'!$A:$A,$A160,'Error Log'!$F:$F,"Target")</f>
        <v>0</v>
      </c>
      <c r="J160" s="71">
        <f t="shared" si="2"/>
        <v>0</v>
      </c>
    </row>
    <row r="161" spans="1:10">
      <c r="A161" s="81"/>
      <c r="B161" s="70" t="str">
        <f>IF(ISBLANK(A161),"",INDEX('Error Log'!$A:$J,MATCH('Scores per segment'!$A161,'Error Log'!$A:$A,0),MATCH('Scores per segment'!B$1,'Error Log'!$A$1:$J$1,0)))</f>
        <v/>
      </c>
      <c r="C161" s="70" t="str">
        <f>IF(ISBLANK(A161),"",INDEX('Error Log'!$A:$J,MATCH('Scores per segment'!$A161,'Error Log'!$A:$A,0),MATCH('Scores per segment'!C$1,'Error Log'!$A$1:$J$1,0)))</f>
        <v/>
      </c>
      <c r="D161" s="70">
        <f>IF(H161=0,wdct(TRIM(C161)),0)</f>
        <v>0</v>
      </c>
      <c r="E161" s="70">
        <f>COUNTIFS('Error Log'!$A:$A,$A161,'Error Log'!$J:$J,E$1)</f>
        <v>0</v>
      </c>
      <c r="F161" s="70">
        <f>COUNTIFS('Error Log'!$A:$A,$A161,'Error Log'!$J:$J,F$1)</f>
        <v>0</v>
      </c>
      <c r="G161" s="70">
        <f>COUNTIFS('Error Log'!$A:$A,$A161,'Error Log'!$J:$J,G$1)</f>
        <v>0</v>
      </c>
      <c r="H161" s="70">
        <f>COUNTIFS('Error Log'!$A:$A,$A161,'Error Log'!$F:$F,"Source")</f>
        <v>0</v>
      </c>
      <c r="I161" s="70">
        <f>COUNTIFS('Error Log'!$A:$A,$A161,'Error Log'!$F:$F,"Target")</f>
        <v>0</v>
      </c>
      <c r="J161" s="71">
        <f t="shared" si="2"/>
        <v>0</v>
      </c>
    </row>
    <row r="162" spans="1:10">
      <c r="A162" s="81"/>
      <c r="B162" s="70" t="str">
        <f>IF(ISBLANK(A162),"",INDEX('Error Log'!$A:$J,MATCH('Scores per segment'!$A162,'Error Log'!$A:$A,0),MATCH('Scores per segment'!B$1,'Error Log'!$A$1:$J$1,0)))</f>
        <v/>
      </c>
      <c r="C162" s="70" t="str">
        <f>IF(ISBLANK(A162),"",INDEX('Error Log'!$A:$J,MATCH('Scores per segment'!$A162,'Error Log'!$A:$A,0),MATCH('Scores per segment'!C$1,'Error Log'!$A$1:$J$1,0)))</f>
        <v/>
      </c>
      <c r="D162" s="70">
        <f>IF(H162=0,wdct(TRIM(C162)),0)</f>
        <v>0</v>
      </c>
      <c r="E162" s="70">
        <f>COUNTIFS('Error Log'!$A:$A,$A162,'Error Log'!$J:$J,E$1)</f>
        <v>0</v>
      </c>
      <c r="F162" s="70">
        <f>COUNTIFS('Error Log'!$A:$A,$A162,'Error Log'!$J:$J,F$1)</f>
        <v>0</v>
      </c>
      <c r="G162" s="70">
        <f>COUNTIFS('Error Log'!$A:$A,$A162,'Error Log'!$J:$J,G$1)</f>
        <v>0</v>
      </c>
      <c r="H162" s="70">
        <f>COUNTIFS('Error Log'!$A:$A,$A162,'Error Log'!$F:$F,"Source")</f>
        <v>0</v>
      </c>
      <c r="I162" s="70">
        <f>COUNTIFS('Error Log'!$A:$A,$A162,'Error Log'!$F:$F,"Target")</f>
        <v>0</v>
      </c>
      <c r="J162" s="71">
        <f t="shared" si="2"/>
        <v>0</v>
      </c>
    </row>
    <row r="163" spans="1:10">
      <c r="A163" s="81"/>
      <c r="B163" s="70" t="str">
        <f>IF(ISBLANK(A163),"",INDEX('Error Log'!$A:$J,MATCH('Scores per segment'!$A163,'Error Log'!$A:$A,0),MATCH('Scores per segment'!B$1,'Error Log'!$A$1:$J$1,0)))</f>
        <v/>
      </c>
      <c r="C163" s="70" t="str">
        <f>IF(ISBLANK(A163),"",INDEX('Error Log'!$A:$J,MATCH('Scores per segment'!$A163,'Error Log'!$A:$A,0),MATCH('Scores per segment'!C$1,'Error Log'!$A$1:$J$1,0)))</f>
        <v/>
      </c>
      <c r="D163" s="70">
        <f>IF(H163=0,wdct(TRIM(C163)),0)</f>
        <v>0</v>
      </c>
      <c r="E163" s="70">
        <f>COUNTIFS('Error Log'!$A:$A,$A163,'Error Log'!$J:$J,E$1)</f>
        <v>0</v>
      </c>
      <c r="F163" s="70">
        <f>COUNTIFS('Error Log'!$A:$A,$A163,'Error Log'!$J:$J,F$1)</f>
        <v>0</v>
      </c>
      <c r="G163" s="70">
        <f>COUNTIFS('Error Log'!$A:$A,$A163,'Error Log'!$J:$J,G$1)</f>
        <v>0</v>
      </c>
      <c r="H163" s="70">
        <f>COUNTIFS('Error Log'!$A:$A,$A163,'Error Log'!$F:$F,"Source")</f>
        <v>0</v>
      </c>
      <c r="I163" s="70">
        <f>COUNTIFS('Error Log'!$A:$A,$A163,'Error Log'!$F:$F,"Target")</f>
        <v>0</v>
      </c>
      <c r="J163" s="71">
        <f t="shared" si="2"/>
        <v>0</v>
      </c>
    </row>
    <row r="164" spans="1:10">
      <c r="A164" s="81"/>
      <c r="B164" s="70" t="str">
        <f>IF(ISBLANK(A164),"",INDEX('Error Log'!$A:$J,MATCH('Scores per segment'!$A164,'Error Log'!$A:$A,0),MATCH('Scores per segment'!B$1,'Error Log'!$A$1:$J$1,0)))</f>
        <v/>
      </c>
      <c r="C164" s="70" t="str">
        <f>IF(ISBLANK(A164),"",INDEX('Error Log'!$A:$J,MATCH('Scores per segment'!$A164,'Error Log'!$A:$A,0),MATCH('Scores per segment'!C$1,'Error Log'!$A$1:$J$1,0)))</f>
        <v/>
      </c>
      <c r="D164" s="70">
        <f>IF(H164=0,wdct(TRIM(C164)),0)</f>
        <v>0</v>
      </c>
      <c r="E164" s="70">
        <f>COUNTIFS('Error Log'!$A:$A,$A164,'Error Log'!$J:$J,E$1)</f>
        <v>0</v>
      </c>
      <c r="F164" s="70">
        <f>COUNTIFS('Error Log'!$A:$A,$A164,'Error Log'!$J:$J,F$1)</f>
        <v>0</v>
      </c>
      <c r="G164" s="70">
        <f>COUNTIFS('Error Log'!$A:$A,$A164,'Error Log'!$J:$J,G$1)</f>
        <v>0</v>
      </c>
      <c r="H164" s="70">
        <f>COUNTIFS('Error Log'!$A:$A,$A164,'Error Log'!$F:$F,"Source")</f>
        <v>0</v>
      </c>
      <c r="I164" s="70">
        <f>COUNTIFS('Error Log'!$A:$A,$A164,'Error Log'!$F:$F,"Target")</f>
        <v>0</v>
      </c>
      <c r="J164" s="71">
        <f t="shared" si="2"/>
        <v>0</v>
      </c>
    </row>
    <row r="165" spans="1:10">
      <c r="A165" s="81"/>
      <c r="B165" s="70" t="str">
        <f>IF(ISBLANK(A165),"",INDEX('Error Log'!$A:$J,MATCH('Scores per segment'!$A165,'Error Log'!$A:$A,0),MATCH('Scores per segment'!B$1,'Error Log'!$A$1:$J$1,0)))</f>
        <v/>
      </c>
      <c r="C165" s="70" t="str">
        <f>IF(ISBLANK(A165),"",INDEX('Error Log'!$A:$J,MATCH('Scores per segment'!$A165,'Error Log'!$A:$A,0),MATCH('Scores per segment'!C$1,'Error Log'!$A$1:$J$1,0)))</f>
        <v/>
      </c>
      <c r="D165" s="70">
        <f>IF(H165=0,wdct(TRIM(C165)),0)</f>
        <v>0</v>
      </c>
      <c r="E165" s="70">
        <f>COUNTIFS('Error Log'!$A:$A,$A165,'Error Log'!$J:$J,E$1)</f>
        <v>0</v>
      </c>
      <c r="F165" s="70">
        <f>COUNTIFS('Error Log'!$A:$A,$A165,'Error Log'!$J:$J,F$1)</f>
        <v>0</v>
      </c>
      <c r="G165" s="70">
        <f>COUNTIFS('Error Log'!$A:$A,$A165,'Error Log'!$J:$J,G$1)</f>
        <v>0</v>
      </c>
      <c r="H165" s="70">
        <f>COUNTIFS('Error Log'!$A:$A,$A165,'Error Log'!$F:$F,"Source")</f>
        <v>0</v>
      </c>
      <c r="I165" s="70">
        <f>COUNTIFS('Error Log'!$A:$A,$A165,'Error Log'!$F:$F,"Target")</f>
        <v>0</v>
      </c>
      <c r="J165" s="71">
        <f t="shared" si="2"/>
        <v>0</v>
      </c>
    </row>
    <row r="166" spans="1:10">
      <c r="A166" s="81"/>
      <c r="B166" s="70" t="str">
        <f>IF(ISBLANK(A166),"",INDEX('Error Log'!$A:$J,MATCH('Scores per segment'!$A166,'Error Log'!$A:$A,0),MATCH('Scores per segment'!B$1,'Error Log'!$A$1:$J$1,0)))</f>
        <v/>
      </c>
      <c r="C166" s="70" t="str">
        <f>IF(ISBLANK(A166),"",INDEX('Error Log'!$A:$J,MATCH('Scores per segment'!$A166,'Error Log'!$A:$A,0),MATCH('Scores per segment'!C$1,'Error Log'!$A$1:$J$1,0)))</f>
        <v/>
      </c>
      <c r="D166" s="70">
        <f>IF(H166=0,wdct(TRIM(C166)),0)</f>
        <v>0</v>
      </c>
      <c r="E166" s="70">
        <f>COUNTIFS('Error Log'!$A:$A,$A166,'Error Log'!$J:$J,E$1)</f>
        <v>0</v>
      </c>
      <c r="F166" s="70">
        <f>COUNTIFS('Error Log'!$A:$A,$A166,'Error Log'!$J:$J,F$1)</f>
        <v>0</v>
      </c>
      <c r="G166" s="70">
        <f>COUNTIFS('Error Log'!$A:$A,$A166,'Error Log'!$J:$J,G$1)</f>
        <v>0</v>
      </c>
      <c r="H166" s="70">
        <f>COUNTIFS('Error Log'!$A:$A,$A166,'Error Log'!$F:$F,"Source")</f>
        <v>0</v>
      </c>
      <c r="I166" s="70">
        <f>COUNTIFS('Error Log'!$A:$A,$A166,'Error Log'!$F:$F,"Target")</f>
        <v>0</v>
      </c>
      <c r="J166" s="71">
        <f t="shared" si="2"/>
        <v>0</v>
      </c>
    </row>
    <row r="167" spans="1:10">
      <c r="A167" s="81"/>
      <c r="B167" s="70" t="str">
        <f>IF(ISBLANK(A167),"",INDEX('Error Log'!$A:$J,MATCH('Scores per segment'!$A167,'Error Log'!$A:$A,0),MATCH('Scores per segment'!B$1,'Error Log'!$A$1:$J$1,0)))</f>
        <v/>
      </c>
      <c r="C167" s="70" t="str">
        <f>IF(ISBLANK(A167),"",INDEX('Error Log'!$A:$J,MATCH('Scores per segment'!$A167,'Error Log'!$A:$A,0),MATCH('Scores per segment'!C$1,'Error Log'!$A$1:$J$1,0)))</f>
        <v/>
      </c>
      <c r="D167" s="70">
        <f>IF(H167=0,wdct(TRIM(C167)),0)</f>
        <v>0</v>
      </c>
      <c r="E167" s="70">
        <f>COUNTIFS('Error Log'!$A:$A,$A167,'Error Log'!$J:$J,E$1)</f>
        <v>0</v>
      </c>
      <c r="F167" s="70">
        <f>COUNTIFS('Error Log'!$A:$A,$A167,'Error Log'!$J:$J,F$1)</f>
        <v>0</v>
      </c>
      <c r="G167" s="70">
        <f>COUNTIFS('Error Log'!$A:$A,$A167,'Error Log'!$J:$J,G$1)</f>
        <v>0</v>
      </c>
      <c r="H167" s="70">
        <f>COUNTIFS('Error Log'!$A:$A,$A167,'Error Log'!$F:$F,"Source")</f>
        <v>0</v>
      </c>
      <c r="I167" s="70">
        <f>COUNTIFS('Error Log'!$A:$A,$A167,'Error Log'!$F:$F,"Target")</f>
        <v>0</v>
      </c>
      <c r="J167" s="71">
        <f t="shared" si="2"/>
        <v>0</v>
      </c>
    </row>
    <row r="168" spans="1:10">
      <c r="A168" s="81"/>
      <c r="B168" s="70" t="str">
        <f>IF(ISBLANK(A168),"",INDEX('Error Log'!$A:$J,MATCH('Scores per segment'!$A168,'Error Log'!$A:$A,0),MATCH('Scores per segment'!B$1,'Error Log'!$A$1:$J$1,0)))</f>
        <v/>
      </c>
      <c r="C168" s="70" t="str">
        <f>IF(ISBLANK(A168),"",INDEX('Error Log'!$A:$J,MATCH('Scores per segment'!$A168,'Error Log'!$A:$A,0),MATCH('Scores per segment'!C$1,'Error Log'!$A$1:$J$1,0)))</f>
        <v/>
      </c>
      <c r="D168" s="70">
        <f>IF(H168=0,wdct(TRIM(C168)),0)</f>
        <v>0</v>
      </c>
      <c r="E168" s="70">
        <f>COUNTIFS('Error Log'!$A:$A,$A168,'Error Log'!$J:$J,E$1)</f>
        <v>0</v>
      </c>
      <c r="F168" s="70">
        <f>COUNTIFS('Error Log'!$A:$A,$A168,'Error Log'!$J:$J,F$1)</f>
        <v>0</v>
      </c>
      <c r="G168" s="70">
        <f>COUNTIFS('Error Log'!$A:$A,$A168,'Error Log'!$J:$J,G$1)</f>
        <v>0</v>
      </c>
      <c r="H168" s="70">
        <f>COUNTIFS('Error Log'!$A:$A,$A168,'Error Log'!$F:$F,"Source")</f>
        <v>0</v>
      </c>
      <c r="I168" s="70">
        <f>COUNTIFS('Error Log'!$A:$A,$A168,'Error Log'!$F:$F,"Target")</f>
        <v>0</v>
      </c>
      <c r="J168" s="71">
        <f t="shared" si="2"/>
        <v>0</v>
      </c>
    </row>
    <row r="169" spans="1:10">
      <c r="A169" s="81"/>
      <c r="B169" s="70" t="str">
        <f>IF(ISBLANK(A169),"",INDEX('Error Log'!$A:$J,MATCH('Scores per segment'!$A169,'Error Log'!$A:$A,0),MATCH('Scores per segment'!B$1,'Error Log'!$A$1:$J$1,0)))</f>
        <v/>
      </c>
      <c r="C169" s="70" t="str">
        <f>IF(ISBLANK(A169),"",INDEX('Error Log'!$A:$J,MATCH('Scores per segment'!$A169,'Error Log'!$A:$A,0),MATCH('Scores per segment'!C$1,'Error Log'!$A$1:$J$1,0)))</f>
        <v/>
      </c>
      <c r="D169" s="70">
        <f>IF(H169=0,wdct(TRIM(C169)),0)</f>
        <v>0</v>
      </c>
      <c r="E169" s="70">
        <f>COUNTIFS('Error Log'!$A:$A,$A169,'Error Log'!$J:$J,E$1)</f>
        <v>0</v>
      </c>
      <c r="F169" s="70">
        <f>COUNTIFS('Error Log'!$A:$A,$A169,'Error Log'!$J:$J,F$1)</f>
        <v>0</v>
      </c>
      <c r="G169" s="70">
        <f>COUNTIFS('Error Log'!$A:$A,$A169,'Error Log'!$J:$J,G$1)</f>
        <v>0</v>
      </c>
      <c r="H169" s="70">
        <f>COUNTIFS('Error Log'!$A:$A,$A169,'Error Log'!$F:$F,"Source")</f>
        <v>0</v>
      </c>
      <c r="I169" s="70">
        <f>COUNTIFS('Error Log'!$A:$A,$A169,'Error Log'!$F:$F,"Target")</f>
        <v>0</v>
      </c>
      <c r="J169" s="71">
        <f t="shared" si="2"/>
        <v>0</v>
      </c>
    </row>
    <row r="170" spans="1:10">
      <c r="A170" s="81"/>
      <c r="B170" s="70" t="str">
        <f>IF(ISBLANK(A170),"",INDEX('Error Log'!$A:$J,MATCH('Scores per segment'!$A170,'Error Log'!$A:$A,0),MATCH('Scores per segment'!B$1,'Error Log'!$A$1:$J$1,0)))</f>
        <v/>
      </c>
      <c r="C170" s="70" t="str">
        <f>IF(ISBLANK(A170),"",INDEX('Error Log'!$A:$J,MATCH('Scores per segment'!$A170,'Error Log'!$A:$A,0),MATCH('Scores per segment'!C$1,'Error Log'!$A$1:$J$1,0)))</f>
        <v/>
      </c>
      <c r="D170" s="70">
        <f>IF(H170=0,wdct(TRIM(C170)),0)</f>
        <v>0</v>
      </c>
      <c r="E170" s="70">
        <f>COUNTIFS('Error Log'!$A:$A,$A170,'Error Log'!$J:$J,E$1)</f>
        <v>0</v>
      </c>
      <c r="F170" s="70">
        <f>COUNTIFS('Error Log'!$A:$A,$A170,'Error Log'!$J:$J,F$1)</f>
        <v>0</v>
      </c>
      <c r="G170" s="70">
        <f>COUNTIFS('Error Log'!$A:$A,$A170,'Error Log'!$J:$J,G$1)</f>
        <v>0</v>
      </c>
      <c r="H170" s="70">
        <f>COUNTIFS('Error Log'!$A:$A,$A170,'Error Log'!$F:$F,"Source")</f>
        <v>0</v>
      </c>
      <c r="I170" s="70">
        <f>COUNTIFS('Error Log'!$A:$A,$A170,'Error Log'!$F:$F,"Target")</f>
        <v>0</v>
      </c>
      <c r="J170" s="71">
        <f t="shared" si="2"/>
        <v>0</v>
      </c>
    </row>
    <row r="171" spans="1:10">
      <c r="A171" s="81"/>
      <c r="B171" s="70" t="str">
        <f>IF(ISBLANK(A171),"",INDEX('Error Log'!$A:$J,MATCH('Scores per segment'!$A171,'Error Log'!$A:$A,0),MATCH('Scores per segment'!B$1,'Error Log'!$A$1:$J$1,0)))</f>
        <v/>
      </c>
      <c r="C171" s="70" t="str">
        <f>IF(ISBLANK(A171),"",INDEX('Error Log'!$A:$J,MATCH('Scores per segment'!$A171,'Error Log'!$A:$A,0),MATCH('Scores per segment'!C$1,'Error Log'!$A$1:$J$1,0)))</f>
        <v/>
      </c>
      <c r="D171" s="70">
        <f>IF(H171=0,wdct(TRIM(C171)),0)</f>
        <v>0</v>
      </c>
      <c r="E171" s="70">
        <f>COUNTIFS('Error Log'!$A:$A,$A171,'Error Log'!$J:$J,E$1)</f>
        <v>0</v>
      </c>
      <c r="F171" s="70">
        <f>COUNTIFS('Error Log'!$A:$A,$A171,'Error Log'!$J:$J,F$1)</f>
        <v>0</v>
      </c>
      <c r="G171" s="70">
        <f>COUNTIFS('Error Log'!$A:$A,$A171,'Error Log'!$J:$J,G$1)</f>
        <v>0</v>
      </c>
      <c r="H171" s="70">
        <f>COUNTIFS('Error Log'!$A:$A,$A171,'Error Log'!$F:$F,"Source")</f>
        <v>0</v>
      </c>
      <c r="I171" s="70">
        <f>COUNTIFS('Error Log'!$A:$A,$A171,'Error Log'!$F:$F,"Target")</f>
        <v>0</v>
      </c>
      <c r="J171" s="71">
        <f t="shared" si="2"/>
        <v>0</v>
      </c>
    </row>
    <row r="172" spans="1:10">
      <c r="A172" s="81"/>
      <c r="B172" s="70" t="str">
        <f>IF(ISBLANK(A172),"",INDEX('Error Log'!$A:$J,MATCH('Scores per segment'!$A172,'Error Log'!$A:$A,0),MATCH('Scores per segment'!B$1,'Error Log'!$A$1:$J$1,0)))</f>
        <v/>
      </c>
      <c r="C172" s="70" t="str">
        <f>IF(ISBLANK(A172),"",INDEX('Error Log'!$A:$J,MATCH('Scores per segment'!$A172,'Error Log'!$A:$A,0),MATCH('Scores per segment'!C$1,'Error Log'!$A$1:$J$1,0)))</f>
        <v/>
      </c>
      <c r="D172" s="70">
        <f>IF(H172=0,wdct(TRIM(C172)),0)</f>
        <v>0</v>
      </c>
      <c r="E172" s="70">
        <f>COUNTIFS('Error Log'!$A:$A,$A172,'Error Log'!$J:$J,E$1)</f>
        <v>0</v>
      </c>
      <c r="F172" s="70">
        <f>COUNTIFS('Error Log'!$A:$A,$A172,'Error Log'!$J:$J,F$1)</f>
        <v>0</v>
      </c>
      <c r="G172" s="70">
        <f>COUNTIFS('Error Log'!$A:$A,$A172,'Error Log'!$J:$J,G$1)</f>
        <v>0</v>
      </c>
      <c r="H172" s="70">
        <f>COUNTIFS('Error Log'!$A:$A,$A172,'Error Log'!$F:$F,"Source")</f>
        <v>0</v>
      </c>
      <c r="I172" s="70">
        <f>COUNTIFS('Error Log'!$A:$A,$A172,'Error Log'!$F:$F,"Target")</f>
        <v>0</v>
      </c>
      <c r="J172" s="71">
        <f t="shared" si="2"/>
        <v>0</v>
      </c>
    </row>
    <row r="173" spans="1:10">
      <c r="A173" s="81"/>
      <c r="B173" s="70" t="str">
        <f>IF(ISBLANK(A173),"",INDEX('Error Log'!$A:$J,MATCH('Scores per segment'!$A173,'Error Log'!$A:$A,0),MATCH('Scores per segment'!B$1,'Error Log'!$A$1:$J$1,0)))</f>
        <v/>
      </c>
      <c r="C173" s="70" t="str">
        <f>IF(ISBLANK(A173),"",INDEX('Error Log'!$A:$J,MATCH('Scores per segment'!$A173,'Error Log'!$A:$A,0),MATCH('Scores per segment'!C$1,'Error Log'!$A$1:$J$1,0)))</f>
        <v/>
      </c>
      <c r="D173" s="70">
        <f>IF(H173=0,wdct(TRIM(C173)),0)</f>
        <v>0</v>
      </c>
      <c r="E173" s="70">
        <f>COUNTIFS('Error Log'!$A:$A,$A173,'Error Log'!$J:$J,E$1)</f>
        <v>0</v>
      </c>
      <c r="F173" s="70">
        <f>COUNTIFS('Error Log'!$A:$A,$A173,'Error Log'!$J:$J,F$1)</f>
        <v>0</v>
      </c>
      <c r="G173" s="70">
        <f>COUNTIFS('Error Log'!$A:$A,$A173,'Error Log'!$J:$J,G$1)</f>
        <v>0</v>
      </c>
      <c r="H173" s="70">
        <f>COUNTIFS('Error Log'!$A:$A,$A173,'Error Log'!$F:$F,"Source")</f>
        <v>0</v>
      </c>
      <c r="I173" s="70">
        <f>COUNTIFS('Error Log'!$A:$A,$A173,'Error Log'!$F:$F,"Target")</f>
        <v>0</v>
      </c>
      <c r="J173" s="71">
        <f t="shared" si="2"/>
        <v>0</v>
      </c>
    </row>
    <row r="174" spans="1:10">
      <c r="A174" s="81"/>
      <c r="B174" s="70" t="str">
        <f>IF(ISBLANK(A174),"",INDEX('Error Log'!$A:$J,MATCH('Scores per segment'!$A174,'Error Log'!$A:$A,0),MATCH('Scores per segment'!B$1,'Error Log'!$A$1:$J$1,0)))</f>
        <v/>
      </c>
      <c r="C174" s="70" t="str">
        <f>IF(ISBLANK(A174),"",INDEX('Error Log'!$A:$J,MATCH('Scores per segment'!$A174,'Error Log'!$A:$A,0),MATCH('Scores per segment'!C$1,'Error Log'!$A$1:$J$1,0)))</f>
        <v/>
      </c>
      <c r="D174" s="70">
        <f>IF(H174=0,wdct(TRIM(C174)),0)</f>
        <v>0</v>
      </c>
      <c r="E174" s="70">
        <f>COUNTIFS('Error Log'!$A:$A,$A174,'Error Log'!$J:$J,E$1)</f>
        <v>0</v>
      </c>
      <c r="F174" s="70">
        <f>COUNTIFS('Error Log'!$A:$A,$A174,'Error Log'!$J:$J,F$1)</f>
        <v>0</v>
      </c>
      <c r="G174" s="70">
        <f>COUNTIFS('Error Log'!$A:$A,$A174,'Error Log'!$J:$J,G$1)</f>
        <v>0</v>
      </c>
      <c r="H174" s="70">
        <f>COUNTIFS('Error Log'!$A:$A,$A174,'Error Log'!$F:$F,"Source")</f>
        <v>0</v>
      </c>
      <c r="I174" s="70">
        <f>COUNTIFS('Error Log'!$A:$A,$A174,'Error Log'!$F:$F,"Target")</f>
        <v>0</v>
      </c>
      <c r="J174" s="71">
        <f t="shared" si="2"/>
        <v>0</v>
      </c>
    </row>
    <row r="175" spans="1:10">
      <c r="A175" s="81"/>
      <c r="B175" s="70" t="str">
        <f>IF(ISBLANK(A175),"",INDEX('Error Log'!$A:$J,MATCH('Scores per segment'!$A175,'Error Log'!$A:$A,0),MATCH('Scores per segment'!B$1,'Error Log'!$A$1:$J$1,0)))</f>
        <v/>
      </c>
      <c r="C175" s="70" t="str">
        <f>IF(ISBLANK(A175),"",INDEX('Error Log'!$A:$J,MATCH('Scores per segment'!$A175,'Error Log'!$A:$A,0),MATCH('Scores per segment'!C$1,'Error Log'!$A$1:$J$1,0)))</f>
        <v/>
      </c>
      <c r="D175" s="70">
        <f>IF(H175=0,wdct(TRIM(C175)),0)</f>
        <v>0</v>
      </c>
      <c r="E175" s="70">
        <f>COUNTIFS('Error Log'!$A:$A,$A175,'Error Log'!$J:$J,E$1)</f>
        <v>0</v>
      </c>
      <c r="F175" s="70">
        <f>COUNTIFS('Error Log'!$A:$A,$A175,'Error Log'!$J:$J,F$1)</f>
        <v>0</v>
      </c>
      <c r="G175" s="70">
        <f>COUNTIFS('Error Log'!$A:$A,$A175,'Error Log'!$J:$J,G$1)</f>
        <v>0</v>
      </c>
      <c r="H175" s="70">
        <f>COUNTIFS('Error Log'!$A:$A,$A175,'Error Log'!$F:$F,"Source")</f>
        <v>0</v>
      </c>
      <c r="I175" s="70">
        <f>COUNTIFS('Error Log'!$A:$A,$A175,'Error Log'!$F:$F,"Target")</f>
        <v>0</v>
      </c>
      <c r="J175" s="71">
        <f t="shared" si="2"/>
        <v>0</v>
      </c>
    </row>
    <row r="176" spans="1:10">
      <c r="A176" s="81"/>
      <c r="B176" s="70" t="str">
        <f>IF(ISBLANK(A176),"",INDEX('Error Log'!$A:$J,MATCH('Scores per segment'!$A176,'Error Log'!$A:$A,0),MATCH('Scores per segment'!B$1,'Error Log'!$A$1:$J$1,0)))</f>
        <v/>
      </c>
      <c r="C176" s="70" t="str">
        <f>IF(ISBLANK(A176),"",INDEX('Error Log'!$A:$J,MATCH('Scores per segment'!$A176,'Error Log'!$A:$A,0),MATCH('Scores per segment'!C$1,'Error Log'!$A$1:$J$1,0)))</f>
        <v/>
      </c>
      <c r="D176" s="70">
        <f>IF(H176=0,wdct(TRIM(C176)),0)</f>
        <v>0</v>
      </c>
      <c r="E176" s="70">
        <f>COUNTIFS('Error Log'!$A:$A,$A176,'Error Log'!$J:$J,E$1)</f>
        <v>0</v>
      </c>
      <c r="F176" s="70">
        <f>COUNTIFS('Error Log'!$A:$A,$A176,'Error Log'!$J:$J,F$1)</f>
        <v>0</v>
      </c>
      <c r="G176" s="70">
        <f>COUNTIFS('Error Log'!$A:$A,$A176,'Error Log'!$J:$J,G$1)</f>
        <v>0</v>
      </c>
      <c r="H176" s="70">
        <f>COUNTIFS('Error Log'!$A:$A,$A176,'Error Log'!$F:$F,"Source")</f>
        <v>0</v>
      </c>
      <c r="I176" s="70">
        <f>COUNTIFS('Error Log'!$A:$A,$A176,'Error Log'!$F:$F,"Target")</f>
        <v>0</v>
      </c>
      <c r="J176" s="71">
        <f t="shared" si="2"/>
        <v>0</v>
      </c>
    </row>
    <row r="177" spans="1:10">
      <c r="A177" s="81"/>
      <c r="B177" s="70" t="str">
        <f>IF(ISBLANK(A177),"",INDEX('Error Log'!$A:$J,MATCH('Scores per segment'!$A177,'Error Log'!$A:$A,0),MATCH('Scores per segment'!B$1,'Error Log'!$A$1:$J$1,0)))</f>
        <v/>
      </c>
      <c r="C177" s="70" t="str">
        <f>IF(ISBLANK(A177),"",INDEX('Error Log'!$A:$J,MATCH('Scores per segment'!$A177,'Error Log'!$A:$A,0),MATCH('Scores per segment'!C$1,'Error Log'!$A$1:$J$1,0)))</f>
        <v/>
      </c>
      <c r="D177" s="70">
        <f>IF(H177=0,wdct(TRIM(C177)),0)</f>
        <v>0</v>
      </c>
      <c r="E177" s="70">
        <f>COUNTIFS('Error Log'!$A:$A,$A177,'Error Log'!$J:$J,E$1)</f>
        <v>0</v>
      </c>
      <c r="F177" s="70">
        <f>COUNTIFS('Error Log'!$A:$A,$A177,'Error Log'!$J:$J,F$1)</f>
        <v>0</v>
      </c>
      <c r="G177" s="70">
        <f>COUNTIFS('Error Log'!$A:$A,$A177,'Error Log'!$J:$J,G$1)</f>
        <v>0</v>
      </c>
      <c r="H177" s="70">
        <f>COUNTIFS('Error Log'!$A:$A,$A177,'Error Log'!$F:$F,"Source")</f>
        <v>0</v>
      </c>
      <c r="I177" s="70">
        <f>COUNTIFS('Error Log'!$A:$A,$A177,'Error Log'!$F:$F,"Target")</f>
        <v>0</v>
      </c>
      <c r="J177" s="71">
        <f t="shared" si="2"/>
        <v>0</v>
      </c>
    </row>
    <row r="178" spans="1:10">
      <c r="A178" s="81"/>
      <c r="B178" s="70" t="str">
        <f>IF(ISBLANK(A178),"",INDEX('Error Log'!$A:$J,MATCH('Scores per segment'!$A178,'Error Log'!$A:$A,0),MATCH('Scores per segment'!B$1,'Error Log'!$A$1:$J$1,0)))</f>
        <v/>
      </c>
      <c r="C178" s="70" t="str">
        <f>IF(ISBLANK(A178),"",INDEX('Error Log'!$A:$J,MATCH('Scores per segment'!$A178,'Error Log'!$A:$A,0),MATCH('Scores per segment'!C$1,'Error Log'!$A$1:$J$1,0)))</f>
        <v/>
      </c>
      <c r="D178" s="70">
        <f>IF(H178=0,wdct(TRIM(C178)),0)</f>
        <v>0</v>
      </c>
      <c r="E178" s="70">
        <f>COUNTIFS('Error Log'!$A:$A,$A178,'Error Log'!$J:$J,E$1)</f>
        <v>0</v>
      </c>
      <c r="F178" s="70">
        <f>COUNTIFS('Error Log'!$A:$A,$A178,'Error Log'!$J:$J,F$1)</f>
        <v>0</v>
      </c>
      <c r="G178" s="70">
        <f>COUNTIFS('Error Log'!$A:$A,$A178,'Error Log'!$J:$J,G$1)</f>
        <v>0</v>
      </c>
      <c r="H178" s="70">
        <f>COUNTIFS('Error Log'!$A:$A,$A178,'Error Log'!$F:$F,"Source")</f>
        <v>0</v>
      </c>
      <c r="I178" s="70">
        <f>COUNTIFS('Error Log'!$A:$A,$A178,'Error Log'!$F:$F,"Target")</f>
        <v>0</v>
      </c>
      <c r="J178" s="71">
        <f t="shared" si="2"/>
        <v>0</v>
      </c>
    </row>
    <row r="179" spans="1:10">
      <c r="A179" s="81"/>
      <c r="B179" s="70" t="str">
        <f>IF(ISBLANK(A179),"",INDEX('Error Log'!$A:$J,MATCH('Scores per segment'!$A179,'Error Log'!$A:$A,0),MATCH('Scores per segment'!B$1,'Error Log'!$A$1:$J$1,0)))</f>
        <v/>
      </c>
      <c r="C179" s="70" t="str">
        <f>IF(ISBLANK(A179),"",INDEX('Error Log'!$A:$J,MATCH('Scores per segment'!$A179,'Error Log'!$A:$A,0),MATCH('Scores per segment'!C$1,'Error Log'!$A$1:$J$1,0)))</f>
        <v/>
      </c>
      <c r="D179" s="70">
        <f>IF(H179=0,wdct(TRIM(C179)),0)</f>
        <v>0</v>
      </c>
      <c r="E179" s="70">
        <f>COUNTIFS('Error Log'!$A:$A,$A179,'Error Log'!$J:$J,E$1)</f>
        <v>0</v>
      </c>
      <c r="F179" s="70">
        <f>COUNTIFS('Error Log'!$A:$A,$A179,'Error Log'!$J:$J,F$1)</f>
        <v>0</v>
      </c>
      <c r="G179" s="70">
        <f>COUNTIFS('Error Log'!$A:$A,$A179,'Error Log'!$J:$J,G$1)</f>
        <v>0</v>
      </c>
      <c r="H179" s="70">
        <f>COUNTIFS('Error Log'!$A:$A,$A179,'Error Log'!$F:$F,"Source")</f>
        <v>0</v>
      </c>
      <c r="I179" s="70">
        <f>COUNTIFS('Error Log'!$A:$A,$A179,'Error Log'!$F:$F,"Target")</f>
        <v>0</v>
      </c>
      <c r="J179" s="71">
        <f t="shared" si="2"/>
        <v>0</v>
      </c>
    </row>
    <row r="180" spans="1:10">
      <c r="A180" s="81"/>
      <c r="B180" s="70" t="str">
        <f>IF(ISBLANK(A180),"",INDEX('Error Log'!$A:$J,MATCH('Scores per segment'!$A180,'Error Log'!$A:$A,0),MATCH('Scores per segment'!B$1,'Error Log'!$A$1:$J$1,0)))</f>
        <v/>
      </c>
      <c r="C180" s="70" t="str">
        <f>IF(ISBLANK(A180),"",INDEX('Error Log'!$A:$J,MATCH('Scores per segment'!$A180,'Error Log'!$A:$A,0),MATCH('Scores per segment'!C$1,'Error Log'!$A$1:$J$1,0)))</f>
        <v/>
      </c>
      <c r="D180" s="70">
        <f>IF(H180=0,wdct(TRIM(C180)),0)</f>
        <v>0</v>
      </c>
      <c r="E180" s="70">
        <f>COUNTIFS('Error Log'!$A:$A,$A180,'Error Log'!$J:$J,E$1)</f>
        <v>0</v>
      </c>
      <c r="F180" s="70">
        <f>COUNTIFS('Error Log'!$A:$A,$A180,'Error Log'!$J:$J,F$1)</f>
        <v>0</v>
      </c>
      <c r="G180" s="70">
        <f>COUNTIFS('Error Log'!$A:$A,$A180,'Error Log'!$J:$J,G$1)</f>
        <v>0</v>
      </c>
      <c r="H180" s="70">
        <f>COUNTIFS('Error Log'!$A:$A,$A180,'Error Log'!$F:$F,"Source")</f>
        <v>0</v>
      </c>
      <c r="I180" s="70">
        <f>COUNTIFS('Error Log'!$A:$A,$A180,'Error Log'!$F:$F,"Target")</f>
        <v>0</v>
      </c>
      <c r="J180" s="71">
        <f t="shared" si="2"/>
        <v>0</v>
      </c>
    </row>
    <row r="181" spans="1:10">
      <c r="A181" s="81"/>
      <c r="B181" s="70" t="str">
        <f>IF(ISBLANK(A181),"",INDEX('Error Log'!$A:$J,MATCH('Scores per segment'!$A181,'Error Log'!$A:$A,0),MATCH('Scores per segment'!B$1,'Error Log'!$A$1:$J$1,0)))</f>
        <v/>
      </c>
      <c r="C181" s="70" t="str">
        <f>IF(ISBLANK(A181),"",INDEX('Error Log'!$A:$J,MATCH('Scores per segment'!$A181,'Error Log'!$A:$A,0),MATCH('Scores per segment'!C$1,'Error Log'!$A$1:$J$1,0)))</f>
        <v/>
      </c>
      <c r="D181" s="70">
        <f>IF(H181=0,wdct(TRIM(C181)),0)</f>
        <v>0</v>
      </c>
      <c r="E181" s="70">
        <f>COUNTIFS('Error Log'!$A:$A,$A181,'Error Log'!$J:$J,E$1)</f>
        <v>0</v>
      </c>
      <c r="F181" s="70">
        <f>COUNTIFS('Error Log'!$A:$A,$A181,'Error Log'!$J:$J,F$1)</f>
        <v>0</v>
      </c>
      <c r="G181" s="70">
        <f>COUNTIFS('Error Log'!$A:$A,$A181,'Error Log'!$J:$J,G$1)</f>
        <v>0</v>
      </c>
      <c r="H181" s="70">
        <f>COUNTIFS('Error Log'!$A:$A,$A181,'Error Log'!$F:$F,"Source")</f>
        <v>0</v>
      </c>
      <c r="I181" s="70">
        <f>COUNTIFS('Error Log'!$A:$A,$A181,'Error Log'!$F:$F,"Target")</f>
        <v>0</v>
      </c>
      <c r="J181" s="71">
        <f t="shared" si="2"/>
        <v>0</v>
      </c>
    </row>
    <row r="182" spans="1:10">
      <c r="A182" s="81"/>
      <c r="B182" s="70" t="str">
        <f>IF(ISBLANK(A182),"",INDEX('Error Log'!$A:$J,MATCH('Scores per segment'!$A182,'Error Log'!$A:$A,0),MATCH('Scores per segment'!B$1,'Error Log'!$A$1:$J$1,0)))</f>
        <v/>
      </c>
      <c r="C182" s="70" t="str">
        <f>IF(ISBLANK(A182),"",INDEX('Error Log'!$A:$J,MATCH('Scores per segment'!$A182,'Error Log'!$A:$A,0),MATCH('Scores per segment'!C$1,'Error Log'!$A$1:$J$1,0)))</f>
        <v/>
      </c>
      <c r="D182" s="70">
        <f>IF(H182=0,wdct(TRIM(C182)),0)</f>
        <v>0</v>
      </c>
      <c r="E182" s="70">
        <f>COUNTIFS('Error Log'!$A:$A,$A182,'Error Log'!$J:$J,E$1)</f>
        <v>0</v>
      </c>
      <c r="F182" s="70">
        <f>COUNTIFS('Error Log'!$A:$A,$A182,'Error Log'!$J:$J,F$1)</f>
        <v>0</v>
      </c>
      <c r="G182" s="70">
        <f>COUNTIFS('Error Log'!$A:$A,$A182,'Error Log'!$J:$J,G$1)</f>
        <v>0</v>
      </c>
      <c r="H182" s="70">
        <f>COUNTIFS('Error Log'!$A:$A,$A182,'Error Log'!$F:$F,"Source")</f>
        <v>0</v>
      </c>
      <c r="I182" s="70">
        <f>COUNTIFS('Error Log'!$A:$A,$A182,'Error Log'!$F:$F,"Target")</f>
        <v>0</v>
      </c>
      <c r="J182" s="71">
        <f t="shared" si="2"/>
        <v>0</v>
      </c>
    </row>
    <row r="183" spans="1:10">
      <c r="A183" s="81"/>
      <c r="B183" s="70" t="str">
        <f>IF(ISBLANK(A183),"",INDEX('Error Log'!$A:$J,MATCH('Scores per segment'!$A183,'Error Log'!$A:$A,0),MATCH('Scores per segment'!B$1,'Error Log'!$A$1:$J$1,0)))</f>
        <v/>
      </c>
      <c r="C183" s="70" t="str">
        <f>IF(ISBLANK(A183),"",INDEX('Error Log'!$A:$J,MATCH('Scores per segment'!$A183,'Error Log'!$A:$A,0),MATCH('Scores per segment'!C$1,'Error Log'!$A$1:$J$1,0)))</f>
        <v/>
      </c>
      <c r="D183" s="70">
        <f>IF(H183=0,wdct(TRIM(C183)),0)</f>
        <v>0</v>
      </c>
      <c r="E183" s="70">
        <f>COUNTIFS('Error Log'!$A:$A,$A183,'Error Log'!$J:$J,E$1)</f>
        <v>0</v>
      </c>
      <c r="F183" s="70">
        <f>COUNTIFS('Error Log'!$A:$A,$A183,'Error Log'!$J:$J,F$1)</f>
        <v>0</v>
      </c>
      <c r="G183" s="70">
        <f>COUNTIFS('Error Log'!$A:$A,$A183,'Error Log'!$J:$J,G$1)</f>
        <v>0</v>
      </c>
      <c r="H183" s="70">
        <f>COUNTIFS('Error Log'!$A:$A,$A183,'Error Log'!$F:$F,"Source")</f>
        <v>0</v>
      </c>
      <c r="I183" s="70">
        <f>COUNTIFS('Error Log'!$A:$A,$A183,'Error Log'!$F:$F,"Target")</f>
        <v>0</v>
      </c>
      <c r="J183" s="71">
        <f t="shared" si="2"/>
        <v>0</v>
      </c>
    </row>
    <row r="184" spans="1:10">
      <c r="A184" s="81"/>
      <c r="B184" s="70" t="str">
        <f>IF(ISBLANK(A184),"",INDEX('Error Log'!$A:$J,MATCH('Scores per segment'!$A184,'Error Log'!$A:$A,0),MATCH('Scores per segment'!B$1,'Error Log'!$A$1:$J$1,0)))</f>
        <v/>
      </c>
      <c r="C184" s="70" t="str">
        <f>IF(ISBLANK(A184),"",INDEX('Error Log'!$A:$J,MATCH('Scores per segment'!$A184,'Error Log'!$A:$A,0),MATCH('Scores per segment'!C$1,'Error Log'!$A$1:$J$1,0)))</f>
        <v/>
      </c>
      <c r="D184" s="70">
        <f>IF(H184=0,wdct(TRIM(C184)),0)</f>
        <v>0</v>
      </c>
      <c r="E184" s="70">
        <f>COUNTIFS('Error Log'!$A:$A,$A184,'Error Log'!$J:$J,E$1)</f>
        <v>0</v>
      </c>
      <c r="F184" s="70">
        <f>COUNTIFS('Error Log'!$A:$A,$A184,'Error Log'!$J:$J,F$1)</f>
        <v>0</v>
      </c>
      <c r="G184" s="70">
        <f>COUNTIFS('Error Log'!$A:$A,$A184,'Error Log'!$J:$J,G$1)</f>
        <v>0</v>
      </c>
      <c r="H184" s="70">
        <f>COUNTIFS('Error Log'!$A:$A,$A184,'Error Log'!$F:$F,"Source")</f>
        <v>0</v>
      </c>
      <c r="I184" s="70">
        <f>COUNTIFS('Error Log'!$A:$A,$A184,'Error Log'!$F:$F,"Target")</f>
        <v>0</v>
      </c>
      <c r="J184" s="71">
        <f t="shared" si="2"/>
        <v>0</v>
      </c>
    </row>
    <row r="185" spans="1:10">
      <c r="A185" s="81"/>
      <c r="B185" s="70" t="str">
        <f>IF(ISBLANK(A185),"",INDEX('Error Log'!$A:$J,MATCH('Scores per segment'!$A185,'Error Log'!$A:$A,0),MATCH('Scores per segment'!B$1,'Error Log'!$A$1:$J$1,0)))</f>
        <v/>
      </c>
      <c r="C185" s="70" t="str">
        <f>IF(ISBLANK(A185),"",INDEX('Error Log'!$A:$J,MATCH('Scores per segment'!$A185,'Error Log'!$A:$A,0),MATCH('Scores per segment'!C$1,'Error Log'!$A$1:$J$1,0)))</f>
        <v/>
      </c>
      <c r="D185" s="70">
        <f>IF(H185=0,wdct(TRIM(C185)),0)</f>
        <v>0</v>
      </c>
      <c r="E185" s="70">
        <f>COUNTIFS('Error Log'!$A:$A,$A185,'Error Log'!$J:$J,E$1)</f>
        <v>0</v>
      </c>
      <c r="F185" s="70">
        <f>COUNTIFS('Error Log'!$A:$A,$A185,'Error Log'!$J:$J,F$1)</f>
        <v>0</v>
      </c>
      <c r="G185" s="70">
        <f>COUNTIFS('Error Log'!$A:$A,$A185,'Error Log'!$J:$J,G$1)</f>
        <v>0</v>
      </c>
      <c r="H185" s="70">
        <f>COUNTIFS('Error Log'!$A:$A,$A185,'Error Log'!$F:$F,"Source")</f>
        <v>0</v>
      </c>
      <c r="I185" s="70">
        <f>COUNTIFS('Error Log'!$A:$A,$A185,'Error Log'!$F:$F,"Target")</f>
        <v>0</v>
      </c>
      <c r="J185" s="71">
        <f t="shared" si="2"/>
        <v>0</v>
      </c>
    </row>
    <row r="186" spans="1:10">
      <c r="A186" s="81"/>
      <c r="B186" s="70" t="str">
        <f>IF(ISBLANK(A186),"",INDEX('Error Log'!$A:$J,MATCH('Scores per segment'!$A186,'Error Log'!$A:$A,0),MATCH('Scores per segment'!B$1,'Error Log'!$A$1:$J$1,0)))</f>
        <v/>
      </c>
      <c r="C186" s="70" t="str">
        <f>IF(ISBLANK(A186),"",INDEX('Error Log'!$A:$J,MATCH('Scores per segment'!$A186,'Error Log'!$A:$A,0),MATCH('Scores per segment'!C$1,'Error Log'!$A$1:$J$1,0)))</f>
        <v/>
      </c>
      <c r="D186" s="70">
        <f>IF(H186=0,wdct(TRIM(C186)),0)</f>
        <v>0</v>
      </c>
      <c r="E186" s="70">
        <f>COUNTIFS('Error Log'!$A:$A,$A186,'Error Log'!$J:$J,E$1)</f>
        <v>0</v>
      </c>
      <c r="F186" s="70">
        <f>COUNTIFS('Error Log'!$A:$A,$A186,'Error Log'!$J:$J,F$1)</f>
        <v>0</v>
      </c>
      <c r="G186" s="70">
        <f>COUNTIFS('Error Log'!$A:$A,$A186,'Error Log'!$J:$J,G$1)</f>
        <v>0</v>
      </c>
      <c r="H186" s="70">
        <f>COUNTIFS('Error Log'!$A:$A,$A186,'Error Log'!$F:$F,"Source")</f>
        <v>0</v>
      </c>
      <c r="I186" s="70">
        <f>COUNTIFS('Error Log'!$A:$A,$A186,'Error Log'!$F:$F,"Target")</f>
        <v>0</v>
      </c>
      <c r="J186" s="71">
        <f t="shared" si="2"/>
        <v>0</v>
      </c>
    </row>
    <row r="187" spans="1:10">
      <c r="A187" s="81"/>
      <c r="B187" s="70" t="str">
        <f>IF(ISBLANK(A187),"",INDEX('Error Log'!$A:$J,MATCH('Scores per segment'!$A187,'Error Log'!$A:$A,0),MATCH('Scores per segment'!B$1,'Error Log'!$A$1:$J$1,0)))</f>
        <v/>
      </c>
      <c r="C187" s="70" t="str">
        <f>IF(ISBLANK(A187),"",INDEX('Error Log'!$A:$J,MATCH('Scores per segment'!$A187,'Error Log'!$A:$A,0),MATCH('Scores per segment'!C$1,'Error Log'!$A$1:$J$1,0)))</f>
        <v/>
      </c>
      <c r="D187" s="70">
        <f>IF(H187=0,wdct(TRIM(C187)),0)</f>
        <v>0</v>
      </c>
      <c r="E187" s="70">
        <f>COUNTIFS('Error Log'!$A:$A,$A187,'Error Log'!$J:$J,E$1)</f>
        <v>0</v>
      </c>
      <c r="F187" s="70">
        <f>COUNTIFS('Error Log'!$A:$A,$A187,'Error Log'!$J:$J,F$1)</f>
        <v>0</v>
      </c>
      <c r="G187" s="70">
        <f>COUNTIFS('Error Log'!$A:$A,$A187,'Error Log'!$J:$J,G$1)</f>
        <v>0</v>
      </c>
      <c r="H187" s="70">
        <f>COUNTIFS('Error Log'!$A:$A,$A187,'Error Log'!$F:$F,"Source")</f>
        <v>0</v>
      </c>
      <c r="I187" s="70">
        <f>COUNTIFS('Error Log'!$A:$A,$A187,'Error Log'!$F:$F,"Target")</f>
        <v>0</v>
      </c>
      <c r="J187" s="71">
        <f t="shared" si="2"/>
        <v>0</v>
      </c>
    </row>
    <row r="188" spans="1:10">
      <c r="A188" s="81"/>
      <c r="B188" s="70" t="str">
        <f>IF(ISBLANK(A188),"",INDEX('Error Log'!$A:$J,MATCH('Scores per segment'!$A188,'Error Log'!$A:$A,0),MATCH('Scores per segment'!B$1,'Error Log'!$A$1:$J$1,0)))</f>
        <v/>
      </c>
      <c r="C188" s="70" t="str">
        <f>IF(ISBLANK(A188),"",INDEX('Error Log'!$A:$J,MATCH('Scores per segment'!$A188,'Error Log'!$A:$A,0),MATCH('Scores per segment'!C$1,'Error Log'!$A$1:$J$1,0)))</f>
        <v/>
      </c>
      <c r="D188" s="70">
        <f>IF(H188=0,wdct(TRIM(C188)),0)</f>
        <v>0</v>
      </c>
      <c r="E188" s="70">
        <f>COUNTIFS('Error Log'!$A:$A,$A188,'Error Log'!$J:$J,E$1)</f>
        <v>0</v>
      </c>
      <c r="F188" s="70">
        <f>COUNTIFS('Error Log'!$A:$A,$A188,'Error Log'!$J:$J,F$1)</f>
        <v>0</v>
      </c>
      <c r="G188" s="70">
        <f>COUNTIFS('Error Log'!$A:$A,$A188,'Error Log'!$J:$J,G$1)</f>
        <v>0</v>
      </c>
      <c r="H188" s="70">
        <f>COUNTIFS('Error Log'!$A:$A,$A188,'Error Log'!$F:$F,"Source")</f>
        <v>0</v>
      </c>
      <c r="I188" s="70">
        <f>COUNTIFS('Error Log'!$A:$A,$A188,'Error Log'!$F:$F,"Target")</f>
        <v>0</v>
      </c>
      <c r="J188" s="71">
        <f t="shared" si="2"/>
        <v>0</v>
      </c>
    </row>
    <row r="189" spans="1:10">
      <c r="A189" s="81"/>
      <c r="B189" s="70" t="str">
        <f>IF(ISBLANK(A189),"",INDEX('Error Log'!$A:$J,MATCH('Scores per segment'!$A189,'Error Log'!$A:$A,0),MATCH('Scores per segment'!B$1,'Error Log'!$A$1:$J$1,0)))</f>
        <v/>
      </c>
      <c r="C189" s="70" t="str">
        <f>IF(ISBLANK(A189),"",INDEX('Error Log'!$A:$J,MATCH('Scores per segment'!$A189,'Error Log'!$A:$A,0),MATCH('Scores per segment'!C$1,'Error Log'!$A$1:$J$1,0)))</f>
        <v/>
      </c>
      <c r="D189" s="70">
        <f>IF(H189=0,wdct(TRIM(C189)),0)</f>
        <v>0</v>
      </c>
      <c r="E189" s="70">
        <f>COUNTIFS('Error Log'!$A:$A,$A189,'Error Log'!$J:$J,E$1)</f>
        <v>0</v>
      </c>
      <c r="F189" s="70">
        <f>COUNTIFS('Error Log'!$A:$A,$A189,'Error Log'!$J:$J,F$1)</f>
        <v>0</v>
      </c>
      <c r="G189" s="70">
        <f>COUNTIFS('Error Log'!$A:$A,$A189,'Error Log'!$J:$J,G$1)</f>
        <v>0</v>
      </c>
      <c r="H189" s="70">
        <f>COUNTIFS('Error Log'!$A:$A,$A189,'Error Log'!$F:$F,"Source")</f>
        <v>0</v>
      </c>
      <c r="I189" s="70">
        <f>COUNTIFS('Error Log'!$A:$A,$A189,'Error Log'!$F:$F,"Target")</f>
        <v>0</v>
      </c>
      <c r="J189" s="71">
        <f t="shared" si="2"/>
        <v>0</v>
      </c>
    </row>
    <row r="190" spans="1:10">
      <c r="A190" s="81"/>
      <c r="B190" s="70" t="str">
        <f>IF(ISBLANK(A190),"",INDEX('Error Log'!$A:$J,MATCH('Scores per segment'!$A190,'Error Log'!$A:$A,0),MATCH('Scores per segment'!B$1,'Error Log'!$A$1:$J$1,0)))</f>
        <v/>
      </c>
      <c r="C190" s="70" t="str">
        <f>IF(ISBLANK(A190),"",INDEX('Error Log'!$A:$J,MATCH('Scores per segment'!$A190,'Error Log'!$A:$A,0),MATCH('Scores per segment'!C$1,'Error Log'!$A$1:$J$1,0)))</f>
        <v/>
      </c>
      <c r="D190" s="70">
        <f>IF(H190=0,wdct(TRIM(C190)),0)</f>
        <v>0</v>
      </c>
      <c r="E190" s="70">
        <f>COUNTIFS('Error Log'!$A:$A,$A190,'Error Log'!$J:$J,E$1)</f>
        <v>0</v>
      </c>
      <c r="F190" s="70">
        <f>COUNTIFS('Error Log'!$A:$A,$A190,'Error Log'!$J:$J,F$1)</f>
        <v>0</v>
      </c>
      <c r="G190" s="70">
        <f>COUNTIFS('Error Log'!$A:$A,$A190,'Error Log'!$J:$J,G$1)</f>
        <v>0</v>
      </c>
      <c r="H190" s="70">
        <f>COUNTIFS('Error Log'!$A:$A,$A190,'Error Log'!$F:$F,"Source")</f>
        <v>0</v>
      </c>
      <c r="I190" s="70">
        <f>COUNTIFS('Error Log'!$A:$A,$A190,'Error Log'!$F:$F,"Target")</f>
        <v>0</v>
      </c>
      <c r="J190" s="71">
        <f t="shared" si="2"/>
        <v>0</v>
      </c>
    </row>
    <row r="191" spans="1:10">
      <c r="A191" s="81"/>
      <c r="B191" s="70" t="str">
        <f>IF(ISBLANK(A191),"",INDEX('Error Log'!$A:$J,MATCH('Scores per segment'!$A191,'Error Log'!$A:$A,0),MATCH('Scores per segment'!B$1,'Error Log'!$A$1:$J$1,0)))</f>
        <v/>
      </c>
      <c r="C191" s="70" t="str">
        <f>IF(ISBLANK(A191),"",INDEX('Error Log'!$A:$J,MATCH('Scores per segment'!$A191,'Error Log'!$A:$A,0),MATCH('Scores per segment'!C$1,'Error Log'!$A$1:$J$1,0)))</f>
        <v/>
      </c>
      <c r="D191" s="70">
        <f>IF(H191=0,wdct(TRIM(C191)),0)</f>
        <v>0</v>
      </c>
      <c r="E191" s="70">
        <f>COUNTIFS('Error Log'!$A:$A,$A191,'Error Log'!$J:$J,E$1)</f>
        <v>0</v>
      </c>
      <c r="F191" s="70">
        <f>COUNTIFS('Error Log'!$A:$A,$A191,'Error Log'!$J:$J,F$1)</f>
        <v>0</v>
      </c>
      <c r="G191" s="70">
        <f>COUNTIFS('Error Log'!$A:$A,$A191,'Error Log'!$J:$J,G$1)</f>
        <v>0</v>
      </c>
      <c r="H191" s="70">
        <f>COUNTIFS('Error Log'!$A:$A,$A191,'Error Log'!$F:$F,"Source")</f>
        <v>0</v>
      </c>
      <c r="I191" s="70">
        <f>COUNTIFS('Error Log'!$A:$A,$A191,'Error Log'!$F:$F,"Target")</f>
        <v>0</v>
      </c>
      <c r="J191" s="71">
        <f t="shared" si="2"/>
        <v>0</v>
      </c>
    </row>
    <row r="192" spans="1:10">
      <c r="A192" s="81"/>
      <c r="B192" s="70" t="str">
        <f>IF(ISBLANK(A192),"",INDEX('Error Log'!$A:$J,MATCH('Scores per segment'!$A192,'Error Log'!$A:$A,0),MATCH('Scores per segment'!B$1,'Error Log'!$A$1:$J$1,0)))</f>
        <v/>
      </c>
      <c r="C192" s="70" t="str">
        <f>IF(ISBLANK(A192),"",INDEX('Error Log'!$A:$J,MATCH('Scores per segment'!$A192,'Error Log'!$A:$A,0),MATCH('Scores per segment'!C$1,'Error Log'!$A$1:$J$1,0)))</f>
        <v/>
      </c>
      <c r="D192" s="70">
        <f>IF(H192=0,wdct(TRIM(C192)),0)</f>
        <v>0</v>
      </c>
      <c r="E192" s="70">
        <f>COUNTIFS('Error Log'!$A:$A,$A192,'Error Log'!$J:$J,E$1)</f>
        <v>0</v>
      </c>
      <c r="F192" s="70">
        <f>COUNTIFS('Error Log'!$A:$A,$A192,'Error Log'!$J:$J,F$1)</f>
        <v>0</v>
      </c>
      <c r="G192" s="70">
        <f>COUNTIFS('Error Log'!$A:$A,$A192,'Error Log'!$J:$J,G$1)</f>
        <v>0</v>
      </c>
      <c r="H192" s="70">
        <f>COUNTIFS('Error Log'!$A:$A,$A192,'Error Log'!$F:$F,"Source")</f>
        <v>0</v>
      </c>
      <c r="I192" s="70">
        <f>COUNTIFS('Error Log'!$A:$A,$A192,'Error Log'!$F:$F,"Target")</f>
        <v>0</v>
      </c>
      <c r="J192" s="71">
        <f t="shared" si="2"/>
        <v>0</v>
      </c>
    </row>
    <row r="193" spans="1:10">
      <c r="A193" s="81"/>
      <c r="B193" s="70" t="str">
        <f>IF(ISBLANK(A193),"",INDEX('Error Log'!$A:$J,MATCH('Scores per segment'!$A193,'Error Log'!$A:$A,0),MATCH('Scores per segment'!B$1,'Error Log'!$A$1:$J$1,0)))</f>
        <v/>
      </c>
      <c r="C193" s="70" t="str">
        <f>IF(ISBLANK(A193),"",INDEX('Error Log'!$A:$J,MATCH('Scores per segment'!$A193,'Error Log'!$A:$A,0),MATCH('Scores per segment'!C$1,'Error Log'!$A$1:$J$1,0)))</f>
        <v/>
      </c>
      <c r="D193" s="70">
        <f>IF(H193=0,wdct(TRIM(C193)),0)</f>
        <v>0</v>
      </c>
      <c r="E193" s="70">
        <f>COUNTIFS('Error Log'!$A:$A,$A193,'Error Log'!$J:$J,E$1)</f>
        <v>0</v>
      </c>
      <c r="F193" s="70">
        <f>COUNTIFS('Error Log'!$A:$A,$A193,'Error Log'!$J:$J,F$1)</f>
        <v>0</v>
      </c>
      <c r="G193" s="70">
        <f>COUNTIFS('Error Log'!$A:$A,$A193,'Error Log'!$J:$J,G$1)</f>
        <v>0</v>
      </c>
      <c r="H193" s="70">
        <f>COUNTIFS('Error Log'!$A:$A,$A193,'Error Log'!$F:$F,"Source")</f>
        <v>0</v>
      </c>
      <c r="I193" s="70">
        <f>COUNTIFS('Error Log'!$A:$A,$A193,'Error Log'!$F:$F,"Target")</f>
        <v>0</v>
      </c>
      <c r="J193" s="71">
        <f t="shared" si="2"/>
        <v>0</v>
      </c>
    </row>
    <row r="194" spans="1:10">
      <c r="A194" s="81"/>
      <c r="B194" s="70" t="str">
        <f>IF(ISBLANK(A194),"",INDEX('Error Log'!$A:$J,MATCH('Scores per segment'!$A194,'Error Log'!$A:$A,0),MATCH('Scores per segment'!B$1,'Error Log'!$A$1:$J$1,0)))</f>
        <v/>
      </c>
      <c r="C194" s="70" t="str">
        <f>IF(ISBLANK(A194),"",INDEX('Error Log'!$A:$J,MATCH('Scores per segment'!$A194,'Error Log'!$A:$A,0),MATCH('Scores per segment'!C$1,'Error Log'!$A$1:$J$1,0)))</f>
        <v/>
      </c>
      <c r="D194" s="70">
        <f>IF(H194=0,wdct(TRIM(C194)),0)</f>
        <v>0</v>
      </c>
      <c r="E194" s="70">
        <f>COUNTIFS('Error Log'!$A:$A,$A194,'Error Log'!$J:$J,E$1)</f>
        <v>0</v>
      </c>
      <c r="F194" s="70">
        <f>COUNTIFS('Error Log'!$A:$A,$A194,'Error Log'!$J:$J,F$1)</f>
        <v>0</v>
      </c>
      <c r="G194" s="70">
        <f>COUNTIFS('Error Log'!$A:$A,$A194,'Error Log'!$J:$J,G$1)</f>
        <v>0</v>
      </c>
      <c r="H194" s="70">
        <f>COUNTIFS('Error Log'!$A:$A,$A194,'Error Log'!$F:$F,"Source")</f>
        <v>0</v>
      </c>
      <c r="I194" s="70">
        <f>COUNTIFS('Error Log'!$A:$A,$A194,'Error Log'!$F:$F,"Target")</f>
        <v>0</v>
      </c>
      <c r="J194" s="71">
        <f t="shared" ref="J194:J257" si="3">IF(I194=0,IFERROR((((1-((E194*10+F194*5+G194*1)/D194))*100)+100)/2,0),-150)</f>
        <v>0</v>
      </c>
    </row>
    <row r="195" spans="1:10">
      <c r="A195" s="81"/>
      <c r="B195" s="70" t="str">
        <f>IF(ISBLANK(A195),"",INDEX('Error Log'!$A:$J,MATCH('Scores per segment'!$A195,'Error Log'!$A:$A,0),MATCH('Scores per segment'!B$1,'Error Log'!$A$1:$J$1,0)))</f>
        <v/>
      </c>
      <c r="C195" s="70" t="str">
        <f>IF(ISBLANK(A195),"",INDEX('Error Log'!$A:$J,MATCH('Scores per segment'!$A195,'Error Log'!$A:$A,0),MATCH('Scores per segment'!C$1,'Error Log'!$A$1:$J$1,0)))</f>
        <v/>
      </c>
      <c r="D195" s="70">
        <f>IF(H195=0,wdct(TRIM(C195)),0)</f>
        <v>0</v>
      </c>
      <c r="E195" s="70">
        <f>COUNTIFS('Error Log'!$A:$A,$A195,'Error Log'!$J:$J,E$1)</f>
        <v>0</v>
      </c>
      <c r="F195" s="70">
        <f>COUNTIFS('Error Log'!$A:$A,$A195,'Error Log'!$J:$J,F$1)</f>
        <v>0</v>
      </c>
      <c r="G195" s="70">
        <f>COUNTIFS('Error Log'!$A:$A,$A195,'Error Log'!$J:$J,G$1)</f>
        <v>0</v>
      </c>
      <c r="H195" s="70">
        <f>COUNTIFS('Error Log'!$A:$A,$A195,'Error Log'!$F:$F,"Source")</f>
        <v>0</v>
      </c>
      <c r="I195" s="70">
        <f>COUNTIFS('Error Log'!$A:$A,$A195,'Error Log'!$F:$F,"Target")</f>
        <v>0</v>
      </c>
      <c r="J195" s="71">
        <f t="shared" si="3"/>
        <v>0</v>
      </c>
    </row>
    <row r="196" spans="1:10">
      <c r="A196" s="81"/>
      <c r="B196" s="70" t="str">
        <f>IF(ISBLANK(A196),"",INDEX('Error Log'!$A:$J,MATCH('Scores per segment'!$A196,'Error Log'!$A:$A,0),MATCH('Scores per segment'!B$1,'Error Log'!$A$1:$J$1,0)))</f>
        <v/>
      </c>
      <c r="C196" s="70" t="str">
        <f>IF(ISBLANK(A196),"",INDEX('Error Log'!$A:$J,MATCH('Scores per segment'!$A196,'Error Log'!$A:$A,0),MATCH('Scores per segment'!C$1,'Error Log'!$A$1:$J$1,0)))</f>
        <v/>
      </c>
      <c r="D196" s="70">
        <f>IF(H196=0,wdct(TRIM(C196)),0)</f>
        <v>0</v>
      </c>
      <c r="E196" s="70">
        <f>COUNTIFS('Error Log'!$A:$A,$A196,'Error Log'!$J:$J,E$1)</f>
        <v>0</v>
      </c>
      <c r="F196" s="70">
        <f>COUNTIFS('Error Log'!$A:$A,$A196,'Error Log'!$J:$J,F$1)</f>
        <v>0</v>
      </c>
      <c r="G196" s="70">
        <f>COUNTIFS('Error Log'!$A:$A,$A196,'Error Log'!$J:$J,G$1)</f>
        <v>0</v>
      </c>
      <c r="H196" s="70">
        <f>COUNTIFS('Error Log'!$A:$A,$A196,'Error Log'!$F:$F,"Source")</f>
        <v>0</v>
      </c>
      <c r="I196" s="70">
        <f>COUNTIFS('Error Log'!$A:$A,$A196,'Error Log'!$F:$F,"Target")</f>
        <v>0</v>
      </c>
      <c r="J196" s="71">
        <f t="shared" si="3"/>
        <v>0</v>
      </c>
    </row>
    <row r="197" spans="1:10">
      <c r="A197" s="81"/>
      <c r="B197" s="70" t="str">
        <f>IF(ISBLANK(A197),"",INDEX('Error Log'!$A:$J,MATCH('Scores per segment'!$A197,'Error Log'!$A:$A,0),MATCH('Scores per segment'!B$1,'Error Log'!$A$1:$J$1,0)))</f>
        <v/>
      </c>
      <c r="C197" s="70" t="str">
        <f>IF(ISBLANK(A197),"",INDEX('Error Log'!$A:$J,MATCH('Scores per segment'!$A197,'Error Log'!$A:$A,0),MATCH('Scores per segment'!C$1,'Error Log'!$A$1:$J$1,0)))</f>
        <v/>
      </c>
      <c r="D197" s="70">
        <f>IF(H197=0,wdct(TRIM(C197)),0)</f>
        <v>0</v>
      </c>
      <c r="E197" s="70">
        <f>COUNTIFS('Error Log'!$A:$A,$A197,'Error Log'!$J:$J,E$1)</f>
        <v>0</v>
      </c>
      <c r="F197" s="70">
        <f>COUNTIFS('Error Log'!$A:$A,$A197,'Error Log'!$J:$J,F$1)</f>
        <v>0</v>
      </c>
      <c r="G197" s="70">
        <f>COUNTIFS('Error Log'!$A:$A,$A197,'Error Log'!$J:$J,G$1)</f>
        <v>0</v>
      </c>
      <c r="H197" s="70">
        <f>COUNTIFS('Error Log'!$A:$A,$A197,'Error Log'!$F:$F,"Source")</f>
        <v>0</v>
      </c>
      <c r="I197" s="70">
        <f>COUNTIFS('Error Log'!$A:$A,$A197,'Error Log'!$F:$F,"Target")</f>
        <v>0</v>
      </c>
      <c r="J197" s="71">
        <f t="shared" si="3"/>
        <v>0</v>
      </c>
    </row>
    <row r="198" spans="1:10">
      <c r="A198" s="81"/>
      <c r="B198" s="70" t="str">
        <f>IF(ISBLANK(A198),"",INDEX('Error Log'!$A:$J,MATCH('Scores per segment'!$A198,'Error Log'!$A:$A,0),MATCH('Scores per segment'!B$1,'Error Log'!$A$1:$J$1,0)))</f>
        <v/>
      </c>
      <c r="C198" s="70" t="str">
        <f>IF(ISBLANK(A198),"",INDEX('Error Log'!$A:$J,MATCH('Scores per segment'!$A198,'Error Log'!$A:$A,0),MATCH('Scores per segment'!C$1,'Error Log'!$A$1:$J$1,0)))</f>
        <v/>
      </c>
      <c r="D198" s="70">
        <f>IF(H198=0,wdct(TRIM(C198)),0)</f>
        <v>0</v>
      </c>
      <c r="E198" s="70">
        <f>COUNTIFS('Error Log'!$A:$A,$A198,'Error Log'!$J:$J,E$1)</f>
        <v>0</v>
      </c>
      <c r="F198" s="70">
        <f>COUNTIFS('Error Log'!$A:$A,$A198,'Error Log'!$J:$J,F$1)</f>
        <v>0</v>
      </c>
      <c r="G198" s="70">
        <f>COUNTIFS('Error Log'!$A:$A,$A198,'Error Log'!$J:$J,G$1)</f>
        <v>0</v>
      </c>
      <c r="H198" s="70">
        <f>COUNTIFS('Error Log'!$A:$A,$A198,'Error Log'!$F:$F,"Source")</f>
        <v>0</v>
      </c>
      <c r="I198" s="70">
        <f>COUNTIFS('Error Log'!$A:$A,$A198,'Error Log'!$F:$F,"Target")</f>
        <v>0</v>
      </c>
      <c r="J198" s="71">
        <f t="shared" si="3"/>
        <v>0</v>
      </c>
    </row>
    <row r="199" spans="1:10">
      <c r="A199" s="81"/>
      <c r="B199" s="70" t="str">
        <f>IF(ISBLANK(A199),"",INDEX('Error Log'!$A:$J,MATCH('Scores per segment'!$A199,'Error Log'!$A:$A,0),MATCH('Scores per segment'!B$1,'Error Log'!$A$1:$J$1,0)))</f>
        <v/>
      </c>
      <c r="C199" s="70" t="str">
        <f>IF(ISBLANK(A199),"",INDEX('Error Log'!$A:$J,MATCH('Scores per segment'!$A199,'Error Log'!$A:$A,0),MATCH('Scores per segment'!C$1,'Error Log'!$A$1:$J$1,0)))</f>
        <v/>
      </c>
      <c r="D199" s="70">
        <f>IF(H199=0,wdct(TRIM(C199)),0)</f>
        <v>0</v>
      </c>
      <c r="E199" s="70">
        <f>COUNTIFS('Error Log'!$A:$A,$A199,'Error Log'!$J:$J,E$1)</f>
        <v>0</v>
      </c>
      <c r="F199" s="70">
        <f>COUNTIFS('Error Log'!$A:$A,$A199,'Error Log'!$J:$J,F$1)</f>
        <v>0</v>
      </c>
      <c r="G199" s="70">
        <f>COUNTIFS('Error Log'!$A:$A,$A199,'Error Log'!$J:$J,G$1)</f>
        <v>0</v>
      </c>
      <c r="H199" s="70">
        <f>COUNTIFS('Error Log'!$A:$A,$A199,'Error Log'!$F:$F,"Source")</f>
        <v>0</v>
      </c>
      <c r="I199" s="70">
        <f>COUNTIFS('Error Log'!$A:$A,$A199,'Error Log'!$F:$F,"Target")</f>
        <v>0</v>
      </c>
      <c r="J199" s="71">
        <f t="shared" si="3"/>
        <v>0</v>
      </c>
    </row>
    <row r="200" spans="1:10">
      <c r="A200" s="81"/>
      <c r="B200" s="70" t="str">
        <f>IF(ISBLANK(A200),"",INDEX('Error Log'!$A:$J,MATCH('Scores per segment'!$A200,'Error Log'!$A:$A,0),MATCH('Scores per segment'!B$1,'Error Log'!$A$1:$J$1,0)))</f>
        <v/>
      </c>
      <c r="C200" s="70" t="str">
        <f>IF(ISBLANK(A200),"",INDEX('Error Log'!$A:$J,MATCH('Scores per segment'!$A200,'Error Log'!$A:$A,0),MATCH('Scores per segment'!C$1,'Error Log'!$A$1:$J$1,0)))</f>
        <v/>
      </c>
      <c r="D200" s="70">
        <f>IF(H200=0,wdct(TRIM(C200)),0)</f>
        <v>0</v>
      </c>
      <c r="E200" s="70">
        <f>COUNTIFS('Error Log'!$A:$A,$A200,'Error Log'!$J:$J,E$1)</f>
        <v>0</v>
      </c>
      <c r="F200" s="70">
        <f>COUNTIFS('Error Log'!$A:$A,$A200,'Error Log'!$J:$J,F$1)</f>
        <v>0</v>
      </c>
      <c r="G200" s="70">
        <f>COUNTIFS('Error Log'!$A:$A,$A200,'Error Log'!$J:$J,G$1)</f>
        <v>0</v>
      </c>
      <c r="H200" s="70">
        <f>COUNTIFS('Error Log'!$A:$A,$A200,'Error Log'!$F:$F,"Source")</f>
        <v>0</v>
      </c>
      <c r="I200" s="70">
        <f>COUNTIFS('Error Log'!$A:$A,$A200,'Error Log'!$F:$F,"Target")</f>
        <v>0</v>
      </c>
      <c r="J200" s="71">
        <f t="shared" si="3"/>
        <v>0</v>
      </c>
    </row>
    <row r="201" spans="1:10">
      <c r="A201" s="81"/>
      <c r="B201" s="70" t="str">
        <f>IF(ISBLANK(A201),"",INDEX('Error Log'!$A:$J,MATCH('Scores per segment'!$A201,'Error Log'!$A:$A,0),MATCH('Scores per segment'!B$1,'Error Log'!$A$1:$J$1,0)))</f>
        <v/>
      </c>
      <c r="C201" s="70" t="str">
        <f>IF(ISBLANK(A201),"",INDEX('Error Log'!$A:$J,MATCH('Scores per segment'!$A201,'Error Log'!$A:$A,0),MATCH('Scores per segment'!C$1,'Error Log'!$A$1:$J$1,0)))</f>
        <v/>
      </c>
      <c r="D201" s="70">
        <f>IF(H201=0,wdct(TRIM(C201)),0)</f>
        <v>0</v>
      </c>
      <c r="E201" s="70">
        <f>COUNTIFS('Error Log'!$A:$A,$A201,'Error Log'!$J:$J,E$1)</f>
        <v>0</v>
      </c>
      <c r="F201" s="70">
        <f>COUNTIFS('Error Log'!$A:$A,$A201,'Error Log'!$J:$J,F$1)</f>
        <v>0</v>
      </c>
      <c r="G201" s="70">
        <f>COUNTIFS('Error Log'!$A:$A,$A201,'Error Log'!$J:$J,G$1)</f>
        <v>0</v>
      </c>
      <c r="H201" s="70">
        <f>COUNTIFS('Error Log'!$A:$A,$A201,'Error Log'!$F:$F,"Source")</f>
        <v>0</v>
      </c>
      <c r="I201" s="70">
        <f>COUNTIFS('Error Log'!$A:$A,$A201,'Error Log'!$F:$F,"Target")</f>
        <v>0</v>
      </c>
      <c r="J201" s="71">
        <f t="shared" si="3"/>
        <v>0</v>
      </c>
    </row>
    <row r="202" spans="1:10">
      <c r="A202" s="81"/>
      <c r="B202" s="70" t="str">
        <f>IF(ISBLANK(A202),"",INDEX('Error Log'!$A:$J,MATCH('Scores per segment'!$A202,'Error Log'!$A:$A,0),MATCH('Scores per segment'!B$1,'Error Log'!$A$1:$J$1,0)))</f>
        <v/>
      </c>
      <c r="C202" s="70" t="str">
        <f>IF(ISBLANK(A202),"",INDEX('Error Log'!$A:$J,MATCH('Scores per segment'!$A202,'Error Log'!$A:$A,0),MATCH('Scores per segment'!C$1,'Error Log'!$A$1:$J$1,0)))</f>
        <v/>
      </c>
      <c r="D202" s="70">
        <f>IF(H202=0,wdct(TRIM(C202)),0)</f>
        <v>0</v>
      </c>
      <c r="E202" s="70">
        <f>COUNTIFS('Error Log'!$A:$A,$A202,'Error Log'!$J:$J,E$1)</f>
        <v>0</v>
      </c>
      <c r="F202" s="70">
        <f>COUNTIFS('Error Log'!$A:$A,$A202,'Error Log'!$J:$J,F$1)</f>
        <v>0</v>
      </c>
      <c r="G202" s="70">
        <f>COUNTIFS('Error Log'!$A:$A,$A202,'Error Log'!$J:$J,G$1)</f>
        <v>0</v>
      </c>
      <c r="H202" s="70">
        <f>COUNTIFS('Error Log'!$A:$A,$A202,'Error Log'!$F:$F,"Source")</f>
        <v>0</v>
      </c>
      <c r="I202" s="70">
        <f>COUNTIFS('Error Log'!$A:$A,$A202,'Error Log'!$F:$F,"Target")</f>
        <v>0</v>
      </c>
      <c r="J202" s="71">
        <f t="shared" si="3"/>
        <v>0</v>
      </c>
    </row>
    <row r="203" spans="1:10">
      <c r="A203" s="81"/>
      <c r="B203" s="70" t="str">
        <f>IF(ISBLANK(A203),"",INDEX('Error Log'!$A:$J,MATCH('Scores per segment'!$A203,'Error Log'!$A:$A,0),MATCH('Scores per segment'!B$1,'Error Log'!$A$1:$J$1,0)))</f>
        <v/>
      </c>
      <c r="C203" s="70" t="str">
        <f>IF(ISBLANK(A203),"",INDEX('Error Log'!$A:$J,MATCH('Scores per segment'!$A203,'Error Log'!$A:$A,0),MATCH('Scores per segment'!C$1,'Error Log'!$A$1:$J$1,0)))</f>
        <v/>
      </c>
      <c r="D203" s="70">
        <f>IF(H203=0,wdct(TRIM(C203)),0)</f>
        <v>0</v>
      </c>
      <c r="E203" s="70">
        <f>COUNTIFS('Error Log'!$A:$A,$A203,'Error Log'!$J:$J,E$1)</f>
        <v>0</v>
      </c>
      <c r="F203" s="70">
        <f>COUNTIFS('Error Log'!$A:$A,$A203,'Error Log'!$J:$J,F$1)</f>
        <v>0</v>
      </c>
      <c r="G203" s="70">
        <f>COUNTIFS('Error Log'!$A:$A,$A203,'Error Log'!$J:$J,G$1)</f>
        <v>0</v>
      </c>
      <c r="H203" s="70">
        <f>COUNTIFS('Error Log'!$A:$A,$A203,'Error Log'!$F:$F,"Source")</f>
        <v>0</v>
      </c>
      <c r="I203" s="70">
        <f>COUNTIFS('Error Log'!$A:$A,$A203,'Error Log'!$F:$F,"Target")</f>
        <v>0</v>
      </c>
      <c r="J203" s="71">
        <f t="shared" si="3"/>
        <v>0</v>
      </c>
    </row>
    <row r="204" spans="1:10">
      <c r="A204" s="81"/>
      <c r="B204" s="70" t="str">
        <f>IF(ISBLANK(A204),"",INDEX('Error Log'!$A:$J,MATCH('Scores per segment'!$A204,'Error Log'!$A:$A,0),MATCH('Scores per segment'!B$1,'Error Log'!$A$1:$J$1,0)))</f>
        <v/>
      </c>
      <c r="C204" s="70" t="str">
        <f>IF(ISBLANK(A204),"",INDEX('Error Log'!$A:$J,MATCH('Scores per segment'!$A204,'Error Log'!$A:$A,0),MATCH('Scores per segment'!C$1,'Error Log'!$A$1:$J$1,0)))</f>
        <v/>
      </c>
      <c r="D204" s="70">
        <f>IF(H204=0,wdct(TRIM(C204)),0)</f>
        <v>0</v>
      </c>
      <c r="E204" s="70">
        <f>COUNTIFS('Error Log'!$A:$A,$A204,'Error Log'!$J:$J,E$1)</f>
        <v>0</v>
      </c>
      <c r="F204" s="70">
        <f>COUNTIFS('Error Log'!$A:$A,$A204,'Error Log'!$J:$J,F$1)</f>
        <v>0</v>
      </c>
      <c r="G204" s="70">
        <f>COUNTIFS('Error Log'!$A:$A,$A204,'Error Log'!$J:$J,G$1)</f>
        <v>0</v>
      </c>
      <c r="H204" s="70">
        <f>COUNTIFS('Error Log'!$A:$A,$A204,'Error Log'!$F:$F,"Source")</f>
        <v>0</v>
      </c>
      <c r="I204" s="70">
        <f>COUNTIFS('Error Log'!$A:$A,$A204,'Error Log'!$F:$F,"Target")</f>
        <v>0</v>
      </c>
      <c r="J204" s="71">
        <f t="shared" si="3"/>
        <v>0</v>
      </c>
    </row>
    <row r="205" spans="1:10">
      <c r="A205" s="81"/>
      <c r="B205" s="70" t="str">
        <f>IF(ISBLANK(A205),"",INDEX('Error Log'!$A:$J,MATCH('Scores per segment'!$A205,'Error Log'!$A:$A,0),MATCH('Scores per segment'!B$1,'Error Log'!$A$1:$J$1,0)))</f>
        <v/>
      </c>
      <c r="C205" s="70" t="str">
        <f>IF(ISBLANK(A205),"",INDEX('Error Log'!$A:$J,MATCH('Scores per segment'!$A205,'Error Log'!$A:$A,0),MATCH('Scores per segment'!C$1,'Error Log'!$A$1:$J$1,0)))</f>
        <v/>
      </c>
      <c r="D205" s="70">
        <f>IF(H205=0,wdct(TRIM(C205)),0)</f>
        <v>0</v>
      </c>
      <c r="E205" s="70">
        <f>COUNTIFS('Error Log'!$A:$A,$A205,'Error Log'!$J:$J,E$1)</f>
        <v>0</v>
      </c>
      <c r="F205" s="70">
        <f>COUNTIFS('Error Log'!$A:$A,$A205,'Error Log'!$J:$J,F$1)</f>
        <v>0</v>
      </c>
      <c r="G205" s="70">
        <f>COUNTIFS('Error Log'!$A:$A,$A205,'Error Log'!$J:$J,G$1)</f>
        <v>0</v>
      </c>
      <c r="H205" s="70">
        <f>COUNTIFS('Error Log'!$A:$A,$A205,'Error Log'!$F:$F,"Source")</f>
        <v>0</v>
      </c>
      <c r="I205" s="70">
        <f>COUNTIFS('Error Log'!$A:$A,$A205,'Error Log'!$F:$F,"Target")</f>
        <v>0</v>
      </c>
      <c r="J205" s="71">
        <f t="shared" si="3"/>
        <v>0</v>
      </c>
    </row>
    <row r="206" spans="1:10">
      <c r="A206" s="81"/>
      <c r="B206" s="70" t="str">
        <f>IF(ISBLANK(A206),"",INDEX('Error Log'!$A:$J,MATCH('Scores per segment'!$A206,'Error Log'!$A:$A,0),MATCH('Scores per segment'!B$1,'Error Log'!$A$1:$J$1,0)))</f>
        <v/>
      </c>
      <c r="C206" s="70" t="str">
        <f>IF(ISBLANK(A206),"",INDEX('Error Log'!$A:$J,MATCH('Scores per segment'!$A206,'Error Log'!$A:$A,0),MATCH('Scores per segment'!C$1,'Error Log'!$A$1:$J$1,0)))</f>
        <v/>
      </c>
      <c r="D206" s="70">
        <f>IF(H206=0,wdct(TRIM(C206)),0)</f>
        <v>0</v>
      </c>
      <c r="E206" s="70">
        <f>COUNTIFS('Error Log'!$A:$A,$A206,'Error Log'!$J:$J,E$1)</f>
        <v>0</v>
      </c>
      <c r="F206" s="70">
        <f>COUNTIFS('Error Log'!$A:$A,$A206,'Error Log'!$J:$J,F$1)</f>
        <v>0</v>
      </c>
      <c r="G206" s="70">
        <f>COUNTIFS('Error Log'!$A:$A,$A206,'Error Log'!$J:$J,G$1)</f>
        <v>0</v>
      </c>
      <c r="H206" s="70">
        <f>COUNTIFS('Error Log'!$A:$A,$A206,'Error Log'!$F:$F,"Source")</f>
        <v>0</v>
      </c>
      <c r="I206" s="70">
        <f>COUNTIFS('Error Log'!$A:$A,$A206,'Error Log'!$F:$F,"Target")</f>
        <v>0</v>
      </c>
      <c r="J206" s="71">
        <f t="shared" si="3"/>
        <v>0</v>
      </c>
    </row>
    <row r="207" spans="1:10">
      <c r="A207" s="81"/>
      <c r="B207" s="70" t="str">
        <f>IF(ISBLANK(A207),"",INDEX('Error Log'!$A:$J,MATCH('Scores per segment'!$A207,'Error Log'!$A:$A,0),MATCH('Scores per segment'!B$1,'Error Log'!$A$1:$J$1,0)))</f>
        <v/>
      </c>
      <c r="C207" s="70" t="str">
        <f>IF(ISBLANK(A207),"",INDEX('Error Log'!$A:$J,MATCH('Scores per segment'!$A207,'Error Log'!$A:$A,0),MATCH('Scores per segment'!C$1,'Error Log'!$A$1:$J$1,0)))</f>
        <v/>
      </c>
      <c r="D207" s="70">
        <f>IF(H207=0,wdct(TRIM(C207)),0)</f>
        <v>0</v>
      </c>
      <c r="E207" s="70">
        <f>COUNTIFS('Error Log'!$A:$A,$A207,'Error Log'!$J:$J,E$1)</f>
        <v>0</v>
      </c>
      <c r="F207" s="70">
        <f>COUNTIFS('Error Log'!$A:$A,$A207,'Error Log'!$J:$J,F$1)</f>
        <v>0</v>
      </c>
      <c r="G207" s="70">
        <f>COUNTIFS('Error Log'!$A:$A,$A207,'Error Log'!$J:$J,G$1)</f>
        <v>0</v>
      </c>
      <c r="H207" s="70">
        <f>COUNTIFS('Error Log'!$A:$A,$A207,'Error Log'!$F:$F,"Source")</f>
        <v>0</v>
      </c>
      <c r="I207" s="70">
        <f>COUNTIFS('Error Log'!$A:$A,$A207,'Error Log'!$F:$F,"Target")</f>
        <v>0</v>
      </c>
      <c r="J207" s="71">
        <f t="shared" si="3"/>
        <v>0</v>
      </c>
    </row>
    <row r="208" spans="1:10">
      <c r="A208" s="81"/>
      <c r="B208" s="70" t="str">
        <f>IF(ISBLANK(A208),"",INDEX('Error Log'!$A:$J,MATCH('Scores per segment'!$A208,'Error Log'!$A:$A,0),MATCH('Scores per segment'!B$1,'Error Log'!$A$1:$J$1,0)))</f>
        <v/>
      </c>
      <c r="C208" s="70" t="str">
        <f>IF(ISBLANK(A208),"",INDEX('Error Log'!$A:$J,MATCH('Scores per segment'!$A208,'Error Log'!$A:$A,0),MATCH('Scores per segment'!C$1,'Error Log'!$A$1:$J$1,0)))</f>
        <v/>
      </c>
      <c r="D208" s="70">
        <f>IF(H208=0,wdct(TRIM(C208)),0)</f>
        <v>0</v>
      </c>
      <c r="E208" s="70">
        <f>COUNTIFS('Error Log'!$A:$A,$A208,'Error Log'!$J:$J,E$1)</f>
        <v>0</v>
      </c>
      <c r="F208" s="70">
        <f>COUNTIFS('Error Log'!$A:$A,$A208,'Error Log'!$J:$J,F$1)</f>
        <v>0</v>
      </c>
      <c r="G208" s="70">
        <f>COUNTIFS('Error Log'!$A:$A,$A208,'Error Log'!$J:$J,G$1)</f>
        <v>0</v>
      </c>
      <c r="H208" s="70">
        <f>COUNTIFS('Error Log'!$A:$A,$A208,'Error Log'!$F:$F,"Source")</f>
        <v>0</v>
      </c>
      <c r="I208" s="70">
        <f>COUNTIFS('Error Log'!$A:$A,$A208,'Error Log'!$F:$F,"Target")</f>
        <v>0</v>
      </c>
      <c r="J208" s="71">
        <f t="shared" si="3"/>
        <v>0</v>
      </c>
    </row>
    <row r="209" spans="1:10">
      <c r="A209" s="81"/>
      <c r="B209" s="70" t="str">
        <f>IF(ISBLANK(A209),"",INDEX('Error Log'!$A:$J,MATCH('Scores per segment'!$A209,'Error Log'!$A:$A,0),MATCH('Scores per segment'!B$1,'Error Log'!$A$1:$J$1,0)))</f>
        <v/>
      </c>
      <c r="C209" s="70" t="str">
        <f>IF(ISBLANK(A209),"",INDEX('Error Log'!$A:$J,MATCH('Scores per segment'!$A209,'Error Log'!$A:$A,0),MATCH('Scores per segment'!C$1,'Error Log'!$A$1:$J$1,0)))</f>
        <v/>
      </c>
      <c r="D209" s="70">
        <f>IF(H209=0,wdct(TRIM(C209)),0)</f>
        <v>0</v>
      </c>
      <c r="E209" s="70">
        <f>COUNTIFS('Error Log'!$A:$A,$A209,'Error Log'!$J:$J,E$1)</f>
        <v>0</v>
      </c>
      <c r="F209" s="70">
        <f>COUNTIFS('Error Log'!$A:$A,$A209,'Error Log'!$J:$J,F$1)</f>
        <v>0</v>
      </c>
      <c r="G209" s="70">
        <f>COUNTIFS('Error Log'!$A:$A,$A209,'Error Log'!$J:$J,G$1)</f>
        <v>0</v>
      </c>
      <c r="H209" s="70">
        <f>COUNTIFS('Error Log'!$A:$A,$A209,'Error Log'!$F:$F,"Source")</f>
        <v>0</v>
      </c>
      <c r="I209" s="70">
        <f>COUNTIFS('Error Log'!$A:$A,$A209,'Error Log'!$F:$F,"Target")</f>
        <v>0</v>
      </c>
      <c r="J209" s="71">
        <f t="shared" si="3"/>
        <v>0</v>
      </c>
    </row>
    <row r="210" spans="1:10">
      <c r="A210" s="81"/>
      <c r="B210" s="70" t="str">
        <f>IF(ISBLANK(A210),"",INDEX('Error Log'!$A:$J,MATCH('Scores per segment'!$A210,'Error Log'!$A:$A,0),MATCH('Scores per segment'!B$1,'Error Log'!$A$1:$J$1,0)))</f>
        <v/>
      </c>
      <c r="C210" s="70" t="str">
        <f>IF(ISBLANK(A210),"",INDEX('Error Log'!$A:$J,MATCH('Scores per segment'!$A210,'Error Log'!$A:$A,0),MATCH('Scores per segment'!C$1,'Error Log'!$A$1:$J$1,0)))</f>
        <v/>
      </c>
      <c r="D210" s="70">
        <f>IF(H210=0,wdct(TRIM(C210)),0)</f>
        <v>0</v>
      </c>
      <c r="E210" s="70">
        <f>COUNTIFS('Error Log'!$A:$A,$A210,'Error Log'!$J:$J,E$1)</f>
        <v>0</v>
      </c>
      <c r="F210" s="70">
        <f>COUNTIFS('Error Log'!$A:$A,$A210,'Error Log'!$J:$J,F$1)</f>
        <v>0</v>
      </c>
      <c r="G210" s="70">
        <f>COUNTIFS('Error Log'!$A:$A,$A210,'Error Log'!$J:$J,G$1)</f>
        <v>0</v>
      </c>
      <c r="H210" s="70">
        <f>COUNTIFS('Error Log'!$A:$A,$A210,'Error Log'!$F:$F,"Source")</f>
        <v>0</v>
      </c>
      <c r="I210" s="70">
        <f>COUNTIFS('Error Log'!$A:$A,$A210,'Error Log'!$F:$F,"Target")</f>
        <v>0</v>
      </c>
      <c r="J210" s="71">
        <f t="shared" si="3"/>
        <v>0</v>
      </c>
    </row>
    <row r="211" spans="1:10">
      <c r="A211" s="81"/>
      <c r="B211" s="70" t="str">
        <f>IF(ISBLANK(A211),"",INDEX('Error Log'!$A:$J,MATCH('Scores per segment'!$A211,'Error Log'!$A:$A,0),MATCH('Scores per segment'!B$1,'Error Log'!$A$1:$J$1,0)))</f>
        <v/>
      </c>
      <c r="C211" s="70" t="str">
        <f>IF(ISBLANK(A211),"",INDEX('Error Log'!$A:$J,MATCH('Scores per segment'!$A211,'Error Log'!$A:$A,0),MATCH('Scores per segment'!C$1,'Error Log'!$A$1:$J$1,0)))</f>
        <v/>
      </c>
      <c r="D211" s="70">
        <f>IF(H211=0,wdct(TRIM(C211)),0)</f>
        <v>0</v>
      </c>
      <c r="E211" s="70">
        <f>COUNTIFS('Error Log'!$A:$A,$A211,'Error Log'!$J:$J,E$1)</f>
        <v>0</v>
      </c>
      <c r="F211" s="70">
        <f>COUNTIFS('Error Log'!$A:$A,$A211,'Error Log'!$J:$J,F$1)</f>
        <v>0</v>
      </c>
      <c r="G211" s="70">
        <f>COUNTIFS('Error Log'!$A:$A,$A211,'Error Log'!$J:$J,G$1)</f>
        <v>0</v>
      </c>
      <c r="H211" s="70">
        <f>COUNTIFS('Error Log'!$A:$A,$A211,'Error Log'!$F:$F,"Source")</f>
        <v>0</v>
      </c>
      <c r="I211" s="70">
        <f>COUNTIFS('Error Log'!$A:$A,$A211,'Error Log'!$F:$F,"Target")</f>
        <v>0</v>
      </c>
      <c r="J211" s="71">
        <f t="shared" si="3"/>
        <v>0</v>
      </c>
    </row>
    <row r="212" spans="1:10">
      <c r="A212" s="81"/>
      <c r="B212" s="70" t="str">
        <f>IF(ISBLANK(A212),"",INDEX('Error Log'!$A:$J,MATCH('Scores per segment'!$A212,'Error Log'!$A:$A,0),MATCH('Scores per segment'!B$1,'Error Log'!$A$1:$J$1,0)))</f>
        <v/>
      </c>
      <c r="C212" s="70" t="str">
        <f>IF(ISBLANK(A212),"",INDEX('Error Log'!$A:$J,MATCH('Scores per segment'!$A212,'Error Log'!$A:$A,0),MATCH('Scores per segment'!C$1,'Error Log'!$A$1:$J$1,0)))</f>
        <v/>
      </c>
      <c r="D212" s="70">
        <f>IF(H212=0,wdct(TRIM(C212)),0)</f>
        <v>0</v>
      </c>
      <c r="E212" s="70">
        <f>COUNTIFS('Error Log'!$A:$A,$A212,'Error Log'!$J:$J,E$1)</f>
        <v>0</v>
      </c>
      <c r="F212" s="70">
        <f>COUNTIFS('Error Log'!$A:$A,$A212,'Error Log'!$J:$J,F$1)</f>
        <v>0</v>
      </c>
      <c r="G212" s="70">
        <f>COUNTIFS('Error Log'!$A:$A,$A212,'Error Log'!$J:$J,G$1)</f>
        <v>0</v>
      </c>
      <c r="H212" s="70">
        <f>COUNTIFS('Error Log'!$A:$A,$A212,'Error Log'!$F:$F,"Source")</f>
        <v>0</v>
      </c>
      <c r="I212" s="70">
        <f>COUNTIFS('Error Log'!$A:$A,$A212,'Error Log'!$F:$F,"Target")</f>
        <v>0</v>
      </c>
      <c r="J212" s="71">
        <f t="shared" si="3"/>
        <v>0</v>
      </c>
    </row>
    <row r="213" spans="1:10">
      <c r="A213" s="81"/>
      <c r="B213" s="70" t="str">
        <f>IF(ISBLANK(A213),"",INDEX('Error Log'!$A:$J,MATCH('Scores per segment'!$A213,'Error Log'!$A:$A,0),MATCH('Scores per segment'!B$1,'Error Log'!$A$1:$J$1,0)))</f>
        <v/>
      </c>
      <c r="C213" s="70" t="str">
        <f>IF(ISBLANK(A213),"",INDEX('Error Log'!$A:$J,MATCH('Scores per segment'!$A213,'Error Log'!$A:$A,0),MATCH('Scores per segment'!C$1,'Error Log'!$A$1:$J$1,0)))</f>
        <v/>
      </c>
      <c r="D213" s="70">
        <f>IF(H213=0,wdct(TRIM(C213)),0)</f>
        <v>0</v>
      </c>
      <c r="E213" s="70">
        <f>COUNTIFS('Error Log'!$A:$A,$A213,'Error Log'!$J:$J,E$1)</f>
        <v>0</v>
      </c>
      <c r="F213" s="70">
        <f>COUNTIFS('Error Log'!$A:$A,$A213,'Error Log'!$J:$J,F$1)</f>
        <v>0</v>
      </c>
      <c r="G213" s="70">
        <f>COUNTIFS('Error Log'!$A:$A,$A213,'Error Log'!$J:$J,G$1)</f>
        <v>0</v>
      </c>
      <c r="H213" s="70">
        <f>COUNTIFS('Error Log'!$A:$A,$A213,'Error Log'!$F:$F,"Source")</f>
        <v>0</v>
      </c>
      <c r="I213" s="70">
        <f>COUNTIFS('Error Log'!$A:$A,$A213,'Error Log'!$F:$F,"Target")</f>
        <v>0</v>
      </c>
      <c r="J213" s="71">
        <f t="shared" si="3"/>
        <v>0</v>
      </c>
    </row>
    <row r="214" spans="1:10">
      <c r="A214" s="81"/>
      <c r="B214" s="70" t="str">
        <f>IF(ISBLANK(A214),"",INDEX('Error Log'!$A:$J,MATCH('Scores per segment'!$A214,'Error Log'!$A:$A,0),MATCH('Scores per segment'!B$1,'Error Log'!$A$1:$J$1,0)))</f>
        <v/>
      </c>
      <c r="C214" s="70" t="str">
        <f>IF(ISBLANK(A214),"",INDEX('Error Log'!$A:$J,MATCH('Scores per segment'!$A214,'Error Log'!$A:$A,0),MATCH('Scores per segment'!C$1,'Error Log'!$A$1:$J$1,0)))</f>
        <v/>
      </c>
      <c r="D214" s="70">
        <f>IF(H214=0,wdct(TRIM(C214)),0)</f>
        <v>0</v>
      </c>
      <c r="E214" s="70">
        <f>COUNTIFS('Error Log'!$A:$A,$A214,'Error Log'!$J:$J,E$1)</f>
        <v>0</v>
      </c>
      <c r="F214" s="70">
        <f>COUNTIFS('Error Log'!$A:$A,$A214,'Error Log'!$J:$J,F$1)</f>
        <v>0</v>
      </c>
      <c r="G214" s="70">
        <f>COUNTIFS('Error Log'!$A:$A,$A214,'Error Log'!$J:$J,G$1)</f>
        <v>0</v>
      </c>
      <c r="H214" s="70">
        <f>COUNTIFS('Error Log'!$A:$A,$A214,'Error Log'!$F:$F,"Source")</f>
        <v>0</v>
      </c>
      <c r="I214" s="70">
        <f>COUNTIFS('Error Log'!$A:$A,$A214,'Error Log'!$F:$F,"Target")</f>
        <v>0</v>
      </c>
      <c r="J214" s="71">
        <f t="shared" si="3"/>
        <v>0</v>
      </c>
    </row>
    <row r="215" spans="1:10">
      <c r="A215" s="81"/>
      <c r="B215" s="70" t="str">
        <f>IF(ISBLANK(A215),"",INDEX('Error Log'!$A:$J,MATCH('Scores per segment'!$A215,'Error Log'!$A:$A,0),MATCH('Scores per segment'!B$1,'Error Log'!$A$1:$J$1,0)))</f>
        <v/>
      </c>
      <c r="C215" s="70" t="str">
        <f>IF(ISBLANK(A215),"",INDEX('Error Log'!$A:$J,MATCH('Scores per segment'!$A215,'Error Log'!$A:$A,0),MATCH('Scores per segment'!C$1,'Error Log'!$A$1:$J$1,0)))</f>
        <v/>
      </c>
      <c r="D215" s="70">
        <f>IF(H215=0,wdct(TRIM(C215)),0)</f>
        <v>0</v>
      </c>
      <c r="E215" s="70">
        <f>COUNTIFS('Error Log'!$A:$A,$A215,'Error Log'!$J:$J,E$1)</f>
        <v>0</v>
      </c>
      <c r="F215" s="70">
        <f>COUNTIFS('Error Log'!$A:$A,$A215,'Error Log'!$J:$J,F$1)</f>
        <v>0</v>
      </c>
      <c r="G215" s="70">
        <f>COUNTIFS('Error Log'!$A:$A,$A215,'Error Log'!$J:$J,G$1)</f>
        <v>0</v>
      </c>
      <c r="H215" s="70">
        <f>COUNTIFS('Error Log'!$A:$A,$A215,'Error Log'!$F:$F,"Source")</f>
        <v>0</v>
      </c>
      <c r="I215" s="70">
        <f>COUNTIFS('Error Log'!$A:$A,$A215,'Error Log'!$F:$F,"Target")</f>
        <v>0</v>
      </c>
      <c r="J215" s="71">
        <f t="shared" si="3"/>
        <v>0</v>
      </c>
    </row>
    <row r="216" spans="1:10">
      <c r="A216" s="81"/>
      <c r="B216" s="70" t="str">
        <f>IF(ISBLANK(A216),"",INDEX('Error Log'!$A:$J,MATCH('Scores per segment'!$A216,'Error Log'!$A:$A,0),MATCH('Scores per segment'!B$1,'Error Log'!$A$1:$J$1,0)))</f>
        <v/>
      </c>
      <c r="C216" s="70" t="str">
        <f>IF(ISBLANK(A216),"",INDEX('Error Log'!$A:$J,MATCH('Scores per segment'!$A216,'Error Log'!$A:$A,0),MATCH('Scores per segment'!C$1,'Error Log'!$A$1:$J$1,0)))</f>
        <v/>
      </c>
      <c r="D216" s="70">
        <f>IF(H216=0,wdct(TRIM(C216)),0)</f>
        <v>0</v>
      </c>
      <c r="E216" s="70">
        <f>COUNTIFS('Error Log'!$A:$A,$A216,'Error Log'!$J:$J,E$1)</f>
        <v>0</v>
      </c>
      <c r="F216" s="70">
        <f>COUNTIFS('Error Log'!$A:$A,$A216,'Error Log'!$J:$J,F$1)</f>
        <v>0</v>
      </c>
      <c r="G216" s="70">
        <f>COUNTIFS('Error Log'!$A:$A,$A216,'Error Log'!$J:$J,G$1)</f>
        <v>0</v>
      </c>
      <c r="H216" s="70">
        <f>COUNTIFS('Error Log'!$A:$A,$A216,'Error Log'!$F:$F,"Source")</f>
        <v>0</v>
      </c>
      <c r="I216" s="70">
        <f>COUNTIFS('Error Log'!$A:$A,$A216,'Error Log'!$F:$F,"Target")</f>
        <v>0</v>
      </c>
      <c r="J216" s="71">
        <f t="shared" si="3"/>
        <v>0</v>
      </c>
    </row>
    <row r="217" spans="1:10">
      <c r="A217" s="81"/>
      <c r="B217" s="70" t="str">
        <f>IF(ISBLANK(A217),"",INDEX('Error Log'!$A:$J,MATCH('Scores per segment'!$A217,'Error Log'!$A:$A,0),MATCH('Scores per segment'!B$1,'Error Log'!$A$1:$J$1,0)))</f>
        <v/>
      </c>
      <c r="C217" s="70" t="str">
        <f>IF(ISBLANK(A217),"",INDEX('Error Log'!$A:$J,MATCH('Scores per segment'!$A217,'Error Log'!$A:$A,0),MATCH('Scores per segment'!C$1,'Error Log'!$A$1:$J$1,0)))</f>
        <v/>
      </c>
      <c r="D217" s="70">
        <f>IF(H217=0,wdct(TRIM(C217)),0)</f>
        <v>0</v>
      </c>
      <c r="E217" s="70">
        <f>COUNTIFS('Error Log'!$A:$A,$A217,'Error Log'!$J:$J,E$1)</f>
        <v>0</v>
      </c>
      <c r="F217" s="70">
        <f>COUNTIFS('Error Log'!$A:$A,$A217,'Error Log'!$J:$J,F$1)</f>
        <v>0</v>
      </c>
      <c r="G217" s="70">
        <f>COUNTIFS('Error Log'!$A:$A,$A217,'Error Log'!$J:$J,G$1)</f>
        <v>0</v>
      </c>
      <c r="H217" s="70">
        <f>COUNTIFS('Error Log'!$A:$A,$A217,'Error Log'!$F:$F,"Source")</f>
        <v>0</v>
      </c>
      <c r="I217" s="70">
        <f>COUNTIFS('Error Log'!$A:$A,$A217,'Error Log'!$F:$F,"Target")</f>
        <v>0</v>
      </c>
      <c r="J217" s="71">
        <f t="shared" si="3"/>
        <v>0</v>
      </c>
    </row>
    <row r="218" spans="1:10">
      <c r="A218" s="81"/>
      <c r="B218" s="70" t="str">
        <f>IF(ISBLANK(A218),"",INDEX('Error Log'!$A:$J,MATCH('Scores per segment'!$A218,'Error Log'!$A:$A,0),MATCH('Scores per segment'!B$1,'Error Log'!$A$1:$J$1,0)))</f>
        <v/>
      </c>
      <c r="C218" s="70" t="str">
        <f>IF(ISBLANK(A218),"",INDEX('Error Log'!$A:$J,MATCH('Scores per segment'!$A218,'Error Log'!$A:$A,0),MATCH('Scores per segment'!C$1,'Error Log'!$A$1:$J$1,0)))</f>
        <v/>
      </c>
      <c r="D218" s="70">
        <f>IF(H218=0,wdct(TRIM(C218)),0)</f>
        <v>0</v>
      </c>
      <c r="E218" s="70">
        <f>COUNTIFS('Error Log'!$A:$A,$A218,'Error Log'!$J:$J,E$1)</f>
        <v>0</v>
      </c>
      <c r="F218" s="70">
        <f>COUNTIFS('Error Log'!$A:$A,$A218,'Error Log'!$J:$J,F$1)</f>
        <v>0</v>
      </c>
      <c r="G218" s="70">
        <f>COUNTIFS('Error Log'!$A:$A,$A218,'Error Log'!$J:$J,G$1)</f>
        <v>0</v>
      </c>
      <c r="H218" s="70">
        <f>COUNTIFS('Error Log'!$A:$A,$A218,'Error Log'!$F:$F,"Source")</f>
        <v>0</v>
      </c>
      <c r="I218" s="70">
        <f>COUNTIFS('Error Log'!$A:$A,$A218,'Error Log'!$F:$F,"Target")</f>
        <v>0</v>
      </c>
      <c r="J218" s="71">
        <f t="shared" si="3"/>
        <v>0</v>
      </c>
    </row>
    <row r="219" spans="1:10">
      <c r="A219" s="81"/>
      <c r="B219" s="70" t="str">
        <f>IF(ISBLANK(A219),"",INDEX('Error Log'!$A:$J,MATCH('Scores per segment'!$A219,'Error Log'!$A:$A,0),MATCH('Scores per segment'!B$1,'Error Log'!$A$1:$J$1,0)))</f>
        <v/>
      </c>
      <c r="C219" s="70" t="str">
        <f>IF(ISBLANK(A219),"",INDEX('Error Log'!$A:$J,MATCH('Scores per segment'!$A219,'Error Log'!$A:$A,0),MATCH('Scores per segment'!C$1,'Error Log'!$A$1:$J$1,0)))</f>
        <v/>
      </c>
      <c r="D219" s="70">
        <f>IF(H219=0,wdct(TRIM(C219)),0)</f>
        <v>0</v>
      </c>
      <c r="E219" s="70">
        <f>COUNTIFS('Error Log'!$A:$A,$A219,'Error Log'!$J:$J,E$1)</f>
        <v>0</v>
      </c>
      <c r="F219" s="70">
        <f>COUNTIFS('Error Log'!$A:$A,$A219,'Error Log'!$J:$J,F$1)</f>
        <v>0</v>
      </c>
      <c r="G219" s="70">
        <f>COUNTIFS('Error Log'!$A:$A,$A219,'Error Log'!$J:$J,G$1)</f>
        <v>0</v>
      </c>
      <c r="H219" s="70">
        <f>COUNTIFS('Error Log'!$A:$A,$A219,'Error Log'!$F:$F,"Source")</f>
        <v>0</v>
      </c>
      <c r="I219" s="70">
        <f>COUNTIFS('Error Log'!$A:$A,$A219,'Error Log'!$F:$F,"Target")</f>
        <v>0</v>
      </c>
      <c r="J219" s="71">
        <f t="shared" si="3"/>
        <v>0</v>
      </c>
    </row>
    <row r="220" spans="1:10">
      <c r="A220" s="81"/>
      <c r="B220" s="70" t="str">
        <f>IF(ISBLANK(A220),"",INDEX('Error Log'!$A:$J,MATCH('Scores per segment'!$A220,'Error Log'!$A:$A,0),MATCH('Scores per segment'!B$1,'Error Log'!$A$1:$J$1,0)))</f>
        <v/>
      </c>
      <c r="C220" s="70" t="str">
        <f>IF(ISBLANK(A220),"",INDEX('Error Log'!$A:$J,MATCH('Scores per segment'!$A220,'Error Log'!$A:$A,0),MATCH('Scores per segment'!C$1,'Error Log'!$A$1:$J$1,0)))</f>
        <v/>
      </c>
      <c r="D220" s="70">
        <f>IF(H220=0,wdct(TRIM(C220)),0)</f>
        <v>0</v>
      </c>
      <c r="E220" s="70">
        <f>COUNTIFS('Error Log'!$A:$A,$A220,'Error Log'!$J:$J,E$1)</f>
        <v>0</v>
      </c>
      <c r="F220" s="70">
        <f>COUNTIFS('Error Log'!$A:$A,$A220,'Error Log'!$J:$J,F$1)</f>
        <v>0</v>
      </c>
      <c r="G220" s="70">
        <f>COUNTIFS('Error Log'!$A:$A,$A220,'Error Log'!$J:$J,G$1)</f>
        <v>0</v>
      </c>
      <c r="H220" s="70">
        <f>COUNTIFS('Error Log'!$A:$A,$A220,'Error Log'!$F:$F,"Source")</f>
        <v>0</v>
      </c>
      <c r="I220" s="70">
        <f>COUNTIFS('Error Log'!$A:$A,$A220,'Error Log'!$F:$F,"Target")</f>
        <v>0</v>
      </c>
      <c r="J220" s="71">
        <f t="shared" si="3"/>
        <v>0</v>
      </c>
    </row>
    <row r="221" spans="1:10">
      <c r="A221" s="81"/>
      <c r="B221" s="70" t="str">
        <f>IF(ISBLANK(A221),"",INDEX('Error Log'!$A:$J,MATCH('Scores per segment'!$A221,'Error Log'!$A:$A,0),MATCH('Scores per segment'!B$1,'Error Log'!$A$1:$J$1,0)))</f>
        <v/>
      </c>
      <c r="C221" s="70" t="str">
        <f>IF(ISBLANK(A221),"",INDEX('Error Log'!$A:$J,MATCH('Scores per segment'!$A221,'Error Log'!$A:$A,0),MATCH('Scores per segment'!C$1,'Error Log'!$A$1:$J$1,0)))</f>
        <v/>
      </c>
      <c r="D221" s="70">
        <f>IF(H221=0,wdct(TRIM(C221)),0)</f>
        <v>0</v>
      </c>
      <c r="E221" s="70">
        <f>COUNTIFS('Error Log'!$A:$A,$A221,'Error Log'!$J:$J,E$1)</f>
        <v>0</v>
      </c>
      <c r="F221" s="70">
        <f>COUNTIFS('Error Log'!$A:$A,$A221,'Error Log'!$J:$J,F$1)</f>
        <v>0</v>
      </c>
      <c r="G221" s="70">
        <f>COUNTIFS('Error Log'!$A:$A,$A221,'Error Log'!$J:$J,G$1)</f>
        <v>0</v>
      </c>
      <c r="H221" s="70">
        <f>COUNTIFS('Error Log'!$A:$A,$A221,'Error Log'!$F:$F,"Source")</f>
        <v>0</v>
      </c>
      <c r="I221" s="70">
        <f>COUNTIFS('Error Log'!$A:$A,$A221,'Error Log'!$F:$F,"Target")</f>
        <v>0</v>
      </c>
      <c r="J221" s="71">
        <f t="shared" si="3"/>
        <v>0</v>
      </c>
    </row>
    <row r="222" spans="1:10">
      <c r="A222" s="81"/>
      <c r="B222" s="70" t="str">
        <f>IF(ISBLANK(A222),"",INDEX('Error Log'!$A:$J,MATCH('Scores per segment'!$A222,'Error Log'!$A:$A,0),MATCH('Scores per segment'!B$1,'Error Log'!$A$1:$J$1,0)))</f>
        <v/>
      </c>
      <c r="C222" s="70" t="str">
        <f>IF(ISBLANK(A222),"",INDEX('Error Log'!$A:$J,MATCH('Scores per segment'!$A222,'Error Log'!$A:$A,0),MATCH('Scores per segment'!C$1,'Error Log'!$A$1:$J$1,0)))</f>
        <v/>
      </c>
      <c r="D222" s="70">
        <f>IF(H222=0,wdct(TRIM(C222)),0)</f>
        <v>0</v>
      </c>
      <c r="E222" s="70">
        <f>COUNTIFS('Error Log'!$A:$A,$A222,'Error Log'!$J:$J,E$1)</f>
        <v>0</v>
      </c>
      <c r="F222" s="70">
        <f>COUNTIFS('Error Log'!$A:$A,$A222,'Error Log'!$J:$J,F$1)</f>
        <v>0</v>
      </c>
      <c r="G222" s="70">
        <f>COUNTIFS('Error Log'!$A:$A,$A222,'Error Log'!$J:$J,G$1)</f>
        <v>0</v>
      </c>
      <c r="H222" s="70">
        <f>COUNTIFS('Error Log'!$A:$A,$A222,'Error Log'!$F:$F,"Source")</f>
        <v>0</v>
      </c>
      <c r="I222" s="70">
        <f>COUNTIFS('Error Log'!$A:$A,$A222,'Error Log'!$F:$F,"Target")</f>
        <v>0</v>
      </c>
      <c r="J222" s="71">
        <f t="shared" si="3"/>
        <v>0</v>
      </c>
    </row>
    <row r="223" spans="1:10">
      <c r="A223" s="81"/>
      <c r="B223" s="70" t="str">
        <f>IF(ISBLANK(A223),"",INDEX('Error Log'!$A:$J,MATCH('Scores per segment'!$A223,'Error Log'!$A:$A,0),MATCH('Scores per segment'!B$1,'Error Log'!$A$1:$J$1,0)))</f>
        <v/>
      </c>
      <c r="C223" s="70" t="str">
        <f>IF(ISBLANK(A223),"",INDEX('Error Log'!$A:$J,MATCH('Scores per segment'!$A223,'Error Log'!$A:$A,0),MATCH('Scores per segment'!C$1,'Error Log'!$A$1:$J$1,0)))</f>
        <v/>
      </c>
      <c r="D223" s="70">
        <f>IF(H223=0,wdct(TRIM(C223)),0)</f>
        <v>0</v>
      </c>
      <c r="E223" s="70">
        <f>COUNTIFS('Error Log'!$A:$A,$A223,'Error Log'!$J:$J,E$1)</f>
        <v>0</v>
      </c>
      <c r="F223" s="70">
        <f>COUNTIFS('Error Log'!$A:$A,$A223,'Error Log'!$J:$J,F$1)</f>
        <v>0</v>
      </c>
      <c r="G223" s="70">
        <f>COUNTIFS('Error Log'!$A:$A,$A223,'Error Log'!$J:$J,G$1)</f>
        <v>0</v>
      </c>
      <c r="H223" s="70">
        <f>COUNTIFS('Error Log'!$A:$A,$A223,'Error Log'!$F:$F,"Source")</f>
        <v>0</v>
      </c>
      <c r="I223" s="70">
        <f>COUNTIFS('Error Log'!$A:$A,$A223,'Error Log'!$F:$F,"Target")</f>
        <v>0</v>
      </c>
      <c r="J223" s="71">
        <f t="shared" si="3"/>
        <v>0</v>
      </c>
    </row>
    <row r="224" spans="1:10">
      <c r="A224" s="81"/>
      <c r="B224" s="70" t="str">
        <f>IF(ISBLANK(A224),"",INDEX('Error Log'!$A:$J,MATCH('Scores per segment'!$A224,'Error Log'!$A:$A,0),MATCH('Scores per segment'!B$1,'Error Log'!$A$1:$J$1,0)))</f>
        <v/>
      </c>
      <c r="C224" s="70" t="str">
        <f>IF(ISBLANK(A224),"",INDEX('Error Log'!$A:$J,MATCH('Scores per segment'!$A224,'Error Log'!$A:$A,0),MATCH('Scores per segment'!C$1,'Error Log'!$A$1:$J$1,0)))</f>
        <v/>
      </c>
      <c r="D224" s="70">
        <f>IF(H224=0,wdct(TRIM(C224)),0)</f>
        <v>0</v>
      </c>
      <c r="E224" s="70">
        <f>COUNTIFS('Error Log'!$A:$A,$A224,'Error Log'!$J:$J,E$1)</f>
        <v>0</v>
      </c>
      <c r="F224" s="70">
        <f>COUNTIFS('Error Log'!$A:$A,$A224,'Error Log'!$J:$J,F$1)</f>
        <v>0</v>
      </c>
      <c r="G224" s="70">
        <f>COUNTIFS('Error Log'!$A:$A,$A224,'Error Log'!$J:$J,G$1)</f>
        <v>0</v>
      </c>
      <c r="H224" s="70">
        <f>COUNTIFS('Error Log'!$A:$A,$A224,'Error Log'!$F:$F,"Source")</f>
        <v>0</v>
      </c>
      <c r="I224" s="70">
        <f>COUNTIFS('Error Log'!$A:$A,$A224,'Error Log'!$F:$F,"Target")</f>
        <v>0</v>
      </c>
      <c r="J224" s="71">
        <f t="shared" si="3"/>
        <v>0</v>
      </c>
    </row>
    <row r="225" spans="1:10">
      <c r="A225" s="81"/>
      <c r="B225" s="70" t="str">
        <f>IF(ISBLANK(A225),"",INDEX('Error Log'!$A:$J,MATCH('Scores per segment'!$A225,'Error Log'!$A:$A,0),MATCH('Scores per segment'!B$1,'Error Log'!$A$1:$J$1,0)))</f>
        <v/>
      </c>
      <c r="C225" s="70" t="str">
        <f>IF(ISBLANK(A225),"",INDEX('Error Log'!$A:$J,MATCH('Scores per segment'!$A225,'Error Log'!$A:$A,0),MATCH('Scores per segment'!C$1,'Error Log'!$A$1:$J$1,0)))</f>
        <v/>
      </c>
      <c r="D225" s="70">
        <f>IF(H225=0,wdct(TRIM(C225)),0)</f>
        <v>0</v>
      </c>
      <c r="E225" s="70">
        <f>COUNTIFS('Error Log'!$A:$A,$A225,'Error Log'!$J:$J,E$1)</f>
        <v>0</v>
      </c>
      <c r="F225" s="70">
        <f>COUNTIFS('Error Log'!$A:$A,$A225,'Error Log'!$J:$J,F$1)</f>
        <v>0</v>
      </c>
      <c r="G225" s="70">
        <f>COUNTIFS('Error Log'!$A:$A,$A225,'Error Log'!$J:$J,G$1)</f>
        <v>0</v>
      </c>
      <c r="H225" s="70">
        <f>COUNTIFS('Error Log'!$A:$A,$A225,'Error Log'!$F:$F,"Source")</f>
        <v>0</v>
      </c>
      <c r="I225" s="70">
        <f>COUNTIFS('Error Log'!$A:$A,$A225,'Error Log'!$F:$F,"Target")</f>
        <v>0</v>
      </c>
      <c r="J225" s="71">
        <f t="shared" si="3"/>
        <v>0</v>
      </c>
    </row>
    <row r="226" spans="1:10">
      <c r="A226" s="81"/>
      <c r="B226" s="70" t="str">
        <f>IF(ISBLANK(A226),"",INDEX('Error Log'!$A:$J,MATCH('Scores per segment'!$A226,'Error Log'!$A:$A,0),MATCH('Scores per segment'!B$1,'Error Log'!$A$1:$J$1,0)))</f>
        <v/>
      </c>
      <c r="C226" s="70" t="str">
        <f>IF(ISBLANK(A226),"",INDEX('Error Log'!$A:$J,MATCH('Scores per segment'!$A226,'Error Log'!$A:$A,0),MATCH('Scores per segment'!C$1,'Error Log'!$A$1:$J$1,0)))</f>
        <v/>
      </c>
      <c r="D226" s="70">
        <f>IF(H226=0,wdct(TRIM(C226)),0)</f>
        <v>0</v>
      </c>
      <c r="E226" s="70">
        <f>COUNTIFS('Error Log'!$A:$A,$A226,'Error Log'!$J:$J,E$1)</f>
        <v>0</v>
      </c>
      <c r="F226" s="70">
        <f>COUNTIFS('Error Log'!$A:$A,$A226,'Error Log'!$J:$J,F$1)</f>
        <v>0</v>
      </c>
      <c r="G226" s="70">
        <f>COUNTIFS('Error Log'!$A:$A,$A226,'Error Log'!$J:$J,G$1)</f>
        <v>0</v>
      </c>
      <c r="H226" s="70">
        <f>COUNTIFS('Error Log'!$A:$A,$A226,'Error Log'!$F:$F,"Source")</f>
        <v>0</v>
      </c>
      <c r="I226" s="70">
        <f>COUNTIFS('Error Log'!$A:$A,$A226,'Error Log'!$F:$F,"Target")</f>
        <v>0</v>
      </c>
      <c r="J226" s="71">
        <f t="shared" si="3"/>
        <v>0</v>
      </c>
    </row>
    <row r="227" spans="1:10">
      <c r="A227" s="81"/>
      <c r="B227" s="70" t="str">
        <f>IF(ISBLANK(A227),"",INDEX('Error Log'!$A:$J,MATCH('Scores per segment'!$A227,'Error Log'!$A:$A,0),MATCH('Scores per segment'!B$1,'Error Log'!$A$1:$J$1,0)))</f>
        <v/>
      </c>
      <c r="C227" s="70" t="str">
        <f>IF(ISBLANK(A227),"",INDEX('Error Log'!$A:$J,MATCH('Scores per segment'!$A227,'Error Log'!$A:$A,0),MATCH('Scores per segment'!C$1,'Error Log'!$A$1:$J$1,0)))</f>
        <v/>
      </c>
      <c r="D227" s="70">
        <f>IF(H227=0,wdct(TRIM(C227)),0)</f>
        <v>0</v>
      </c>
      <c r="E227" s="70">
        <f>COUNTIFS('Error Log'!$A:$A,$A227,'Error Log'!$J:$J,E$1)</f>
        <v>0</v>
      </c>
      <c r="F227" s="70">
        <f>COUNTIFS('Error Log'!$A:$A,$A227,'Error Log'!$J:$J,F$1)</f>
        <v>0</v>
      </c>
      <c r="G227" s="70">
        <f>COUNTIFS('Error Log'!$A:$A,$A227,'Error Log'!$J:$J,G$1)</f>
        <v>0</v>
      </c>
      <c r="H227" s="70">
        <f>COUNTIFS('Error Log'!$A:$A,$A227,'Error Log'!$F:$F,"Source")</f>
        <v>0</v>
      </c>
      <c r="I227" s="70">
        <f>COUNTIFS('Error Log'!$A:$A,$A227,'Error Log'!$F:$F,"Target")</f>
        <v>0</v>
      </c>
      <c r="J227" s="71">
        <f t="shared" si="3"/>
        <v>0</v>
      </c>
    </row>
    <row r="228" spans="1:10">
      <c r="A228" s="81"/>
      <c r="B228" s="70" t="str">
        <f>IF(ISBLANK(A228),"",INDEX('Error Log'!$A:$J,MATCH('Scores per segment'!$A228,'Error Log'!$A:$A,0),MATCH('Scores per segment'!B$1,'Error Log'!$A$1:$J$1,0)))</f>
        <v/>
      </c>
      <c r="C228" s="70" t="str">
        <f>IF(ISBLANK(A228),"",INDEX('Error Log'!$A:$J,MATCH('Scores per segment'!$A228,'Error Log'!$A:$A,0),MATCH('Scores per segment'!C$1,'Error Log'!$A$1:$J$1,0)))</f>
        <v/>
      </c>
      <c r="D228" s="70">
        <f>IF(H228=0,wdct(TRIM(C228)),0)</f>
        <v>0</v>
      </c>
      <c r="E228" s="70">
        <f>COUNTIFS('Error Log'!$A:$A,$A228,'Error Log'!$J:$J,E$1)</f>
        <v>0</v>
      </c>
      <c r="F228" s="70">
        <f>COUNTIFS('Error Log'!$A:$A,$A228,'Error Log'!$J:$J,F$1)</f>
        <v>0</v>
      </c>
      <c r="G228" s="70">
        <f>COUNTIFS('Error Log'!$A:$A,$A228,'Error Log'!$J:$J,G$1)</f>
        <v>0</v>
      </c>
      <c r="H228" s="70">
        <f>COUNTIFS('Error Log'!$A:$A,$A228,'Error Log'!$F:$F,"Source")</f>
        <v>0</v>
      </c>
      <c r="I228" s="70">
        <f>COUNTIFS('Error Log'!$A:$A,$A228,'Error Log'!$F:$F,"Target")</f>
        <v>0</v>
      </c>
      <c r="J228" s="71">
        <f t="shared" si="3"/>
        <v>0</v>
      </c>
    </row>
    <row r="229" spans="1:10">
      <c r="A229" s="81"/>
      <c r="B229" s="70" t="str">
        <f>IF(ISBLANK(A229),"",INDEX('Error Log'!$A:$J,MATCH('Scores per segment'!$A229,'Error Log'!$A:$A,0),MATCH('Scores per segment'!B$1,'Error Log'!$A$1:$J$1,0)))</f>
        <v/>
      </c>
      <c r="C229" s="70" t="str">
        <f>IF(ISBLANK(A229),"",INDEX('Error Log'!$A:$J,MATCH('Scores per segment'!$A229,'Error Log'!$A:$A,0),MATCH('Scores per segment'!C$1,'Error Log'!$A$1:$J$1,0)))</f>
        <v/>
      </c>
      <c r="D229" s="70">
        <f>IF(H229=0,wdct(TRIM(C229)),0)</f>
        <v>0</v>
      </c>
      <c r="E229" s="70">
        <f>COUNTIFS('Error Log'!$A:$A,$A229,'Error Log'!$J:$J,E$1)</f>
        <v>0</v>
      </c>
      <c r="F229" s="70">
        <f>COUNTIFS('Error Log'!$A:$A,$A229,'Error Log'!$J:$J,F$1)</f>
        <v>0</v>
      </c>
      <c r="G229" s="70">
        <f>COUNTIFS('Error Log'!$A:$A,$A229,'Error Log'!$J:$J,G$1)</f>
        <v>0</v>
      </c>
      <c r="H229" s="70">
        <f>COUNTIFS('Error Log'!$A:$A,$A229,'Error Log'!$F:$F,"Source")</f>
        <v>0</v>
      </c>
      <c r="I229" s="70">
        <f>COUNTIFS('Error Log'!$A:$A,$A229,'Error Log'!$F:$F,"Target")</f>
        <v>0</v>
      </c>
      <c r="J229" s="71">
        <f t="shared" si="3"/>
        <v>0</v>
      </c>
    </row>
    <row r="230" spans="1:10">
      <c r="A230" s="81"/>
      <c r="B230" s="70" t="str">
        <f>IF(ISBLANK(A230),"",INDEX('Error Log'!$A:$J,MATCH('Scores per segment'!$A230,'Error Log'!$A:$A,0),MATCH('Scores per segment'!B$1,'Error Log'!$A$1:$J$1,0)))</f>
        <v/>
      </c>
      <c r="C230" s="70" t="str">
        <f>IF(ISBLANK(A230),"",INDEX('Error Log'!$A:$J,MATCH('Scores per segment'!$A230,'Error Log'!$A:$A,0),MATCH('Scores per segment'!C$1,'Error Log'!$A$1:$J$1,0)))</f>
        <v/>
      </c>
      <c r="D230" s="70">
        <f>IF(H230=0,wdct(TRIM(C230)),0)</f>
        <v>0</v>
      </c>
      <c r="E230" s="70">
        <f>COUNTIFS('Error Log'!$A:$A,$A230,'Error Log'!$J:$J,E$1)</f>
        <v>0</v>
      </c>
      <c r="F230" s="70">
        <f>COUNTIFS('Error Log'!$A:$A,$A230,'Error Log'!$J:$J,F$1)</f>
        <v>0</v>
      </c>
      <c r="G230" s="70">
        <f>COUNTIFS('Error Log'!$A:$A,$A230,'Error Log'!$J:$J,G$1)</f>
        <v>0</v>
      </c>
      <c r="H230" s="70">
        <f>COUNTIFS('Error Log'!$A:$A,$A230,'Error Log'!$F:$F,"Source")</f>
        <v>0</v>
      </c>
      <c r="I230" s="70">
        <f>COUNTIFS('Error Log'!$A:$A,$A230,'Error Log'!$F:$F,"Target")</f>
        <v>0</v>
      </c>
      <c r="J230" s="71">
        <f t="shared" si="3"/>
        <v>0</v>
      </c>
    </row>
    <row r="231" spans="1:10">
      <c r="A231" s="81"/>
      <c r="B231" s="70" t="str">
        <f>IF(ISBLANK(A231),"",INDEX('Error Log'!$A:$J,MATCH('Scores per segment'!$A231,'Error Log'!$A:$A,0),MATCH('Scores per segment'!B$1,'Error Log'!$A$1:$J$1,0)))</f>
        <v/>
      </c>
      <c r="C231" s="70" t="str">
        <f>IF(ISBLANK(A231),"",INDEX('Error Log'!$A:$J,MATCH('Scores per segment'!$A231,'Error Log'!$A:$A,0),MATCH('Scores per segment'!C$1,'Error Log'!$A$1:$J$1,0)))</f>
        <v/>
      </c>
      <c r="D231" s="70">
        <f>IF(H231=0,wdct(TRIM(C231)),0)</f>
        <v>0</v>
      </c>
      <c r="E231" s="70">
        <f>COUNTIFS('Error Log'!$A:$A,$A231,'Error Log'!$J:$J,E$1)</f>
        <v>0</v>
      </c>
      <c r="F231" s="70">
        <f>COUNTIFS('Error Log'!$A:$A,$A231,'Error Log'!$J:$J,F$1)</f>
        <v>0</v>
      </c>
      <c r="G231" s="70">
        <f>COUNTIFS('Error Log'!$A:$A,$A231,'Error Log'!$J:$J,G$1)</f>
        <v>0</v>
      </c>
      <c r="H231" s="70">
        <f>COUNTIFS('Error Log'!$A:$A,$A231,'Error Log'!$F:$F,"Source")</f>
        <v>0</v>
      </c>
      <c r="I231" s="70">
        <f>COUNTIFS('Error Log'!$A:$A,$A231,'Error Log'!$F:$F,"Target")</f>
        <v>0</v>
      </c>
      <c r="J231" s="71">
        <f t="shared" si="3"/>
        <v>0</v>
      </c>
    </row>
    <row r="232" spans="1:10">
      <c r="A232" s="81"/>
      <c r="B232" s="70" t="str">
        <f>IF(ISBLANK(A232),"",INDEX('Error Log'!$A:$J,MATCH('Scores per segment'!$A232,'Error Log'!$A:$A,0),MATCH('Scores per segment'!B$1,'Error Log'!$A$1:$J$1,0)))</f>
        <v/>
      </c>
      <c r="C232" s="70" t="str">
        <f>IF(ISBLANK(A232),"",INDEX('Error Log'!$A:$J,MATCH('Scores per segment'!$A232,'Error Log'!$A:$A,0),MATCH('Scores per segment'!C$1,'Error Log'!$A$1:$J$1,0)))</f>
        <v/>
      </c>
      <c r="D232" s="70">
        <f>IF(H232=0,wdct(TRIM(C232)),0)</f>
        <v>0</v>
      </c>
      <c r="E232" s="70">
        <f>COUNTIFS('Error Log'!$A:$A,$A232,'Error Log'!$J:$J,E$1)</f>
        <v>0</v>
      </c>
      <c r="F232" s="70">
        <f>COUNTIFS('Error Log'!$A:$A,$A232,'Error Log'!$J:$J,F$1)</f>
        <v>0</v>
      </c>
      <c r="G232" s="70">
        <f>COUNTIFS('Error Log'!$A:$A,$A232,'Error Log'!$J:$J,G$1)</f>
        <v>0</v>
      </c>
      <c r="H232" s="70">
        <f>COUNTIFS('Error Log'!$A:$A,$A232,'Error Log'!$F:$F,"Source")</f>
        <v>0</v>
      </c>
      <c r="I232" s="70">
        <f>COUNTIFS('Error Log'!$A:$A,$A232,'Error Log'!$F:$F,"Target")</f>
        <v>0</v>
      </c>
      <c r="J232" s="71">
        <f t="shared" si="3"/>
        <v>0</v>
      </c>
    </row>
    <row r="233" spans="1:10">
      <c r="A233" s="81"/>
      <c r="B233" s="70" t="str">
        <f>IF(ISBLANK(A233),"",INDEX('Error Log'!$A:$J,MATCH('Scores per segment'!$A233,'Error Log'!$A:$A,0),MATCH('Scores per segment'!B$1,'Error Log'!$A$1:$J$1,0)))</f>
        <v/>
      </c>
      <c r="C233" s="70" t="str">
        <f>IF(ISBLANK(A233),"",INDEX('Error Log'!$A:$J,MATCH('Scores per segment'!$A233,'Error Log'!$A:$A,0),MATCH('Scores per segment'!C$1,'Error Log'!$A$1:$J$1,0)))</f>
        <v/>
      </c>
      <c r="D233" s="70">
        <f>IF(H233=0,wdct(TRIM(C233)),0)</f>
        <v>0</v>
      </c>
      <c r="E233" s="70">
        <f>COUNTIFS('Error Log'!$A:$A,$A233,'Error Log'!$J:$J,E$1)</f>
        <v>0</v>
      </c>
      <c r="F233" s="70">
        <f>COUNTIFS('Error Log'!$A:$A,$A233,'Error Log'!$J:$J,F$1)</f>
        <v>0</v>
      </c>
      <c r="G233" s="70">
        <f>COUNTIFS('Error Log'!$A:$A,$A233,'Error Log'!$J:$J,G$1)</f>
        <v>0</v>
      </c>
      <c r="H233" s="70">
        <f>COUNTIFS('Error Log'!$A:$A,$A233,'Error Log'!$F:$F,"Source")</f>
        <v>0</v>
      </c>
      <c r="I233" s="70">
        <f>COUNTIFS('Error Log'!$A:$A,$A233,'Error Log'!$F:$F,"Target")</f>
        <v>0</v>
      </c>
      <c r="J233" s="71">
        <f t="shared" si="3"/>
        <v>0</v>
      </c>
    </row>
    <row r="234" spans="1:10">
      <c r="A234" s="81"/>
      <c r="B234" s="70" t="str">
        <f>IF(ISBLANK(A234),"",INDEX('Error Log'!$A:$J,MATCH('Scores per segment'!$A234,'Error Log'!$A:$A,0),MATCH('Scores per segment'!B$1,'Error Log'!$A$1:$J$1,0)))</f>
        <v/>
      </c>
      <c r="C234" s="70" t="str">
        <f>IF(ISBLANK(A234),"",INDEX('Error Log'!$A:$J,MATCH('Scores per segment'!$A234,'Error Log'!$A:$A,0),MATCH('Scores per segment'!C$1,'Error Log'!$A$1:$J$1,0)))</f>
        <v/>
      </c>
      <c r="D234" s="70">
        <f>IF(H234=0,wdct(TRIM(C234)),0)</f>
        <v>0</v>
      </c>
      <c r="E234" s="70">
        <f>COUNTIFS('Error Log'!$A:$A,$A234,'Error Log'!$J:$J,E$1)</f>
        <v>0</v>
      </c>
      <c r="F234" s="70">
        <f>COUNTIFS('Error Log'!$A:$A,$A234,'Error Log'!$J:$J,F$1)</f>
        <v>0</v>
      </c>
      <c r="G234" s="70">
        <f>COUNTIFS('Error Log'!$A:$A,$A234,'Error Log'!$J:$J,G$1)</f>
        <v>0</v>
      </c>
      <c r="H234" s="70">
        <f>COUNTIFS('Error Log'!$A:$A,$A234,'Error Log'!$F:$F,"Source")</f>
        <v>0</v>
      </c>
      <c r="I234" s="70">
        <f>COUNTIFS('Error Log'!$A:$A,$A234,'Error Log'!$F:$F,"Target")</f>
        <v>0</v>
      </c>
      <c r="J234" s="71">
        <f t="shared" si="3"/>
        <v>0</v>
      </c>
    </row>
    <row r="235" spans="1:10">
      <c r="A235" s="81"/>
      <c r="B235" s="70" t="str">
        <f>IF(ISBLANK(A235),"",INDEX('Error Log'!$A:$J,MATCH('Scores per segment'!$A235,'Error Log'!$A:$A,0),MATCH('Scores per segment'!B$1,'Error Log'!$A$1:$J$1,0)))</f>
        <v/>
      </c>
      <c r="C235" s="70" t="str">
        <f>IF(ISBLANK(A235),"",INDEX('Error Log'!$A:$J,MATCH('Scores per segment'!$A235,'Error Log'!$A:$A,0),MATCH('Scores per segment'!C$1,'Error Log'!$A$1:$J$1,0)))</f>
        <v/>
      </c>
      <c r="D235" s="70">
        <f>IF(H235=0,wdct(TRIM(C235)),0)</f>
        <v>0</v>
      </c>
      <c r="E235" s="70">
        <f>COUNTIFS('Error Log'!$A:$A,$A235,'Error Log'!$J:$J,E$1)</f>
        <v>0</v>
      </c>
      <c r="F235" s="70">
        <f>COUNTIFS('Error Log'!$A:$A,$A235,'Error Log'!$J:$J,F$1)</f>
        <v>0</v>
      </c>
      <c r="G235" s="70">
        <f>COUNTIFS('Error Log'!$A:$A,$A235,'Error Log'!$J:$J,G$1)</f>
        <v>0</v>
      </c>
      <c r="H235" s="70">
        <f>COUNTIFS('Error Log'!$A:$A,$A235,'Error Log'!$F:$F,"Source")</f>
        <v>0</v>
      </c>
      <c r="I235" s="70">
        <f>COUNTIFS('Error Log'!$A:$A,$A235,'Error Log'!$F:$F,"Target")</f>
        <v>0</v>
      </c>
      <c r="J235" s="71">
        <f t="shared" si="3"/>
        <v>0</v>
      </c>
    </row>
    <row r="236" spans="1:10">
      <c r="A236" s="81"/>
      <c r="B236" s="70" t="str">
        <f>IF(ISBLANK(A236),"",INDEX('Error Log'!$A:$J,MATCH('Scores per segment'!$A236,'Error Log'!$A:$A,0),MATCH('Scores per segment'!B$1,'Error Log'!$A$1:$J$1,0)))</f>
        <v/>
      </c>
      <c r="C236" s="70" t="str">
        <f>IF(ISBLANK(A236),"",INDEX('Error Log'!$A:$J,MATCH('Scores per segment'!$A236,'Error Log'!$A:$A,0),MATCH('Scores per segment'!C$1,'Error Log'!$A$1:$J$1,0)))</f>
        <v/>
      </c>
      <c r="D236" s="70">
        <f>IF(H236=0,wdct(TRIM(C236)),0)</f>
        <v>0</v>
      </c>
      <c r="E236" s="70">
        <f>COUNTIFS('Error Log'!$A:$A,$A236,'Error Log'!$J:$J,E$1)</f>
        <v>0</v>
      </c>
      <c r="F236" s="70">
        <f>COUNTIFS('Error Log'!$A:$A,$A236,'Error Log'!$J:$J,F$1)</f>
        <v>0</v>
      </c>
      <c r="G236" s="70">
        <f>COUNTIFS('Error Log'!$A:$A,$A236,'Error Log'!$J:$J,G$1)</f>
        <v>0</v>
      </c>
      <c r="H236" s="70">
        <f>COUNTIFS('Error Log'!$A:$A,$A236,'Error Log'!$F:$F,"Source")</f>
        <v>0</v>
      </c>
      <c r="I236" s="70">
        <f>COUNTIFS('Error Log'!$A:$A,$A236,'Error Log'!$F:$F,"Target")</f>
        <v>0</v>
      </c>
      <c r="J236" s="71">
        <f t="shared" si="3"/>
        <v>0</v>
      </c>
    </row>
    <row r="237" spans="1:10">
      <c r="A237" s="81"/>
      <c r="B237" s="70" t="str">
        <f>IF(ISBLANK(A237),"",INDEX('Error Log'!$A:$J,MATCH('Scores per segment'!$A237,'Error Log'!$A:$A,0),MATCH('Scores per segment'!B$1,'Error Log'!$A$1:$J$1,0)))</f>
        <v/>
      </c>
      <c r="C237" s="70" t="str">
        <f>IF(ISBLANK(A237),"",INDEX('Error Log'!$A:$J,MATCH('Scores per segment'!$A237,'Error Log'!$A:$A,0),MATCH('Scores per segment'!C$1,'Error Log'!$A$1:$J$1,0)))</f>
        <v/>
      </c>
      <c r="D237" s="70">
        <f>IF(H237=0,wdct(TRIM(C237)),0)</f>
        <v>0</v>
      </c>
      <c r="E237" s="70">
        <f>COUNTIFS('Error Log'!$A:$A,$A237,'Error Log'!$J:$J,E$1)</f>
        <v>0</v>
      </c>
      <c r="F237" s="70">
        <f>COUNTIFS('Error Log'!$A:$A,$A237,'Error Log'!$J:$J,F$1)</f>
        <v>0</v>
      </c>
      <c r="G237" s="70">
        <f>COUNTIFS('Error Log'!$A:$A,$A237,'Error Log'!$J:$J,G$1)</f>
        <v>0</v>
      </c>
      <c r="H237" s="70">
        <f>COUNTIFS('Error Log'!$A:$A,$A237,'Error Log'!$F:$F,"Source")</f>
        <v>0</v>
      </c>
      <c r="I237" s="70">
        <f>COUNTIFS('Error Log'!$A:$A,$A237,'Error Log'!$F:$F,"Target")</f>
        <v>0</v>
      </c>
      <c r="J237" s="71">
        <f t="shared" si="3"/>
        <v>0</v>
      </c>
    </row>
    <row r="238" spans="1:10">
      <c r="A238" s="81"/>
      <c r="B238" s="70" t="str">
        <f>IF(ISBLANK(A238),"",INDEX('Error Log'!$A:$J,MATCH('Scores per segment'!$A238,'Error Log'!$A:$A,0),MATCH('Scores per segment'!B$1,'Error Log'!$A$1:$J$1,0)))</f>
        <v/>
      </c>
      <c r="C238" s="70" t="str">
        <f>IF(ISBLANK(A238),"",INDEX('Error Log'!$A:$J,MATCH('Scores per segment'!$A238,'Error Log'!$A:$A,0),MATCH('Scores per segment'!C$1,'Error Log'!$A$1:$J$1,0)))</f>
        <v/>
      </c>
      <c r="D238" s="70">
        <f>IF(H238=0,wdct(TRIM(C238)),0)</f>
        <v>0</v>
      </c>
      <c r="E238" s="70">
        <f>COUNTIFS('Error Log'!$A:$A,$A238,'Error Log'!$J:$J,E$1)</f>
        <v>0</v>
      </c>
      <c r="F238" s="70">
        <f>COUNTIFS('Error Log'!$A:$A,$A238,'Error Log'!$J:$J,F$1)</f>
        <v>0</v>
      </c>
      <c r="G238" s="70">
        <f>COUNTIFS('Error Log'!$A:$A,$A238,'Error Log'!$J:$J,G$1)</f>
        <v>0</v>
      </c>
      <c r="H238" s="70">
        <f>COUNTIFS('Error Log'!$A:$A,$A238,'Error Log'!$F:$F,"Source")</f>
        <v>0</v>
      </c>
      <c r="I238" s="70">
        <f>COUNTIFS('Error Log'!$A:$A,$A238,'Error Log'!$F:$F,"Target")</f>
        <v>0</v>
      </c>
      <c r="J238" s="71">
        <f t="shared" si="3"/>
        <v>0</v>
      </c>
    </row>
    <row r="239" spans="1:10">
      <c r="A239" s="81"/>
      <c r="B239" s="70" t="str">
        <f>IF(ISBLANK(A239),"",INDEX('Error Log'!$A:$J,MATCH('Scores per segment'!$A239,'Error Log'!$A:$A,0),MATCH('Scores per segment'!B$1,'Error Log'!$A$1:$J$1,0)))</f>
        <v/>
      </c>
      <c r="C239" s="70" t="str">
        <f>IF(ISBLANK(A239),"",INDEX('Error Log'!$A:$J,MATCH('Scores per segment'!$A239,'Error Log'!$A:$A,0),MATCH('Scores per segment'!C$1,'Error Log'!$A$1:$J$1,0)))</f>
        <v/>
      </c>
      <c r="D239" s="70">
        <f>IF(H239=0,wdct(TRIM(C239)),0)</f>
        <v>0</v>
      </c>
      <c r="E239" s="70">
        <f>COUNTIFS('Error Log'!$A:$A,$A239,'Error Log'!$J:$J,E$1)</f>
        <v>0</v>
      </c>
      <c r="F239" s="70">
        <f>COUNTIFS('Error Log'!$A:$A,$A239,'Error Log'!$J:$J,F$1)</f>
        <v>0</v>
      </c>
      <c r="G239" s="70">
        <f>COUNTIFS('Error Log'!$A:$A,$A239,'Error Log'!$J:$J,G$1)</f>
        <v>0</v>
      </c>
      <c r="H239" s="70">
        <f>COUNTIFS('Error Log'!$A:$A,$A239,'Error Log'!$F:$F,"Source")</f>
        <v>0</v>
      </c>
      <c r="I239" s="70">
        <f>COUNTIFS('Error Log'!$A:$A,$A239,'Error Log'!$F:$F,"Target")</f>
        <v>0</v>
      </c>
      <c r="J239" s="71">
        <f t="shared" si="3"/>
        <v>0</v>
      </c>
    </row>
    <row r="240" spans="1:10">
      <c r="A240" s="81"/>
      <c r="B240" s="70" t="str">
        <f>IF(ISBLANK(A240),"",INDEX('Error Log'!$A:$J,MATCH('Scores per segment'!$A240,'Error Log'!$A:$A,0),MATCH('Scores per segment'!B$1,'Error Log'!$A$1:$J$1,0)))</f>
        <v/>
      </c>
      <c r="C240" s="70" t="str">
        <f>IF(ISBLANK(A240),"",INDEX('Error Log'!$A:$J,MATCH('Scores per segment'!$A240,'Error Log'!$A:$A,0),MATCH('Scores per segment'!C$1,'Error Log'!$A$1:$J$1,0)))</f>
        <v/>
      </c>
      <c r="D240" s="70">
        <f>IF(H240=0,wdct(TRIM(C240)),0)</f>
        <v>0</v>
      </c>
      <c r="E240" s="70">
        <f>COUNTIFS('Error Log'!$A:$A,$A240,'Error Log'!$J:$J,E$1)</f>
        <v>0</v>
      </c>
      <c r="F240" s="70">
        <f>COUNTIFS('Error Log'!$A:$A,$A240,'Error Log'!$J:$J,F$1)</f>
        <v>0</v>
      </c>
      <c r="G240" s="70">
        <f>COUNTIFS('Error Log'!$A:$A,$A240,'Error Log'!$J:$J,G$1)</f>
        <v>0</v>
      </c>
      <c r="H240" s="70">
        <f>COUNTIFS('Error Log'!$A:$A,$A240,'Error Log'!$F:$F,"Source")</f>
        <v>0</v>
      </c>
      <c r="I240" s="70">
        <f>COUNTIFS('Error Log'!$A:$A,$A240,'Error Log'!$F:$F,"Target")</f>
        <v>0</v>
      </c>
      <c r="J240" s="71">
        <f t="shared" si="3"/>
        <v>0</v>
      </c>
    </row>
    <row r="241" spans="1:10">
      <c r="A241" s="81"/>
      <c r="B241" s="70" t="str">
        <f>IF(ISBLANK(A241),"",INDEX('Error Log'!$A:$J,MATCH('Scores per segment'!$A241,'Error Log'!$A:$A,0),MATCH('Scores per segment'!B$1,'Error Log'!$A$1:$J$1,0)))</f>
        <v/>
      </c>
      <c r="C241" s="70" t="str">
        <f>IF(ISBLANK(A241),"",INDEX('Error Log'!$A:$J,MATCH('Scores per segment'!$A241,'Error Log'!$A:$A,0),MATCH('Scores per segment'!C$1,'Error Log'!$A$1:$J$1,0)))</f>
        <v/>
      </c>
      <c r="D241" s="70">
        <f>IF(H241=0,wdct(TRIM(C241)),0)</f>
        <v>0</v>
      </c>
      <c r="E241" s="70">
        <f>COUNTIFS('Error Log'!$A:$A,$A241,'Error Log'!$J:$J,E$1)</f>
        <v>0</v>
      </c>
      <c r="F241" s="70">
        <f>COUNTIFS('Error Log'!$A:$A,$A241,'Error Log'!$J:$J,F$1)</f>
        <v>0</v>
      </c>
      <c r="G241" s="70">
        <f>COUNTIFS('Error Log'!$A:$A,$A241,'Error Log'!$J:$J,G$1)</f>
        <v>0</v>
      </c>
      <c r="H241" s="70">
        <f>COUNTIFS('Error Log'!$A:$A,$A241,'Error Log'!$F:$F,"Source")</f>
        <v>0</v>
      </c>
      <c r="I241" s="70">
        <f>COUNTIFS('Error Log'!$A:$A,$A241,'Error Log'!$F:$F,"Target")</f>
        <v>0</v>
      </c>
      <c r="J241" s="71">
        <f t="shared" si="3"/>
        <v>0</v>
      </c>
    </row>
    <row r="242" spans="1:10">
      <c r="A242" s="81"/>
      <c r="B242" s="70" t="str">
        <f>IF(ISBLANK(A242),"",INDEX('Error Log'!$A:$J,MATCH('Scores per segment'!$A242,'Error Log'!$A:$A,0),MATCH('Scores per segment'!B$1,'Error Log'!$A$1:$J$1,0)))</f>
        <v/>
      </c>
      <c r="C242" s="70" t="str">
        <f>IF(ISBLANK(A242),"",INDEX('Error Log'!$A:$J,MATCH('Scores per segment'!$A242,'Error Log'!$A:$A,0),MATCH('Scores per segment'!C$1,'Error Log'!$A$1:$J$1,0)))</f>
        <v/>
      </c>
      <c r="D242" s="70">
        <f>IF(H242=0,wdct(TRIM(C242)),0)</f>
        <v>0</v>
      </c>
      <c r="E242" s="70">
        <f>COUNTIFS('Error Log'!$A:$A,$A242,'Error Log'!$J:$J,E$1)</f>
        <v>0</v>
      </c>
      <c r="F242" s="70">
        <f>COUNTIFS('Error Log'!$A:$A,$A242,'Error Log'!$J:$J,F$1)</f>
        <v>0</v>
      </c>
      <c r="G242" s="70">
        <f>COUNTIFS('Error Log'!$A:$A,$A242,'Error Log'!$J:$J,G$1)</f>
        <v>0</v>
      </c>
      <c r="H242" s="70">
        <f>COUNTIFS('Error Log'!$A:$A,$A242,'Error Log'!$F:$F,"Source")</f>
        <v>0</v>
      </c>
      <c r="I242" s="70">
        <f>COUNTIFS('Error Log'!$A:$A,$A242,'Error Log'!$F:$F,"Target")</f>
        <v>0</v>
      </c>
      <c r="J242" s="71">
        <f t="shared" si="3"/>
        <v>0</v>
      </c>
    </row>
    <row r="243" spans="1:10">
      <c r="A243" s="81"/>
      <c r="B243" s="70" t="str">
        <f>IF(ISBLANK(A243),"",INDEX('Error Log'!$A:$J,MATCH('Scores per segment'!$A243,'Error Log'!$A:$A,0),MATCH('Scores per segment'!B$1,'Error Log'!$A$1:$J$1,0)))</f>
        <v/>
      </c>
      <c r="C243" s="70" t="str">
        <f>IF(ISBLANK(A243),"",INDEX('Error Log'!$A:$J,MATCH('Scores per segment'!$A243,'Error Log'!$A:$A,0),MATCH('Scores per segment'!C$1,'Error Log'!$A$1:$J$1,0)))</f>
        <v/>
      </c>
      <c r="D243" s="70">
        <f>IF(H243=0,wdct(TRIM(C243)),0)</f>
        <v>0</v>
      </c>
      <c r="E243" s="70">
        <f>COUNTIFS('Error Log'!$A:$A,$A243,'Error Log'!$J:$J,E$1)</f>
        <v>0</v>
      </c>
      <c r="F243" s="70">
        <f>COUNTIFS('Error Log'!$A:$A,$A243,'Error Log'!$J:$J,F$1)</f>
        <v>0</v>
      </c>
      <c r="G243" s="70">
        <f>COUNTIFS('Error Log'!$A:$A,$A243,'Error Log'!$J:$J,G$1)</f>
        <v>0</v>
      </c>
      <c r="H243" s="70">
        <f>COUNTIFS('Error Log'!$A:$A,$A243,'Error Log'!$F:$F,"Source")</f>
        <v>0</v>
      </c>
      <c r="I243" s="70">
        <f>COUNTIFS('Error Log'!$A:$A,$A243,'Error Log'!$F:$F,"Target")</f>
        <v>0</v>
      </c>
      <c r="J243" s="71">
        <f t="shared" si="3"/>
        <v>0</v>
      </c>
    </row>
    <row r="244" spans="1:10">
      <c r="A244" s="81"/>
      <c r="B244" s="70" t="str">
        <f>IF(ISBLANK(A244),"",INDEX('Error Log'!$A:$J,MATCH('Scores per segment'!$A244,'Error Log'!$A:$A,0),MATCH('Scores per segment'!B$1,'Error Log'!$A$1:$J$1,0)))</f>
        <v/>
      </c>
      <c r="C244" s="70" t="str">
        <f>IF(ISBLANK(A244),"",INDEX('Error Log'!$A:$J,MATCH('Scores per segment'!$A244,'Error Log'!$A:$A,0),MATCH('Scores per segment'!C$1,'Error Log'!$A$1:$J$1,0)))</f>
        <v/>
      </c>
      <c r="D244" s="70">
        <f>IF(H244=0,wdct(TRIM(C244)),0)</f>
        <v>0</v>
      </c>
      <c r="E244" s="70">
        <f>COUNTIFS('Error Log'!$A:$A,$A244,'Error Log'!$J:$J,E$1)</f>
        <v>0</v>
      </c>
      <c r="F244" s="70">
        <f>COUNTIFS('Error Log'!$A:$A,$A244,'Error Log'!$J:$J,F$1)</f>
        <v>0</v>
      </c>
      <c r="G244" s="70">
        <f>COUNTIFS('Error Log'!$A:$A,$A244,'Error Log'!$J:$J,G$1)</f>
        <v>0</v>
      </c>
      <c r="H244" s="70">
        <f>COUNTIFS('Error Log'!$A:$A,$A244,'Error Log'!$F:$F,"Source")</f>
        <v>0</v>
      </c>
      <c r="I244" s="70">
        <f>COUNTIFS('Error Log'!$A:$A,$A244,'Error Log'!$F:$F,"Target")</f>
        <v>0</v>
      </c>
      <c r="J244" s="71">
        <f t="shared" si="3"/>
        <v>0</v>
      </c>
    </row>
    <row r="245" spans="1:10">
      <c r="A245" s="81"/>
      <c r="B245" s="70" t="str">
        <f>IF(ISBLANK(A245),"",INDEX('Error Log'!$A:$J,MATCH('Scores per segment'!$A245,'Error Log'!$A:$A,0),MATCH('Scores per segment'!B$1,'Error Log'!$A$1:$J$1,0)))</f>
        <v/>
      </c>
      <c r="C245" s="70" t="str">
        <f>IF(ISBLANK(A245),"",INDEX('Error Log'!$A:$J,MATCH('Scores per segment'!$A245,'Error Log'!$A:$A,0),MATCH('Scores per segment'!C$1,'Error Log'!$A$1:$J$1,0)))</f>
        <v/>
      </c>
      <c r="D245" s="70">
        <f>IF(H245=0,wdct(TRIM(C245)),0)</f>
        <v>0</v>
      </c>
      <c r="E245" s="70">
        <f>COUNTIFS('Error Log'!$A:$A,$A245,'Error Log'!$J:$J,E$1)</f>
        <v>0</v>
      </c>
      <c r="F245" s="70">
        <f>COUNTIFS('Error Log'!$A:$A,$A245,'Error Log'!$J:$J,F$1)</f>
        <v>0</v>
      </c>
      <c r="G245" s="70">
        <f>COUNTIFS('Error Log'!$A:$A,$A245,'Error Log'!$J:$J,G$1)</f>
        <v>0</v>
      </c>
      <c r="H245" s="70">
        <f>COUNTIFS('Error Log'!$A:$A,$A245,'Error Log'!$F:$F,"Source")</f>
        <v>0</v>
      </c>
      <c r="I245" s="70">
        <f>COUNTIFS('Error Log'!$A:$A,$A245,'Error Log'!$F:$F,"Target")</f>
        <v>0</v>
      </c>
      <c r="J245" s="71">
        <f t="shared" si="3"/>
        <v>0</v>
      </c>
    </row>
    <row r="246" spans="1:10">
      <c r="A246" s="81"/>
      <c r="B246" s="70" t="str">
        <f>IF(ISBLANK(A246),"",INDEX('Error Log'!$A:$J,MATCH('Scores per segment'!$A246,'Error Log'!$A:$A,0),MATCH('Scores per segment'!B$1,'Error Log'!$A$1:$J$1,0)))</f>
        <v/>
      </c>
      <c r="C246" s="70" t="str">
        <f>IF(ISBLANK(A246),"",INDEX('Error Log'!$A:$J,MATCH('Scores per segment'!$A246,'Error Log'!$A:$A,0),MATCH('Scores per segment'!C$1,'Error Log'!$A$1:$J$1,0)))</f>
        <v/>
      </c>
      <c r="D246" s="70">
        <f>IF(H246=0,wdct(TRIM(C246)),0)</f>
        <v>0</v>
      </c>
      <c r="E246" s="70">
        <f>COUNTIFS('Error Log'!$A:$A,$A246,'Error Log'!$J:$J,E$1)</f>
        <v>0</v>
      </c>
      <c r="F246" s="70">
        <f>COUNTIFS('Error Log'!$A:$A,$A246,'Error Log'!$J:$J,F$1)</f>
        <v>0</v>
      </c>
      <c r="G246" s="70">
        <f>COUNTIFS('Error Log'!$A:$A,$A246,'Error Log'!$J:$J,G$1)</f>
        <v>0</v>
      </c>
      <c r="H246" s="70">
        <f>COUNTIFS('Error Log'!$A:$A,$A246,'Error Log'!$F:$F,"Source")</f>
        <v>0</v>
      </c>
      <c r="I246" s="70">
        <f>COUNTIFS('Error Log'!$A:$A,$A246,'Error Log'!$F:$F,"Target")</f>
        <v>0</v>
      </c>
      <c r="J246" s="71">
        <f t="shared" si="3"/>
        <v>0</v>
      </c>
    </row>
    <row r="247" spans="1:10">
      <c r="A247" s="81"/>
      <c r="B247" s="70" t="str">
        <f>IF(ISBLANK(A247),"",INDEX('Error Log'!$A:$J,MATCH('Scores per segment'!$A247,'Error Log'!$A:$A,0),MATCH('Scores per segment'!B$1,'Error Log'!$A$1:$J$1,0)))</f>
        <v/>
      </c>
      <c r="C247" s="70" t="str">
        <f>IF(ISBLANK(A247),"",INDEX('Error Log'!$A:$J,MATCH('Scores per segment'!$A247,'Error Log'!$A:$A,0),MATCH('Scores per segment'!C$1,'Error Log'!$A$1:$J$1,0)))</f>
        <v/>
      </c>
      <c r="D247" s="70">
        <f>IF(H247=0,wdct(TRIM(C247)),0)</f>
        <v>0</v>
      </c>
      <c r="E247" s="70">
        <f>COUNTIFS('Error Log'!$A:$A,$A247,'Error Log'!$J:$J,E$1)</f>
        <v>0</v>
      </c>
      <c r="F247" s="70">
        <f>COUNTIFS('Error Log'!$A:$A,$A247,'Error Log'!$J:$J,F$1)</f>
        <v>0</v>
      </c>
      <c r="G247" s="70">
        <f>COUNTIFS('Error Log'!$A:$A,$A247,'Error Log'!$J:$J,G$1)</f>
        <v>0</v>
      </c>
      <c r="H247" s="70">
        <f>COUNTIFS('Error Log'!$A:$A,$A247,'Error Log'!$F:$F,"Source")</f>
        <v>0</v>
      </c>
      <c r="I247" s="70">
        <f>COUNTIFS('Error Log'!$A:$A,$A247,'Error Log'!$F:$F,"Target")</f>
        <v>0</v>
      </c>
      <c r="J247" s="71">
        <f t="shared" si="3"/>
        <v>0</v>
      </c>
    </row>
    <row r="248" spans="1:10">
      <c r="A248" s="81"/>
      <c r="B248" s="70" t="str">
        <f>IF(ISBLANK(A248),"",INDEX('Error Log'!$A:$J,MATCH('Scores per segment'!$A248,'Error Log'!$A:$A,0),MATCH('Scores per segment'!B$1,'Error Log'!$A$1:$J$1,0)))</f>
        <v/>
      </c>
      <c r="C248" s="70" t="str">
        <f>IF(ISBLANK(A248),"",INDEX('Error Log'!$A:$J,MATCH('Scores per segment'!$A248,'Error Log'!$A:$A,0),MATCH('Scores per segment'!C$1,'Error Log'!$A$1:$J$1,0)))</f>
        <v/>
      </c>
      <c r="D248" s="70">
        <f>IF(H248=0,wdct(TRIM(C248)),0)</f>
        <v>0</v>
      </c>
      <c r="E248" s="70">
        <f>COUNTIFS('Error Log'!$A:$A,$A248,'Error Log'!$J:$J,E$1)</f>
        <v>0</v>
      </c>
      <c r="F248" s="70">
        <f>COUNTIFS('Error Log'!$A:$A,$A248,'Error Log'!$J:$J,F$1)</f>
        <v>0</v>
      </c>
      <c r="G248" s="70">
        <f>COUNTIFS('Error Log'!$A:$A,$A248,'Error Log'!$J:$J,G$1)</f>
        <v>0</v>
      </c>
      <c r="H248" s="70">
        <f>COUNTIFS('Error Log'!$A:$A,$A248,'Error Log'!$F:$F,"Source")</f>
        <v>0</v>
      </c>
      <c r="I248" s="70">
        <f>COUNTIFS('Error Log'!$A:$A,$A248,'Error Log'!$F:$F,"Target")</f>
        <v>0</v>
      </c>
      <c r="J248" s="71">
        <f t="shared" si="3"/>
        <v>0</v>
      </c>
    </row>
    <row r="249" spans="1:10">
      <c r="A249" s="81"/>
      <c r="B249" s="70" t="str">
        <f>IF(ISBLANK(A249),"",INDEX('Error Log'!$A:$J,MATCH('Scores per segment'!$A249,'Error Log'!$A:$A,0),MATCH('Scores per segment'!B$1,'Error Log'!$A$1:$J$1,0)))</f>
        <v/>
      </c>
      <c r="C249" s="70" t="str">
        <f>IF(ISBLANK(A249),"",INDEX('Error Log'!$A:$J,MATCH('Scores per segment'!$A249,'Error Log'!$A:$A,0),MATCH('Scores per segment'!C$1,'Error Log'!$A$1:$J$1,0)))</f>
        <v/>
      </c>
      <c r="D249" s="70">
        <f>IF(H249=0,wdct(TRIM(C249)),0)</f>
        <v>0</v>
      </c>
      <c r="E249" s="70">
        <f>COUNTIFS('Error Log'!$A:$A,$A249,'Error Log'!$J:$J,E$1)</f>
        <v>0</v>
      </c>
      <c r="F249" s="70">
        <f>COUNTIFS('Error Log'!$A:$A,$A249,'Error Log'!$J:$J,F$1)</f>
        <v>0</v>
      </c>
      <c r="G249" s="70">
        <f>COUNTIFS('Error Log'!$A:$A,$A249,'Error Log'!$J:$J,G$1)</f>
        <v>0</v>
      </c>
      <c r="H249" s="70">
        <f>COUNTIFS('Error Log'!$A:$A,$A249,'Error Log'!$F:$F,"Source")</f>
        <v>0</v>
      </c>
      <c r="I249" s="70">
        <f>COUNTIFS('Error Log'!$A:$A,$A249,'Error Log'!$F:$F,"Target")</f>
        <v>0</v>
      </c>
      <c r="J249" s="71">
        <f t="shared" si="3"/>
        <v>0</v>
      </c>
    </row>
    <row r="250" spans="1:10">
      <c r="A250" s="81"/>
      <c r="B250" s="70" t="str">
        <f>IF(ISBLANK(A250),"",INDEX('Error Log'!$A:$J,MATCH('Scores per segment'!$A250,'Error Log'!$A:$A,0),MATCH('Scores per segment'!B$1,'Error Log'!$A$1:$J$1,0)))</f>
        <v/>
      </c>
      <c r="C250" s="70" t="str">
        <f>IF(ISBLANK(A250),"",INDEX('Error Log'!$A:$J,MATCH('Scores per segment'!$A250,'Error Log'!$A:$A,0),MATCH('Scores per segment'!C$1,'Error Log'!$A$1:$J$1,0)))</f>
        <v/>
      </c>
      <c r="D250" s="70">
        <f>IF(H250=0,wdct(TRIM(C250)),0)</f>
        <v>0</v>
      </c>
      <c r="E250" s="70">
        <f>COUNTIFS('Error Log'!$A:$A,$A250,'Error Log'!$J:$J,E$1)</f>
        <v>0</v>
      </c>
      <c r="F250" s="70">
        <f>COUNTIFS('Error Log'!$A:$A,$A250,'Error Log'!$J:$J,F$1)</f>
        <v>0</v>
      </c>
      <c r="G250" s="70">
        <f>COUNTIFS('Error Log'!$A:$A,$A250,'Error Log'!$J:$J,G$1)</f>
        <v>0</v>
      </c>
      <c r="H250" s="70">
        <f>COUNTIFS('Error Log'!$A:$A,$A250,'Error Log'!$F:$F,"Source")</f>
        <v>0</v>
      </c>
      <c r="I250" s="70">
        <f>COUNTIFS('Error Log'!$A:$A,$A250,'Error Log'!$F:$F,"Target")</f>
        <v>0</v>
      </c>
      <c r="J250" s="71">
        <f t="shared" si="3"/>
        <v>0</v>
      </c>
    </row>
    <row r="251" spans="1:10">
      <c r="A251" s="81"/>
      <c r="B251" s="70" t="str">
        <f>IF(ISBLANK(A251),"",INDEX('Error Log'!$A:$J,MATCH('Scores per segment'!$A251,'Error Log'!$A:$A,0),MATCH('Scores per segment'!B$1,'Error Log'!$A$1:$J$1,0)))</f>
        <v/>
      </c>
      <c r="C251" s="70" t="str">
        <f>IF(ISBLANK(A251),"",INDEX('Error Log'!$A:$J,MATCH('Scores per segment'!$A251,'Error Log'!$A:$A,0),MATCH('Scores per segment'!C$1,'Error Log'!$A$1:$J$1,0)))</f>
        <v/>
      </c>
      <c r="D251" s="70">
        <f>IF(H251=0,wdct(TRIM(C251)),0)</f>
        <v>0</v>
      </c>
      <c r="E251" s="70">
        <f>COUNTIFS('Error Log'!$A:$A,$A251,'Error Log'!$J:$J,E$1)</f>
        <v>0</v>
      </c>
      <c r="F251" s="70">
        <f>COUNTIFS('Error Log'!$A:$A,$A251,'Error Log'!$J:$J,F$1)</f>
        <v>0</v>
      </c>
      <c r="G251" s="70">
        <f>COUNTIFS('Error Log'!$A:$A,$A251,'Error Log'!$J:$J,G$1)</f>
        <v>0</v>
      </c>
      <c r="H251" s="70">
        <f>COUNTIFS('Error Log'!$A:$A,$A251,'Error Log'!$F:$F,"Source")</f>
        <v>0</v>
      </c>
      <c r="I251" s="70">
        <f>COUNTIFS('Error Log'!$A:$A,$A251,'Error Log'!$F:$F,"Target")</f>
        <v>0</v>
      </c>
      <c r="J251" s="71">
        <f t="shared" si="3"/>
        <v>0</v>
      </c>
    </row>
    <row r="252" spans="1:10">
      <c r="A252" s="81"/>
      <c r="B252" s="70" t="str">
        <f>IF(ISBLANK(A252),"",INDEX('Error Log'!$A:$J,MATCH('Scores per segment'!$A252,'Error Log'!$A:$A,0),MATCH('Scores per segment'!B$1,'Error Log'!$A$1:$J$1,0)))</f>
        <v/>
      </c>
      <c r="C252" s="70" t="str">
        <f>IF(ISBLANK(A252),"",INDEX('Error Log'!$A:$J,MATCH('Scores per segment'!$A252,'Error Log'!$A:$A,0),MATCH('Scores per segment'!C$1,'Error Log'!$A$1:$J$1,0)))</f>
        <v/>
      </c>
      <c r="D252" s="70">
        <f>IF(H252=0,wdct(TRIM(C252)),0)</f>
        <v>0</v>
      </c>
      <c r="E252" s="70">
        <f>COUNTIFS('Error Log'!$A:$A,$A252,'Error Log'!$J:$J,E$1)</f>
        <v>0</v>
      </c>
      <c r="F252" s="70">
        <f>COUNTIFS('Error Log'!$A:$A,$A252,'Error Log'!$J:$J,F$1)</f>
        <v>0</v>
      </c>
      <c r="G252" s="70">
        <f>COUNTIFS('Error Log'!$A:$A,$A252,'Error Log'!$J:$J,G$1)</f>
        <v>0</v>
      </c>
      <c r="H252" s="70">
        <f>COUNTIFS('Error Log'!$A:$A,$A252,'Error Log'!$F:$F,"Source")</f>
        <v>0</v>
      </c>
      <c r="I252" s="70">
        <f>COUNTIFS('Error Log'!$A:$A,$A252,'Error Log'!$F:$F,"Target")</f>
        <v>0</v>
      </c>
      <c r="J252" s="71">
        <f t="shared" si="3"/>
        <v>0</v>
      </c>
    </row>
    <row r="253" spans="1:10">
      <c r="A253" s="81"/>
      <c r="B253" s="70" t="str">
        <f>IF(ISBLANK(A253),"",INDEX('Error Log'!$A:$J,MATCH('Scores per segment'!$A253,'Error Log'!$A:$A,0),MATCH('Scores per segment'!B$1,'Error Log'!$A$1:$J$1,0)))</f>
        <v/>
      </c>
      <c r="C253" s="70" t="str">
        <f>IF(ISBLANK(A253),"",INDEX('Error Log'!$A:$J,MATCH('Scores per segment'!$A253,'Error Log'!$A:$A,0),MATCH('Scores per segment'!C$1,'Error Log'!$A$1:$J$1,0)))</f>
        <v/>
      </c>
      <c r="D253" s="70">
        <f>IF(H253=0,wdct(TRIM(C253)),0)</f>
        <v>0</v>
      </c>
      <c r="E253" s="70">
        <f>COUNTIFS('Error Log'!$A:$A,$A253,'Error Log'!$J:$J,E$1)</f>
        <v>0</v>
      </c>
      <c r="F253" s="70">
        <f>COUNTIFS('Error Log'!$A:$A,$A253,'Error Log'!$J:$J,F$1)</f>
        <v>0</v>
      </c>
      <c r="G253" s="70">
        <f>COUNTIFS('Error Log'!$A:$A,$A253,'Error Log'!$J:$J,G$1)</f>
        <v>0</v>
      </c>
      <c r="H253" s="70">
        <f>COUNTIFS('Error Log'!$A:$A,$A253,'Error Log'!$F:$F,"Source")</f>
        <v>0</v>
      </c>
      <c r="I253" s="70">
        <f>COUNTIFS('Error Log'!$A:$A,$A253,'Error Log'!$F:$F,"Target")</f>
        <v>0</v>
      </c>
      <c r="J253" s="71">
        <f t="shared" si="3"/>
        <v>0</v>
      </c>
    </row>
    <row r="254" spans="1:10">
      <c r="A254" s="81"/>
      <c r="B254" s="70" t="str">
        <f>IF(ISBLANK(A254),"",INDEX('Error Log'!$A:$J,MATCH('Scores per segment'!$A254,'Error Log'!$A:$A,0),MATCH('Scores per segment'!B$1,'Error Log'!$A$1:$J$1,0)))</f>
        <v/>
      </c>
      <c r="C254" s="70" t="str">
        <f>IF(ISBLANK(A254),"",INDEX('Error Log'!$A:$J,MATCH('Scores per segment'!$A254,'Error Log'!$A:$A,0),MATCH('Scores per segment'!C$1,'Error Log'!$A$1:$J$1,0)))</f>
        <v/>
      </c>
      <c r="D254" s="70">
        <f>IF(H254=0,wdct(TRIM(C254)),0)</f>
        <v>0</v>
      </c>
      <c r="E254" s="70">
        <f>COUNTIFS('Error Log'!$A:$A,$A254,'Error Log'!$J:$J,E$1)</f>
        <v>0</v>
      </c>
      <c r="F254" s="70">
        <f>COUNTIFS('Error Log'!$A:$A,$A254,'Error Log'!$J:$J,F$1)</f>
        <v>0</v>
      </c>
      <c r="G254" s="70">
        <f>COUNTIFS('Error Log'!$A:$A,$A254,'Error Log'!$J:$J,G$1)</f>
        <v>0</v>
      </c>
      <c r="H254" s="70">
        <f>COUNTIFS('Error Log'!$A:$A,$A254,'Error Log'!$F:$F,"Source")</f>
        <v>0</v>
      </c>
      <c r="I254" s="70">
        <f>COUNTIFS('Error Log'!$A:$A,$A254,'Error Log'!$F:$F,"Target")</f>
        <v>0</v>
      </c>
      <c r="J254" s="71">
        <f t="shared" si="3"/>
        <v>0</v>
      </c>
    </row>
    <row r="255" spans="1:10">
      <c r="A255" s="81"/>
      <c r="B255" s="70" t="str">
        <f>IF(ISBLANK(A255),"",INDEX('Error Log'!$A:$J,MATCH('Scores per segment'!$A255,'Error Log'!$A:$A,0),MATCH('Scores per segment'!B$1,'Error Log'!$A$1:$J$1,0)))</f>
        <v/>
      </c>
      <c r="C255" s="70" t="str">
        <f>IF(ISBLANK(A255),"",INDEX('Error Log'!$A:$J,MATCH('Scores per segment'!$A255,'Error Log'!$A:$A,0),MATCH('Scores per segment'!C$1,'Error Log'!$A$1:$J$1,0)))</f>
        <v/>
      </c>
      <c r="D255" s="70">
        <f>IF(H255=0,wdct(TRIM(C255)),0)</f>
        <v>0</v>
      </c>
      <c r="E255" s="70">
        <f>COUNTIFS('Error Log'!$A:$A,$A255,'Error Log'!$J:$J,E$1)</f>
        <v>0</v>
      </c>
      <c r="F255" s="70">
        <f>COUNTIFS('Error Log'!$A:$A,$A255,'Error Log'!$J:$J,F$1)</f>
        <v>0</v>
      </c>
      <c r="G255" s="70">
        <f>COUNTIFS('Error Log'!$A:$A,$A255,'Error Log'!$J:$J,G$1)</f>
        <v>0</v>
      </c>
      <c r="H255" s="70">
        <f>COUNTIFS('Error Log'!$A:$A,$A255,'Error Log'!$F:$F,"Source")</f>
        <v>0</v>
      </c>
      <c r="I255" s="70">
        <f>COUNTIFS('Error Log'!$A:$A,$A255,'Error Log'!$F:$F,"Target")</f>
        <v>0</v>
      </c>
      <c r="J255" s="71">
        <f t="shared" si="3"/>
        <v>0</v>
      </c>
    </row>
    <row r="256" spans="1:10">
      <c r="A256" s="81"/>
      <c r="B256" s="70" t="str">
        <f>IF(ISBLANK(A256),"",INDEX('Error Log'!$A:$J,MATCH('Scores per segment'!$A256,'Error Log'!$A:$A,0),MATCH('Scores per segment'!B$1,'Error Log'!$A$1:$J$1,0)))</f>
        <v/>
      </c>
      <c r="C256" s="70" t="str">
        <f>IF(ISBLANK(A256),"",INDEX('Error Log'!$A:$J,MATCH('Scores per segment'!$A256,'Error Log'!$A:$A,0),MATCH('Scores per segment'!C$1,'Error Log'!$A$1:$J$1,0)))</f>
        <v/>
      </c>
      <c r="D256" s="70">
        <f>IF(H256=0,wdct(TRIM(C256)),0)</f>
        <v>0</v>
      </c>
      <c r="E256" s="70">
        <f>COUNTIFS('Error Log'!$A:$A,$A256,'Error Log'!$J:$J,E$1)</f>
        <v>0</v>
      </c>
      <c r="F256" s="70">
        <f>COUNTIFS('Error Log'!$A:$A,$A256,'Error Log'!$J:$J,F$1)</f>
        <v>0</v>
      </c>
      <c r="G256" s="70">
        <f>COUNTIFS('Error Log'!$A:$A,$A256,'Error Log'!$J:$J,G$1)</f>
        <v>0</v>
      </c>
      <c r="H256" s="70">
        <f>COUNTIFS('Error Log'!$A:$A,$A256,'Error Log'!$F:$F,"Source")</f>
        <v>0</v>
      </c>
      <c r="I256" s="70">
        <f>COUNTIFS('Error Log'!$A:$A,$A256,'Error Log'!$F:$F,"Target")</f>
        <v>0</v>
      </c>
      <c r="J256" s="71">
        <f t="shared" si="3"/>
        <v>0</v>
      </c>
    </row>
    <row r="257" spans="1:10">
      <c r="A257" s="81"/>
      <c r="B257" s="70" t="str">
        <f>IF(ISBLANK(A257),"",INDEX('Error Log'!$A:$J,MATCH('Scores per segment'!$A257,'Error Log'!$A:$A,0),MATCH('Scores per segment'!B$1,'Error Log'!$A$1:$J$1,0)))</f>
        <v/>
      </c>
      <c r="C257" s="70" t="str">
        <f>IF(ISBLANK(A257),"",INDEX('Error Log'!$A:$J,MATCH('Scores per segment'!$A257,'Error Log'!$A:$A,0),MATCH('Scores per segment'!C$1,'Error Log'!$A$1:$J$1,0)))</f>
        <v/>
      </c>
      <c r="D257" s="70">
        <f>IF(H257=0,wdct(TRIM(C257)),0)</f>
        <v>0</v>
      </c>
      <c r="E257" s="70">
        <f>COUNTIFS('Error Log'!$A:$A,$A257,'Error Log'!$J:$J,E$1)</f>
        <v>0</v>
      </c>
      <c r="F257" s="70">
        <f>COUNTIFS('Error Log'!$A:$A,$A257,'Error Log'!$J:$J,F$1)</f>
        <v>0</v>
      </c>
      <c r="G257" s="70">
        <f>COUNTIFS('Error Log'!$A:$A,$A257,'Error Log'!$J:$J,G$1)</f>
        <v>0</v>
      </c>
      <c r="H257" s="70">
        <f>COUNTIFS('Error Log'!$A:$A,$A257,'Error Log'!$F:$F,"Source")</f>
        <v>0</v>
      </c>
      <c r="I257" s="70">
        <f>COUNTIFS('Error Log'!$A:$A,$A257,'Error Log'!$F:$F,"Target")</f>
        <v>0</v>
      </c>
      <c r="J257" s="71">
        <f t="shared" si="3"/>
        <v>0</v>
      </c>
    </row>
    <row r="258" spans="1:10">
      <c r="A258" s="81"/>
      <c r="B258" s="70" t="str">
        <f>IF(ISBLANK(A258),"",INDEX('Error Log'!$A:$J,MATCH('Scores per segment'!$A258,'Error Log'!$A:$A,0),MATCH('Scores per segment'!B$1,'Error Log'!$A$1:$J$1,0)))</f>
        <v/>
      </c>
      <c r="C258" s="70" t="str">
        <f>IF(ISBLANK(A258),"",INDEX('Error Log'!$A:$J,MATCH('Scores per segment'!$A258,'Error Log'!$A:$A,0),MATCH('Scores per segment'!C$1,'Error Log'!$A$1:$J$1,0)))</f>
        <v/>
      </c>
      <c r="D258" s="70">
        <f>IF(H258=0,wdct(TRIM(C258)),0)</f>
        <v>0</v>
      </c>
      <c r="E258" s="70">
        <f>COUNTIFS('Error Log'!$A:$A,$A258,'Error Log'!$J:$J,E$1)</f>
        <v>0</v>
      </c>
      <c r="F258" s="70">
        <f>COUNTIFS('Error Log'!$A:$A,$A258,'Error Log'!$J:$J,F$1)</f>
        <v>0</v>
      </c>
      <c r="G258" s="70">
        <f>COUNTIFS('Error Log'!$A:$A,$A258,'Error Log'!$J:$J,G$1)</f>
        <v>0</v>
      </c>
      <c r="H258" s="70">
        <f>COUNTIFS('Error Log'!$A:$A,$A258,'Error Log'!$F:$F,"Source")</f>
        <v>0</v>
      </c>
      <c r="I258" s="70">
        <f>COUNTIFS('Error Log'!$A:$A,$A258,'Error Log'!$F:$F,"Target")</f>
        <v>0</v>
      </c>
      <c r="J258" s="71">
        <f t="shared" ref="J258:J321" si="4">IF(I258=0,IFERROR((((1-((E258*10+F258*5+G258*1)/D258))*100)+100)/2,0),-150)</f>
        <v>0</v>
      </c>
    </row>
    <row r="259" spans="1:10">
      <c r="A259" s="81"/>
      <c r="B259" s="70" t="str">
        <f>IF(ISBLANK(A259),"",INDEX('Error Log'!$A:$J,MATCH('Scores per segment'!$A259,'Error Log'!$A:$A,0),MATCH('Scores per segment'!B$1,'Error Log'!$A$1:$J$1,0)))</f>
        <v/>
      </c>
      <c r="C259" s="70" t="str">
        <f>IF(ISBLANK(A259),"",INDEX('Error Log'!$A:$J,MATCH('Scores per segment'!$A259,'Error Log'!$A:$A,0),MATCH('Scores per segment'!C$1,'Error Log'!$A$1:$J$1,0)))</f>
        <v/>
      </c>
      <c r="D259" s="70">
        <f>IF(H259=0,wdct(TRIM(C259)),0)</f>
        <v>0</v>
      </c>
      <c r="E259" s="70">
        <f>COUNTIFS('Error Log'!$A:$A,$A259,'Error Log'!$J:$J,E$1)</f>
        <v>0</v>
      </c>
      <c r="F259" s="70">
        <f>COUNTIFS('Error Log'!$A:$A,$A259,'Error Log'!$J:$J,F$1)</f>
        <v>0</v>
      </c>
      <c r="G259" s="70">
        <f>COUNTIFS('Error Log'!$A:$A,$A259,'Error Log'!$J:$J,G$1)</f>
        <v>0</v>
      </c>
      <c r="H259" s="70">
        <f>COUNTIFS('Error Log'!$A:$A,$A259,'Error Log'!$F:$F,"Source")</f>
        <v>0</v>
      </c>
      <c r="I259" s="70">
        <f>COUNTIFS('Error Log'!$A:$A,$A259,'Error Log'!$F:$F,"Target")</f>
        <v>0</v>
      </c>
      <c r="J259" s="71">
        <f t="shared" si="4"/>
        <v>0</v>
      </c>
    </row>
    <row r="260" spans="1:10">
      <c r="A260" s="81"/>
      <c r="B260" s="70" t="str">
        <f>IF(ISBLANK(A260),"",INDEX('Error Log'!$A:$J,MATCH('Scores per segment'!$A260,'Error Log'!$A:$A,0),MATCH('Scores per segment'!B$1,'Error Log'!$A$1:$J$1,0)))</f>
        <v/>
      </c>
      <c r="C260" s="70" t="str">
        <f>IF(ISBLANK(A260),"",INDEX('Error Log'!$A:$J,MATCH('Scores per segment'!$A260,'Error Log'!$A:$A,0),MATCH('Scores per segment'!C$1,'Error Log'!$A$1:$J$1,0)))</f>
        <v/>
      </c>
      <c r="D260" s="70">
        <f>IF(H260=0,wdct(TRIM(C260)),0)</f>
        <v>0</v>
      </c>
      <c r="E260" s="70">
        <f>COUNTIFS('Error Log'!$A:$A,$A260,'Error Log'!$J:$J,E$1)</f>
        <v>0</v>
      </c>
      <c r="F260" s="70">
        <f>COUNTIFS('Error Log'!$A:$A,$A260,'Error Log'!$J:$J,F$1)</f>
        <v>0</v>
      </c>
      <c r="G260" s="70">
        <f>COUNTIFS('Error Log'!$A:$A,$A260,'Error Log'!$J:$J,G$1)</f>
        <v>0</v>
      </c>
      <c r="H260" s="70">
        <f>COUNTIFS('Error Log'!$A:$A,$A260,'Error Log'!$F:$F,"Source")</f>
        <v>0</v>
      </c>
      <c r="I260" s="70">
        <f>COUNTIFS('Error Log'!$A:$A,$A260,'Error Log'!$F:$F,"Target")</f>
        <v>0</v>
      </c>
      <c r="J260" s="71">
        <f t="shared" si="4"/>
        <v>0</v>
      </c>
    </row>
    <row r="261" spans="1:10">
      <c r="A261" s="81"/>
      <c r="B261" s="70" t="str">
        <f>IF(ISBLANK(A261),"",INDEX('Error Log'!$A:$J,MATCH('Scores per segment'!$A261,'Error Log'!$A:$A,0),MATCH('Scores per segment'!B$1,'Error Log'!$A$1:$J$1,0)))</f>
        <v/>
      </c>
      <c r="C261" s="70" t="str">
        <f>IF(ISBLANK(A261),"",INDEX('Error Log'!$A:$J,MATCH('Scores per segment'!$A261,'Error Log'!$A:$A,0),MATCH('Scores per segment'!C$1,'Error Log'!$A$1:$J$1,0)))</f>
        <v/>
      </c>
      <c r="D261" s="70">
        <f>IF(H261=0,wdct(TRIM(C261)),0)</f>
        <v>0</v>
      </c>
      <c r="E261" s="70">
        <f>COUNTIFS('Error Log'!$A:$A,$A261,'Error Log'!$J:$J,E$1)</f>
        <v>0</v>
      </c>
      <c r="F261" s="70">
        <f>COUNTIFS('Error Log'!$A:$A,$A261,'Error Log'!$J:$J,F$1)</f>
        <v>0</v>
      </c>
      <c r="G261" s="70">
        <f>COUNTIFS('Error Log'!$A:$A,$A261,'Error Log'!$J:$J,G$1)</f>
        <v>0</v>
      </c>
      <c r="H261" s="70">
        <f>COUNTIFS('Error Log'!$A:$A,$A261,'Error Log'!$F:$F,"Source")</f>
        <v>0</v>
      </c>
      <c r="I261" s="70">
        <f>COUNTIFS('Error Log'!$A:$A,$A261,'Error Log'!$F:$F,"Target")</f>
        <v>0</v>
      </c>
      <c r="J261" s="71">
        <f t="shared" si="4"/>
        <v>0</v>
      </c>
    </row>
    <row r="262" spans="1:10">
      <c r="A262" s="81"/>
      <c r="B262" s="70" t="str">
        <f>IF(ISBLANK(A262),"",INDEX('Error Log'!$A:$J,MATCH('Scores per segment'!$A262,'Error Log'!$A:$A,0),MATCH('Scores per segment'!B$1,'Error Log'!$A$1:$J$1,0)))</f>
        <v/>
      </c>
      <c r="C262" s="70" t="str">
        <f>IF(ISBLANK(A262),"",INDEX('Error Log'!$A:$J,MATCH('Scores per segment'!$A262,'Error Log'!$A:$A,0),MATCH('Scores per segment'!C$1,'Error Log'!$A$1:$J$1,0)))</f>
        <v/>
      </c>
      <c r="D262" s="70">
        <f>IF(H262=0,wdct(TRIM(C262)),0)</f>
        <v>0</v>
      </c>
      <c r="E262" s="70">
        <f>COUNTIFS('Error Log'!$A:$A,$A262,'Error Log'!$J:$J,E$1)</f>
        <v>0</v>
      </c>
      <c r="F262" s="70">
        <f>COUNTIFS('Error Log'!$A:$A,$A262,'Error Log'!$J:$J,F$1)</f>
        <v>0</v>
      </c>
      <c r="G262" s="70">
        <f>COUNTIFS('Error Log'!$A:$A,$A262,'Error Log'!$J:$J,G$1)</f>
        <v>0</v>
      </c>
      <c r="H262" s="70">
        <f>COUNTIFS('Error Log'!$A:$A,$A262,'Error Log'!$F:$F,"Source")</f>
        <v>0</v>
      </c>
      <c r="I262" s="70">
        <f>COUNTIFS('Error Log'!$A:$A,$A262,'Error Log'!$F:$F,"Target")</f>
        <v>0</v>
      </c>
      <c r="J262" s="71">
        <f t="shared" si="4"/>
        <v>0</v>
      </c>
    </row>
    <row r="263" spans="1:10">
      <c r="A263" s="81"/>
      <c r="B263" s="70" t="str">
        <f>IF(ISBLANK(A263),"",INDEX('Error Log'!$A:$J,MATCH('Scores per segment'!$A263,'Error Log'!$A:$A,0),MATCH('Scores per segment'!B$1,'Error Log'!$A$1:$J$1,0)))</f>
        <v/>
      </c>
      <c r="C263" s="70" t="str">
        <f>IF(ISBLANK(A263),"",INDEX('Error Log'!$A:$J,MATCH('Scores per segment'!$A263,'Error Log'!$A:$A,0),MATCH('Scores per segment'!C$1,'Error Log'!$A$1:$J$1,0)))</f>
        <v/>
      </c>
      <c r="D263" s="70">
        <f>IF(H263=0,wdct(TRIM(C263)),0)</f>
        <v>0</v>
      </c>
      <c r="E263" s="70">
        <f>COUNTIFS('Error Log'!$A:$A,$A263,'Error Log'!$J:$J,E$1)</f>
        <v>0</v>
      </c>
      <c r="F263" s="70">
        <f>COUNTIFS('Error Log'!$A:$A,$A263,'Error Log'!$J:$J,F$1)</f>
        <v>0</v>
      </c>
      <c r="G263" s="70">
        <f>COUNTIFS('Error Log'!$A:$A,$A263,'Error Log'!$J:$J,G$1)</f>
        <v>0</v>
      </c>
      <c r="H263" s="70">
        <f>COUNTIFS('Error Log'!$A:$A,$A263,'Error Log'!$F:$F,"Source")</f>
        <v>0</v>
      </c>
      <c r="I263" s="70">
        <f>COUNTIFS('Error Log'!$A:$A,$A263,'Error Log'!$F:$F,"Target")</f>
        <v>0</v>
      </c>
      <c r="J263" s="71">
        <f t="shared" si="4"/>
        <v>0</v>
      </c>
    </row>
    <row r="264" spans="1:10">
      <c r="A264" s="81"/>
      <c r="B264" s="70" t="str">
        <f>IF(ISBLANK(A264),"",INDEX('Error Log'!$A:$J,MATCH('Scores per segment'!$A264,'Error Log'!$A:$A,0),MATCH('Scores per segment'!B$1,'Error Log'!$A$1:$J$1,0)))</f>
        <v/>
      </c>
      <c r="C264" s="70" t="str">
        <f>IF(ISBLANK(A264),"",INDEX('Error Log'!$A:$J,MATCH('Scores per segment'!$A264,'Error Log'!$A:$A,0),MATCH('Scores per segment'!C$1,'Error Log'!$A$1:$J$1,0)))</f>
        <v/>
      </c>
      <c r="D264" s="70">
        <f>IF(H264=0,wdct(TRIM(C264)),0)</f>
        <v>0</v>
      </c>
      <c r="E264" s="70">
        <f>COUNTIFS('Error Log'!$A:$A,$A264,'Error Log'!$J:$J,E$1)</f>
        <v>0</v>
      </c>
      <c r="F264" s="70">
        <f>COUNTIFS('Error Log'!$A:$A,$A264,'Error Log'!$J:$J,F$1)</f>
        <v>0</v>
      </c>
      <c r="G264" s="70">
        <f>COUNTIFS('Error Log'!$A:$A,$A264,'Error Log'!$J:$J,G$1)</f>
        <v>0</v>
      </c>
      <c r="H264" s="70">
        <f>COUNTIFS('Error Log'!$A:$A,$A264,'Error Log'!$F:$F,"Source")</f>
        <v>0</v>
      </c>
      <c r="I264" s="70">
        <f>COUNTIFS('Error Log'!$A:$A,$A264,'Error Log'!$F:$F,"Target")</f>
        <v>0</v>
      </c>
      <c r="J264" s="71">
        <f t="shared" si="4"/>
        <v>0</v>
      </c>
    </row>
    <row r="265" spans="1:10">
      <c r="A265" s="81"/>
      <c r="B265" s="70" t="str">
        <f>IF(ISBLANK(A265),"",INDEX('Error Log'!$A:$J,MATCH('Scores per segment'!$A265,'Error Log'!$A:$A,0),MATCH('Scores per segment'!B$1,'Error Log'!$A$1:$J$1,0)))</f>
        <v/>
      </c>
      <c r="C265" s="70" t="str">
        <f>IF(ISBLANK(A265),"",INDEX('Error Log'!$A:$J,MATCH('Scores per segment'!$A265,'Error Log'!$A:$A,0),MATCH('Scores per segment'!C$1,'Error Log'!$A$1:$J$1,0)))</f>
        <v/>
      </c>
      <c r="D265" s="70">
        <f>IF(H265=0,wdct(TRIM(C265)),0)</f>
        <v>0</v>
      </c>
      <c r="E265" s="70">
        <f>COUNTIFS('Error Log'!$A:$A,$A265,'Error Log'!$J:$J,E$1)</f>
        <v>0</v>
      </c>
      <c r="F265" s="70">
        <f>COUNTIFS('Error Log'!$A:$A,$A265,'Error Log'!$J:$J,F$1)</f>
        <v>0</v>
      </c>
      <c r="G265" s="70">
        <f>COUNTIFS('Error Log'!$A:$A,$A265,'Error Log'!$J:$J,G$1)</f>
        <v>0</v>
      </c>
      <c r="H265" s="70">
        <f>COUNTIFS('Error Log'!$A:$A,$A265,'Error Log'!$F:$F,"Source")</f>
        <v>0</v>
      </c>
      <c r="I265" s="70">
        <f>COUNTIFS('Error Log'!$A:$A,$A265,'Error Log'!$F:$F,"Target")</f>
        <v>0</v>
      </c>
      <c r="J265" s="71">
        <f t="shared" si="4"/>
        <v>0</v>
      </c>
    </row>
    <row r="266" spans="1:10">
      <c r="A266" s="81"/>
      <c r="B266" s="70" t="str">
        <f>IF(ISBLANK(A266),"",INDEX('Error Log'!$A:$J,MATCH('Scores per segment'!$A266,'Error Log'!$A:$A,0),MATCH('Scores per segment'!B$1,'Error Log'!$A$1:$J$1,0)))</f>
        <v/>
      </c>
      <c r="C266" s="70" t="str">
        <f>IF(ISBLANK(A266),"",INDEX('Error Log'!$A:$J,MATCH('Scores per segment'!$A266,'Error Log'!$A:$A,0),MATCH('Scores per segment'!C$1,'Error Log'!$A$1:$J$1,0)))</f>
        <v/>
      </c>
      <c r="D266" s="70">
        <f>IF(H266=0,wdct(TRIM(C266)),0)</f>
        <v>0</v>
      </c>
      <c r="E266" s="70">
        <f>COUNTIFS('Error Log'!$A:$A,$A266,'Error Log'!$J:$J,E$1)</f>
        <v>0</v>
      </c>
      <c r="F266" s="70">
        <f>COUNTIFS('Error Log'!$A:$A,$A266,'Error Log'!$J:$J,F$1)</f>
        <v>0</v>
      </c>
      <c r="G266" s="70">
        <f>COUNTIFS('Error Log'!$A:$A,$A266,'Error Log'!$J:$J,G$1)</f>
        <v>0</v>
      </c>
      <c r="H266" s="70">
        <f>COUNTIFS('Error Log'!$A:$A,$A266,'Error Log'!$F:$F,"Source")</f>
        <v>0</v>
      </c>
      <c r="I266" s="70">
        <f>COUNTIFS('Error Log'!$A:$A,$A266,'Error Log'!$F:$F,"Target")</f>
        <v>0</v>
      </c>
      <c r="J266" s="71">
        <f t="shared" si="4"/>
        <v>0</v>
      </c>
    </row>
    <row r="267" spans="1:10">
      <c r="A267" s="81"/>
      <c r="B267" s="70" t="str">
        <f>IF(ISBLANK(A267),"",INDEX('Error Log'!$A:$J,MATCH('Scores per segment'!$A267,'Error Log'!$A:$A,0),MATCH('Scores per segment'!B$1,'Error Log'!$A$1:$J$1,0)))</f>
        <v/>
      </c>
      <c r="C267" s="70" t="str">
        <f>IF(ISBLANK(A267),"",INDEX('Error Log'!$A:$J,MATCH('Scores per segment'!$A267,'Error Log'!$A:$A,0),MATCH('Scores per segment'!C$1,'Error Log'!$A$1:$J$1,0)))</f>
        <v/>
      </c>
      <c r="D267" s="70">
        <f>IF(H267=0,wdct(TRIM(C267)),0)</f>
        <v>0</v>
      </c>
      <c r="E267" s="70">
        <f>COUNTIFS('Error Log'!$A:$A,$A267,'Error Log'!$J:$J,E$1)</f>
        <v>0</v>
      </c>
      <c r="F267" s="70">
        <f>COUNTIFS('Error Log'!$A:$A,$A267,'Error Log'!$J:$J,F$1)</f>
        <v>0</v>
      </c>
      <c r="G267" s="70">
        <f>COUNTIFS('Error Log'!$A:$A,$A267,'Error Log'!$J:$J,G$1)</f>
        <v>0</v>
      </c>
      <c r="H267" s="70">
        <f>COUNTIFS('Error Log'!$A:$A,$A267,'Error Log'!$F:$F,"Source")</f>
        <v>0</v>
      </c>
      <c r="I267" s="70">
        <f>COUNTIFS('Error Log'!$A:$A,$A267,'Error Log'!$F:$F,"Target")</f>
        <v>0</v>
      </c>
      <c r="J267" s="71">
        <f t="shared" si="4"/>
        <v>0</v>
      </c>
    </row>
    <row r="268" spans="1:10">
      <c r="A268" s="81"/>
      <c r="B268" s="70" t="str">
        <f>IF(ISBLANK(A268),"",INDEX('Error Log'!$A:$J,MATCH('Scores per segment'!$A268,'Error Log'!$A:$A,0),MATCH('Scores per segment'!B$1,'Error Log'!$A$1:$J$1,0)))</f>
        <v/>
      </c>
      <c r="C268" s="70" t="str">
        <f>IF(ISBLANK(A268),"",INDEX('Error Log'!$A:$J,MATCH('Scores per segment'!$A268,'Error Log'!$A:$A,0),MATCH('Scores per segment'!C$1,'Error Log'!$A$1:$J$1,0)))</f>
        <v/>
      </c>
      <c r="D268" s="70">
        <f>IF(H268=0,wdct(TRIM(C268)),0)</f>
        <v>0</v>
      </c>
      <c r="E268" s="70">
        <f>COUNTIFS('Error Log'!$A:$A,$A268,'Error Log'!$J:$J,E$1)</f>
        <v>0</v>
      </c>
      <c r="F268" s="70">
        <f>COUNTIFS('Error Log'!$A:$A,$A268,'Error Log'!$J:$J,F$1)</f>
        <v>0</v>
      </c>
      <c r="G268" s="70">
        <f>COUNTIFS('Error Log'!$A:$A,$A268,'Error Log'!$J:$J,G$1)</f>
        <v>0</v>
      </c>
      <c r="H268" s="70">
        <f>COUNTIFS('Error Log'!$A:$A,$A268,'Error Log'!$F:$F,"Source")</f>
        <v>0</v>
      </c>
      <c r="I268" s="70">
        <f>COUNTIFS('Error Log'!$A:$A,$A268,'Error Log'!$F:$F,"Target")</f>
        <v>0</v>
      </c>
      <c r="J268" s="71">
        <f t="shared" si="4"/>
        <v>0</v>
      </c>
    </row>
    <row r="269" spans="1:10">
      <c r="A269" s="81"/>
      <c r="B269" s="70" t="str">
        <f>IF(ISBLANK(A269),"",INDEX('Error Log'!$A:$J,MATCH('Scores per segment'!$A269,'Error Log'!$A:$A,0),MATCH('Scores per segment'!B$1,'Error Log'!$A$1:$J$1,0)))</f>
        <v/>
      </c>
      <c r="C269" s="70" t="str">
        <f>IF(ISBLANK(A269),"",INDEX('Error Log'!$A:$J,MATCH('Scores per segment'!$A269,'Error Log'!$A:$A,0),MATCH('Scores per segment'!C$1,'Error Log'!$A$1:$J$1,0)))</f>
        <v/>
      </c>
      <c r="D269" s="70">
        <f>IF(H269=0,wdct(TRIM(C269)),0)</f>
        <v>0</v>
      </c>
      <c r="E269" s="70">
        <f>COUNTIFS('Error Log'!$A:$A,$A269,'Error Log'!$J:$J,E$1)</f>
        <v>0</v>
      </c>
      <c r="F269" s="70">
        <f>COUNTIFS('Error Log'!$A:$A,$A269,'Error Log'!$J:$J,F$1)</f>
        <v>0</v>
      </c>
      <c r="G269" s="70">
        <f>COUNTIFS('Error Log'!$A:$A,$A269,'Error Log'!$J:$J,G$1)</f>
        <v>0</v>
      </c>
      <c r="H269" s="70">
        <f>COUNTIFS('Error Log'!$A:$A,$A269,'Error Log'!$F:$F,"Source")</f>
        <v>0</v>
      </c>
      <c r="I269" s="70">
        <f>COUNTIFS('Error Log'!$A:$A,$A269,'Error Log'!$F:$F,"Target")</f>
        <v>0</v>
      </c>
      <c r="J269" s="71">
        <f t="shared" si="4"/>
        <v>0</v>
      </c>
    </row>
    <row r="270" spans="1:10">
      <c r="A270" s="81"/>
      <c r="B270" s="70" t="str">
        <f>IF(ISBLANK(A270),"",INDEX('Error Log'!$A:$J,MATCH('Scores per segment'!$A270,'Error Log'!$A:$A,0),MATCH('Scores per segment'!B$1,'Error Log'!$A$1:$J$1,0)))</f>
        <v/>
      </c>
      <c r="C270" s="70" t="str">
        <f>IF(ISBLANK(A270),"",INDEX('Error Log'!$A:$J,MATCH('Scores per segment'!$A270,'Error Log'!$A:$A,0),MATCH('Scores per segment'!C$1,'Error Log'!$A$1:$J$1,0)))</f>
        <v/>
      </c>
      <c r="D270" s="70">
        <f>IF(H270=0,wdct(TRIM(C270)),0)</f>
        <v>0</v>
      </c>
      <c r="E270" s="70">
        <f>COUNTIFS('Error Log'!$A:$A,$A270,'Error Log'!$J:$J,E$1)</f>
        <v>0</v>
      </c>
      <c r="F270" s="70">
        <f>COUNTIFS('Error Log'!$A:$A,$A270,'Error Log'!$J:$J,F$1)</f>
        <v>0</v>
      </c>
      <c r="G270" s="70">
        <f>COUNTIFS('Error Log'!$A:$A,$A270,'Error Log'!$J:$J,G$1)</f>
        <v>0</v>
      </c>
      <c r="H270" s="70">
        <f>COUNTIFS('Error Log'!$A:$A,$A270,'Error Log'!$F:$F,"Source")</f>
        <v>0</v>
      </c>
      <c r="I270" s="70">
        <f>COUNTIFS('Error Log'!$A:$A,$A270,'Error Log'!$F:$F,"Target")</f>
        <v>0</v>
      </c>
      <c r="J270" s="71">
        <f t="shared" si="4"/>
        <v>0</v>
      </c>
    </row>
    <row r="271" spans="1:10">
      <c r="A271" s="81"/>
      <c r="B271" s="70" t="str">
        <f>IF(ISBLANK(A271),"",INDEX('Error Log'!$A:$J,MATCH('Scores per segment'!$A271,'Error Log'!$A:$A,0),MATCH('Scores per segment'!B$1,'Error Log'!$A$1:$J$1,0)))</f>
        <v/>
      </c>
      <c r="C271" s="70" t="str">
        <f>IF(ISBLANK(A271),"",INDEX('Error Log'!$A:$J,MATCH('Scores per segment'!$A271,'Error Log'!$A:$A,0),MATCH('Scores per segment'!C$1,'Error Log'!$A$1:$J$1,0)))</f>
        <v/>
      </c>
      <c r="D271" s="70">
        <f>IF(H271=0,wdct(TRIM(C271)),0)</f>
        <v>0</v>
      </c>
      <c r="E271" s="70">
        <f>COUNTIFS('Error Log'!$A:$A,$A271,'Error Log'!$J:$J,E$1)</f>
        <v>0</v>
      </c>
      <c r="F271" s="70">
        <f>COUNTIFS('Error Log'!$A:$A,$A271,'Error Log'!$J:$J,F$1)</f>
        <v>0</v>
      </c>
      <c r="G271" s="70">
        <f>COUNTIFS('Error Log'!$A:$A,$A271,'Error Log'!$J:$J,G$1)</f>
        <v>0</v>
      </c>
      <c r="H271" s="70">
        <f>COUNTIFS('Error Log'!$A:$A,$A271,'Error Log'!$F:$F,"Source")</f>
        <v>0</v>
      </c>
      <c r="I271" s="70">
        <f>COUNTIFS('Error Log'!$A:$A,$A271,'Error Log'!$F:$F,"Target")</f>
        <v>0</v>
      </c>
      <c r="J271" s="71">
        <f t="shared" si="4"/>
        <v>0</v>
      </c>
    </row>
    <row r="272" spans="1:10">
      <c r="A272" s="81"/>
      <c r="B272" s="70" t="str">
        <f>IF(ISBLANK(A272),"",INDEX('Error Log'!$A:$J,MATCH('Scores per segment'!$A272,'Error Log'!$A:$A,0),MATCH('Scores per segment'!B$1,'Error Log'!$A$1:$J$1,0)))</f>
        <v/>
      </c>
      <c r="C272" s="70" t="str">
        <f>IF(ISBLANK(A272),"",INDEX('Error Log'!$A:$J,MATCH('Scores per segment'!$A272,'Error Log'!$A:$A,0),MATCH('Scores per segment'!C$1,'Error Log'!$A$1:$J$1,0)))</f>
        <v/>
      </c>
      <c r="D272" s="70">
        <f>IF(H272=0,wdct(TRIM(C272)),0)</f>
        <v>0</v>
      </c>
      <c r="E272" s="70">
        <f>COUNTIFS('Error Log'!$A:$A,$A272,'Error Log'!$J:$J,E$1)</f>
        <v>0</v>
      </c>
      <c r="F272" s="70">
        <f>COUNTIFS('Error Log'!$A:$A,$A272,'Error Log'!$J:$J,F$1)</f>
        <v>0</v>
      </c>
      <c r="G272" s="70">
        <f>COUNTIFS('Error Log'!$A:$A,$A272,'Error Log'!$J:$J,G$1)</f>
        <v>0</v>
      </c>
      <c r="H272" s="70">
        <f>COUNTIFS('Error Log'!$A:$A,$A272,'Error Log'!$F:$F,"Source")</f>
        <v>0</v>
      </c>
      <c r="I272" s="70">
        <f>COUNTIFS('Error Log'!$A:$A,$A272,'Error Log'!$F:$F,"Target")</f>
        <v>0</v>
      </c>
      <c r="J272" s="71">
        <f t="shared" si="4"/>
        <v>0</v>
      </c>
    </row>
    <row r="273" spans="1:10">
      <c r="A273" s="81"/>
      <c r="B273" s="70" t="str">
        <f>IF(ISBLANK(A273),"",INDEX('Error Log'!$A:$J,MATCH('Scores per segment'!$A273,'Error Log'!$A:$A,0),MATCH('Scores per segment'!B$1,'Error Log'!$A$1:$J$1,0)))</f>
        <v/>
      </c>
      <c r="C273" s="70" t="str">
        <f>IF(ISBLANK(A273),"",INDEX('Error Log'!$A:$J,MATCH('Scores per segment'!$A273,'Error Log'!$A:$A,0),MATCH('Scores per segment'!C$1,'Error Log'!$A$1:$J$1,0)))</f>
        <v/>
      </c>
      <c r="D273" s="70">
        <f>IF(H273=0,wdct(TRIM(C273)),0)</f>
        <v>0</v>
      </c>
      <c r="E273" s="70">
        <f>COUNTIFS('Error Log'!$A:$A,$A273,'Error Log'!$J:$J,E$1)</f>
        <v>0</v>
      </c>
      <c r="F273" s="70">
        <f>COUNTIFS('Error Log'!$A:$A,$A273,'Error Log'!$J:$J,F$1)</f>
        <v>0</v>
      </c>
      <c r="G273" s="70">
        <f>COUNTIFS('Error Log'!$A:$A,$A273,'Error Log'!$J:$J,G$1)</f>
        <v>0</v>
      </c>
      <c r="H273" s="70">
        <f>COUNTIFS('Error Log'!$A:$A,$A273,'Error Log'!$F:$F,"Source")</f>
        <v>0</v>
      </c>
      <c r="I273" s="70">
        <f>COUNTIFS('Error Log'!$A:$A,$A273,'Error Log'!$F:$F,"Target")</f>
        <v>0</v>
      </c>
      <c r="J273" s="71">
        <f t="shared" si="4"/>
        <v>0</v>
      </c>
    </row>
    <row r="274" spans="1:10">
      <c r="A274" s="81"/>
      <c r="B274" s="70" t="str">
        <f>IF(ISBLANK(A274),"",INDEX('Error Log'!$A:$J,MATCH('Scores per segment'!$A274,'Error Log'!$A:$A,0),MATCH('Scores per segment'!B$1,'Error Log'!$A$1:$J$1,0)))</f>
        <v/>
      </c>
      <c r="C274" s="70" t="str">
        <f>IF(ISBLANK(A274),"",INDEX('Error Log'!$A:$J,MATCH('Scores per segment'!$A274,'Error Log'!$A:$A,0),MATCH('Scores per segment'!C$1,'Error Log'!$A$1:$J$1,0)))</f>
        <v/>
      </c>
      <c r="D274" s="70">
        <f>IF(H274=0,wdct(TRIM(C274)),0)</f>
        <v>0</v>
      </c>
      <c r="E274" s="70">
        <f>COUNTIFS('Error Log'!$A:$A,$A274,'Error Log'!$J:$J,E$1)</f>
        <v>0</v>
      </c>
      <c r="F274" s="70">
        <f>COUNTIFS('Error Log'!$A:$A,$A274,'Error Log'!$J:$J,F$1)</f>
        <v>0</v>
      </c>
      <c r="G274" s="70">
        <f>COUNTIFS('Error Log'!$A:$A,$A274,'Error Log'!$J:$J,G$1)</f>
        <v>0</v>
      </c>
      <c r="H274" s="70">
        <f>COUNTIFS('Error Log'!$A:$A,$A274,'Error Log'!$F:$F,"Source")</f>
        <v>0</v>
      </c>
      <c r="I274" s="70">
        <f>COUNTIFS('Error Log'!$A:$A,$A274,'Error Log'!$F:$F,"Target")</f>
        <v>0</v>
      </c>
      <c r="J274" s="71">
        <f t="shared" si="4"/>
        <v>0</v>
      </c>
    </row>
    <row r="275" spans="1:10">
      <c r="A275" s="81"/>
      <c r="B275" s="70" t="str">
        <f>IF(ISBLANK(A275),"",INDEX('Error Log'!$A:$J,MATCH('Scores per segment'!$A275,'Error Log'!$A:$A,0),MATCH('Scores per segment'!B$1,'Error Log'!$A$1:$J$1,0)))</f>
        <v/>
      </c>
      <c r="C275" s="70" t="str">
        <f>IF(ISBLANK(A275),"",INDEX('Error Log'!$A:$J,MATCH('Scores per segment'!$A275,'Error Log'!$A:$A,0),MATCH('Scores per segment'!C$1,'Error Log'!$A$1:$J$1,0)))</f>
        <v/>
      </c>
      <c r="D275" s="70">
        <f>IF(H275=0,wdct(TRIM(C275)),0)</f>
        <v>0</v>
      </c>
      <c r="E275" s="70">
        <f>COUNTIFS('Error Log'!$A:$A,$A275,'Error Log'!$J:$J,E$1)</f>
        <v>0</v>
      </c>
      <c r="F275" s="70">
        <f>COUNTIFS('Error Log'!$A:$A,$A275,'Error Log'!$J:$J,F$1)</f>
        <v>0</v>
      </c>
      <c r="G275" s="70">
        <f>COUNTIFS('Error Log'!$A:$A,$A275,'Error Log'!$J:$J,G$1)</f>
        <v>0</v>
      </c>
      <c r="H275" s="70">
        <f>COUNTIFS('Error Log'!$A:$A,$A275,'Error Log'!$F:$F,"Source")</f>
        <v>0</v>
      </c>
      <c r="I275" s="70">
        <f>COUNTIFS('Error Log'!$A:$A,$A275,'Error Log'!$F:$F,"Target")</f>
        <v>0</v>
      </c>
      <c r="J275" s="71">
        <f t="shared" si="4"/>
        <v>0</v>
      </c>
    </row>
    <row r="276" spans="1:10">
      <c r="A276" s="81"/>
      <c r="B276" s="70" t="str">
        <f>IF(ISBLANK(A276),"",INDEX('Error Log'!$A:$J,MATCH('Scores per segment'!$A276,'Error Log'!$A:$A,0),MATCH('Scores per segment'!B$1,'Error Log'!$A$1:$J$1,0)))</f>
        <v/>
      </c>
      <c r="C276" s="70" t="str">
        <f>IF(ISBLANK(A276),"",INDEX('Error Log'!$A:$J,MATCH('Scores per segment'!$A276,'Error Log'!$A:$A,0),MATCH('Scores per segment'!C$1,'Error Log'!$A$1:$J$1,0)))</f>
        <v/>
      </c>
      <c r="D276" s="70">
        <f>IF(H276=0,wdct(TRIM(C276)),0)</f>
        <v>0</v>
      </c>
      <c r="E276" s="70">
        <f>COUNTIFS('Error Log'!$A:$A,$A276,'Error Log'!$J:$J,E$1)</f>
        <v>0</v>
      </c>
      <c r="F276" s="70">
        <f>COUNTIFS('Error Log'!$A:$A,$A276,'Error Log'!$J:$J,F$1)</f>
        <v>0</v>
      </c>
      <c r="G276" s="70">
        <f>COUNTIFS('Error Log'!$A:$A,$A276,'Error Log'!$J:$J,G$1)</f>
        <v>0</v>
      </c>
      <c r="H276" s="70">
        <f>COUNTIFS('Error Log'!$A:$A,$A276,'Error Log'!$F:$F,"Source")</f>
        <v>0</v>
      </c>
      <c r="I276" s="70">
        <f>COUNTIFS('Error Log'!$A:$A,$A276,'Error Log'!$F:$F,"Target")</f>
        <v>0</v>
      </c>
      <c r="J276" s="71">
        <f t="shared" si="4"/>
        <v>0</v>
      </c>
    </row>
    <row r="277" spans="1:10">
      <c r="A277" s="81"/>
      <c r="B277" s="70" t="str">
        <f>IF(ISBLANK(A277),"",INDEX('Error Log'!$A:$J,MATCH('Scores per segment'!$A277,'Error Log'!$A:$A,0),MATCH('Scores per segment'!B$1,'Error Log'!$A$1:$J$1,0)))</f>
        <v/>
      </c>
      <c r="C277" s="70" t="str">
        <f>IF(ISBLANK(A277),"",INDEX('Error Log'!$A:$J,MATCH('Scores per segment'!$A277,'Error Log'!$A:$A,0),MATCH('Scores per segment'!C$1,'Error Log'!$A$1:$J$1,0)))</f>
        <v/>
      </c>
      <c r="D277" s="70">
        <f>IF(H277=0,wdct(TRIM(C277)),0)</f>
        <v>0</v>
      </c>
      <c r="E277" s="70">
        <f>COUNTIFS('Error Log'!$A:$A,$A277,'Error Log'!$J:$J,E$1)</f>
        <v>0</v>
      </c>
      <c r="F277" s="70">
        <f>COUNTIFS('Error Log'!$A:$A,$A277,'Error Log'!$J:$J,F$1)</f>
        <v>0</v>
      </c>
      <c r="G277" s="70">
        <f>COUNTIFS('Error Log'!$A:$A,$A277,'Error Log'!$J:$J,G$1)</f>
        <v>0</v>
      </c>
      <c r="H277" s="70">
        <f>COUNTIFS('Error Log'!$A:$A,$A277,'Error Log'!$F:$F,"Source")</f>
        <v>0</v>
      </c>
      <c r="I277" s="70">
        <f>COUNTIFS('Error Log'!$A:$A,$A277,'Error Log'!$F:$F,"Target")</f>
        <v>0</v>
      </c>
      <c r="J277" s="71">
        <f t="shared" si="4"/>
        <v>0</v>
      </c>
    </row>
    <row r="278" spans="1:10">
      <c r="A278" s="81"/>
      <c r="B278" s="70" t="str">
        <f>IF(ISBLANK(A278),"",INDEX('Error Log'!$A:$J,MATCH('Scores per segment'!$A278,'Error Log'!$A:$A,0),MATCH('Scores per segment'!B$1,'Error Log'!$A$1:$J$1,0)))</f>
        <v/>
      </c>
      <c r="C278" s="70" t="str">
        <f>IF(ISBLANK(A278),"",INDEX('Error Log'!$A:$J,MATCH('Scores per segment'!$A278,'Error Log'!$A:$A,0),MATCH('Scores per segment'!C$1,'Error Log'!$A$1:$J$1,0)))</f>
        <v/>
      </c>
      <c r="D278" s="70">
        <f>IF(H278=0,wdct(TRIM(C278)),0)</f>
        <v>0</v>
      </c>
      <c r="E278" s="70">
        <f>COUNTIFS('Error Log'!$A:$A,$A278,'Error Log'!$J:$J,E$1)</f>
        <v>0</v>
      </c>
      <c r="F278" s="70">
        <f>COUNTIFS('Error Log'!$A:$A,$A278,'Error Log'!$J:$J,F$1)</f>
        <v>0</v>
      </c>
      <c r="G278" s="70">
        <f>COUNTIFS('Error Log'!$A:$A,$A278,'Error Log'!$J:$J,G$1)</f>
        <v>0</v>
      </c>
      <c r="H278" s="70">
        <f>COUNTIFS('Error Log'!$A:$A,$A278,'Error Log'!$F:$F,"Source")</f>
        <v>0</v>
      </c>
      <c r="I278" s="70">
        <f>COUNTIFS('Error Log'!$A:$A,$A278,'Error Log'!$F:$F,"Target")</f>
        <v>0</v>
      </c>
      <c r="J278" s="71">
        <f t="shared" si="4"/>
        <v>0</v>
      </c>
    </row>
    <row r="279" spans="1:10">
      <c r="A279" s="81"/>
      <c r="B279" s="70" t="str">
        <f>IF(ISBLANK(A279),"",INDEX('Error Log'!$A:$J,MATCH('Scores per segment'!$A279,'Error Log'!$A:$A,0),MATCH('Scores per segment'!B$1,'Error Log'!$A$1:$J$1,0)))</f>
        <v/>
      </c>
      <c r="C279" s="70" t="str">
        <f>IF(ISBLANK(A279),"",INDEX('Error Log'!$A:$J,MATCH('Scores per segment'!$A279,'Error Log'!$A:$A,0),MATCH('Scores per segment'!C$1,'Error Log'!$A$1:$J$1,0)))</f>
        <v/>
      </c>
      <c r="D279" s="70">
        <f>IF(H279=0,wdct(TRIM(C279)),0)</f>
        <v>0</v>
      </c>
      <c r="E279" s="70">
        <f>COUNTIFS('Error Log'!$A:$A,$A279,'Error Log'!$J:$J,E$1)</f>
        <v>0</v>
      </c>
      <c r="F279" s="70">
        <f>COUNTIFS('Error Log'!$A:$A,$A279,'Error Log'!$J:$J,F$1)</f>
        <v>0</v>
      </c>
      <c r="G279" s="70">
        <f>COUNTIFS('Error Log'!$A:$A,$A279,'Error Log'!$J:$J,G$1)</f>
        <v>0</v>
      </c>
      <c r="H279" s="70">
        <f>COUNTIFS('Error Log'!$A:$A,$A279,'Error Log'!$F:$F,"Source")</f>
        <v>0</v>
      </c>
      <c r="I279" s="70">
        <f>COUNTIFS('Error Log'!$A:$A,$A279,'Error Log'!$F:$F,"Target")</f>
        <v>0</v>
      </c>
      <c r="J279" s="71">
        <f t="shared" si="4"/>
        <v>0</v>
      </c>
    </row>
    <row r="280" spans="1:10">
      <c r="A280" s="81"/>
      <c r="B280" s="70" t="str">
        <f>IF(ISBLANK(A280),"",INDEX('Error Log'!$A:$J,MATCH('Scores per segment'!$A280,'Error Log'!$A:$A,0),MATCH('Scores per segment'!B$1,'Error Log'!$A$1:$J$1,0)))</f>
        <v/>
      </c>
      <c r="C280" s="70" t="str">
        <f>IF(ISBLANK(A280),"",INDEX('Error Log'!$A:$J,MATCH('Scores per segment'!$A280,'Error Log'!$A:$A,0),MATCH('Scores per segment'!C$1,'Error Log'!$A$1:$J$1,0)))</f>
        <v/>
      </c>
      <c r="D280" s="70">
        <f>IF(H280=0,wdct(TRIM(C280)),0)</f>
        <v>0</v>
      </c>
      <c r="E280" s="70">
        <f>COUNTIFS('Error Log'!$A:$A,$A280,'Error Log'!$J:$J,E$1)</f>
        <v>0</v>
      </c>
      <c r="F280" s="70">
        <f>COUNTIFS('Error Log'!$A:$A,$A280,'Error Log'!$J:$J,F$1)</f>
        <v>0</v>
      </c>
      <c r="G280" s="70">
        <f>COUNTIFS('Error Log'!$A:$A,$A280,'Error Log'!$J:$J,G$1)</f>
        <v>0</v>
      </c>
      <c r="H280" s="70">
        <f>COUNTIFS('Error Log'!$A:$A,$A280,'Error Log'!$F:$F,"Source")</f>
        <v>0</v>
      </c>
      <c r="I280" s="70">
        <f>COUNTIFS('Error Log'!$A:$A,$A280,'Error Log'!$F:$F,"Target")</f>
        <v>0</v>
      </c>
      <c r="J280" s="71">
        <f t="shared" si="4"/>
        <v>0</v>
      </c>
    </row>
    <row r="281" spans="1:10">
      <c r="A281" s="81"/>
      <c r="B281" s="70" t="str">
        <f>IF(ISBLANK(A281),"",INDEX('Error Log'!$A:$J,MATCH('Scores per segment'!$A281,'Error Log'!$A:$A,0),MATCH('Scores per segment'!B$1,'Error Log'!$A$1:$J$1,0)))</f>
        <v/>
      </c>
      <c r="C281" s="70" t="str">
        <f>IF(ISBLANK(A281),"",INDEX('Error Log'!$A:$J,MATCH('Scores per segment'!$A281,'Error Log'!$A:$A,0),MATCH('Scores per segment'!C$1,'Error Log'!$A$1:$J$1,0)))</f>
        <v/>
      </c>
      <c r="D281" s="70">
        <f>IF(H281=0,wdct(TRIM(C281)),0)</f>
        <v>0</v>
      </c>
      <c r="E281" s="70">
        <f>COUNTIFS('Error Log'!$A:$A,$A281,'Error Log'!$J:$J,E$1)</f>
        <v>0</v>
      </c>
      <c r="F281" s="70">
        <f>COUNTIFS('Error Log'!$A:$A,$A281,'Error Log'!$J:$J,F$1)</f>
        <v>0</v>
      </c>
      <c r="G281" s="70">
        <f>COUNTIFS('Error Log'!$A:$A,$A281,'Error Log'!$J:$J,G$1)</f>
        <v>0</v>
      </c>
      <c r="H281" s="70">
        <f>COUNTIFS('Error Log'!$A:$A,$A281,'Error Log'!$F:$F,"Source")</f>
        <v>0</v>
      </c>
      <c r="I281" s="70">
        <f>COUNTIFS('Error Log'!$A:$A,$A281,'Error Log'!$F:$F,"Target")</f>
        <v>0</v>
      </c>
      <c r="J281" s="71">
        <f t="shared" si="4"/>
        <v>0</v>
      </c>
    </row>
    <row r="282" spans="1:10">
      <c r="A282" s="81"/>
      <c r="B282" s="70" t="str">
        <f>IF(ISBLANK(A282),"",INDEX('Error Log'!$A:$J,MATCH('Scores per segment'!$A282,'Error Log'!$A:$A,0),MATCH('Scores per segment'!B$1,'Error Log'!$A$1:$J$1,0)))</f>
        <v/>
      </c>
      <c r="C282" s="70" t="str">
        <f>IF(ISBLANK(A282),"",INDEX('Error Log'!$A:$J,MATCH('Scores per segment'!$A282,'Error Log'!$A:$A,0),MATCH('Scores per segment'!C$1,'Error Log'!$A$1:$J$1,0)))</f>
        <v/>
      </c>
      <c r="D282" s="70">
        <f>IF(H282=0,wdct(TRIM(C282)),0)</f>
        <v>0</v>
      </c>
      <c r="E282" s="70">
        <f>COUNTIFS('Error Log'!$A:$A,$A282,'Error Log'!$J:$J,E$1)</f>
        <v>0</v>
      </c>
      <c r="F282" s="70">
        <f>COUNTIFS('Error Log'!$A:$A,$A282,'Error Log'!$J:$J,F$1)</f>
        <v>0</v>
      </c>
      <c r="G282" s="70">
        <f>COUNTIFS('Error Log'!$A:$A,$A282,'Error Log'!$J:$J,G$1)</f>
        <v>0</v>
      </c>
      <c r="H282" s="70">
        <f>COUNTIFS('Error Log'!$A:$A,$A282,'Error Log'!$F:$F,"Source")</f>
        <v>0</v>
      </c>
      <c r="I282" s="70">
        <f>COUNTIFS('Error Log'!$A:$A,$A282,'Error Log'!$F:$F,"Target")</f>
        <v>0</v>
      </c>
      <c r="J282" s="71">
        <f t="shared" si="4"/>
        <v>0</v>
      </c>
    </row>
    <row r="283" spans="1:10">
      <c r="A283" s="81"/>
      <c r="B283" s="70" t="str">
        <f>IF(ISBLANK(A283),"",INDEX('Error Log'!$A:$J,MATCH('Scores per segment'!$A283,'Error Log'!$A:$A,0),MATCH('Scores per segment'!B$1,'Error Log'!$A$1:$J$1,0)))</f>
        <v/>
      </c>
      <c r="C283" s="70" t="str">
        <f>IF(ISBLANK(A283),"",INDEX('Error Log'!$A:$J,MATCH('Scores per segment'!$A283,'Error Log'!$A:$A,0),MATCH('Scores per segment'!C$1,'Error Log'!$A$1:$J$1,0)))</f>
        <v/>
      </c>
      <c r="D283" s="70">
        <f>IF(H283=0,wdct(TRIM(C283)),0)</f>
        <v>0</v>
      </c>
      <c r="E283" s="70">
        <f>COUNTIFS('Error Log'!$A:$A,$A283,'Error Log'!$J:$J,E$1)</f>
        <v>0</v>
      </c>
      <c r="F283" s="70">
        <f>COUNTIFS('Error Log'!$A:$A,$A283,'Error Log'!$J:$J,F$1)</f>
        <v>0</v>
      </c>
      <c r="G283" s="70">
        <f>COUNTIFS('Error Log'!$A:$A,$A283,'Error Log'!$J:$J,G$1)</f>
        <v>0</v>
      </c>
      <c r="H283" s="70">
        <f>COUNTIFS('Error Log'!$A:$A,$A283,'Error Log'!$F:$F,"Source")</f>
        <v>0</v>
      </c>
      <c r="I283" s="70">
        <f>COUNTIFS('Error Log'!$A:$A,$A283,'Error Log'!$F:$F,"Target")</f>
        <v>0</v>
      </c>
      <c r="J283" s="71">
        <f t="shared" si="4"/>
        <v>0</v>
      </c>
    </row>
    <row r="284" spans="1:10">
      <c r="A284" s="81"/>
      <c r="B284" s="70" t="str">
        <f>IF(ISBLANK(A284),"",INDEX('Error Log'!$A:$J,MATCH('Scores per segment'!$A284,'Error Log'!$A:$A,0),MATCH('Scores per segment'!B$1,'Error Log'!$A$1:$J$1,0)))</f>
        <v/>
      </c>
      <c r="C284" s="70" t="str">
        <f>IF(ISBLANK(A284),"",INDEX('Error Log'!$A:$J,MATCH('Scores per segment'!$A284,'Error Log'!$A:$A,0),MATCH('Scores per segment'!C$1,'Error Log'!$A$1:$J$1,0)))</f>
        <v/>
      </c>
      <c r="D284" s="70">
        <f>IF(H284=0,wdct(TRIM(C284)),0)</f>
        <v>0</v>
      </c>
      <c r="E284" s="70">
        <f>COUNTIFS('Error Log'!$A:$A,$A284,'Error Log'!$J:$J,E$1)</f>
        <v>0</v>
      </c>
      <c r="F284" s="70">
        <f>COUNTIFS('Error Log'!$A:$A,$A284,'Error Log'!$J:$J,F$1)</f>
        <v>0</v>
      </c>
      <c r="G284" s="70">
        <f>COUNTIFS('Error Log'!$A:$A,$A284,'Error Log'!$J:$J,G$1)</f>
        <v>0</v>
      </c>
      <c r="H284" s="70">
        <f>COUNTIFS('Error Log'!$A:$A,$A284,'Error Log'!$F:$F,"Source")</f>
        <v>0</v>
      </c>
      <c r="I284" s="70">
        <f>COUNTIFS('Error Log'!$A:$A,$A284,'Error Log'!$F:$F,"Target")</f>
        <v>0</v>
      </c>
      <c r="J284" s="71">
        <f t="shared" si="4"/>
        <v>0</v>
      </c>
    </row>
    <row r="285" spans="1:10">
      <c r="A285" s="81"/>
      <c r="B285" s="70" t="str">
        <f>IF(ISBLANK(A285),"",INDEX('Error Log'!$A:$J,MATCH('Scores per segment'!$A285,'Error Log'!$A:$A,0),MATCH('Scores per segment'!B$1,'Error Log'!$A$1:$J$1,0)))</f>
        <v/>
      </c>
      <c r="C285" s="70" t="str">
        <f>IF(ISBLANK(A285),"",INDEX('Error Log'!$A:$J,MATCH('Scores per segment'!$A285,'Error Log'!$A:$A,0),MATCH('Scores per segment'!C$1,'Error Log'!$A$1:$J$1,0)))</f>
        <v/>
      </c>
      <c r="D285" s="70">
        <f>IF(H285=0,wdct(TRIM(C285)),0)</f>
        <v>0</v>
      </c>
      <c r="E285" s="70">
        <f>COUNTIFS('Error Log'!$A:$A,$A285,'Error Log'!$J:$J,E$1)</f>
        <v>0</v>
      </c>
      <c r="F285" s="70">
        <f>COUNTIFS('Error Log'!$A:$A,$A285,'Error Log'!$J:$J,F$1)</f>
        <v>0</v>
      </c>
      <c r="G285" s="70">
        <f>COUNTIFS('Error Log'!$A:$A,$A285,'Error Log'!$J:$J,G$1)</f>
        <v>0</v>
      </c>
      <c r="H285" s="70">
        <f>COUNTIFS('Error Log'!$A:$A,$A285,'Error Log'!$F:$F,"Source")</f>
        <v>0</v>
      </c>
      <c r="I285" s="70">
        <f>COUNTIFS('Error Log'!$A:$A,$A285,'Error Log'!$F:$F,"Target")</f>
        <v>0</v>
      </c>
      <c r="J285" s="71">
        <f t="shared" si="4"/>
        <v>0</v>
      </c>
    </row>
    <row r="286" spans="1:10">
      <c r="A286" s="81"/>
      <c r="B286" s="70" t="str">
        <f>IF(ISBLANK(A286),"",INDEX('Error Log'!$A:$J,MATCH('Scores per segment'!$A286,'Error Log'!$A:$A,0),MATCH('Scores per segment'!B$1,'Error Log'!$A$1:$J$1,0)))</f>
        <v/>
      </c>
      <c r="C286" s="70" t="str">
        <f>IF(ISBLANK(A286),"",INDEX('Error Log'!$A:$J,MATCH('Scores per segment'!$A286,'Error Log'!$A:$A,0),MATCH('Scores per segment'!C$1,'Error Log'!$A$1:$J$1,0)))</f>
        <v/>
      </c>
      <c r="D286" s="70">
        <f>IF(H286=0,wdct(TRIM(C286)),0)</f>
        <v>0</v>
      </c>
      <c r="E286" s="70">
        <f>COUNTIFS('Error Log'!$A:$A,$A286,'Error Log'!$J:$J,E$1)</f>
        <v>0</v>
      </c>
      <c r="F286" s="70">
        <f>COUNTIFS('Error Log'!$A:$A,$A286,'Error Log'!$J:$J,F$1)</f>
        <v>0</v>
      </c>
      <c r="G286" s="70">
        <f>COUNTIFS('Error Log'!$A:$A,$A286,'Error Log'!$J:$J,G$1)</f>
        <v>0</v>
      </c>
      <c r="H286" s="70">
        <f>COUNTIFS('Error Log'!$A:$A,$A286,'Error Log'!$F:$F,"Source")</f>
        <v>0</v>
      </c>
      <c r="I286" s="70">
        <f>COUNTIFS('Error Log'!$A:$A,$A286,'Error Log'!$F:$F,"Target")</f>
        <v>0</v>
      </c>
      <c r="J286" s="71">
        <f t="shared" si="4"/>
        <v>0</v>
      </c>
    </row>
    <row r="287" spans="1:10">
      <c r="A287" s="81"/>
      <c r="B287" s="70" t="str">
        <f>IF(ISBLANK(A287),"",INDEX('Error Log'!$A:$J,MATCH('Scores per segment'!$A287,'Error Log'!$A:$A,0),MATCH('Scores per segment'!B$1,'Error Log'!$A$1:$J$1,0)))</f>
        <v/>
      </c>
      <c r="C287" s="70" t="str">
        <f>IF(ISBLANK(A287),"",INDEX('Error Log'!$A:$J,MATCH('Scores per segment'!$A287,'Error Log'!$A:$A,0),MATCH('Scores per segment'!C$1,'Error Log'!$A$1:$J$1,0)))</f>
        <v/>
      </c>
      <c r="D287" s="70">
        <f>IF(H287=0,wdct(TRIM(C287)),0)</f>
        <v>0</v>
      </c>
      <c r="E287" s="70">
        <f>COUNTIFS('Error Log'!$A:$A,$A287,'Error Log'!$J:$J,E$1)</f>
        <v>0</v>
      </c>
      <c r="F287" s="70">
        <f>COUNTIFS('Error Log'!$A:$A,$A287,'Error Log'!$J:$J,F$1)</f>
        <v>0</v>
      </c>
      <c r="G287" s="70">
        <f>COUNTIFS('Error Log'!$A:$A,$A287,'Error Log'!$J:$J,G$1)</f>
        <v>0</v>
      </c>
      <c r="H287" s="70">
        <f>COUNTIFS('Error Log'!$A:$A,$A287,'Error Log'!$F:$F,"Source")</f>
        <v>0</v>
      </c>
      <c r="I287" s="70">
        <f>COUNTIFS('Error Log'!$A:$A,$A287,'Error Log'!$F:$F,"Target")</f>
        <v>0</v>
      </c>
      <c r="J287" s="71">
        <f t="shared" si="4"/>
        <v>0</v>
      </c>
    </row>
    <row r="288" spans="1:10">
      <c r="A288" s="81"/>
      <c r="B288" s="70" t="str">
        <f>IF(ISBLANK(A288),"",INDEX('Error Log'!$A:$J,MATCH('Scores per segment'!$A288,'Error Log'!$A:$A,0),MATCH('Scores per segment'!B$1,'Error Log'!$A$1:$J$1,0)))</f>
        <v/>
      </c>
      <c r="C288" s="70" t="str">
        <f>IF(ISBLANK(A288),"",INDEX('Error Log'!$A:$J,MATCH('Scores per segment'!$A288,'Error Log'!$A:$A,0),MATCH('Scores per segment'!C$1,'Error Log'!$A$1:$J$1,0)))</f>
        <v/>
      </c>
      <c r="D288" s="70">
        <f>IF(H288=0,wdct(TRIM(C288)),0)</f>
        <v>0</v>
      </c>
      <c r="E288" s="70">
        <f>COUNTIFS('Error Log'!$A:$A,$A288,'Error Log'!$J:$J,E$1)</f>
        <v>0</v>
      </c>
      <c r="F288" s="70">
        <f>COUNTIFS('Error Log'!$A:$A,$A288,'Error Log'!$J:$J,F$1)</f>
        <v>0</v>
      </c>
      <c r="G288" s="70">
        <f>COUNTIFS('Error Log'!$A:$A,$A288,'Error Log'!$J:$J,G$1)</f>
        <v>0</v>
      </c>
      <c r="H288" s="70">
        <f>COUNTIFS('Error Log'!$A:$A,$A288,'Error Log'!$F:$F,"Source")</f>
        <v>0</v>
      </c>
      <c r="I288" s="70">
        <f>COUNTIFS('Error Log'!$A:$A,$A288,'Error Log'!$F:$F,"Target")</f>
        <v>0</v>
      </c>
      <c r="J288" s="71">
        <f t="shared" si="4"/>
        <v>0</v>
      </c>
    </row>
    <row r="289" spans="1:10">
      <c r="A289" s="81"/>
      <c r="B289" s="70" t="str">
        <f>IF(ISBLANK(A289),"",INDEX('Error Log'!$A:$J,MATCH('Scores per segment'!$A289,'Error Log'!$A:$A,0),MATCH('Scores per segment'!B$1,'Error Log'!$A$1:$J$1,0)))</f>
        <v/>
      </c>
      <c r="C289" s="70" t="str">
        <f>IF(ISBLANK(A289),"",INDEX('Error Log'!$A:$J,MATCH('Scores per segment'!$A289,'Error Log'!$A:$A,0),MATCH('Scores per segment'!C$1,'Error Log'!$A$1:$J$1,0)))</f>
        <v/>
      </c>
      <c r="D289" s="70">
        <f>IF(H289=0,wdct(TRIM(C289)),0)</f>
        <v>0</v>
      </c>
      <c r="E289" s="70">
        <f>COUNTIFS('Error Log'!$A:$A,$A289,'Error Log'!$J:$J,E$1)</f>
        <v>0</v>
      </c>
      <c r="F289" s="70">
        <f>COUNTIFS('Error Log'!$A:$A,$A289,'Error Log'!$J:$J,F$1)</f>
        <v>0</v>
      </c>
      <c r="G289" s="70">
        <f>COUNTIFS('Error Log'!$A:$A,$A289,'Error Log'!$J:$J,G$1)</f>
        <v>0</v>
      </c>
      <c r="H289" s="70">
        <f>COUNTIFS('Error Log'!$A:$A,$A289,'Error Log'!$F:$F,"Source")</f>
        <v>0</v>
      </c>
      <c r="I289" s="70">
        <f>COUNTIFS('Error Log'!$A:$A,$A289,'Error Log'!$F:$F,"Target")</f>
        <v>0</v>
      </c>
      <c r="J289" s="71">
        <f t="shared" si="4"/>
        <v>0</v>
      </c>
    </row>
    <row r="290" spans="1:10">
      <c r="A290" s="81"/>
      <c r="B290" s="70" t="str">
        <f>IF(ISBLANK(A290),"",INDEX('Error Log'!$A:$J,MATCH('Scores per segment'!$A290,'Error Log'!$A:$A,0),MATCH('Scores per segment'!B$1,'Error Log'!$A$1:$J$1,0)))</f>
        <v/>
      </c>
      <c r="C290" s="70" t="str">
        <f>IF(ISBLANK(A290),"",INDEX('Error Log'!$A:$J,MATCH('Scores per segment'!$A290,'Error Log'!$A:$A,0),MATCH('Scores per segment'!C$1,'Error Log'!$A$1:$J$1,0)))</f>
        <v/>
      </c>
      <c r="D290" s="70">
        <f>IF(H290=0,wdct(TRIM(C290)),0)</f>
        <v>0</v>
      </c>
      <c r="E290" s="70">
        <f>COUNTIFS('Error Log'!$A:$A,$A290,'Error Log'!$J:$J,E$1)</f>
        <v>0</v>
      </c>
      <c r="F290" s="70">
        <f>COUNTIFS('Error Log'!$A:$A,$A290,'Error Log'!$J:$J,F$1)</f>
        <v>0</v>
      </c>
      <c r="G290" s="70">
        <f>COUNTIFS('Error Log'!$A:$A,$A290,'Error Log'!$J:$J,G$1)</f>
        <v>0</v>
      </c>
      <c r="H290" s="70">
        <f>COUNTIFS('Error Log'!$A:$A,$A290,'Error Log'!$F:$F,"Source")</f>
        <v>0</v>
      </c>
      <c r="I290" s="70">
        <f>COUNTIFS('Error Log'!$A:$A,$A290,'Error Log'!$F:$F,"Target")</f>
        <v>0</v>
      </c>
      <c r="J290" s="71">
        <f t="shared" si="4"/>
        <v>0</v>
      </c>
    </row>
    <row r="291" spans="1:10">
      <c r="A291" s="81"/>
      <c r="B291" s="70" t="str">
        <f>IF(ISBLANK(A291),"",INDEX('Error Log'!$A:$J,MATCH('Scores per segment'!$A291,'Error Log'!$A:$A,0),MATCH('Scores per segment'!B$1,'Error Log'!$A$1:$J$1,0)))</f>
        <v/>
      </c>
      <c r="C291" s="70" t="str">
        <f>IF(ISBLANK(A291),"",INDEX('Error Log'!$A:$J,MATCH('Scores per segment'!$A291,'Error Log'!$A:$A,0),MATCH('Scores per segment'!C$1,'Error Log'!$A$1:$J$1,0)))</f>
        <v/>
      </c>
      <c r="D291" s="70">
        <f>IF(H291=0,wdct(TRIM(C291)),0)</f>
        <v>0</v>
      </c>
      <c r="E291" s="70">
        <f>COUNTIFS('Error Log'!$A:$A,$A291,'Error Log'!$J:$J,E$1)</f>
        <v>0</v>
      </c>
      <c r="F291" s="70">
        <f>COUNTIFS('Error Log'!$A:$A,$A291,'Error Log'!$J:$J,F$1)</f>
        <v>0</v>
      </c>
      <c r="G291" s="70">
        <f>COUNTIFS('Error Log'!$A:$A,$A291,'Error Log'!$J:$J,G$1)</f>
        <v>0</v>
      </c>
      <c r="H291" s="70">
        <f>COUNTIFS('Error Log'!$A:$A,$A291,'Error Log'!$F:$F,"Source")</f>
        <v>0</v>
      </c>
      <c r="I291" s="70">
        <f>COUNTIFS('Error Log'!$A:$A,$A291,'Error Log'!$F:$F,"Target")</f>
        <v>0</v>
      </c>
      <c r="J291" s="71">
        <f t="shared" si="4"/>
        <v>0</v>
      </c>
    </row>
    <row r="292" spans="1:10">
      <c r="A292" s="81"/>
      <c r="B292" s="70" t="str">
        <f>IF(ISBLANK(A292),"",INDEX('Error Log'!$A:$J,MATCH('Scores per segment'!$A292,'Error Log'!$A:$A,0),MATCH('Scores per segment'!B$1,'Error Log'!$A$1:$J$1,0)))</f>
        <v/>
      </c>
      <c r="C292" s="70" t="str">
        <f>IF(ISBLANK(A292),"",INDEX('Error Log'!$A:$J,MATCH('Scores per segment'!$A292,'Error Log'!$A:$A,0),MATCH('Scores per segment'!C$1,'Error Log'!$A$1:$J$1,0)))</f>
        <v/>
      </c>
      <c r="D292" s="70">
        <f>IF(H292=0,wdct(TRIM(C292)),0)</f>
        <v>0</v>
      </c>
      <c r="E292" s="70">
        <f>COUNTIFS('Error Log'!$A:$A,$A292,'Error Log'!$J:$J,E$1)</f>
        <v>0</v>
      </c>
      <c r="F292" s="70">
        <f>COUNTIFS('Error Log'!$A:$A,$A292,'Error Log'!$J:$J,F$1)</f>
        <v>0</v>
      </c>
      <c r="G292" s="70">
        <f>COUNTIFS('Error Log'!$A:$A,$A292,'Error Log'!$J:$J,G$1)</f>
        <v>0</v>
      </c>
      <c r="H292" s="70">
        <f>COUNTIFS('Error Log'!$A:$A,$A292,'Error Log'!$F:$F,"Source")</f>
        <v>0</v>
      </c>
      <c r="I292" s="70">
        <f>COUNTIFS('Error Log'!$A:$A,$A292,'Error Log'!$F:$F,"Target")</f>
        <v>0</v>
      </c>
      <c r="J292" s="71">
        <f t="shared" si="4"/>
        <v>0</v>
      </c>
    </row>
    <row r="293" spans="1:10">
      <c r="A293" s="81"/>
      <c r="B293" s="70" t="str">
        <f>IF(ISBLANK(A293),"",INDEX('Error Log'!$A:$J,MATCH('Scores per segment'!$A293,'Error Log'!$A:$A,0),MATCH('Scores per segment'!B$1,'Error Log'!$A$1:$J$1,0)))</f>
        <v/>
      </c>
      <c r="C293" s="70" t="str">
        <f>IF(ISBLANK(A293),"",INDEX('Error Log'!$A:$J,MATCH('Scores per segment'!$A293,'Error Log'!$A:$A,0),MATCH('Scores per segment'!C$1,'Error Log'!$A$1:$J$1,0)))</f>
        <v/>
      </c>
      <c r="D293" s="70">
        <f>IF(H293=0,wdct(TRIM(C293)),0)</f>
        <v>0</v>
      </c>
      <c r="E293" s="70">
        <f>COUNTIFS('Error Log'!$A:$A,$A293,'Error Log'!$J:$J,E$1)</f>
        <v>0</v>
      </c>
      <c r="F293" s="70">
        <f>COUNTIFS('Error Log'!$A:$A,$A293,'Error Log'!$J:$J,F$1)</f>
        <v>0</v>
      </c>
      <c r="G293" s="70">
        <f>COUNTIFS('Error Log'!$A:$A,$A293,'Error Log'!$J:$J,G$1)</f>
        <v>0</v>
      </c>
      <c r="H293" s="70">
        <f>COUNTIFS('Error Log'!$A:$A,$A293,'Error Log'!$F:$F,"Source")</f>
        <v>0</v>
      </c>
      <c r="I293" s="70">
        <f>COUNTIFS('Error Log'!$A:$A,$A293,'Error Log'!$F:$F,"Target")</f>
        <v>0</v>
      </c>
      <c r="J293" s="71">
        <f t="shared" si="4"/>
        <v>0</v>
      </c>
    </row>
    <row r="294" spans="1:10">
      <c r="A294" s="81"/>
      <c r="B294" s="70" t="str">
        <f>IF(ISBLANK(A294),"",INDEX('Error Log'!$A:$J,MATCH('Scores per segment'!$A294,'Error Log'!$A:$A,0),MATCH('Scores per segment'!B$1,'Error Log'!$A$1:$J$1,0)))</f>
        <v/>
      </c>
      <c r="C294" s="70" t="str">
        <f>IF(ISBLANK(A294),"",INDEX('Error Log'!$A:$J,MATCH('Scores per segment'!$A294,'Error Log'!$A:$A,0),MATCH('Scores per segment'!C$1,'Error Log'!$A$1:$J$1,0)))</f>
        <v/>
      </c>
      <c r="D294" s="70">
        <f>IF(H294=0,wdct(TRIM(C294)),0)</f>
        <v>0</v>
      </c>
      <c r="E294" s="70">
        <f>COUNTIFS('Error Log'!$A:$A,$A294,'Error Log'!$J:$J,E$1)</f>
        <v>0</v>
      </c>
      <c r="F294" s="70">
        <f>COUNTIFS('Error Log'!$A:$A,$A294,'Error Log'!$J:$J,F$1)</f>
        <v>0</v>
      </c>
      <c r="G294" s="70">
        <f>COUNTIFS('Error Log'!$A:$A,$A294,'Error Log'!$J:$J,G$1)</f>
        <v>0</v>
      </c>
      <c r="H294" s="70">
        <f>COUNTIFS('Error Log'!$A:$A,$A294,'Error Log'!$F:$F,"Source")</f>
        <v>0</v>
      </c>
      <c r="I294" s="70">
        <f>COUNTIFS('Error Log'!$A:$A,$A294,'Error Log'!$F:$F,"Target")</f>
        <v>0</v>
      </c>
      <c r="J294" s="71">
        <f t="shared" si="4"/>
        <v>0</v>
      </c>
    </row>
    <row r="295" spans="1:10">
      <c r="A295" s="81"/>
      <c r="B295" s="70" t="str">
        <f>IF(ISBLANK(A295),"",INDEX('Error Log'!$A:$J,MATCH('Scores per segment'!$A295,'Error Log'!$A:$A,0),MATCH('Scores per segment'!B$1,'Error Log'!$A$1:$J$1,0)))</f>
        <v/>
      </c>
      <c r="C295" s="70" t="str">
        <f>IF(ISBLANK(A295),"",INDEX('Error Log'!$A:$J,MATCH('Scores per segment'!$A295,'Error Log'!$A:$A,0),MATCH('Scores per segment'!C$1,'Error Log'!$A$1:$J$1,0)))</f>
        <v/>
      </c>
      <c r="D295" s="70">
        <f>IF(H295=0,wdct(TRIM(C295)),0)</f>
        <v>0</v>
      </c>
      <c r="E295" s="70">
        <f>COUNTIFS('Error Log'!$A:$A,$A295,'Error Log'!$J:$J,E$1)</f>
        <v>0</v>
      </c>
      <c r="F295" s="70">
        <f>COUNTIFS('Error Log'!$A:$A,$A295,'Error Log'!$J:$J,F$1)</f>
        <v>0</v>
      </c>
      <c r="G295" s="70">
        <f>COUNTIFS('Error Log'!$A:$A,$A295,'Error Log'!$J:$J,G$1)</f>
        <v>0</v>
      </c>
      <c r="H295" s="70">
        <f>COUNTIFS('Error Log'!$A:$A,$A295,'Error Log'!$F:$F,"Source")</f>
        <v>0</v>
      </c>
      <c r="I295" s="70">
        <f>COUNTIFS('Error Log'!$A:$A,$A295,'Error Log'!$F:$F,"Target")</f>
        <v>0</v>
      </c>
      <c r="J295" s="71">
        <f t="shared" si="4"/>
        <v>0</v>
      </c>
    </row>
    <row r="296" spans="1:10">
      <c r="A296" s="81"/>
      <c r="B296" s="70" t="str">
        <f>IF(ISBLANK(A296),"",INDEX('Error Log'!$A:$J,MATCH('Scores per segment'!$A296,'Error Log'!$A:$A,0),MATCH('Scores per segment'!B$1,'Error Log'!$A$1:$J$1,0)))</f>
        <v/>
      </c>
      <c r="C296" s="70" t="str">
        <f>IF(ISBLANK(A296),"",INDEX('Error Log'!$A:$J,MATCH('Scores per segment'!$A296,'Error Log'!$A:$A,0),MATCH('Scores per segment'!C$1,'Error Log'!$A$1:$J$1,0)))</f>
        <v/>
      </c>
      <c r="D296" s="70">
        <f>IF(H296=0,wdct(TRIM(C296)),0)</f>
        <v>0</v>
      </c>
      <c r="E296" s="70">
        <f>COUNTIFS('Error Log'!$A:$A,$A296,'Error Log'!$J:$J,E$1)</f>
        <v>0</v>
      </c>
      <c r="F296" s="70">
        <f>COUNTIFS('Error Log'!$A:$A,$A296,'Error Log'!$J:$J,F$1)</f>
        <v>0</v>
      </c>
      <c r="G296" s="70">
        <f>COUNTIFS('Error Log'!$A:$A,$A296,'Error Log'!$J:$J,G$1)</f>
        <v>0</v>
      </c>
      <c r="H296" s="70">
        <f>COUNTIFS('Error Log'!$A:$A,$A296,'Error Log'!$F:$F,"Source")</f>
        <v>0</v>
      </c>
      <c r="I296" s="70">
        <f>COUNTIFS('Error Log'!$A:$A,$A296,'Error Log'!$F:$F,"Target")</f>
        <v>0</v>
      </c>
      <c r="J296" s="71">
        <f t="shared" si="4"/>
        <v>0</v>
      </c>
    </row>
    <row r="297" spans="1:10">
      <c r="A297" s="81"/>
      <c r="B297" s="70" t="str">
        <f>IF(ISBLANK(A297),"",INDEX('Error Log'!$A:$J,MATCH('Scores per segment'!$A297,'Error Log'!$A:$A,0),MATCH('Scores per segment'!B$1,'Error Log'!$A$1:$J$1,0)))</f>
        <v/>
      </c>
      <c r="C297" s="70" t="str">
        <f>IF(ISBLANK(A297),"",INDEX('Error Log'!$A:$J,MATCH('Scores per segment'!$A297,'Error Log'!$A:$A,0),MATCH('Scores per segment'!C$1,'Error Log'!$A$1:$J$1,0)))</f>
        <v/>
      </c>
      <c r="D297" s="70">
        <f>IF(H297=0,wdct(TRIM(C297)),0)</f>
        <v>0</v>
      </c>
      <c r="E297" s="70">
        <f>COUNTIFS('Error Log'!$A:$A,$A297,'Error Log'!$J:$J,E$1)</f>
        <v>0</v>
      </c>
      <c r="F297" s="70">
        <f>COUNTIFS('Error Log'!$A:$A,$A297,'Error Log'!$J:$J,F$1)</f>
        <v>0</v>
      </c>
      <c r="G297" s="70">
        <f>COUNTIFS('Error Log'!$A:$A,$A297,'Error Log'!$J:$J,G$1)</f>
        <v>0</v>
      </c>
      <c r="H297" s="70">
        <f>COUNTIFS('Error Log'!$A:$A,$A297,'Error Log'!$F:$F,"Source")</f>
        <v>0</v>
      </c>
      <c r="I297" s="70">
        <f>COUNTIFS('Error Log'!$A:$A,$A297,'Error Log'!$F:$F,"Target")</f>
        <v>0</v>
      </c>
      <c r="J297" s="71">
        <f t="shared" si="4"/>
        <v>0</v>
      </c>
    </row>
    <row r="298" spans="1:10">
      <c r="A298" s="81"/>
      <c r="B298" s="70" t="str">
        <f>IF(ISBLANK(A298),"",INDEX('Error Log'!$A:$J,MATCH('Scores per segment'!$A298,'Error Log'!$A:$A,0),MATCH('Scores per segment'!B$1,'Error Log'!$A$1:$J$1,0)))</f>
        <v/>
      </c>
      <c r="C298" s="70" t="str">
        <f>IF(ISBLANK(A298),"",INDEX('Error Log'!$A:$J,MATCH('Scores per segment'!$A298,'Error Log'!$A:$A,0),MATCH('Scores per segment'!C$1,'Error Log'!$A$1:$J$1,0)))</f>
        <v/>
      </c>
      <c r="D298" s="70">
        <f>IF(H298=0,wdct(TRIM(C298)),0)</f>
        <v>0</v>
      </c>
      <c r="E298" s="70">
        <f>COUNTIFS('Error Log'!$A:$A,$A298,'Error Log'!$J:$J,E$1)</f>
        <v>0</v>
      </c>
      <c r="F298" s="70">
        <f>COUNTIFS('Error Log'!$A:$A,$A298,'Error Log'!$J:$J,F$1)</f>
        <v>0</v>
      </c>
      <c r="G298" s="70">
        <f>COUNTIFS('Error Log'!$A:$A,$A298,'Error Log'!$J:$J,G$1)</f>
        <v>0</v>
      </c>
      <c r="H298" s="70">
        <f>COUNTIFS('Error Log'!$A:$A,$A298,'Error Log'!$F:$F,"Source")</f>
        <v>0</v>
      </c>
      <c r="I298" s="70">
        <f>COUNTIFS('Error Log'!$A:$A,$A298,'Error Log'!$F:$F,"Target")</f>
        <v>0</v>
      </c>
      <c r="J298" s="71">
        <f t="shared" si="4"/>
        <v>0</v>
      </c>
    </row>
    <row r="299" spans="1:10">
      <c r="A299" s="81"/>
      <c r="B299" s="70" t="str">
        <f>IF(ISBLANK(A299),"",INDEX('Error Log'!$A:$J,MATCH('Scores per segment'!$A299,'Error Log'!$A:$A,0),MATCH('Scores per segment'!B$1,'Error Log'!$A$1:$J$1,0)))</f>
        <v/>
      </c>
      <c r="C299" s="70" t="str">
        <f>IF(ISBLANK(A299),"",INDEX('Error Log'!$A:$J,MATCH('Scores per segment'!$A299,'Error Log'!$A:$A,0),MATCH('Scores per segment'!C$1,'Error Log'!$A$1:$J$1,0)))</f>
        <v/>
      </c>
      <c r="D299" s="70">
        <f>IF(H299=0,wdct(TRIM(C299)),0)</f>
        <v>0</v>
      </c>
      <c r="E299" s="70">
        <f>COUNTIFS('Error Log'!$A:$A,$A299,'Error Log'!$J:$J,E$1)</f>
        <v>0</v>
      </c>
      <c r="F299" s="70">
        <f>COUNTIFS('Error Log'!$A:$A,$A299,'Error Log'!$J:$J,F$1)</f>
        <v>0</v>
      </c>
      <c r="G299" s="70">
        <f>COUNTIFS('Error Log'!$A:$A,$A299,'Error Log'!$J:$J,G$1)</f>
        <v>0</v>
      </c>
      <c r="H299" s="70">
        <f>COUNTIFS('Error Log'!$A:$A,$A299,'Error Log'!$F:$F,"Source")</f>
        <v>0</v>
      </c>
      <c r="I299" s="70">
        <f>COUNTIFS('Error Log'!$A:$A,$A299,'Error Log'!$F:$F,"Target")</f>
        <v>0</v>
      </c>
      <c r="J299" s="71">
        <f t="shared" si="4"/>
        <v>0</v>
      </c>
    </row>
    <row r="300" spans="1:10">
      <c r="A300" s="81"/>
      <c r="B300" s="70" t="str">
        <f>IF(ISBLANK(A300),"",INDEX('Error Log'!$A:$J,MATCH('Scores per segment'!$A300,'Error Log'!$A:$A,0),MATCH('Scores per segment'!B$1,'Error Log'!$A$1:$J$1,0)))</f>
        <v/>
      </c>
      <c r="C300" s="70" t="str">
        <f>IF(ISBLANK(A300),"",INDEX('Error Log'!$A:$J,MATCH('Scores per segment'!$A300,'Error Log'!$A:$A,0),MATCH('Scores per segment'!C$1,'Error Log'!$A$1:$J$1,0)))</f>
        <v/>
      </c>
      <c r="D300" s="70">
        <f>IF(H300=0,wdct(TRIM(C300)),0)</f>
        <v>0</v>
      </c>
      <c r="E300" s="70">
        <f>COUNTIFS('Error Log'!$A:$A,$A300,'Error Log'!$J:$J,E$1)</f>
        <v>0</v>
      </c>
      <c r="F300" s="70">
        <f>COUNTIFS('Error Log'!$A:$A,$A300,'Error Log'!$J:$J,F$1)</f>
        <v>0</v>
      </c>
      <c r="G300" s="70">
        <f>COUNTIFS('Error Log'!$A:$A,$A300,'Error Log'!$J:$J,G$1)</f>
        <v>0</v>
      </c>
      <c r="H300" s="70">
        <f>COUNTIFS('Error Log'!$A:$A,$A300,'Error Log'!$F:$F,"Source")</f>
        <v>0</v>
      </c>
      <c r="I300" s="70">
        <f>COUNTIFS('Error Log'!$A:$A,$A300,'Error Log'!$F:$F,"Target")</f>
        <v>0</v>
      </c>
      <c r="J300" s="71">
        <f t="shared" si="4"/>
        <v>0</v>
      </c>
    </row>
    <row r="301" spans="1:10">
      <c r="A301" s="81"/>
      <c r="B301" s="70" t="str">
        <f>IF(ISBLANK(A301),"",INDEX('Error Log'!$A:$J,MATCH('Scores per segment'!$A301,'Error Log'!$A:$A,0),MATCH('Scores per segment'!B$1,'Error Log'!$A$1:$J$1,0)))</f>
        <v/>
      </c>
      <c r="C301" s="70" t="str">
        <f>IF(ISBLANK(A301),"",INDEX('Error Log'!$A:$J,MATCH('Scores per segment'!$A301,'Error Log'!$A:$A,0),MATCH('Scores per segment'!C$1,'Error Log'!$A$1:$J$1,0)))</f>
        <v/>
      </c>
      <c r="D301" s="70">
        <f>IF(H301=0,wdct(TRIM(C301)),0)</f>
        <v>0</v>
      </c>
      <c r="E301" s="70">
        <f>COUNTIFS('Error Log'!$A:$A,$A301,'Error Log'!$J:$J,E$1)</f>
        <v>0</v>
      </c>
      <c r="F301" s="70">
        <f>COUNTIFS('Error Log'!$A:$A,$A301,'Error Log'!$J:$J,F$1)</f>
        <v>0</v>
      </c>
      <c r="G301" s="70">
        <f>COUNTIFS('Error Log'!$A:$A,$A301,'Error Log'!$J:$J,G$1)</f>
        <v>0</v>
      </c>
      <c r="H301" s="70">
        <f>COUNTIFS('Error Log'!$A:$A,$A301,'Error Log'!$F:$F,"Source")</f>
        <v>0</v>
      </c>
      <c r="I301" s="70">
        <f>COUNTIFS('Error Log'!$A:$A,$A301,'Error Log'!$F:$F,"Target")</f>
        <v>0</v>
      </c>
      <c r="J301" s="71">
        <f t="shared" si="4"/>
        <v>0</v>
      </c>
    </row>
    <row r="302" spans="1:10">
      <c r="A302" s="81"/>
      <c r="B302" s="70" t="str">
        <f>IF(ISBLANK(A302),"",INDEX('Error Log'!$A:$J,MATCH('Scores per segment'!$A302,'Error Log'!$A:$A,0),MATCH('Scores per segment'!B$1,'Error Log'!$A$1:$J$1,0)))</f>
        <v/>
      </c>
      <c r="C302" s="70" t="str">
        <f>IF(ISBLANK(A302),"",INDEX('Error Log'!$A:$J,MATCH('Scores per segment'!$A302,'Error Log'!$A:$A,0),MATCH('Scores per segment'!C$1,'Error Log'!$A$1:$J$1,0)))</f>
        <v/>
      </c>
      <c r="D302" s="70">
        <f>IF(H302=0,wdct(TRIM(C302)),0)</f>
        <v>0</v>
      </c>
      <c r="E302" s="70">
        <f>COUNTIFS('Error Log'!$A:$A,$A302,'Error Log'!$J:$J,E$1)</f>
        <v>0</v>
      </c>
      <c r="F302" s="70">
        <f>COUNTIFS('Error Log'!$A:$A,$A302,'Error Log'!$J:$J,F$1)</f>
        <v>0</v>
      </c>
      <c r="G302" s="70">
        <f>COUNTIFS('Error Log'!$A:$A,$A302,'Error Log'!$J:$J,G$1)</f>
        <v>0</v>
      </c>
      <c r="H302" s="70">
        <f>COUNTIFS('Error Log'!$A:$A,$A302,'Error Log'!$F:$F,"Source")</f>
        <v>0</v>
      </c>
      <c r="I302" s="70">
        <f>COUNTIFS('Error Log'!$A:$A,$A302,'Error Log'!$F:$F,"Target")</f>
        <v>0</v>
      </c>
      <c r="J302" s="71">
        <f t="shared" si="4"/>
        <v>0</v>
      </c>
    </row>
    <row r="303" spans="1:10">
      <c r="A303" s="81"/>
      <c r="B303" s="70" t="str">
        <f>IF(ISBLANK(A303),"",INDEX('Error Log'!$A:$J,MATCH('Scores per segment'!$A303,'Error Log'!$A:$A,0),MATCH('Scores per segment'!B$1,'Error Log'!$A$1:$J$1,0)))</f>
        <v/>
      </c>
      <c r="C303" s="70" t="str">
        <f>IF(ISBLANK(A303),"",INDEX('Error Log'!$A:$J,MATCH('Scores per segment'!$A303,'Error Log'!$A:$A,0),MATCH('Scores per segment'!C$1,'Error Log'!$A$1:$J$1,0)))</f>
        <v/>
      </c>
      <c r="D303" s="70">
        <f>IF(H303=0,wdct(TRIM(C303)),0)</f>
        <v>0</v>
      </c>
      <c r="E303" s="70">
        <f>COUNTIFS('Error Log'!$A:$A,$A303,'Error Log'!$J:$J,E$1)</f>
        <v>0</v>
      </c>
      <c r="F303" s="70">
        <f>COUNTIFS('Error Log'!$A:$A,$A303,'Error Log'!$J:$J,F$1)</f>
        <v>0</v>
      </c>
      <c r="G303" s="70">
        <f>COUNTIFS('Error Log'!$A:$A,$A303,'Error Log'!$J:$J,G$1)</f>
        <v>0</v>
      </c>
      <c r="H303" s="70">
        <f>COUNTIFS('Error Log'!$A:$A,$A303,'Error Log'!$F:$F,"Source")</f>
        <v>0</v>
      </c>
      <c r="I303" s="70">
        <f>COUNTIFS('Error Log'!$A:$A,$A303,'Error Log'!$F:$F,"Target")</f>
        <v>0</v>
      </c>
      <c r="J303" s="71">
        <f t="shared" si="4"/>
        <v>0</v>
      </c>
    </row>
    <row r="304" spans="1:10">
      <c r="A304" s="81"/>
      <c r="B304" s="70" t="str">
        <f>IF(ISBLANK(A304),"",INDEX('Error Log'!$A:$J,MATCH('Scores per segment'!$A304,'Error Log'!$A:$A,0),MATCH('Scores per segment'!B$1,'Error Log'!$A$1:$J$1,0)))</f>
        <v/>
      </c>
      <c r="C304" s="70" t="str">
        <f>IF(ISBLANK(A304),"",INDEX('Error Log'!$A:$J,MATCH('Scores per segment'!$A304,'Error Log'!$A:$A,0),MATCH('Scores per segment'!C$1,'Error Log'!$A$1:$J$1,0)))</f>
        <v/>
      </c>
      <c r="D304" s="70">
        <f>IF(H304=0,wdct(TRIM(C304)),0)</f>
        <v>0</v>
      </c>
      <c r="E304" s="70">
        <f>COUNTIFS('Error Log'!$A:$A,$A304,'Error Log'!$J:$J,E$1)</f>
        <v>0</v>
      </c>
      <c r="F304" s="70">
        <f>COUNTIFS('Error Log'!$A:$A,$A304,'Error Log'!$J:$J,F$1)</f>
        <v>0</v>
      </c>
      <c r="G304" s="70">
        <f>COUNTIFS('Error Log'!$A:$A,$A304,'Error Log'!$J:$J,G$1)</f>
        <v>0</v>
      </c>
      <c r="H304" s="70">
        <f>COUNTIFS('Error Log'!$A:$A,$A304,'Error Log'!$F:$F,"Source")</f>
        <v>0</v>
      </c>
      <c r="I304" s="70">
        <f>COUNTIFS('Error Log'!$A:$A,$A304,'Error Log'!$F:$F,"Target")</f>
        <v>0</v>
      </c>
      <c r="J304" s="71">
        <f t="shared" si="4"/>
        <v>0</v>
      </c>
    </row>
    <row r="305" spans="1:10">
      <c r="A305" s="81"/>
      <c r="B305" s="70" t="str">
        <f>IF(ISBLANK(A305),"",INDEX('Error Log'!$A:$J,MATCH('Scores per segment'!$A305,'Error Log'!$A:$A,0),MATCH('Scores per segment'!B$1,'Error Log'!$A$1:$J$1,0)))</f>
        <v/>
      </c>
      <c r="C305" s="70" t="str">
        <f>IF(ISBLANK(A305),"",INDEX('Error Log'!$A:$J,MATCH('Scores per segment'!$A305,'Error Log'!$A:$A,0),MATCH('Scores per segment'!C$1,'Error Log'!$A$1:$J$1,0)))</f>
        <v/>
      </c>
      <c r="D305" s="70">
        <f>IF(H305=0,wdct(TRIM(C305)),0)</f>
        <v>0</v>
      </c>
      <c r="E305" s="70">
        <f>COUNTIFS('Error Log'!$A:$A,$A305,'Error Log'!$J:$J,E$1)</f>
        <v>0</v>
      </c>
      <c r="F305" s="70">
        <f>COUNTIFS('Error Log'!$A:$A,$A305,'Error Log'!$J:$J,F$1)</f>
        <v>0</v>
      </c>
      <c r="G305" s="70">
        <f>COUNTIFS('Error Log'!$A:$A,$A305,'Error Log'!$J:$J,G$1)</f>
        <v>0</v>
      </c>
      <c r="H305" s="70">
        <f>COUNTIFS('Error Log'!$A:$A,$A305,'Error Log'!$F:$F,"Source")</f>
        <v>0</v>
      </c>
      <c r="I305" s="70">
        <f>COUNTIFS('Error Log'!$A:$A,$A305,'Error Log'!$F:$F,"Target")</f>
        <v>0</v>
      </c>
      <c r="J305" s="71">
        <f t="shared" si="4"/>
        <v>0</v>
      </c>
    </row>
    <row r="306" spans="1:10">
      <c r="A306" s="81"/>
      <c r="B306" s="70" t="str">
        <f>IF(ISBLANK(A306),"",INDEX('Error Log'!$A:$J,MATCH('Scores per segment'!$A306,'Error Log'!$A:$A,0),MATCH('Scores per segment'!B$1,'Error Log'!$A$1:$J$1,0)))</f>
        <v/>
      </c>
      <c r="C306" s="70" t="str">
        <f>IF(ISBLANK(A306),"",INDEX('Error Log'!$A:$J,MATCH('Scores per segment'!$A306,'Error Log'!$A:$A,0),MATCH('Scores per segment'!C$1,'Error Log'!$A$1:$J$1,0)))</f>
        <v/>
      </c>
      <c r="D306" s="70">
        <f>IF(H306=0,wdct(TRIM(C306)),0)</f>
        <v>0</v>
      </c>
      <c r="E306" s="70">
        <f>COUNTIFS('Error Log'!$A:$A,$A306,'Error Log'!$J:$J,E$1)</f>
        <v>0</v>
      </c>
      <c r="F306" s="70">
        <f>COUNTIFS('Error Log'!$A:$A,$A306,'Error Log'!$J:$J,F$1)</f>
        <v>0</v>
      </c>
      <c r="G306" s="70">
        <f>COUNTIFS('Error Log'!$A:$A,$A306,'Error Log'!$J:$J,G$1)</f>
        <v>0</v>
      </c>
      <c r="H306" s="70">
        <f>COUNTIFS('Error Log'!$A:$A,$A306,'Error Log'!$F:$F,"Source")</f>
        <v>0</v>
      </c>
      <c r="I306" s="70">
        <f>COUNTIFS('Error Log'!$A:$A,$A306,'Error Log'!$F:$F,"Target")</f>
        <v>0</v>
      </c>
      <c r="J306" s="71">
        <f t="shared" si="4"/>
        <v>0</v>
      </c>
    </row>
    <row r="307" spans="1:10">
      <c r="A307" s="81"/>
      <c r="B307" s="70" t="str">
        <f>IF(ISBLANK(A307),"",INDEX('Error Log'!$A:$J,MATCH('Scores per segment'!$A307,'Error Log'!$A:$A,0),MATCH('Scores per segment'!B$1,'Error Log'!$A$1:$J$1,0)))</f>
        <v/>
      </c>
      <c r="C307" s="70" t="str">
        <f>IF(ISBLANK(A307),"",INDEX('Error Log'!$A:$J,MATCH('Scores per segment'!$A307,'Error Log'!$A:$A,0),MATCH('Scores per segment'!C$1,'Error Log'!$A$1:$J$1,0)))</f>
        <v/>
      </c>
      <c r="D307" s="70">
        <f>IF(H307=0,wdct(TRIM(C307)),0)</f>
        <v>0</v>
      </c>
      <c r="E307" s="70">
        <f>COUNTIFS('Error Log'!$A:$A,$A307,'Error Log'!$J:$J,E$1)</f>
        <v>0</v>
      </c>
      <c r="F307" s="70">
        <f>COUNTIFS('Error Log'!$A:$A,$A307,'Error Log'!$J:$J,F$1)</f>
        <v>0</v>
      </c>
      <c r="G307" s="70">
        <f>COUNTIFS('Error Log'!$A:$A,$A307,'Error Log'!$J:$J,G$1)</f>
        <v>0</v>
      </c>
      <c r="H307" s="70">
        <f>COUNTIFS('Error Log'!$A:$A,$A307,'Error Log'!$F:$F,"Source")</f>
        <v>0</v>
      </c>
      <c r="I307" s="70">
        <f>COUNTIFS('Error Log'!$A:$A,$A307,'Error Log'!$F:$F,"Target")</f>
        <v>0</v>
      </c>
      <c r="J307" s="71">
        <f t="shared" si="4"/>
        <v>0</v>
      </c>
    </row>
    <row r="308" spans="1:10">
      <c r="A308" s="81"/>
      <c r="B308" s="70" t="str">
        <f>IF(ISBLANK(A308),"",INDEX('Error Log'!$A:$J,MATCH('Scores per segment'!$A308,'Error Log'!$A:$A,0),MATCH('Scores per segment'!B$1,'Error Log'!$A$1:$J$1,0)))</f>
        <v/>
      </c>
      <c r="C308" s="70" t="str">
        <f>IF(ISBLANK(A308),"",INDEX('Error Log'!$A:$J,MATCH('Scores per segment'!$A308,'Error Log'!$A:$A,0),MATCH('Scores per segment'!C$1,'Error Log'!$A$1:$J$1,0)))</f>
        <v/>
      </c>
      <c r="D308" s="70">
        <f>IF(H308=0,wdct(TRIM(C308)),0)</f>
        <v>0</v>
      </c>
      <c r="E308" s="70">
        <f>COUNTIFS('Error Log'!$A:$A,$A308,'Error Log'!$J:$J,E$1)</f>
        <v>0</v>
      </c>
      <c r="F308" s="70">
        <f>COUNTIFS('Error Log'!$A:$A,$A308,'Error Log'!$J:$J,F$1)</f>
        <v>0</v>
      </c>
      <c r="G308" s="70">
        <f>COUNTIFS('Error Log'!$A:$A,$A308,'Error Log'!$J:$J,G$1)</f>
        <v>0</v>
      </c>
      <c r="H308" s="70">
        <f>COUNTIFS('Error Log'!$A:$A,$A308,'Error Log'!$F:$F,"Source")</f>
        <v>0</v>
      </c>
      <c r="I308" s="70">
        <f>COUNTIFS('Error Log'!$A:$A,$A308,'Error Log'!$F:$F,"Target")</f>
        <v>0</v>
      </c>
      <c r="J308" s="71">
        <f t="shared" si="4"/>
        <v>0</v>
      </c>
    </row>
    <row r="309" spans="1:10">
      <c r="A309" s="81"/>
      <c r="B309" s="70" t="str">
        <f>IF(ISBLANK(A309),"",INDEX('Error Log'!$A:$J,MATCH('Scores per segment'!$A309,'Error Log'!$A:$A,0),MATCH('Scores per segment'!B$1,'Error Log'!$A$1:$J$1,0)))</f>
        <v/>
      </c>
      <c r="C309" s="70" t="str">
        <f>IF(ISBLANK(A309),"",INDEX('Error Log'!$A:$J,MATCH('Scores per segment'!$A309,'Error Log'!$A:$A,0),MATCH('Scores per segment'!C$1,'Error Log'!$A$1:$J$1,0)))</f>
        <v/>
      </c>
      <c r="D309" s="70">
        <f>IF(H309=0,wdct(TRIM(C309)),0)</f>
        <v>0</v>
      </c>
      <c r="E309" s="70">
        <f>COUNTIFS('Error Log'!$A:$A,$A309,'Error Log'!$J:$J,E$1)</f>
        <v>0</v>
      </c>
      <c r="F309" s="70">
        <f>COUNTIFS('Error Log'!$A:$A,$A309,'Error Log'!$J:$J,F$1)</f>
        <v>0</v>
      </c>
      <c r="G309" s="70">
        <f>COUNTIFS('Error Log'!$A:$A,$A309,'Error Log'!$J:$J,G$1)</f>
        <v>0</v>
      </c>
      <c r="H309" s="70">
        <f>COUNTIFS('Error Log'!$A:$A,$A309,'Error Log'!$F:$F,"Source")</f>
        <v>0</v>
      </c>
      <c r="I309" s="70">
        <f>COUNTIFS('Error Log'!$A:$A,$A309,'Error Log'!$F:$F,"Target")</f>
        <v>0</v>
      </c>
      <c r="J309" s="71">
        <f t="shared" si="4"/>
        <v>0</v>
      </c>
    </row>
    <row r="310" spans="1:10">
      <c r="A310" s="81"/>
      <c r="B310" s="70" t="str">
        <f>IF(ISBLANK(A310),"",INDEX('Error Log'!$A:$J,MATCH('Scores per segment'!$A310,'Error Log'!$A:$A,0),MATCH('Scores per segment'!B$1,'Error Log'!$A$1:$J$1,0)))</f>
        <v/>
      </c>
      <c r="C310" s="70" t="str">
        <f>IF(ISBLANK(A310),"",INDEX('Error Log'!$A:$J,MATCH('Scores per segment'!$A310,'Error Log'!$A:$A,0),MATCH('Scores per segment'!C$1,'Error Log'!$A$1:$J$1,0)))</f>
        <v/>
      </c>
      <c r="D310" s="70">
        <f>IF(H310=0,wdct(TRIM(C310)),0)</f>
        <v>0</v>
      </c>
      <c r="E310" s="70">
        <f>COUNTIFS('Error Log'!$A:$A,$A310,'Error Log'!$J:$J,E$1)</f>
        <v>0</v>
      </c>
      <c r="F310" s="70">
        <f>COUNTIFS('Error Log'!$A:$A,$A310,'Error Log'!$J:$J,F$1)</f>
        <v>0</v>
      </c>
      <c r="G310" s="70">
        <f>COUNTIFS('Error Log'!$A:$A,$A310,'Error Log'!$J:$J,G$1)</f>
        <v>0</v>
      </c>
      <c r="H310" s="70">
        <f>COUNTIFS('Error Log'!$A:$A,$A310,'Error Log'!$F:$F,"Source")</f>
        <v>0</v>
      </c>
      <c r="I310" s="70">
        <f>COUNTIFS('Error Log'!$A:$A,$A310,'Error Log'!$F:$F,"Target")</f>
        <v>0</v>
      </c>
      <c r="J310" s="71">
        <f t="shared" si="4"/>
        <v>0</v>
      </c>
    </row>
    <row r="311" spans="1:10">
      <c r="A311" s="81"/>
      <c r="B311" s="70" t="str">
        <f>IF(ISBLANK(A311),"",INDEX('Error Log'!$A:$J,MATCH('Scores per segment'!$A311,'Error Log'!$A:$A,0),MATCH('Scores per segment'!B$1,'Error Log'!$A$1:$J$1,0)))</f>
        <v/>
      </c>
      <c r="C311" s="70" t="str">
        <f>IF(ISBLANK(A311),"",INDEX('Error Log'!$A:$J,MATCH('Scores per segment'!$A311,'Error Log'!$A:$A,0),MATCH('Scores per segment'!C$1,'Error Log'!$A$1:$J$1,0)))</f>
        <v/>
      </c>
      <c r="D311" s="70">
        <f>IF(H311=0,wdct(TRIM(C311)),0)</f>
        <v>0</v>
      </c>
      <c r="E311" s="70">
        <f>COUNTIFS('Error Log'!$A:$A,$A311,'Error Log'!$J:$J,E$1)</f>
        <v>0</v>
      </c>
      <c r="F311" s="70">
        <f>COUNTIFS('Error Log'!$A:$A,$A311,'Error Log'!$J:$J,F$1)</f>
        <v>0</v>
      </c>
      <c r="G311" s="70">
        <f>COUNTIFS('Error Log'!$A:$A,$A311,'Error Log'!$J:$J,G$1)</f>
        <v>0</v>
      </c>
      <c r="H311" s="70">
        <f>COUNTIFS('Error Log'!$A:$A,$A311,'Error Log'!$F:$F,"Source")</f>
        <v>0</v>
      </c>
      <c r="I311" s="70">
        <f>COUNTIFS('Error Log'!$A:$A,$A311,'Error Log'!$F:$F,"Target")</f>
        <v>0</v>
      </c>
      <c r="J311" s="71">
        <f t="shared" si="4"/>
        <v>0</v>
      </c>
    </row>
    <row r="312" spans="1:10">
      <c r="A312" s="81"/>
      <c r="B312" s="70" t="str">
        <f>IF(ISBLANK(A312),"",INDEX('Error Log'!$A:$J,MATCH('Scores per segment'!$A312,'Error Log'!$A:$A,0),MATCH('Scores per segment'!B$1,'Error Log'!$A$1:$J$1,0)))</f>
        <v/>
      </c>
      <c r="C312" s="70" t="str">
        <f>IF(ISBLANK(A312),"",INDEX('Error Log'!$A:$J,MATCH('Scores per segment'!$A312,'Error Log'!$A:$A,0),MATCH('Scores per segment'!C$1,'Error Log'!$A$1:$J$1,0)))</f>
        <v/>
      </c>
      <c r="D312" s="70">
        <f>IF(H312=0,wdct(TRIM(C312)),0)</f>
        <v>0</v>
      </c>
      <c r="E312" s="70">
        <f>COUNTIFS('Error Log'!$A:$A,$A312,'Error Log'!$J:$J,E$1)</f>
        <v>0</v>
      </c>
      <c r="F312" s="70">
        <f>COUNTIFS('Error Log'!$A:$A,$A312,'Error Log'!$J:$J,F$1)</f>
        <v>0</v>
      </c>
      <c r="G312" s="70">
        <f>COUNTIFS('Error Log'!$A:$A,$A312,'Error Log'!$J:$J,G$1)</f>
        <v>0</v>
      </c>
      <c r="H312" s="70">
        <f>COUNTIFS('Error Log'!$A:$A,$A312,'Error Log'!$F:$F,"Source")</f>
        <v>0</v>
      </c>
      <c r="I312" s="70">
        <f>COUNTIFS('Error Log'!$A:$A,$A312,'Error Log'!$F:$F,"Target")</f>
        <v>0</v>
      </c>
      <c r="J312" s="71">
        <f t="shared" si="4"/>
        <v>0</v>
      </c>
    </row>
    <row r="313" spans="1:10">
      <c r="A313" s="81"/>
      <c r="B313" s="70" t="str">
        <f>IF(ISBLANK(A313),"",INDEX('Error Log'!$A:$J,MATCH('Scores per segment'!$A313,'Error Log'!$A:$A,0),MATCH('Scores per segment'!B$1,'Error Log'!$A$1:$J$1,0)))</f>
        <v/>
      </c>
      <c r="C313" s="70" t="str">
        <f>IF(ISBLANK(A313),"",INDEX('Error Log'!$A:$J,MATCH('Scores per segment'!$A313,'Error Log'!$A:$A,0),MATCH('Scores per segment'!C$1,'Error Log'!$A$1:$J$1,0)))</f>
        <v/>
      </c>
      <c r="D313" s="70">
        <f>IF(H313=0,wdct(TRIM(C313)),0)</f>
        <v>0</v>
      </c>
      <c r="E313" s="70">
        <f>COUNTIFS('Error Log'!$A:$A,$A313,'Error Log'!$J:$J,E$1)</f>
        <v>0</v>
      </c>
      <c r="F313" s="70">
        <f>COUNTIFS('Error Log'!$A:$A,$A313,'Error Log'!$J:$J,F$1)</f>
        <v>0</v>
      </c>
      <c r="G313" s="70">
        <f>COUNTIFS('Error Log'!$A:$A,$A313,'Error Log'!$J:$J,G$1)</f>
        <v>0</v>
      </c>
      <c r="H313" s="70">
        <f>COUNTIFS('Error Log'!$A:$A,$A313,'Error Log'!$F:$F,"Source")</f>
        <v>0</v>
      </c>
      <c r="I313" s="70">
        <f>COUNTIFS('Error Log'!$A:$A,$A313,'Error Log'!$F:$F,"Target")</f>
        <v>0</v>
      </c>
      <c r="J313" s="71">
        <f t="shared" si="4"/>
        <v>0</v>
      </c>
    </row>
    <row r="314" spans="1:10">
      <c r="A314" s="81"/>
      <c r="B314" s="70" t="str">
        <f>IF(ISBLANK(A314),"",INDEX('Error Log'!$A:$J,MATCH('Scores per segment'!$A314,'Error Log'!$A:$A,0),MATCH('Scores per segment'!B$1,'Error Log'!$A$1:$J$1,0)))</f>
        <v/>
      </c>
      <c r="C314" s="70" t="str">
        <f>IF(ISBLANK(A314),"",INDEX('Error Log'!$A:$J,MATCH('Scores per segment'!$A314,'Error Log'!$A:$A,0),MATCH('Scores per segment'!C$1,'Error Log'!$A$1:$J$1,0)))</f>
        <v/>
      </c>
      <c r="D314" s="70">
        <f>IF(H314=0,wdct(TRIM(C314)),0)</f>
        <v>0</v>
      </c>
      <c r="E314" s="70">
        <f>COUNTIFS('Error Log'!$A:$A,$A314,'Error Log'!$J:$J,E$1)</f>
        <v>0</v>
      </c>
      <c r="F314" s="70">
        <f>COUNTIFS('Error Log'!$A:$A,$A314,'Error Log'!$J:$J,F$1)</f>
        <v>0</v>
      </c>
      <c r="G314" s="70">
        <f>COUNTIFS('Error Log'!$A:$A,$A314,'Error Log'!$J:$J,G$1)</f>
        <v>0</v>
      </c>
      <c r="H314" s="70">
        <f>COUNTIFS('Error Log'!$A:$A,$A314,'Error Log'!$F:$F,"Source")</f>
        <v>0</v>
      </c>
      <c r="I314" s="70">
        <f>COUNTIFS('Error Log'!$A:$A,$A314,'Error Log'!$F:$F,"Target")</f>
        <v>0</v>
      </c>
      <c r="J314" s="71">
        <f t="shared" si="4"/>
        <v>0</v>
      </c>
    </row>
    <row r="315" spans="1:10">
      <c r="A315" s="81"/>
      <c r="B315" s="70" t="str">
        <f>IF(ISBLANK(A315),"",INDEX('Error Log'!$A:$J,MATCH('Scores per segment'!$A315,'Error Log'!$A:$A,0),MATCH('Scores per segment'!B$1,'Error Log'!$A$1:$J$1,0)))</f>
        <v/>
      </c>
      <c r="C315" s="70" t="str">
        <f>IF(ISBLANK(A315),"",INDEX('Error Log'!$A:$J,MATCH('Scores per segment'!$A315,'Error Log'!$A:$A,0),MATCH('Scores per segment'!C$1,'Error Log'!$A$1:$J$1,0)))</f>
        <v/>
      </c>
      <c r="D315" s="70">
        <f>IF(H315=0,wdct(TRIM(C315)),0)</f>
        <v>0</v>
      </c>
      <c r="E315" s="70">
        <f>COUNTIFS('Error Log'!$A:$A,$A315,'Error Log'!$J:$J,E$1)</f>
        <v>0</v>
      </c>
      <c r="F315" s="70">
        <f>COUNTIFS('Error Log'!$A:$A,$A315,'Error Log'!$J:$J,F$1)</f>
        <v>0</v>
      </c>
      <c r="G315" s="70">
        <f>COUNTIFS('Error Log'!$A:$A,$A315,'Error Log'!$J:$J,G$1)</f>
        <v>0</v>
      </c>
      <c r="H315" s="70">
        <f>COUNTIFS('Error Log'!$A:$A,$A315,'Error Log'!$F:$F,"Source")</f>
        <v>0</v>
      </c>
      <c r="I315" s="70">
        <f>COUNTIFS('Error Log'!$A:$A,$A315,'Error Log'!$F:$F,"Target")</f>
        <v>0</v>
      </c>
      <c r="J315" s="71">
        <f t="shared" si="4"/>
        <v>0</v>
      </c>
    </row>
    <row r="316" spans="1:10">
      <c r="A316" s="81"/>
      <c r="B316" s="70" t="str">
        <f>IF(ISBLANK(A316),"",INDEX('Error Log'!$A:$J,MATCH('Scores per segment'!$A316,'Error Log'!$A:$A,0),MATCH('Scores per segment'!B$1,'Error Log'!$A$1:$J$1,0)))</f>
        <v/>
      </c>
      <c r="C316" s="70" t="str">
        <f>IF(ISBLANK(A316),"",INDEX('Error Log'!$A:$J,MATCH('Scores per segment'!$A316,'Error Log'!$A:$A,0),MATCH('Scores per segment'!C$1,'Error Log'!$A$1:$J$1,0)))</f>
        <v/>
      </c>
      <c r="D316" s="70">
        <f>IF(H316=0,wdct(TRIM(C316)),0)</f>
        <v>0</v>
      </c>
      <c r="E316" s="70">
        <f>COUNTIFS('Error Log'!$A:$A,$A316,'Error Log'!$J:$J,E$1)</f>
        <v>0</v>
      </c>
      <c r="F316" s="70">
        <f>COUNTIFS('Error Log'!$A:$A,$A316,'Error Log'!$J:$J,F$1)</f>
        <v>0</v>
      </c>
      <c r="G316" s="70">
        <f>COUNTIFS('Error Log'!$A:$A,$A316,'Error Log'!$J:$J,G$1)</f>
        <v>0</v>
      </c>
      <c r="H316" s="70">
        <f>COUNTIFS('Error Log'!$A:$A,$A316,'Error Log'!$F:$F,"Source")</f>
        <v>0</v>
      </c>
      <c r="I316" s="70">
        <f>COUNTIFS('Error Log'!$A:$A,$A316,'Error Log'!$F:$F,"Target")</f>
        <v>0</v>
      </c>
      <c r="J316" s="71">
        <f t="shared" si="4"/>
        <v>0</v>
      </c>
    </row>
    <row r="317" spans="1:10">
      <c r="A317" s="81"/>
      <c r="B317" s="70" t="str">
        <f>IF(ISBLANK(A317),"",INDEX('Error Log'!$A:$J,MATCH('Scores per segment'!$A317,'Error Log'!$A:$A,0),MATCH('Scores per segment'!B$1,'Error Log'!$A$1:$J$1,0)))</f>
        <v/>
      </c>
      <c r="C317" s="70" t="str">
        <f>IF(ISBLANK(A317),"",INDEX('Error Log'!$A:$J,MATCH('Scores per segment'!$A317,'Error Log'!$A:$A,0),MATCH('Scores per segment'!C$1,'Error Log'!$A$1:$J$1,0)))</f>
        <v/>
      </c>
      <c r="D317" s="70">
        <f>IF(H317=0,wdct(TRIM(C317)),0)</f>
        <v>0</v>
      </c>
      <c r="E317" s="70">
        <f>COUNTIFS('Error Log'!$A:$A,$A317,'Error Log'!$J:$J,E$1)</f>
        <v>0</v>
      </c>
      <c r="F317" s="70">
        <f>COUNTIFS('Error Log'!$A:$A,$A317,'Error Log'!$J:$J,F$1)</f>
        <v>0</v>
      </c>
      <c r="G317" s="70">
        <f>COUNTIFS('Error Log'!$A:$A,$A317,'Error Log'!$J:$J,G$1)</f>
        <v>0</v>
      </c>
      <c r="H317" s="70">
        <f>COUNTIFS('Error Log'!$A:$A,$A317,'Error Log'!$F:$F,"Source")</f>
        <v>0</v>
      </c>
      <c r="I317" s="70">
        <f>COUNTIFS('Error Log'!$A:$A,$A317,'Error Log'!$F:$F,"Target")</f>
        <v>0</v>
      </c>
      <c r="J317" s="71">
        <f t="shared" si="4"/>
        <v>0</v>
      </c>
    </row>
    <row r="318" spans="1:10">
      <c r="A318" s="81"/>
      <c r="B318" s="70" t="str">
        <f>IF(ISBLANK(A318),"",INDEX('Error Log'!$A:$J,MATCH('Scores per segment'!$A318,'Error Log'!$A:$A,0),MATCH('Scores per segment'!B$1,'Error Log'!$A$1:$J$1,0)))</f>
        <v/>
      </c>
      <c r="C318" s="70" t="str">
        <f>IF(ISBLANK(A318),"",INDEX('Error Log'!$A:$J,MATCH('Scores per segment'!$A318,'Error Log'!$A:$A,0),MATCH('Scores per segment'!C$1,'Error Log'!$A$1:$J$1,0)))</f>
        <v/>
      </c>
      <c r="D318" s="70">
        <f>IF(H318=0,wdct(TRIM(C318)),0)</f>
        <v>0</v>
      </c>
      <c r="E318" s="70">
        <f>COUNTIFS('Error Log'!$A:$A,$A318,'Error Log'!$J:$J,E$1)</f>
        <v>0</v>
      </c>
      <c r="F318" s="70">
        <f>COUNTIFS('Error Log'!$A:$A,$A318,'Error Log'!$J:$J,F$1)</f>
        <v>0</v>
      </c>
      <c r="G318" s="70">
        <f>COUNTIFS('Error Log'!$A:$A,$A318,'Error Log'!$J:$J,G$1)</f>
        <v>0</v>
      </c>
      <c r="H318" s="70">
        <f>COUNTIFS('Error Log'!$A:$A,$A318,'Error Log'!$F:$F,"Source")</f>
        <v>0</v>
      </c>
      <c r="I318" s="70">
        <f>COUNTIFS('Error Log'!$A:$A,$A318,'Error Log'!$F:$F,"Target")</f>
        <v>0</v>
      </c>
      <c r="J318" s="71">
        <f t="shared" si="4"/>
        <v>0</v>
      </c>
    </row>
    <row r="319" spans="1:10">
      <c r="A319" s="81"/>
      <c r="B319" s="70" t="str">
        <f>IF(ISBLANK(A319),"",INDEX('Error Log'!$A:$J,MATCH('Scores per segment'!$A319,'Error Log'!$A:$A,0),MATCH('Scores per segment'!B$1,'Error Log'!$A$1:$J$1,0)))</f>
        <v/>
      </c>
      <c r="C319" s="70" t="str">
        <f>IF(ISBLANK(A319),"",INDEX('Error Log'!$A:$J,MATCH('Scores per segment'!$A319,'Error Log'!$A:$A,0),MATCH('Scores per segment'!C$1,'Error Log'!$A$1:$J$1,0)))</f>
        <v/>
      </c>
      <c r="D319" s="70">
        <f>IF(H319=0,wdct(TRIM(C319)),0)</f>
        <v>0</v>
      </c>
      <c r="E319" s="70">
        <f>COUNTIFS('Error Log'!$A:$A,$A319,'Error Log'!$J:$J,E$1)</f>
        <v>0</v>
      </c>
      <c r="F319" s="70">
        <f>COUNTIFS('Error Log'!$A:$A,$A319,'Error Log'!$J:$J,F$1)</f>
        <v>0</v>
      </c>
      <c r="G319" s="70">
        <f>COUNTIFS('Error Log'!$A:$A,$A319,'Error Log'!$J:$J,G$1)</f>
        <v>0</v>
      </c>
      <c r="H319" s="70">
        <f>COUNTIFS('Error Log'!$A:$A,$A319,'Error Log'!$F:$F,"Source")</f>
        <v>0</v>
      </c>
      <c r="I319" s="70">
        <f>COUNTIFS('Error Log'!$A:$A,$A319,'Error Log'!$F:$F,"Target")</f>
        <v>0</v>
      </c>
      <c r="J319" s="71">
        <f t="shared" si="4"/>
        <v>0</v>
      </c>
    </row>
    <row r="320" spans="1:10">
      <c r="A320" s="81"/>
      <c r="B320" s="70" t="str">
        <f>IF(ISBLANK(A320),"",INDEX('Error Log'!$A:$J,MATCH('Scores per segment'!$A320,'Error Log'!$A:$A,0),MATCH('Scores per segment'!B$1,'Error Log'!$A$1:$J$1,0)))</f>
        <v/>
      </c>
      <c r="C320" s="70" t="str">
        <f>IF(ISBLANK(A320),"",INDEX('Error Log'!$A:$J,MATCH('Scores per segment'!$A320,'Error Log'!$A:$A,0),MATCH('Scores per segment'!C$1,'Error Log'!$A$1:$J$1,0)))</f>
        <v/>
      </c>
      <c r="D320" s="70">
        <f>IF(H320=0,wdct(TRIM(C320)),0)</f>
        <v>0</v>
      </c>
      <c r="E320" s="70">
        <f>COUNTIFS('Error Log'!$A:$A,$A320,'Error Log'!$J:$J,E$1)</f>
        <v>0</v>
      </c>
      <c r="F320" s="70">
        <f>COUNTIFS('Error Log'!$A:$A,$A320,'Error Log'!$J:$J,F$1)</f>
        <v>0</v>
      </c>
      <c r="G320" s="70">
        <f>COUNTIFS('Error Log'!$A:$A,$A320,'Error Log'!$J:$J,G$1)</f>
        <v>0</v>
      </c>
      <c r="H320" s="70">
        <f>COUNTIFS('Error Log'!$A:$A,$A320,'Error Log'!$F:$F,"Source")</f>
        <v>0</v>
      </c>
      <c r="I320" s="70">
        <f>COUNTIFS('Error Log'!$A:$A,$A320,'Error Log'!$F:$F,"Target")</f>
        <v>0</v>
      </c>
      <c r="J320" s="71">
        <f t="shared" si="4"/>
        <v>0</v>
      </c>
    </row>
    <row r="321" spans="1:10">
      <c r="A321" s="81"/>
      <c r="B321" s="70" t="str">
        <f>IF(ISBLANK(A321),"",INDEX('Error Log'!$A:$J,MATCH('Scores per segment'!$A321,'Error Log'!$A:$A,0),MATCH('Scores per segment'!B$1,'Error Log'!$A$1:$J$1,0)))</f>
        <v/>
      </c>
      <c r="C321" s="70" t="str">
        <f>IF(ISBLANK(A321),"",INDEX('Error Log'!$A:$J,MATCH('Scores per segment'!$A321,'Error Log'!$A:$A,0),MATCH('Scores per segment'!C$1,'Error Log'!$A$1:$J$1,0)))</f>
        <v/>
      </c>
      <c r="D321" s="70">
        <f>IF(H321=0,wdct(TRIM(C321)),0)</f>
        <v>0</v>
      </c>
      <c r="E321" s="70">
        <f>COUNTIFS('Error Log'!$A:$A,$A321,'Error Log'!$J:$J,E$1)</f>
        <v>0</v>
      </c>
      <c r="F321" s="70">
        <f>COUNTIFS('Error Log'!$A:$A,$A321,'Error Log'!$J:$J,F$1)</f>
        <v>0</v>
      </c>
      <c r="G321" s="70">
        <f>COUNTIFS('Error Log'!$A:$A,$A321,'Error Log'!$J:$J,G$1)</f>
        <v>0</v>
      </c>
      <c r="H321" s="70">
        <f>COUNTIFS('Error Log'!$A:$A,$A321,'Error Log'!$F:$F,"Source")</f>
        <v>0</v>
      </c>
      <c r="I321" s="70">
        <f>COUNTIFS('Error Log'!$A:$A,$A321,'Error Log'!$F:$F,"Target")</f>
        <v>0</v>
      </c>
      <c r="J321" s="71">
        <f t="shared" si="4"/>
        <v>0</v>
      </c>
    </row>
    <row r="322" spans="1:10">
      <c r="A322" s="81"/>
      <c r="B322" s="70" t="str">
        <f>IF(ISBLANK(A322),"",INDEX('Error Log'!$A:$J,MATCH('Scores per segment'!$A322,'Error Log'!$A:$A,0),MATCH('Scores per segment'!B$1,'Error Log'!$A$1:$J$1,0)))</f>
        <v/>
      </c>
      <c r="C322" s="70" t="str">
        <f>IF(ISBLANK(A322),"",INDEX('Error Log'!$A:$J,MATCH('Scores per segment'!$A322,'Error Log'!$A:$A,0),MATCH('Scores per segment'!C$1,'Error Log'!$A$1:$J$1,0)))</f>
        <v/>
      </c>
      <c r="D322" s="70">
        <f>IF(H322=0,wdct(TRIM(C322)),0)</f>
        <v>0</v>
      </c>
      <c r="E322" s="70">
        <f>COUNTIFS('Error Log'!$A:$A,$A322,'Error Log'!$J:$J,E$1)</f>
        <v>0</v>
      </c>
      <c r="F322" s="70">
        <f>COUNTIFS('Error Log'!$A:$A,$A322,'Error Log'!$J:$J,F$1)</f>
        <v>0</v>
      </c>
      <c r="G322" s="70">
        <f>COUNTIFS('Error Log'!$A:$A,$A322,'Error Log'!$J:$J,G$1)</f>
        <v>0</v>
      </c>
      <c r="H322" s="70">
        <f>COUNTIFS('Error Log'!$A:$A,$A322,'Error Log'!$F:$F,"Source")</f>
        <v>0</v>
      </c>
      <c r="I322" s="70">
        <f>COUNTIFS('Error Log'!$A:$A,$A322,'Error Log'!$F:$F,"Target")</f>
        <v>0</v>
      </c>
      <c r="J322" s="71">
        <f t="shared" ref="J322:J385" si="5">IF(I322=0,IFERROR((((1-((E322*10+F322*5+G322*1)/D322))*100)+100)/2,0),-150)</f>
        <v>0</v>
      </c>
    </row>
    <row r="323" spans="1:10">
      <c r="A323" s="81"/>
      <c r="B323" s="70" t="str">
        <f>IF(ISBLANK(A323),"",INDEX('Error Log'!$A:$J,MATCH('Scores per segment'!$A323,'Error Log'!$A:$A,0),MATCH('Scores per segment'!B$1,'Error Log'!$A$1:$J$1,0)))</f>
        <v/>
      </c>
      <c r="C323" s="70" t="str">
        <f>IF(ISBLANK(A323),"",INDEX('Error Log'!$A:$J,MATCH('Scores per segment'!$A323,'Error Log'!$A:$A,0),MATCH('Scores per segment'!C$1,'Error Log'!$A$1:$J$1,0)))</f>
        <v/>
      </c>
      <c r="D323" s="70">
        <f>IF(H323=0,wdct(TRIM(C323)),0)</f>
        <v>0</v>
      </c>
      <c r="E323" s="70">
        <f>COUNTIFS('Error Log'!$A:$A,$A323,'Error Log'!$J:$J,E$1)</f>
        <v>0</v>
      </c>
      <c r="F323" s="70">
        <f>COUNTIFS('Error Log'!$A:$A,$A323,'Error Log'!$J:$J,F$1)</f>
        <v>0</v>
      </c>
      <c r="G323" s="70">
        <f>COUNTIFS('Error Log'!$A:$A,$A323,'Error Log'!$J:$J,G$1)</f>
        <v>0</v>
      </c>
      <c r="H323" s="70">
        <f>COUNTIFS('Error Log'!$A:$A,$A323,'Error Log'!$F:$F,"Source")</f>
        <v>0</v>
      </c>
      <c r="I323" s="70">
        <f>COUNTIFS('Error Log'!$A:$A,$A323,'Error Log'!$F:$F,"Target")</f>
        <v>0</v>
      </c>
      <c r="J323" s="71">
        <f t="shared" si="5"/>
        <v>0</v>
      </c>
    </row>
    <row r="324" spans="1:10">
      <c r="A324" s="81"/>
      <c r="B324" s="70" t="str">
        <f>IF(ISBLANK(A324),"",INDEX('Error Log'!$A:$J,MATCH('Scores per segment'!$A324,'Error Log'!$A:$A,0),MATCH('Scores per segment'!B$1,'Error Log'!$A$1:$J$1,0)))</f>
        <v/>
      </c>
      <c r="C324" s="70" t="str">
        <f>IF(ISBLANK(A324),"",INDEX('Error Log'!$A:$J,MATCH('Scores per segment'!$A324,'Error Log'!$A:$A,0),MATCH('Scores per segment'!C$1,'Error Log'!$A$1:$J$1,0)))</f>
        <v/>
      </c>
      <c r="D324" s="70">
        <f>IF(H324=0,wdct(TRIM(C324)),0)</f>
        <v>0</v>
      </c>
      <c r="E324" s="70">
        <f>COUNTIFS('Error Log'!$A:$A,$A324,'Error Log'!$J:$J,E$1)</f>
        <v>0</v>
      </c>
      <c r="F324" s="70">
        <f>COUNTIFS('Error Log'!$A:$A,$A324,'Error Log'!$J:$J,F$1)</f>
        <v>0</v>
      </c>
      <c r="G324" s="70">
        <f>COUNTIFS('Error Log'!$A:$A,$A324,'Error Log'!$J:$J,G$1)</f>
        <v>0</v>
      </c>
      <c r="H324" s="70">
        <f>COUNTIFS('Error Log'!$A:$A,$A324,'Error Log'!$F:$F,"Source")</f>
        <v>0</v>
      </c>
      <c r="I324" s="70">
        <f>COUNTIFS('Error Log'!$A:$A,$A324,'Error Log'!$F:$F,"Target")</f>
        <v>0</v>
      </c>
      <c r="J324" s="71">
        <f t="shared" si="5"/>
        <v>0</v>
      </c>
    </row>
    <row r="325" spans="1:10">
      <c r="A325" s="81"/>
      <c r="B325" s="70" t="str">
        <f>IF(ISBLANK(A325),"",INDEX('Error Log'!$A:$J,MATCH('Scores per segment'!$A325,'Error Log'!$A:$A,0),MATCH('Scores per segment'!B$1,'Error Log'!$A$1:$J$1,0)))</f>
        <v/>
      </c>
      <c r="C325" s="70" t="str">
        <f>IF(ISBLANK(A325),"",INDEX('Error Log'!$A:$J,MATCH('Scores per segment'!$A325,'Error Log'!$A:$A,0),MATCH('Scores per segment'!C$1,'Error Log'!$A$1:$J$1,0)))</f>
        <v/>
      </c>
      <c r="D325" s="70">
        <f>IF(H325=0,wdct(TRIM(C325)),0)</f>
        <v>0</v>
      </c>
      <c r="E325" s="70">
        <f>COUNTIFS('Error Log'!$A:$A,$A325,'Error Log'!$J:$J,E$1)</f>
        <v>0</v>
      </c>
      <c r="F325" s="70">
        <f>COUNTIFS('Error Log'!$A:$A,$A325,'Error Log'!$J:$J,F$1)</f>
        <v>0</v>
      </c>
      <c r="G325" s="70">
        <f>COUNTIFS('Error Log'!$A:$A,$A325,'Error Log'!$J:$J,G$1)</f>
        <v>0</v>
      </c>
      <c r="H325" s="70">
        <f>COUNTIFS('Error Log'!$A:$A,$A325,'Error Log'!$F:$F,"Source")</f>
        <v>0</v>
      </c>
      <c r="I325" s="70">
        <f>COUNTIFS('Error Log'!$A:$A,$A325,'Error Log'!$F:$F,"Target")</f>
        <v>0</v>
      </c>
      <c r="J325" s="71">
        <f t="shared" si="5"/>
        <v>0</v>
      </c>
    </row>
    <row r="326" spans="1:10">
      <c r="A326" s="81"/>
      <c r="B326" s="70" t="str">
        <f>IF(ISBLANK(A326),"",INDEX('Error Log'!$A:$J,MATCH('Scores per segment'!$A326,'Error Log'!$A:$A,0),MATCH('Scores per segment'!B$1,'Error Log'!$A$1:$J$1,0)))</f>
        <v/>
      </c>
      <c r="C326" s="70" t="str">
        <f>IF(ISBLANK(A326),"",INDEX('Error Log'!$A:$J,MATCH('Scores per segment'!$A326,'Error Log'!$A:$A,0),MATCH('Scores per segment'!C$1,'Error Log'!$A$1:$J$1,0)))</f>
        <v/>
      </c>
      <c r="D326" s="70">
        <f>IF(H326=0,wdct(TRIM(C326)),0)</f>
        <v>0</v>
      </c>
      <c r="E326" s="70">
        <f>COUNTIFS('Error Log'!$A:$A,$A326,'Error Log'!$J:$J,E$1)</f>
        <v>0</v>
      </c>
      <c r="F326" s="70">
        <f>COUNTIFS('Error Log'!$A:$A,$A326,'Error Log'!$J:$J,F$1)</f>
        <v>0</v>
      </c>
      <c r="G326" s="70">
        <f>COUNTIFS('Error Log'!$A:$A,$A326,'Error Log'!$J:$J,G$1)</f>
        <v>0</v>
      </c>
      <c r="H326" s="70">
        <f>COUNTIFS('Error Log'!$A:$A,$A326,'Error Log'!$F:$F,"Source")</f>
        <v>0</v>
      </c>
      <c r="I326" s="70">
        <f>COUNTIFS('Error Log'!$A:$A,$A326,'Error Log'!$F:$F,"Target")</f>
        <v>0</v>
      </c>
      <c r="J326" s="71">
        <f t="shared" si="5"/>
        <v>0</v>
      </c>
    </row>
    <row r="327" spans="1:10">
      <c r="A327" s="81"/>
      <c r="B327" s="70" t="str">
        <f>IF(ISBLANK(A327),"",INDEX('Error Log'!$A:$J,MATCH('Scores per segment'!$A327,'Error Log'!$A:$A,0),MATCH('Scores per segment'!B$1,'Error Log'!$A$1:$J$1,0)))</f>
        <v/>
      </c>
      <c r="C327" s="70" t="str">
        <f>IF(ISBLANK(A327),"",INDEX('Error Log'!$A:$J,MATCH('Scores per segment'!$A327,'Error Log'!$A:$A,0),MATCH('Scores per segment'!C$1,'Error Log'!$A$1:$J$1,0)))</f>
        <v/>
      </c>
      <c r="D327" s="70">
        <f>IF(H327=0,wdct(TRIM(C327)),0)</f>
        <v>0</v>
      </c>
      <c r="E327" s="70">
        <f>COUNTIFS('Error Log'!$A:$A,$A327,'Error Log'!$J:$J,E$1)</f>
        <v>0</v>
      </c>
      <c r="F327" s="70">
        <f>COUNTIFS('Error Log'!$A:$A,$A327,'Error Log'!$J:$J,F$1)</f>
        <v>0</v>
      </c>
      <c r="G327" s="70">
        <f>COUNTIFS('Error Log'!$A:$A,$A327,'Error Log'!$J:$J,G$1)</f>
        <v>0</v>
      </c>
      <c r="H327" s="70">
        <f>COUNTIFS('Error Log'!$A:$A,$A327,'Error Log'!$F:$F,"Source")</f>
        <v>0</v>
      </c>
      <c r="I327" s="70">
        <f>COUNTIFS('Error Log'!$A:$A,$A327,'Error Log'!$F:$F,"Target")</f>
        <v>0</v>
      </c>
      <c r="J327" s="71">
        <f t="shared" si="5"/>
        <v>0</v>
      </c>
    </row>
    <row r="328" spans="1:10">
      <c r="A328" s="81"/>
      <c r="B328" s="70" t="str">
        <f>IF(ISBLANK(A328),"",INDEX('Error Log'!$A:$J,MATCH('Scores per segment'!$A328,'Error Log'!$A:$A,0),MATCH('Scores per segment'!B$1,'Error Log'!$A$1:$J$1,0)))</f>
        <v/>
      </c>
      <c r="C328" s="70" t="str">
        <f>IF(ISBLANK(A328),"",INDEX('Error Log'!$A:$J,MATCH('Scores per segment'!$A328,'Error Log'!$A:$A,0),MATCH('Scores per segment'!C$1,'Error Log'!$A$1:$J$1,0)))</f>
        <v/>
      </c>
      <c r="D328" s="70">
        <f>IF(H328=0,wdct(TRIM(C328)),0)</f>
        <v>0</v>
      </c>
      <c r="E328" s="70">
        <f>COUNTIFS('Error Log'!$A:$A,$A328,'Error Log'!$J:$J,E$1)</f>
        <v>0</v>
      </c>
      <c r="F328" s="70">
        <f>COUNTIFS('Error Log'!$A:$A,$A328,'Error Log'!$J:$J,F$1)</f>
        <v>0</v>
      </c>
      <c r="G328" s="70">
        <f>COUNTIFS('Error Log'!$A:$A,$A328,'Error Log'!$J:$J,G$1)</f>
        <v>0</v>
      </c>
      <c r="H328" s="70">
        <f>COUNTIFS('Error Log'!$A:$A,$A328,'Error Log'!$F:$F,"Source")</f>
        <v>0</v>
      </c>
      <c r="I328" s="70">
        <f>COUNTIFS('Error Log'!$A:$A,$A328,'Error Log'!$F:$F,"Target")</f>
        <v>0</v>
      </c>
      <c r="J328" s="71">
        <f t="shared" si="5"/>
        <v>0</v>
      </c>
    </row>
    <row r="329" spans="1:10">
      <c r="A329" s="81"/>
      <c r="B329" s="70" t="str">
        <f>IF(ISBLANK(A329),"",INDEX('Error Log'!$A:$J,MATCH('Scores per segment'!$A329,'Error Log'!$A:$A,0),MATCH('Scores per segment'!B$1,'Error Log'!$A$1:$J$1,0)))</f>
        <v/>
      </c>
      <c r="C329" s="70" t="str">
        <f>IF(ISBLANK(A329),"",INDEX('Error Log'!$A:$J,MATCH('Scores per segment'!$A329,'Error Log'!$A:$A,0),MATCH('Scores per segment'!C$1,'Error Log'!$A$1:$J$1,0)))</f>
        <v/>
      </c>
      <c r="D329" s="70">
        <f>IF(H329=0,wdct(TRIM(C329)),0)</f>
        <v>0</v>
      </c>
      <c r="E329" s="70">
        <f>COUNTIFS('Error Log'!$A:$A,$A329,'Error Log'!$J:$J,E$1)</f>
        <v>0</v>
      </c>
      <c r="F329" s="70">
        <f>COUNTIFS('Error Log'!$A:$A,$A329,'Error Log'!$J:$J,F$1)</f>
        <v>0</v>
      </c>
      <c r="G329" s="70">
        <f>COUNTIFS('Error Log'!$A:$A,$A329,'Error Log'!$J:$J,G$1)</f>
        <v>0</v>
      </c>
      <c r="H329" s="70">
        <f>COUNTIFS('Error Log'!$A:$A,$A329,'Error Log'!$F:$F,"Source")</f>
        <v>0</v>
      </c>
      <c r="I329" s="70">
        <f>COUNTIFS('Error Log'!$A:$A,$A329,'Error Log'!$F:$F,"Target")</f>
        <v>0</v>
      </c>
      <c r="J329" s="71">
        <f t="shared" si="5"/>
        <v>0</v>
      </c>
    </row>
    <row r="330" spans="1:10">
      <c r="A330" s="81"/>
      <c r="B330" s="70" t="str">
        <f>IF(ISBLANK(A330),"",INDEX('Error Log'!$A:$J,MATCH('Scores per segment'!$A330,'Error Log'!$A:$A,0),MATCH('Scores per segment'!B$1,'Error Log'!$A$1:$J$1,0)))</f>
        <v/>
      </c>
      <c r="C330" s="70" t="str">
        <f>IF(ISBLANK(A330),"",INDEX('Error Log'!$A:$J,MATCH('Scores per segment'!$A330,'Error Log'!$A:$A,0),MATCH('Scores per segment'!C$1,'Error Log'!$A$1:$J$1,0)))</f>
        <v/>
      </c>
      <c r="D330" s="70">
        <f>IF(H330=0,wdct(TRIM(C330)),0)</f>
        <v>0</v>
      </c>
      <c r="E330" s="70">
        <f>COUNTIFS('Error Log'!$A:$A,$A330,'Error Log'!$J:$J,E$1)</f>
        <v>0</v>
      </c>
      <c r="F330" s="70">
        <f>COUNTIFS('Error Log'!$A:$A,$A330,'Error Log'!$J:$J,F$1)</f>
        <v>0</v>
      </c>
      <c r="G330" s="70">
        <f>COUNTIFS('Error Log'!$A:$A,$A330,'Error Log'!$J:$J,G$1)</f>
        <v>0</v>
      </c>
      <c r="H330" s="70">
        <f>COUNTIFS('Error Log'!$A:$A,$A330,'Error Log'!$F:$F,"Source")</f>
        <v>0</v>
      </c>
      <c r="I330" s="70">
        <f>COUNTIFS('Error Log'!$A:$A,$A330,'Error Log'!$F:$F,"Target")</f>
        <v>0</v>
      </c>
      <c r="J330" s="71">
        <f t="shared" si="5"/>
        <v>0</v>
      </c>
    </row>
    <row r="331" spans="1:10">
      <c r="A331" s="81"/>
      <c r="B331" s="70" t="str">
        <f>IF(ISBLANK(A331),"",INDEX('Error Log'!$A:$J,MATCH('Scores per segment'!$A331,'Error Log'!$A:$A,0),MATCH('Scores per segment'!B$1,'Error Log'!$A$1:$J$1,0)))</f>
        <v/>
      </c>
      <c r="C331" s="70" t="str">
        <f>IF(ISBLANK(A331),"",INDEX('Error Log'!$A:$J,MATCH('Scores per segment'!$A331,'Error Log'!$A:$A,0),MATCH('Scores per segment'!C$1,'Error Log'!$A$1:$J$1,0)))</f>
        <v/>
      </c>
      <c r="D331" s="70">
        <f>IF(H331=0,wdct(TRIM(C331)),0)</f>
        <v>0</v>
      </c>
      <c r="E331" s="70">
        <f>COUNTIFS('Error Log'!$A:$A,$A331,'Error Log'!$J:$J,E$1)</f>
        <v>0</v>
      </c>
      <c r="F331" s="70">
        <f>COUNTIFS('Error Log'!$A:$A,$A331,'Error Log'!$J:$J,F$1)</f>
        <v>0</v>
      </c>
      <c r="G331" s="70">
        <f>COUNTIFS('Error Log'!$A:$A,$A331,'Error Log'!$J:$J,G$1)</f>
        <v>0</v>
      </c>
      <c r="H331" s="70">
        <f>COUNTIFS('Error Log'!$A:$A,$A331,'Error Log'!$F:$F,"Source")</f>
        <v>0</v>
      </c>
      <c r="I331" s="70">
        <f>COUNTIFS('Error Log'!$A:$A,$A331,'Error Log'!$F:$F,"Target")</f>
        <v>0</v>
      </c>
      <c r="J331" s="71">
        <f t="shared" si="5"/>
        <v>0</v>
      </c>
    </row>
    <row r="332" spans="1:10">
      <c r="A332" s="81"/>
      <c r="B332" s="70" t="str">
        <f>IF(ISBLANK(A332),"",INDEX('Error Log'!$A:$J,MATCH('Scores per segment'!$A332,'Error Log'!$A:$A,0),MATCH('Scores per segment'!B$1,'Error Log'!$A$1:$J$1,0)))</f>
        <v/>
      </c>
      <c r="C332" s="70" t="str">
        <f>IF(ISBLANK(A332),"",INDEX('Error Log'!$A:$J,MATCH('Scores per segment'!$A332,'Error Log'!$A:$A,0),MATCH('Scores per segment'!C$1,'Error Log'!$A$1:$J$1,0)))</f>
        <v/>
      </c>
      <c r="D332" s="70">
        <f>IF(H332=0,wdct(TRIM(C332)),0)</f>
        <v>0</v>
      </c>
      <c r="E332" s="70">
        <f>COUNTIFS('Error Log'!$A:$A,$A332,'Error Log'!$J:$J,E$1)</f>
        <v>0</v>
      </c>
      <c r="F332" s="70">
        <f>COUNTIFS('Error Log'!$A:$A,$A332,'Error Log'!$J:$J,F$1)</f>
        <v>0</v>
      </c>
      <c r="G332" s="70">
        <f>COUNTIFS('Error Log'!$A:$A,$A332,'Error Log'!$J:$J,G$1)</f>
        <v>0</v>
      </c>
      <c r="H332" s="70">
        <f>COUNTIFS('Error Log'!$A:$A,$A332,'Error Log'!$F:$F,"Source")</f>
        <v>0</v>
      </c>
      <c r="I332" s="70">
        <f>COUNTIFS('Error Log'!$A:$A,$A332,'Error Log'!$F:$F,"Target")</f>
        <v>0</v>
      </c>
      <c r="J332" s="71">
        <f t="shared" si="5"/>
        <v>0</v>
      </c>
    </row>
    <row r="333" spans="1:10">
      <c r="A333" s="81"/>
      <c r="B333" s="70" t="str">
        <f>IF(ISBLANK(A333),"",INDEX('Error Log'!$A:$J,MATCH('Scores per segment'!$A333,'Error Log'!$A:$A,0),MATCH('Scores per segment'!B$1,'Error Log'!$A$1:$J$1,0)))</f>
        <v/>
      </c>
      <c r="C333" s="70" t="str">
        <f>IF(ISBLANK(A333),"",INDEX('Error Log'!$A:$J,MATCH('Scores per segment'!$A333,'Error Log'!$A:$A,0),MATCH('Scores per segment'!C$1,'Error Log'!$A$1:$J$1,0)))</f>
        <v/>
      </c>
      <c r="D333" s="70">
        <f>IF(H333=0,wdct(TRIM(C333)),0)</f>
        <v>0</v>
      </c>
      <c r="E333" s="70">
        <f>COUNTIFS('Error Log'!$A:$A,$A333,'Error Log'!$J:$J,E$1)</f>
        <v>0</v>
      </c>
      <c r="F333" s="70">
        <f>COUNTIFS('Error Log'!$A:$A,$A333,'Error Log'!$J:$J,F$1)</f>
        <v>0</v>
      </c>
      <c r="G333" s="70">
        <f>COUNTIFS('Error Log'!$A:$A,$A333,'Error Log'!$J:$J,G$1)</f>
        <v>0</v>
      </c>
      <c r="H333" s="70">
        <f>COUNTIFS('Error Log'!$A:$A,$A333,'Error Log'!$F:$F,"Source")</f>
        <v>0</v>
      </c>
      <c r="I333" s="70">
        <f>COUNTIFS('Error Log'!$A:$A,$A333,'Error Log'!$F:$F,"Target")</f>
        <v>0</v>
      </c>
      <c r="J333" s="71">
        <f t="shared" si="5"/>
        <v>0</v>
      </c>
    </row>
    <row r="334" spans="1:10">
      <c r="A334" s="81"/>
      <c r="B334" s="70" t="str">
        <f>IF(ISBLANK(A334),"",INDEX('Error Log'!$A:$J,MATCH('Scores per segment'!$A334,'Error Log'!$A:$A,0),MATCH('Scores per segment'!B$1,'Error Log'!$A$1:$J$1,0)))</f>
        <v/>
      </c>
      <c r="C334" s="70" t="str">
        <f>IF(ISBLANK(A334),"",INDEX('Error Log'!$A:$J,MATCH('Scores per segment'!$A334,'Error Log'!$A:$A,0),MATCH('Scores per segment'!C$1,'Error Log'!$A$1:$J$1,0)))</f>
        <v/>
      </c>
      <c r="D334" s="70">
        <f>IF(H334=0,wdct(TRIM(C334)),0)</f>
        <v>0</v>
      </c>
      <c r="E334" s="70">
        <f>COUNTIFS('Error Log'!$A:$A,$A334,'Error Log'!$J:$J,E$1)</f>
        <v>0</v>
      </c>
      <c r="F334" s="70">
        <f>COUNTIFS('Error Log'!$A:$A,$A334,'Error Log'!$J:$J,F$1)</f>
        <v>0</v>
      </c>
      <c r="G334" s="70">
        <f>COUNTIFS('Error Log'!$A:$A,$A334,'Error Log'!$J:$J,G$1)</f>
        <v>0</v>
      </c>
      <c r="H334" s="70">
        <f>COUNTIFS('Error Log'!$A:$A,$A334,'Error Log'!$F:$F,"Source")</f>
        <v>0</v>
      </c>
      <c r="I334" s="70">
        <f>COUNTIFS('Error Log'!$A:$A,$A334,'Error Log'!$F:$F,"Target")</f>
        <v>0</v>
      </c>
      <c r="J334" s="71">
        <f t="shared" si="5"/>
        <v>0</v>
      </c>
    </row>
    <row r="335" spans="1:10">
      <c r="A335" s="81"/>
      <c r="B335" s="70" t="str">
        <f>IF(ISBLANK(A335),"",INDEX('Error Log'!$A:$J,MATCH('Scores per segment'!$A335,'Error Log'!$A:$A,0),MATCH('Scores per segment'!B$1,'Error Log'!$A$1:$J$1,0)))</f>
        <v/>
      </c>
      <c r="C335" s="70" t="str">
        <f>IF(ISBLANK(A335),"",INDEX('Error Log'!$A:$J,MATCH('Scores per segment'!$A335,'Error Log'!$A:$A,0),MATCH('Scores per segment'!C$1,'Error Log'!$A$1:$J$1,0)))</f>
        <v/>
      </c>
      <c r="D335" s="70">
        <f>IF(H335=0,wdct(TRIM(C335)),0)</f>
        <v>0</v>
      </c>
      <c r="E335" s="70">
        <f>COUNTIFS('Error Log'!$A:$A,$A335,'Error Log'!$J:$J,E$1)</f>
        <v>0</v>
      </c>
      <c r="F335" s="70">
        <f>COUNTIFS('Error Log'!$A:$A,$A335,'Error Log'!$J:$J,F$1)</f>
        <v>0</v>
      </c>
      <c r="G335" s="70">
        <f>COUNTIFS('Error Log'!$A:$A,$A335,'Error Log'!$J:$J,G$1)</f>
        <v>0</v>
      </c>
      <c r="H335" s="70">
        <f>COUNTIFS('Error Log'!$A:$A,$A335,'Error Log'!$F:$F,"Source")</f>
        <v>0</v>
      </c>
      <c r="I335" s="70">
        <f>COUNTIFS('Error Log'!$A:$A,$A335,'Error Log'!$F:$F,"Target")</f>
        <v>0</v>
      </c>
      <c r="J335" s="71">
        <f t="shared" si="5"/>
        <v>0</v>
      </c>
    </row>
    <row r="336" spans="1:10">
      <c r="A336" s="81"/>
      <c r="B336" s="70" t="str">
        <f>IF(ISBLANK(A336),"",INDEX('Error Log'!$A:$J,MATCH('Scores per segment'!$A336,'Error Log'!$A:$A,0),MATCH('Scores per segment'!B$1,'Error Log'!$A$1:$J$1,0)))</f>
        <v/>
      </c>
      <c r="C336" s="70" t="str">
        <f>IF(ISBLANK(A336),"",INDEX('Error Log'!$A:$J,MATCH('Scores per segment'!$A336,'Error Log'!$A:$A,0),MATCH('Scores per segment'!C$1,'Error Log'!$A$1:$J$1,0)))</f>
        <v/>
      </c>
      <c r="D336" s="70">
        <f>IF(H336=0,wdct(TRIM(C336)),0)</f>
        <v>0</v>
      </c>
      <c r="E336" s="70">
        <f>COUNTIFS('Error Log'!$A:$A,$A336,'Error Log'!$J:$J,E$1)</f>
        <v>0</v>
      </c>
      <c r="F336" s="70">
        <f>COUNTIFS('Error Log'!$A:$A,$A336,'Error Log'!$J:$J,F$1)</f>
        <v>0</v>
      </c>
      <c r="G336" s="70">
        <f>COUNTIFS('Error Log'!$A:$A,$A336,'Error Log'!$J:$J,G$1)</f>
        <v>0</v>
      </c>
      <c r="H336" s="70">
        <f>COUNTIFS('Error Log'!$A:$A,$A336,'Error Log'!$F:$F,"Source")</f>
        <v>0</v>
      </c>
      <c r="I336" s="70">
        <f>COUNTIFS('Error Log'!$A:$A,$A336,'Error Log'!$F:$F,"Target")</f>
        <v>0</v>
      </c>
      <c r="J336" s="71">
        <f t="shared" si="5"/>
        <v>0</v>
      </c>
    </row>
    <row r="337" spans="1:10">
      <c r="A337" s="81"/>
      <c r="B337" s="70" t="str">
        <f>IF(ISBLANK(A337),"",INDEX('Error Log'!$A:$J,MATCH('Scores per segment'!$A337,'Error Log'!$A:$A,0),MATCH('Scores per segment'!B$1,'Error Log'!$A$1:$J$1,0)))</f>
        <v/>
      </c>
      <c r="C337" s="70" t="str">
        <f>IF(ISBLANK(A337),"",INDEX('Error Log'!$A:$J,MATCH('Scores per segment'!$A337,'Error Log'!$A:$A,0),MATCH('Scores per segment'!C$1,'Error Log'!$A$1:$J$1,0)))</f>
        <v/>
      </c>
      <c r="D337" s="70">
        <f>IF(H337=0,wdct(TRIM(C337)),0)</f>
        <v>0</v>
      </c>
      <c r="E337" s="70">
        <f>COUNTIFS('Error Log'!$A:$A,$A337,'Error Log'!$J:$J,E$1)</f>
        <v>0</v>
      </c>
      <c r="F337" s="70">
        <f>COUNTIFS('Error Log'!$A:$A,$A337,'Error Log'!$J:$J,F$1)</f>
        <v>0</v>
      </c>
      <c r="G337" s="70">
        <f>COUNTIFS('Error Log'!$A:$A,$A337,'Error Log'!$J:$J,G$1)</f>
        <v>0</v>
      </c>
      <c r="H337" s="70">
        <f>COUNTIFS('Error Log'!$A:$A,$A337,'Error Log'!$F:$F,"Source")</f>
        <v>0</v>
      </c>
      <c r="I337" s="70">
        <f>COUNTIFS('Error Log'!$A:$A,$A337,'Error Log'!$F:$F,"Target")</f>
        <v>0</v>
      </c>
      <c r="J337" s="71">
        <f t="shared" si="5"/>
        <v>0</v>
      </c>
    </row>
    <row r="338" spans="1:10">
      <c r="A338" s="81"/>
      <c r="B338" s="70" t="str">
        <f>IF(ISBLANK(A338),"",INDEX('Error Log'!$A:$J,MATCH('Scores per segment'!$A338,'Error Log'!$A:$A,0),MATCH('Scores per segment'!B$1,'Error Log'!$A$1:$J$1,0)))</f>
        <v/>
      </c>
      <c r="C338" s="70" t="str">
        <f>IF(ISBLANK(A338),"",INDEX('Error Log'!$A:$J,MATCH('Scores per segment'!$A338,'Error Log'!$A:$A,0),MATCH('Scores per segment'!C$1,'Error Log'!$A$1:$J$1,0)))</f>
        <v/>
      </c>
      <c r="D338" s="70">
        <f>IF(H338=0,wdct(TRIM(C338)),0)</f>
        <v>0</v>
      </c>
      <c r="E338" s="70">
        <f>COUNTIFS('Error Log'!$A:$A,$A338,'Error Log'!$J:$J,E$1)</f>
        <v>0</v>
      </c>
      <c r="F338" s="70">
        <f>COUNTIFS('Error Log'!$A:$A,$A338,'Error Log'!$J:$J,F$1)</f>
        <v>0</v>
      </c>
      <c r="G338" s="70">
        <f>COUNTIFS('Error Log'!$A:$A,$A338,'Error Log'!$J:$J,G$1)</f>
        <v>0</v>
      </c>
      <c r="H338" s="70">
        <f>COUNTIFS('Error Log'!$A:$A,$A338,'Error Log'!$F:$F,"Source")</f>
        <v>0</v>
      </c>
      <c r="I338" s="70">
        <f>COUNTIFS('Error Log'!$A:$A,$A338,'Error Log'!$F:$F,"Target")</f>
        <v>0</v>
      </c>
      <c r="J338" s="71">
        <f t="shared" si="5"/>
        <v>0</v>
      </c>
    </row>
    <row r="339" spans="1:10">
      <c r="A339" s="81"/>
      <c r="B339" s="70" t="str">
        <f>IF(ISBLANK(A339),"",INDEX('Error Log'!$A:$J,MATCH('Scores per segment'!$A339,'Error Log'!$A:$A,0),MATCH('Scores per segment'!B$1,'Error Log'!$A$1:$J$1,0)))</f>
        <v/>
      </c>
      <c r="C339" s="70" t="str">
        <f>IF(ISBLANK(A339),"",INDEX('Error Log'!$A:$J,MATCH('Scores per segment'!$A339,'Error Log'!$A:$A,0),MATCH('Scores per segment'!C$1,'Error Log'!$A$1:$J$1,0)))</f>
        <v/>
      </c>
      <c r="D339" s="70">
        <f>IF(H339=0,wdct(TRIM(C339)),0)</f>
        <v>0</v>
      </c>
      <c r="E339" s="70">
        <f>COUNTIFS('Error Log'!$A:$A,$A339,'Error Log'!$J:$J,E$1)</f>
        <v>0</v>
      </c>
      <c r="F339" s="70">
        <f>COUNTIFS('Error Log'!$A:$A,$A339,'Error Log'!$J:$J,F$1)</f>
        <v>0</v>
      </c>
      <c r="G339" s="70">
        <f>COUNTIFS('Error Log'!$A:$A,$A339,'Error Log'!$J:$J,G$1)</f>
        <v>0</v>
      </c>
      <c r="H339" s="70">
        <f>COUNTIFS('Error Log'!$A:$A,$A339,'Error Log'!$F:$F,"Source")</f>
        <v>0</v>
      </c>
      <c r="I339" s="70">
        <f>COUNTIFS('Error Log'!$A:$A,$A339,'Error Log'!$F:$F,"Target")</f>
        <v>0</v>
      </c>
      <c r="J339" s="71">
        <f t="shared" si="5"/>
        <v>0</v>
      </c>
    </row>
    <row r="340" spans="1:10">
      <c r="A340" s="81"/>
      <c r="B340" s="70" t="str">
        <f>IF(ISBLANK(A340),"",INDEX('Error Log'!$A:$J,MATCH('Scores per segment'!$A340,'Error Log'!$A:$A,0),MATCH('Scores per segment'!B$1,'Error Log'!$A$1:$J$1,0)))</f>
        <v/>
      </c>
      <c r="C340" s="70" t="str">
        <f>IF(ISBLANK(A340),"",INDEX('Error Log'!$A:$J,MATCH('Scores per segment'!$A340,'Error Log'!$A:$A,0),MATCH('Scores per segment'!C$1,'Error Log'!$A$1:$J$1,0)))</f>
        <v/>
      </c>
      <c r="D340" s="70">
        <f>IF(H340=0,wdct(TRIM(C340)),0)</f>
        <v>0</v>
      </c>
      <c r="E340" s="70">
        <f>COUNTIFS('Error Log'!$A:$A,$A340,'Error Log'!$J:$J,E$1)</f>
        <v>0</v>
      </c>
      <c r="F340" s="70">
        <f>COUNTIFS('Error Log'!$A:$A,$A340,'Error Log'!$J:$J,F$1)</f>
        <v>0</v>
      </c>
      <c r="G340" s="70">
        <f>COUNTIFS('Error Log'!$A:$A,$A340,'Error Log'!$J:$J,G$1)</f>
        <v>0</v>
      </c>
      <c r="H340" s="70">
        <f>COUNTIFS('Error Log'!$A:$A,$A340,'Error Log'!$F:$F,"Source")</f>
        <v>0</v>
      </c>
      <c r="I340" s="70">
        <f>COUNTIFS('Error Log'!$A:$A,$A340,'Error Log'!$F:$F,"Target")</f>
        <v>0</v>
      </c>
      <c r="J340" s="71">
        <f t="shared" si="5"/>
        <v>0</v>
      </c>
    </row>
    <row r="341" spans="1:10">
      <c r="A341" s="81"/>
      <c r="B341" s="70" t="str">
        <f>IF(ISBLANK(A341),"",INDEX('Error Log'!$A:$J,MATCH('Scores per segment'!$A341,'Error Log'!$A:$A,0),MATCH('Scores per segment'!B$1,'Error Log'!$A$1:$J$1,0)))</f>
        <v/>
      </c>
      <c r="C341" s="70" t="str">
        <f>IF(ISBLANK(A341),"",INDEX('Error Log'!$A:$J,MATCH('Scores per segment'!$A341,'Error Log'!$A:$A,0),MATCH('Scores per segment'!C$1,'Error Log'!$A$1:$J$1,0)))</f>
        <v/>
      </c>
      <c r="D341" s="70">
        <f>IF(H341=0,wdct(TRIM(C341)),0)</f>
        <v>0</v>
      </c>
      <c r="E341" s="70">
        <f>COUNTIFS('Error Log'!$A:$A,$A341,'Error Log'!$J:$J,E$1)</f>
        <v>0</v>
      </c>
      <c r="F341" s="70">
        <f>COUNTIFS('Error Log'!$A:$A,$A341,'Error Log'!$J:$J,F$1)</f>
        <v>0</v>
      </c>
      <c r="G341" s="70">
        <f>COUNTIFS('Error Log'!$A:$A,$A341,'Error Log'!$J:$J,G$1)</f>
        <v>0</v>
      </c>
      <c r="H341" s="70">
        <f>COUNTIFS('Error Log'!$A:$A,$A341,'Error Log'!$F:$F,"Source")</f>
        <v>0</v>
      </c>
      <c r="I341" s="70">
        <f>COUNTIFS('Error Log'!$A:$A,$A341,'Error Log'!$F:$F,"Target")</f>
        <v>0</v>
      </c>
      <c r="J341" s="71">
        <f t="shared" si="5"/>
        <v>0</v>
      </c>
    </row>
    <row r="342" spans="1:10">
      <c r="A342" s="81"/>
      <c r="B342" s="70" t="str">
        <f>IF(ISBLANK(A342),"",INDEX('Error Log'!$A:$J,MATCH('Scores per segment'!$A342,'Error Log'!$A:$A,0),MATCH('Scores per segment'!B$1,'Error Log'!$A$1:$J$1,0)))</f>
        <v/>
      </c>
      <c r="C342" s="70" t="str">
        <f>IF(ISBLANK(A342),"",INDEX('Error Log'!$A:$J,MATCH('Scores per segment'!$A342,'Error Log'!$A:$A,0),MATCH('Scores per segment'!C$1,'Error Log'!$A$1:$J$1,0)))</f>
        <v/>
      </c>
      <c r="D342" s="70">
        <f>IF(H342=0,wdct(TRIM(C342)),0)</f>
        <v>0</v>
      </c>
      <c r="E342" s="70">
        <f>COUNTIFS('Error Log'!$A:$A,$A342,'Error Log'!$J:$J,E$1)</f>
        <v>0</v>
      </c>
      <c r="F342" s="70">
        <f>COUNTIFS('Error Log'!$A:$A,$A342,'Error Log'!$J:$J,F$1)</f>
        <v>0</v>
      </c>
      <c r="G342" s="70">
        <f>COUNTIFS('Error Log'!$A:$A,$A342,'Error Log'!$J:$J,G$1)</f>
        <v>0</v>
      </c>
      <c r="H342" s="70">
        <f>COUNTIFS('Error Log'!$A:$A,$A342,'Error Log'!$F:$F,"Source")</f>
        <v>0</v>
      </c>
      <c r="I342" s="70">
        <f>COUNTIFS('Error Log'!$A:$A,$A342,'Error Log'!$F:$F,"Target")</f>
        <v>0</v>
      </c>
      <c r="J342" s="71">
        <f t="shared" si="5"/>
        <v>0</v>
      </c>
    </row>
    <row r="343" spans="1:10">
      <c r="A343" s="81"/>
      <c r="B343" s="70" t="str">
        <f>IF(ISBLANK(A343),"",INDEX('Error Log'!$A:$J,MATCH('Scores per segment'!$A343,'Error Log'!$A:$A,0),MATCH('Scores per segment'!B$1,'Error Log'!$A$1:$J$1,0)))</f>
        <v/>
      </c>
      <c r="C343" s="70" t="str">
        <f>IF(ISBLANK(A343),"",INDEX('Error Log'!$A:$J,MATCH('Scores per segment'!$A343,'Error Log'!$A:$A,0),MATCH('Scores per segment'!C$1,'Error Log'!$A$1:$J$1,0)))</f>
        <v/>
      </c>
      <c r="D343" s="70">
        <f>IF(H343=0,wdct(TRIM(C343)),0)</f>
        <v>0</v>
      </c>
      <c r="E343" s="70">
        <f>COUNTIFS('Error Log'!$A:$A,$A343,'Error Log'!$J:$J,E$1)</f>
        <v>0</v>
      </c>
      <c r="F343" s="70">
        <f>COUNTIFS('Error Log'!$A:$A,$A343,'Error Log'!$J:$J,F$1)</f>
        <v>0</v>
      </c>
      <c r="G343" s="70">
        <f>COUNTIFS('Error Log'!$A:$A,$A343,'Error Log'!$J:$J,G$1)</f>
        <v>0</v>
      </c>
      <c r="H343" s="70">
        <f>COUNTIFS('Error Log'!$A:$A,$A343,'Error Log'!$F:$F,"Source")</f>
        <v>0</v>
      </c>
      <c r="I343" s="70">
        <f>COUNTIFS('Error Log'!$A:$A,$A343,'Error Log'!$F:$F,"Target")</f>
        <v>0</v>
      </c>
      <c r="J343" s="71">
        <f t="shared" si="5"/>
        <v>0</v>
      </c>
    </row>
    <row r="344" spans="1:10">
      <c r="A344" s="81"/>
      <c r="B344" s="70" t="str">
        <f>IF(ISBLANK(A344),"",INDEX('Error Log'!$A:$J,MATCH('Scores per segment'!$A344,'Error Log'!$A:$A,0),MATCH('Scores per segment'!B$1,'Error Log'!$A$1:$J$1,0)))</f>
        <v/>
      </c>
      <c r="C344" s="70" t="str">
        <f>IF(ISBLANK(A344),"",INDEX('Error Log'!$A:$J,MATCH('Scores per segment'!$A344,'Error Log'!$A:$A,0),MATCH('Scores per segment'!C$1,'Error Log'!$A$1:$J$1,0)))</f>
        <v/>
      </c>
      <c r="D344" s="70">
        <f>IF(H344=0,wdct(TRIM(C344)),0)</f>
        <v>0</v>
      </c>
      <c r="E344" s="70">
        <f>COUNTIFS('Error Log'!$A:$A,$A344,'Error Log'!$J:$J,E$1)</f>
        <v>0</v>
      </c>
      <c r="F344" s="70">
        <f>COUNTIFS('Error Log'!$A:$A,$A344,'Error Log'!$J:$J,F$1)</f>
        <v>0</v>
      </c>
      <c r="G344" s="70">
        <f>COUNTIFS('Error Log'!$A:$A,$A344,'Error Log'!$J:$J,G$1)</f>
        <v>0</v>
      </c>
      <c r="H344" s="70">
        <f>COUNTIFS('Error Log'!$A:$A,$A344,'Error Log'!$F:$F,"Source")</f>
        <v>0</v>
      </c>
      <c r="I344" s="70">
        <f>COUNTIFS('Error Log'!$A:$A,$A344,'Error Log'!$F:$F,"Target")</f>
        <v>0</v>
      </c>
      <c r="J344" s="71">
        <f t="shared" si="5"/>
        <v>0</v>
      </c>
    </row>
    <row r="345" spans="1:10">
      <c r="A345" s="81"/>
      <c r="B345" s="70" t="str">
        <f>IF(ISBLANK(A345),"",INDEX('Error Log'!$A:$J,MATCH('Scores per segment'!$A345,'Error Log'!$A:$A,0),MATCH('Scores per segment'!B$1,'Error Log'!$A$1:$J$1,0)))</f>
        <v/>
      </c>
      <c r="C345" s="70" t="str">
        <f>IF(ISBLANK(A345),"",INDEX('Error Log'!$A:$J,MATCH('Scores per segment'!$A345,'Error Log'!$A:$A,0),MATCH('Scores per segment'!C$1,'Error Log'!$A$1:$J$1,0)))</f>
        <v/>
      </c>
      <c r="D345" s="70">
        <f>IF(H345=0,wdct(TRIM(C345)),0)</f>
        <v>0</v>
      </c>
      <c r="E345" s="70">
        <f>COUNTIFS('Error Log'!$A:$A,$A345,'Error Log'!$J:$J,E$1)</f>
        <v>0</v>
      </c>
      <c r="F345" s="70">
        <f>COUNTIFS('Error Log'!$A:$A,$A345,'Error Log'!$J:$J,F$1)</f>
        <v>0</v>
      </c>
      <c r="G345" s="70">
        <f>COUNTIFS('Error Log'!$A:$A,$A345,'Error Log'!$J:$J,G$1)</f>
        <v>0</v>
      </c>
      <c r="H345" s="70">
        <f>COUNTIFS('Error Log'!$A:$A,$A345,'Error Log'!$F:$F,"Source")</f>
        <v>0</v>
      </c>
      <c r="I345" s="70">
        <f>COUNTIFS('Error Log'!$A:$A,$A345,'Error Log'!$F:$F,"Target")</f>
        <v>0</v>
      </c>
      <c r="J345" s="71">
        <f t="shared" si="5"/>
        <v>0</v>
      </c>
    </row>
    <row r="346" spans="1:10">
      <c r="A346" s="81"/>
      <c r="B346" s="70" t="str">
        <f>IF(ISBLANK(A346),"",INDEX('Error Log'!$A:$J,MATCH('Scores per segment'!$A346,'Error Log'!$A:$A,0),MATCH('Scores per segment'!B$1,'Error Log'!$A$1:$J$1,0)))</f>
        <v/>
      </c>
      <c r="C346" s="70" t="str">
        <f>IF(ISBLANK(A346),"",INDEX('Error Log'!$A:$J,MATCH('Scores per segment'!$A346,'Error Log'!$A:$A,0),MATCH('Scores per segment'!C$1,'Error Log'!$A$1:$J$1,0)))</f>
        <v/>
      </c>
      <c r="D346" s="70">
        <f>IF(H346=0,wdct(TRIM(C346)),0)</f>
        <v>0</v>
      </c>
      <c r="E346" s="70">
        <f>COUNTIFS('Error Log'!$A:$A,$A346,'Error Log'!$J:$J,E$1)</f>
        <v>0</v>
      </c>
      <c r="F346" s="70">
        <f>COUNTIFS('Error Log'!$A:$A,$A346,'Error Log'!$J:$J,F$1)</f>
        <v>0</v>
      </c>
      <c r="G346" s="70">
        <f>COUNTIFS('Error Log'!$A:$A,$A346,'Error Log'!$J:$J,G$1)</f>
        <v>0</v>
      </c>
      <c r="H346" s="70">
        <f>COUNTIFS('Error Log'!$A:$A,$A346,'Error Log'!$F:$F,"Source")</f>
        <v>0</v>
      </c>
      <c r="I346" s="70">
        <f>COUNTIFS('Error Log'!$A:$A,$A346,'Error Log'!$F:$F,"Target")</f>
        <v>0</v>
      </c>
      <c r="J346" s="71">
        <f t="shared" si="5"/>
        <v>0</v>
      </c>
    </row>
    <row r="347" spans="1:10">
      <c r="A347" s="81"/>
      <c r="B347" s="70" t="str">
        <f>IF(ISBLANK(A347),"",INDEX('Error Log'!$A:$J,MATCH('Scores per segment'!$A347,'Error Log'!$A:$A,0),MATCH('Scores per segment'!B$1,'Error Log'!$A$1:$J$1,0)))</f>
        <v/>
      </c>
      <c r="C347" s="70" t="str">
        <f>IF(ISBLANK(A347),"",INDEX('Error Log'!$A:$J,MATCH('Scores per segment'!$A347,'Error Log'!$A:$A,0),MATCH('Scores per segment'!C$1,'Error Log'!$A$1:$J$1,0)))</f>
        <v/>
      </c>
      <c r="D347" s="70">
        <f>IF(H347=0,wdct(TRIM(C347)),0)</f>
        <v>0</v>
      </c>
      <c r="E347" s="70">
        <f>COUNTIFS('Error Log'!$A:$A,$A347,'Error Log'!$J:$J,E$1)</f>
        <v>0</v>
      </c>
      <c r="F347" s="70">
        <f>COUNTIFS('Error Log'!$A:$A,$A347,'Error Log'!$J:$J,F$1)</f>
        <v>0</v>
      </c>
      <c r="G347" s="70">
        <f>COUNTIFS('Error Log'!$A:$A,$A347,'Error Log'!$J:$J,G$1)</f>
        <v>0</v>
      </c>
      <c r="H347" s="70">
        <f>COUNTIFS('Error Log'!$A:$A,$A347,'Error Log'!$F:$F,"Source")</f>
        <v>0</v>
      </c>
      <c r="I347" s="70">
        <f>COUNTIFS('Error Log'!$A:$A,$A347,'Error Log'!$F:$F,"Target")</f>
        <v>0</v>
      </c>
      <c r="J347" s="71">
        <f t="shared" si="5"/>
        <v>0</v>
      </c>
    </row>
    <row r="348" spans="1:10">
      <c r="A348" s="81"/>
      <c r="B348" s="70" t="str">
        <f>IF(ISBLANK(A348),"",INDEX('Error Log'!$A:$J,MATCH('Scores per segment'!$A348,'Error Log'!$A:$A,0),MATCH('Scores per segment'!B$1,'Error Log'!$A$1:$J$1,0)))</f>
        <v/>
      </c>
      <c r="C348" s="70" t="str">
        <f>IF(ISBLANK(A348),"",INDEX('Error Log'!$A:$J,MATCH('Scores per segment'!$A348,'Error Log'!$A:$A,0),MATCH('Scores per segment'!C$1,'Error Log'!$A$1:$J$1,0)))</f>
        <v/>
      </c>
      <c r="D348" s="70">
        <f>IF(H348=0,wdct(TRIM(C348)),0)</f>
        <v>0</v>
      </c>
      <c r="E348" s="70">
        <f>COUNTIFS('Error Log'!$A:$A,$A348,'Error Log'!$J:$J,E$1)</f>
        <v>0</v>
      </c>
      <c r="F348" s="70">
        <f>COUNTIFS('Error Log'!$A:$A,$A348,'Error Log'!$J:$J,F$1)</f>
        <v>0</v>
      </c>
      <c r="G348" s="70">
        <f>COUNTIFS('Error Log'!$A:$A,$A348,'Error Log'!$J:$J,G$1)</f>
        <v>0</v>
      </c>
      <c r="H348" s="70">
        <f>COUNTIFS('Error Log'!$A:$A,$A348,'Error Log'!$F:$F,"Source")</f>
        <v>0</v>
      </c>
      <c r="I348" s="70">
        <f>COUNTIFS('Error Log'!$A:$A,$A348,'Error Log'!$F:$F,"Target")</f>
        <v>0</v>
      </c>
      <c r="J348" s="71">
        <f t="shared" si="5"/>
        <v>0</v>
      </c>
    </row>
    <row r="349" spans="1:10">
      <c r="A349" s="81"/>
      <c r="B349" s="70" t="str">
        <f>IF(ISBLANK(A349),"",INDEX('Error Log'!$A:$J,MATCH('Scores per segment'!$A349,'Error Log'!$A:$A,0),MATCH('Scores per segment'!B$1,'Error Log'!$A$1:$J$1,0)))</f>
        <v/>
      </c>
      <c r="C349" s="70" t="str">
        <f>IF(ISBLANK(A349),"",INDEX('Error Log'!$A:$J,MATCH('Scores per segment'!$A349,'Error Log'!$A:$A,0),MATCH('Scores per segment'!C$1,'Error Log'!$A$1:$J$1,0)))</f>
        <v/>
      </c>
      <c r="D349" s="70">
        <f>IF(H349=0,wdct(TRIM(C349)),0)</f>
        <v>0</v>
      </c>
      <c r="E349" s="70">
        <f>COUNTIFS('Error Log'!$A:$A,$A349,'Error Log'!$J:$J,E$1)</f>
        <v>0</v>
      </c>
      <c r="F349" s="70">
        <f>COUNTIFS('Error Log'!$A:$A,$A349,'Error Log'!$J:$J,F$1)</f>
        <v>0</v>
      </c>
      <c r="G349" s="70">
        <f>COUNTIFS('Error Log'!$A:$A,$A349,'Error Log'!$J:$J,G$1)</f>
        <v>0</v>
      </c>
      <c r="H349" s="70">
        <f>COUNTIFS('Error Log'!$A:$A,$A349,'Error Log'!$F:$F,"Source")</f>
        <v>0</v>
      </c>
      <c r="I349" s="70">
        <f>COUNTIFS('Error Log'!$A:$A,$A349,'Error Log'!$F:$F,"Target")</f>
        <v>0</v>
      </c>
      <c r="J349" s="71">
        <f t="shared" si="5"/>
        <v>0</v>
      </c>
    </row>
    <row r="350" spans="1:10">
      <c r="A350" s="81"/>
      <c r="B350" s="70" t="str">
        <f>IF(ISBLANK(A350),"",INDEX('Error Log'!$A:$J,MATCH('Scores per segment'!$A350,'Error Log'!$A:$A,0),MATCH('Scores per segment'!B$1,'Error Log'!$A$1:$J$1,0)))</f>
        <v/>
      </c>
      <c r="C350" s="70" t="str">
        <f>IF(ISBLANK(A350),"",INDEX('Error Log'!$A:$J,MATCH('Scores per segment'!$A350,'Error Log'!$A:$A,0),MATCH('Scores per segment'!C$1,'Error Log'!$A$1:$J$1,0)))</f>
        <v/>
      </c>
      <c r="D350" s="70">
        <f>IF(H350=0,wdct(TRIM(C350)),0)</f>
        <v>0</v>
      </c>
      <c r="E350" s="70">
        <f>COUNTIFS('Error Log'!$A:$A,$A350,'Error Log'!$J:$J,E$1)</f>
        <v>0</v>
      </c>
      <c r="F350" s="70">
        <f>COUNTIFS('Error Log'!$A:$A,$A350,'Error Log'!$J:$J,F$1)</f>
        <v>0</v>
      </c>
      <c r="G350" s="70">
        <f>COUNTIFS('Error Log'!$A:$A,$A350,'Error Log'!$J:$J,G$1)</f>
        <v>0</v>
      </c>
      <c r="H350" s="70">
        <f>COUNTIFS('Error Log'!$A:$A,$A350,'Error Log'!$F:$F,"Source")</f>
        <v>0</v>
      </c>
      <c r="I350" s="70">
        <f>COUNTIFS('Error Log'!$A:$A,$A350,'Error Log'!$F:$F,"Target")</f>
        <v>0</v>
      </c>
      <c r="J350" s="71">
        <f t="shared" si="5"/>
        <v>0</v>
      </c>
    </row>
    <row r="351" spans="1:10">
      <c r="A351" s="81"/>
      <c r="B351" s="70" t="str">
        <f>IF(ISBLANK(A351),"",INDEX('Error Log'!$A:$J,MATCH('Scores per segment'!$A351,'Error Log'!$A:$A,0),MATCH('Scores per segment'!B$1,'Error Log'!$A$1:$J$1,0)))</f>
        <v/>
      </c>
      <c r="C351" s="70" t="str">
        <f>IF(ISBLANK(A351),"",INDEX('Error Log'!$A:$J,MATCH('Scores per segment'!$A351,'Error Log'!$A:$A,0),MATCH('Scores per segment'!C$1,'Error Log'!$A$1:$J$1,0)))</f>
        <v/>
      </c>
      <c r="D351" s="70">
        <f>IF(H351=0,wdct(TRIM(C351)),0)</f>
        <v>0</v>
      </c>
      <c r="E351" s="70">
        <f>COUNTIFS('Error Log'!$A:$A,$A351,'Error Log'!$J:$J,E$1)</f>
        <v>0</v>
      </c>
      <c r="F351" s="70">
        <f>COUNTIFS('Error Log'!$A:$A,$A351,'Error Log'!$J:$J,F$1)</f>
        <v>0</v>
      </c>
      <c r="G351" s="70">
        <f>COUNTIFS('Error Log'!$A:$A,$A351,'Error Log'!$J:$J,G$1)</f>
        <v>0</v>
      </c>
      <c r="H351" s="70">
        <f>COUNTIFS('Error Log'!$A:$A,$A351,'Error Log'!$F:$F,"Source")</f>
        <v>0</v>
      </c>
      <c r="I351" s="70">
        <f>COUNTIFS('Error Log'!$A:$A,$A351,'Error Log'!$F:$F,"Target")</f>
        <v>0</v>
      </c>
      <c r="J351" s="71">
        <f t="shared" si="5"/>
        <v>0</v>
      </c>
    </row>
    <row r="352" spans="1:10">
      <c r="A352" s="81"/>
      <c r="B352" s="70" t="str">
        <f>IF(ISBLANK(A352),"",INDEX('Error Log'!$A:$J,MATCH('Scores per segment'!$A352,'Error Log'!$A:$A,0),MATCH('Scores per segment'!B$1,'Error Log'!$A$1:$J$1,0)))</f>
        <v/>
      </c>
      <c r="C352" s="70" t="str">
        <f>IF(ISBLANK(A352),"",INDEX('Error Log'!$A:$J,MATCH('Scores per segment'!$A352,'Error Log'!$A:$A,0),MATCH('Scores per segment'!C$1,'Error Log'!$A$1:$J$1,0)))</f>
        <v/>
      </c>
      <c r="D352" s="70">
        <f>IF(H352=0,wdct(TRIM(C352)),0)</f>
        <v>0</v>
      </c>
      <c r="E352" s="70">
        <f>COUNTIFS('Error Log'!$A:$A,$A352,'Error Log'!$J:$J,E$1)</f>
        <v>0</v>
      </c>
      <c r="F352" s="70">
        <f>COUNTIFS('Error Log'!$A:$A,$A352,'Error Log'!$J:$J,F$1)</f>
        <v>0</v>
      </c>
      <c r="G352" s="70">
        <f>COUNTIFS('Error Log'!$A:$A,$A352,'Error Log'!$J:$J,G$1)</f>
        <v>0</v>
      </c>
      <c r="H352" s="70">
        <f>COUNTIFS('Error Log'!$A:$A,$A352,'Error Log'!$F:$F,"Source")</f>
        <v>0</v>
      </c>
      <c r="I352" s="70">
        <f>COUNTIFS('Error Log'!$A:$A,$A352,'Error Log'!$F:$F,"Target")</f>
        <v>0</v>
      </c>
      <c r="J352" s="71">
        <f t="shared" si="5"/>
        <v>0</v>
      </c>
    </row>
    <row r="353" spans="1:10">
      <c r="A353" s="81"/>
      <c r="B353" s="70" t="str">
        <f>IF(ISBLANK(A353),"",INDEX('Error Log'!$A:$J,MATCH('Scores per segment'!$A353,'Error Log'!$A:$A,0),MATCH('Scores per segment'!B$1,'Error Log'!$A$1:$J$1,0)))</f>
        <v/>
      </c>
      <c r="C353" s="70" t="str">
        <f>IF(ISBLANK(A353),"",INDEX('Error Log'!$A:$J,MATCH('Scores per segment'!$A353,'Error Log'!$A:$A,0),MATCH('Scores per segment'!C$1,'Error Log'!$A$1:$J$1,0)))</f>
        <v/>
      </c>
      <c r="D353" s="70">
        <f>IF(H353=0,wdct(TRIM(C353)),0)</f>
        <v>0</v>
      </c>
      <c r="E353" s="70">
        <f>COUNTIFS('Error Log'!$A:$A,$A353,'Error Log'!$J:$J,E$1)</f>
        <v>0</v>
      </c>
      <c r="F353" s="70">
        <f>COUNTIFS('Error Log'!$A:$A,$A353,'Error Log'!$J:$J,F$1)</f>
        <v>0</v>
      </c>
      <c r="G353" s="70">
        <f>COUNTIFS('Error Log'!$A:$A,$A353,'Error Log'!$J:$J,G$1)</f>
        <v>0</v>
      </c>
      <c r="H353" s="70">
        <f>COUNTIFS('Error Log'!$A:$A,$A353,'Error Log'!$F:$F,"Source")</f>
        <v>0</v>
      </c>
      <c r="I353" s="70">
        <f>COUNTIFS('Error Log'!$A:$A,$A353,'Error Log'!$F:$F,"Target")</f>
        <v>0</v>
      </c>
      <c r="J353" s="71">
        <f t="shared" si="5"/>
        <v>0</v>
      </c>
    </row>
    <row r="354" spans="1:10">
      <c r="A354" s="81"/>
      <c r="B354" s="70" t="str">
        <f>IF(ISBLANK(A354),"",INDEX('Error Log'!$A:$J,MATCH('Scores per segment'!$A354,'Error Log'!$A:$A,0),MATCH('Scores per segment'!B$1,'Error Log'!$A$1:$J$1,0)))</f>
        <v/>
      </c>
      <c r="C354" s="70" t="str">
        <f>IF(ISBLANK(A354),"",INDEX('Error Log'!$A:$J,MATCH('Scores per segment'!$A354,'Error Log'!$A:$A,0),MATCH('Scores per segment'!C$1,'Error Log'!$A$1:$J$1,0)))</f>
        <v/>
      </c>
      <c r="D354" s="70">
        <f>IF(H354=0,wdct(TRIM(C354)),0)</f>
        <v>0</v>
      </c>
      <c r="E354" s="70">
        <f>COUNTIFS('Error Log'!$A:$A,$A354,'Error Log'!$J:$J,E$1)</f>
        <v>0</v>
      </c>
      <c r="F354" s="70">
        <f>COUNTIFS('Error Log'!$A:$A,$A354,'Error Log'!$J:$J,F$1)</f>
        <v>0</v>
      </c>
      <c r="G354" s="70">
        <f>COUNTIFS('Error Log'!$A:$A,$A354,'Error Log'!$J:$J,G$1)</f>
        <v>0</v>
      </c>
      <c r="H354" s="70">
        <f>COUNTIFS('Error Log'!$A:$A,$A354,'Error Log'!$F:$F,"Source")</f>
        <v>0</v>
      </c>
      <c r="I354" s="70">
        <f>COUNTIFS('Error Log'!$A:$A,$A354,'Error Log'!$F:$F,"Target")</f>
        <v>0</v>
      </c>
      <c r="J354" s="71">
        <f t="shared" si="5"/>
        <v>0</v>
      </c>
    </row>
    <row r="355" spans="1:10">
      <c r="A355" s="81"/>
      <c r="B355" s="70" t="str">
        <f>IF(ISBLANK(A355),"",INDEX('Error Log'!$A:$J,MATCH('Scores per segment'!$A355,'Error Log'!$A:$A,0),MATCH('Scores per segment'!B$1,'Error Log'!$A$1:$J$1,0)))</f>
        <v/>
      </c>
      <c r="C355" s="70" t="str">
        <f>IF(ISBLANK(A355),"",INDEX('Error Log'!$A:$J,MATCH('Scores per segment'!$A355,'Error Log'!$A:$A,0),MATCH('Scores per segment'!C$1,'Error Log'!$A$1:$J$1,0)))</f>
        <v/>
      </c>
      <c r="D355" s="70">
        <f>IF(H355=0,wdct(TRIM(C355)),0)</f>
        <v>0</v>
      </c>
      <c r="E355" s="70">
        <f>COUNTIFS('Error Log'!$A:$A,$A355,'Error Log'!$J:$J,E$1)</f>
        <v>0</v>
      </c>
      <c r="F355" s="70">
        <f>COUNTIFS('Error Log'!$A:$A,$A355,'Error Log'!$J:$J,F$1)</f>
        <v>0</v>
      </c>
      <c r="G355" s="70">
        <f>COUNTIFS('Error Log'!$A:$A,$A355,'Error Log'!$J:$J,G$1)</f>
        <v>0</v>
      </c>
      <c r="H355" s="70">
        <f>COUNTIFS('Error Log'!$A:$A,$A355,'Error Log'!$F:$F,"Source")</f>
        <v>0</v>
      </c>
      <c r="I355" s="70">
        <f>COUNTIFS('Error Log'!$A:$A,$A355,'Error Log'!$F:$F,"Target")</f>
        <v>0</v>
      </c>
      <c r="J355" s="71">
        <f t="shared" si="5"/>
        <v>0</v>
      </c>
    </row>
    <row r="356" spans="1:10">
      <c r="A356" s="81"/>
      <c r="B356" s="70" t="str">
        <f>IF(ISBLANK(A356),"",INDEX('Error Log'!$A:$J,MATCH('Scores per segment'!$A356,'Error Log'!$A:$A,0),MATCH('Scores per segment'!B$1,'Error Log'!$A$1:$J$1,0)))</f>
        <v/>
      </c>
      <c r="C356" s="70" t="str">
        <f>IF(ISBLANK(A356),"",INDEX('Error Log'!$A:$J,MATCH('Scores per segment'!$A356,'Error Log'!$A:$A,0),MATCH('Scores per segment'!C$1,'Error Log'!$A$1:$J$1,0)))</f>
        <v/>
      </c>
      <c r="D356" s="70">
        <f>IF(H356=0,wdct(TRIM(C356)),0)</f>
        <v>0</v>
      </c>
      <c r="E356" s="70">
        <f>COUNTIFS('Error Log'!$A:$A,$A356,'Error Log'!$J:$J,E$1)</f>
        <v>0</v>
      </c>
      <c r="F356" s="70">
        <f>COUNTIFS('Error Log'!$A:$A,$A356,'Error Log'!$J:$J,F$1)</f>
        <v>0</v>
      </c>
      <c r="G356" s="70">
        <f>COUNTIFS('Error Log'!$A:$A,$A356,'Error Log'!$J:$J,G$1)</f>
        <v>0</v>
      </c>
      <c r="H356" s="70">
        <f>COUNTIFS('Error Log'!$A:$A,$A356,'Error Log'!$F:$F,"Source")</f>
        <v>0</v>
      </c>
      <c r="I356" s="70">
        <f>COUNTIFS('Error Log'!$A:$A,$A356,'Error Log'!$F:$F,"Target")</f>
        <v>0</v>
      </c>
      <c r="J356" s="71">
        <f t="shared" si="5"/>
        <v>0</v>
      </c>
    </row>
    <row r="357" spans="1:10">
      <c r="A357" s="81"/>
      <c r="B357" s="70" t="str">
        <f>IF(ISBLANK(A357),"",INDEX('Error Log'!$A:$J,MATCH('Scores per segment'!$A357,'Error Log'!$A:$A,0),MATCH('Scores per segment'!B$1,'Error Log'!$A$1:$J$1,0)))</f>
        <v/>
      </c>
      <c r="C357" s="70" t="str">
        <f>IF(ISBLANK(A357),"",INDEX('Error Log'!$A:$J,MATCH('Scores per segment'!$A357,'Error Log'!$A:$A,0),MATCH('Scores per segment'!C$1,'Error Log'!$A$1:$J$1,0)))</f>
        <v/>
      </c>
      <c r="D357" s="70">
        <f>IF(H357=0,wdct(TRIM(C357)),0)</f>
        <v>0</v>
      </c>
      <c r="E357" s="70">
        <f>COUNTIFS('Error Log'!$A:$A,$A357,'Error Log'!$J:$J,E$1)</f>
        <v>0</v>
      </c>
      <c r="F357" s="70">
        <f>COUNTIFS('Error Log'!$A:$A,$A357,'Error Log'!$J:$J,F$1)</f>
        <v>0</v>
      </c>
      <c r="G357" s="70">
        <f>COUNTIFS('Error Log'!$A:$A,$A357,'Error Log'!$J:$J,G$1)</f>
        <v>0</v>
      </c>
      <c r="H357" s="70">
        <f>COUNTIFS('Error Log'!$A:$A,$A357,'Error Log'!$F:$F,"Source")</f>
        <v>0</v>
      </c>
      <c r="I357" s="70">
        <f>COUNTIFS('Error Log'!$A:$A,$A357,'Error Log'!$F:$F,"Target")</f>
        <v>0</v>
      </c>
      <c r="J357" s="71">
        <f t="shared" si="5"/>
        <v>0</v>
      </c>
    </row>
    <row r="358" spans="1:10">
      <c r="A358" s="81"/>
      <c r="B358" s="70" t="str">
        <f>IF(ISBLANK(A358),"",INDEX('Error Log'!$A:$J,MATCH('Scores per segment'!$A358,'Error Log'!$A:$A,0),MATCH('Scores per segment'!B$1,'Error Log'!$A$1:$J$1,0)))</f>
        <v/>
      </c>
      <c r="C358" s="70" t="str">
        <f>IF(ISBLANK(A358),"",INDEX('Error Log'!$A:$J,MATCH('Scores per segment'!$A358,'Error Log'!$A:$A,0),MATCH('Scores per segment'!C$1,'Error Log'!$A$1:$J$1,0)))</f>
        <v/>
      </c>
      <c r="D358" s="70">
        <f>IF(H358=0,wdct(TRIM(C358)),0)</f>
        <v>0</v>
      </c>
      <c r="E358" s="70">
        <f>COUNTIFS('Error Log'!$A:$A,$A358,'Error Log'!$J:$J,E$1)</f>
        <v>0</v>
      </c>
      <c r="F358" s="70">
        <f>COUNTIFS('Error Log'!$A:$A,$A358,'Error Log'!$J:$J,F$1)</f>
        <v>0</v>
      </c>
      <c r="G358" s="70">
        <f>COUNTIFS('Error Log'!$A:$A,$A358,'Error Log'!$J:$J,G$1)</f>
        <v>0</v>
      </c>
      <c r="H358" s="70">
        <f>COUNTIFS('Error Log'!$A:$A,$A358,'Error Log'!$F:$F,"Source")</f>
        <v>0</v>
      </c>
      <c r="I358" s="70">
        <f>COUNTIFS('Error Log'!$A:$A,$A358,'Error Log'!$F:$F,"Target")</f>
        <v>0</v>
      </c>
      <c r="J358" s="71">
        <f t="shared" si="5"/>
        <v>0</v>
      </c>
    </row>
    <row r="359" spans="1:10">
      <c r="A359" s="81"/>
      <c r="B359" s="70" t="str">
        <f>IF(ISBLANK(A359),"",INDEX('Error Log'!$A:$J,MATCH('Scores per segment'!$A359,'Error Log'!$A:$A,0),MATCH('Scores per segment'!B$1,'Error Log'!$A$1:$J$1,0)))</f>
        <v/>
      </c>
      <c r="C359" s="70" t="str">
        <f>IF(ISBLANK(A359),"",INDEX('Error Log'!$A:$J,MATCH('Scores per segment'!$A359,'Error Log'!$A:$A,0),MATCH('Scores per segment'!C$1,'Error Log'!$A$1:$J$1,0)))</f>
        <v/>
      </c>
      <c r="D359" s="70">
        <f>IF(H359=0,wdct(TRIM(C359)),0)</f>
        <v>0</v>
      </c>
      <c r="E359" s="70">
        <f>COUNTIFS('Error Log'!$A:$A,$A359,'Error Log'!$J:$J,E$1)</f>
        <v>0</v>
      </c>
      <c r="F359" s="70">
        <f>COUNTIFS('Error Log'!$A:$A,$A359,'Error Log'!$J:$J,F$1)</f>
        <v>0</v>
      </c>
      <c r="G359" s="70">
        <f>COUNTIFS('Error Log'!$A:$A,$A359,'Error Log'!$J:$J,G$1)</f>
        <v>0</v>
      </c>
      <c r="H359" s="70">
        <f>COUNTIFS('Error Log'!$A:$A,$A359,'Error Log'!$F:$F,"Source")</f>
        <v>0</v>
      </c>
      <c r="I359" s="70">
        <f>COUNTIFS('Error Log'!$A:$A,$A359,'Error Log'!$F:$F,"Target")</f>
        <v>0</v>
      </c>
      <c r="J359" s="71">
        <f t="shared" si="5"/>
        <v>0</v>
      </c>
    </row>
    <row r="360" spans="1:10">
      <c r="A360" s="81"/>
      <c r="B360" s="70" t="str">
        <f>IF(ISBLANK(A360),"",INDEX('Error Log'!$A:$J,MATCH('Scores per segment'!$A360,'Error Log'!$A:$A,0),MATCH('Scores per segment'!B$1,'Error Log'!$A$1:$J$1,0)))</f>
        <v/>
      </c>
      <c r="C360" s="70" t="str">
        <f>IF(ISBLANK(A360),"",INDEX('Error Log'!$A:$J,MATCH('Scores per segment'!$A360,'Error Log'!$A:$A,0),MATCH('Scores per segment'!C$1,'Error Log'!$A$1:$J$1,0)))</f>
        <v/>
      </c>
      <c r="D360" s="70">
        <f>IF(H360=0,wdct(TRIM(C360)),0)</f>
        <v>0</v>
      </c>
      <c r="E360" s="70">
        <f>COUNTIFS('Error Log'!$A:$A,$A360,'Error Log'!$J:$J,E$1)</f>
        <v>0</v>
      </c>
      <c r="F360" s="70">
        <f>COUNTIFS('Error Log'!$A:$A,$A360,'Error Log'!$J:$J,F$1)</f>
        <v>0</v>
      </c>
      <c r="G360" s="70">
        <f>COUNTIFS('Error Log'!$A:$A,$A360,'Error Log'!$J:$J,G$1)</f>
        <v>0</v>
      </c>
      <c r="H360" s="70">
        <f>COUNTIFS('Error Log'!$A:$A,$A360,'Error Log'!$F:$F,"Source")</f>
        <v>0</v>
      </c>
      <c r="I360" s="70">
        <f>COUNTIFS('Error Log'!$A:$A,$A360,'Error Log'!$F:$F,"Target")</f>
        <v>0</v>
      </c>
      <c r="J360" s="71">
        <f t="shared" si="5"/>
        <v>0</v>
      </c>
    </row>
    <row r="361" spans="1:10">
      <c r="A361" s="81"/>
      <c r="B361" s="70" t="str">
        <f>IF(ISBLANK(A361),"",INDEX('Error Log'!$A:$J,MATCH('Scores per segment'!$A361,'Error Log'!$A:$A,0),MATCH('Scores per segment'!B$1,'Error Log'!$A$1:$J$1,0)))</f>
        <v/>
      </c>
      <c r="C361" s="70" t="str">
        <f>IF(ISBLANK(A361),"",INDEX('Error Log'!$A:$J,MATCH('Scores per segment'!$A361,'Error Log'!$A:$A,0),MATCH('Scores per segment'!C$1,'Error Log'!$A$1:$J$1,0)))</f>
        <v/>
      </c>
      <c r="D361" s="70">
        <f>IF(H361=0,wdct(TRIM(C361)),0)</f>
        <v>0</v>
      </c>
      <c r="E361" s="70">
        <f>COUNTIFS('Error Log'!$A:$A,$A361,'Error Log'!$J:$J,E$1)</f>
        <v>0</v>
      </c>
      <c r="F361" s="70">
        <f>COUNTIFS('Error Log'!$A:$A,$A361,'Error Log'!$J:$J,F$1)</f>
        <v>0</v>
      </c>
      <c r="G361" s="70">
        <f>COUNTIFS('Error Log'!$A:$A,$A361,'Error Log'!$J:$J,G$1)</f>
        <v>0</v>
      </c>
      <c r="H361" s="70">
        <f>COUNTIFS('Error Log'!$A:$A,$A361,'Error Log'!$F:$F,"Source")</f>
        <v>0</v>
      </c>
      <c r="I361" s="70">
        <f>COUNTIFS('Error Log'!$A:$A,$A361,'Error Log'!$F:$F,"Target")</f>
        <v>0</v>
      </c>
      <c r="J361" s="71">
        <f t="shared" si="5"/>
        <v>0</v>
      </c>
    </row>
    <row r="362" spans="1:10">
      <c r="A362" s="81"/>
      <c r="B362" s="70" t="str">
        <f>IF(ISBLANK(A362),"",INDEX('Error Log'!$A:$J,MATCH('Scores per segment'!$A362,'Error Log'!$A:$A,0),MATCH('Scores per segment'!B$1,'Error Log'!$A$1:$J$1,0)))</f>
        <v/>
      </c>
      <c r="C362" s="70" t="str">
        <f>IF(ISBLANK(A362),"",INDEX('Error Log'!$A:$J,MATCH('Scores per segment'!$A362,'Error Log'!$A:$A,0),MATCH('Scores per segment'!C$1,'Error Log'!$A$1:$J$1,0)))</f>
        <v/>
      </c>
      <c r="D362" s="70">
        <f>IF(H362=0,wdct(TRIM(C362)),0)</f>
        <v>0</v>
      </c>
      <c r="E362" s="70">
        <f>COUNTIFS('Error Log'!$A:$A,$A362,'Error Log'!$J:$J,E$1)</f>
        <v>0</v>
      </c>
      <c r="F362" s="70">
        <f>COUNTIFS('Error Log'!$A:$A,$A362,'Error Log'!$J:$J,F$1)</f>
        <v>0</v>
      </c>
      <c r="G362" s="70">
        <f>COUNTIFS('Error Log'!$A:$A,$A362,'Error Log'!$J:$J,G$1)</f>
        <v>0</v>
      </c>
      <c r="H362" s="70">
        <f>COUNTIFS('Error Log'!$A:$A,$A362,'Error Log'!$F:$F,"Source")</f>
        <v>0</v>
      </c>
      <c r="I362" s="70">
        <f>COUNTIFS('Error Log'!$A:$A,$A362,'Error Log'!$F:$F,"Target")</f>
        <v>0</v>
      </c>
      <c r="J362" s="71">
        <f t="shared" si="5"/>
        <v>0</v>
      </c>
    </row>
    <row r="363" spans="1:10">
      <c r="A363" s="81"/>
      <c r="B363" s="70" t="str">
        <f>IF(ISBLANK(A363),"",INDEX('Error Log'!$A:$J,MATCH('Scores per segment'!$A363,'Error Log'!$A:$A,0),MATCH('Scores per segment'!B$1,'Error Log'!$A$1:$J$1,0)))</f>
        <v/>
      </c>
      <c r="C363" s="70" t="str">
        <f>IF(ISBLANK(A363),"",INDEX('Error Log'!$A:$J,MATCH('Scores per segment'!$A363,'Error Log'!$A:$A,0),MATCH('Scores per segment'!C$1,'Error Log'!$A$1:$J$1,0)))</f>
        <v/>
      </c>
      <c r="D363" s="70">
        <f>IF(H363=0,wdct(TRIM(C363)),0)</f>
        <v>0</v>
      </c>
      <c r="E363" s="70">
        <f>COUNTIFS('Error Log'!$A:$A,$A363,'Error Log'!$J:$J,E$1)</f>
        <v>0</v>
      </c>
      <c r="F363" s="70">
        <f>COUNTIFS('Error Log'!$A:$A,$A363,'Error Log'!$J:$J,F$1)</f>
        <v>0</v>
      </c>
      <c r="G363" s="70">
        <f>COUNTIFS('Error Log'!$A:$A,$A363,'Error Log'!$J:$J,G$1)</f>
        <v>0</v>
      </c>
      <c r="H363" s="70">
        <f>COUNTIFS('Error Log'!$A:$A,$A363,'Error Log'!$F:$F,"Source")</f>
        <v>0</v>
      </c>
      <c r="I363" s="70">
        <f>COUNTIFS('Error Log'!$A:$A,$A363,'Error Log'!$F:$F,"Target")</f>
        <v>0</v>
      </c>
      <c r="J363" s="71">
        <f t="shared" si="5"/>
        <v>0</v>
      </c>
    </row>
    <row r="364" spans="1:10">
      <c r="A364" s="81"/>
      <c r="B364" s="70" t="str">
        <f>IF(ISBLANK(A364),"",INDEX('Error Log'!$A:$J,MATCH('Scores per segment'!$A364,'Error Log'!$A:$A,0),MATCH('Scores per segment'!B$1,'Error Log'!$A$1:$J$1,0)))</f>
        <v/>
      </c>
      <c r="C364" s="70" t="str">
        <f>IF(ISBLANK(A364),"",INDEX('Error Log'!$A:$J,MATCH('Scores per segment'!$A364,'Error Log'!$A:$A,0),MATCH('Scores per segment'!C$1,'Error Log'!$A$1:$J$1,0)))</f>
        <v/>
      </c>
      <c r="D364" s="70">
        <f>IF(H364=0,wdct(TRIM(C364)),0)</f>
        <v>0</v>
      </c>
      <c r="E364" s="70">
        <f>COUNTIFS('Error Log'!$A:$A,$A364,'Error Log'!$J:$J,E$1)</f>
        <v>0</v>
      </c>
      <c r="F364" s="70">
        <f>COUNTIFS('Error Log'!$A:$A,$A364,'Error Log'!$J:$J,F$1)</f>
        <v>0</v>
      </c>
      <c r="G364" s="70">
        <f>COUNTIFS('Error Log'!$A:$A,$A364,'Error Log'!$J:$J,G$1)</f>
        <v>0</v>
      </c>
      <c r="H364" s="70">
        <f>COUNTIFS('Error Log'!$A:$A,$A364,'Error Log'!$F:$F,"Source")</f>
        <v>0</v>
      </c>
      <c r="I364" s="70">
        <f>COUNTIFS('Error Log'!$A:$A,$A364,'Error Log'!$F:$F,"Target")</f>
        <v>0</v>
      </c>
      <c r="J364" s="71">
        <f t="shared" si="5"/>
        <v>0</v>
      </c>
    </row>
    <row r="365" spans="1:10">
      <c r="A365" s="81"/>
      <c r="B365" s="70" t="str">
        <f>IF(ISBLANK(A365),"",INDEX('Error Log'!$A:$J,MATCH('Scores per segment'!$A365,'Error Log'!$A:$A,0),MATCH('Scores per segment'!B$1,'Error Log'!$A$1:$J$1,0)))</f>
        <v/>
      </c>
      <c r="C365" s="70" t="str">
        <f>IF(ISBLANK(A365),"",INDEX('Error Log'!$A:$J,MATCH('Scores per segment'!$A365,'Error Log'!$A:$A,0),MATCH('Scores per segment'!C$1,'Error Log'!$A$1:$J$1,0)))</f>
        <v/>
      </c>
      <c r="D365" s="70">
        <f>IF(H365=0,wdct(TRIM(C365)),0)</f>
        <v>0</v>
      </c>
      <c r="E365" s="70">
        <f>COUNTIFS('Error Log'!$A:$A,$A365,'Error Log'!$J:$J,E$1)</f>
        <v>0</v>
      </c>
      <c r="F365" s="70">
        <f>COUNTIFS('Error Log'!$A:$A,$A365,'Error Log'!$J:$J,F$1)</f>
        <v>0</v>
      </c>
      <c r="G365" s="70">
        <f>COUNTIFS('Error Log'!$A:$A,$A365,'Error Log'!$J:$J,G$1)</f>
        <v>0</v>
      </c>
      <c r="H365" s="70">
        <f>COUNTIFS('Error Log'!$A:$A,$A365,'Error Log'!$F:$F,"Source")</f>
        <v>0</v>
      </c>
      <c r="I365" s="70">
        <f>COUNTIFS('Error Log'!$A:$A,$A365,'Error Log'!$F:$F,"Target")</f>
        <v>0</v>
      </c>
      <c r="J365" s="71">
        <f t="shared" si="5"/>
        <v>0</v>
      </c>
    </row>
    <row r="366" spans="1:10">
      <c r="A366" s="81"/>
      <c r="B366" s="70" t="str">
        <f>IF(ISBLANK(A366),"",INDEX('Error Log'!$A:$J,MATCH('Scores per segment'!$A366,'Error Log'!$A:$A,0),MATCH('Scores per segment'!B$1,'Error Log'!$A$1:$J$1,0)))</f>
        <v/>
      </c>
      <c r="C366" s="70" t="str">
        <f>IF(ISBLANK(A366),"",INDEX('Error Log'!$A:$J,MATCH('Scores per segment'!$A366,'Error Log'!$A:$A,0),MATCH('Scores per segment'!C$1,'Error Log'!$A$1:$J$1,0)))</f>
        <v/>
      </c>
      <c r="D366" s="70">
        <f>IF(H366=0,wdct(TRIM(C366)),0)</f>
        <v>0</v>
      </c>
      <c r="E366" s="70">
        <f>COUNTIFS('Error Log'!$A:$A,$A366,'Error Log'!$J:$J,E$1)</f>
        <v>0</v>
      </c>
      <c r="F366" s="70">
        <f>COUNTIFS('Error Log'!$A:$A,$A366,'Error Log'!$J:$J,F$1)</f>
        <v>0</v>
      </c>
      <c r="G366" s="70">
        <f>COUNTIFS('Error Log'!$A:$A,$A366,'Error Log'!$J:$J,G$1)</f>
        <v>0</v>
      </c>
      <c r="H366" s="70">
        <f>COUNTIFS('Error Log'!$A:$A,$A366,'Error Log'!$F:$F,"Source")</f>
        <v>0</v>
      </c>
      <c r="I366" s="70">
        <f>COUNTIFS('Error Log'!$A:$A,$A366,'Error Log'!$F:$F,"Target")</f>
        <v>0</v>
      </c>
      <c r="J366" s="71">
        <f t="shared" si="5"/>
        <v>0</v>
      </c>
    </row>
    <row r="367" spans="1:10">
      <c r="A367" s="81"/>
      <c r="B367" s="70" t="str">
        <f>IF(ISBLANK(A367),"",INDEX('Error Log'!$A:$J,MATCH('Scores per segment'!$A367,'Error Log'!$A:$A,0),MATCH('Scores per segment'!B$1,'Error Log'!$A$1:$J$1,0)))</f>
        <v/>
      </c>
      <c r="C367" s="70" t="str">
        <f>IF(ISBLANK(A367),"",INDEX('Error Log'!$A:$J,MATCH('Scores per segment'!$A367,'Error Log'!$A:$A,0),MATCH('Scores per segment'!C$1,'Error Log'!$A$1:$J$1,0)))</f>
        <v/>
      </c>
      <c r="D367" s="70">
        <f>IF(H367=0,wdct(TRIM(C367)),0)</f>
        <v>0</v>
      </c>
      <c r="E367" s="70">
        <f>COUNTIFS('Error Log'!$A:$A,$A367,'Error Log'!$J:$J,E$1)</f>
        <v>0</v>
      </c>
      <c r="F367" s="70">
        <f>COUNTIFS('Error Log'!$A:$A,$A367,'Error Log'!$J:$J,F$1)</f>
        <v>0</v>
      </c>
      <c r="G367" s="70">
        <f>COUNTIFS('Error Log'!$A:$A,$A367,'Error Log'!$J:$J,G$1)</f>
        <v>0</v>
      </c>
      <c r="H367" s="70">
        <f>COUNTIFS('Error Log'!$A:$A,$A367,'Error Log'!$F:$F,"Source")</f>
        <v>0</v>
      </c>
      <c r="I367" s="70">
        <f>COUNTIFS('Error Log'!$A:$A,$A367,'Error Log'!$F:$F,"Target")</f>
        <v>0</v>
      </c>
      <c r="J367" s="71">
        <f t="shared" si="5"/>
        <v>0</v>
      </c>
    </row>
    <row r="368" spans="1:10">
      <c r="A368" s="81"/>
      <c r="B368" s="70" t="str">
        <f>IF(ISBLANK(A368),"",INDEX('Error Log'!$A:$J,MATCH('Scores per segment'!$A368,'Error Log'!$A:$A,0),MATCH('Scores per segment'!B$1,'Error Log'!$A$1:$J$1,0)))</f>
        <v/>
      </c>
      <c r="C368" s="70" t="str">
        <f>IF(ISBLANK(A368),"",INDEX('Error Log'!$A:$J,MATCH('Scores per segment'!$A368,'Error Log'!$A:$A,0),MATCH('Scores per segment'!C$1,'Error Log'!$A$1:$J$1,0)))</f>
        <v/>
      </c>
      <c r="D368" s="70">
        <f>IF(H368=0,wdct(TRIM(C368)),0)</f>
        <v>0</v>
      </c>
      <c r="E368" s="70">
        <f>COUNTIFS('Error Log'!$A:$A,$A368,'Error Log'!$J:$J,E$1)</f>
        <v>0</v>
      </c>
      <c r="F368" s="70">
        <f>COUNTIFS('Error Log'!$A:$A,$A368,'Error Log'!$J:$J,F$1)</f>
        <v>0</v>
      </c>
      <c r="G368" s="70">
        <f>COUNTIFS('Error Log'!$A:$A,$A368,'Error Log'!$J:$J,G$1)</f>
        <v>0</v>
      </c>
      <c r="H368" s="70">
        <f>COUNTIFS('Error Log'!$A:$A,$A368,'Error Log'!$F:$F,"Source")</f>
        <v>0</v>
      </c>
      <c r="I368" s="70">
        <f>COUNTIFS('Error Log'!$A:$A,$A368,'Error Log'!$F:$F,"Target")</f>
        <v>0</v>
      </c>
      <c r="J368" s="71">
        <f t="shared" si="5"/>
        <v>0</v>
      </c>
    </row>
    <row r="369" spans="1:10">
      <c r="A369" s="81"/>
      <c r="B369" s="70" t="str">
        <f>IF(ISBLANK(A369),"",INDEX('Error Log'!$A:$J,MATCH('Scores per segment'!$A369,'Error Log'!$A:$A,0),MATCH('Scores per segment'!B$1,'Error Log'!$A$1:$J$1,0)))</f>
        <v/>
      </c>
      <c r="C369" s="70" t="str">
        <f>IF(ISBLANK(A369),"",INDEX('Error Log'!$A:$J,MATCH('Scores per segment'!$A369,'Error Log'!$A:$A,0),MATCH('Scores per segment'!C$1,'Error Log'!$A$1:$J$1,0)))</f>
        <v/>
      </c>
      <c r="D369" s="70">
        <f>IF(H369=0,wdct(TRIM(C369)),0)</f>
        <v>0</v>
      </c>
      <c r="E369" s="70">
        <f>COUNTIFS('Error Log'!$A:$A,$A369,'Error Log'!$J:$J,E$1)</f>
        <v>0</v>
      </c>
      <c r="F369" s="70">
        <f>COUNTIFS('Error Log'!$A:$A,$A369,'Error Log'!$J:$J,F$1)</f>
        <v>0</v>
      </c>
      <c r="G369" s="70">
        <f>COUNTIFS('Error Log'!$A:$A,$A369,'Error Log'!$J:$J,G$1)</f>
        <v>0</v>
      </c>
      <c r="H369" s="70">
        <f>COUNTIFS('Error Log'!$A:$A,$A369,'Error Log'!$F:$F,"Source")</f>
        <v>0</v>
      </c>
      <c r="I369" s="70">
        <f>COUNTIFS('Error Log'!$A:$A,$A369,'Error Log'!$F:$F,"Target")</f>
        <v>0</v>
      </c>
      <c r="J369" s="71">
        <f t="shared" si="5"/>
        <v>0</v>
      </c>
    </row>
    <row r="370" spans="1:10">
      <c r="A370" s="81"/>
      <c r="B370" s="70" t="str">
        <f>IF(ISBLANK(A370),"",INDEX('Error Log'!$A:$J,MATCH('Scores per segment'!$A370,'Error Log'!$A:$A,0),MATCH('Scores per segment'!B$1,'Error Log'!$A$1:$J$1,0)))</f>
        <v/>
      </c>
      <c r="C370" s="70" t="str">
        <f>IF(ISBLANK(A370),"",INDEX('Error Log'!$A:$J,MATCH('Scores per segment'!$A370,'Error Log'!$A:$A,0),MATCH('Scores per segment'!C$1,'Error Log'!$A$1:$J$1,0)))</f>
        <v/>
      </c>
      <c r="D370" s="70">
        <f>IF(H370=0,wdct(TRIM(C370)),0)</f>
        <v>0</v>
      </c>
      <c r="E370" s="70">
        <f>COUNTIFS('Error Log'!$A:$A,$A370,'Error Log'!$J:$J,E$1)</f>
        <v>0</v>
      </c>
      <c r="F370" s="70">
        <f>COUNTIFS('Error Log'!$A:$A,$A370,'Error Log'!$J:$J,F$1)</f>
        <v>0</v>
      </c>
      <c r="G370" s="70">
        <f>COUNTIFS('Error Log'!$A:$A,$A370,'Error Log'!$J:$J,G$1)</f>
        <v>0</v>
      </c>
      <c r="H370" s="70">
        <f>COUNTIFS('Error Log'!$A:$A,$A370,'Error Log'!$F:$F,"Source")</f>
        <v>0</v>
      </c>
      <c r="I370" s="70">
        <f>COUNTIFS('Error Log'!$A:$A,$A370,'Error Log'!$F:$F,"Target")</f>
        <v>0</v>
      </c>
      <c r="J370" s="71">
        <f t="shared" si="5"/>
        <v>0</v>
      </c>
    </row>
    <row r="371" spans="1:10">
      <c r="A371" s="81"/>
      <c r="B371" s="70" t="str">
        <f>IF(ISBLANK(A371),"",INDEX('Error Log'!$A:$J,MATCH('Scores per segment'!$A371,'Error Log'!$A:$A,0),MATCH('Scores per segment'!B$1,'Error Log'!$A$1:$J$1,0)))</f>
        <v/>
      </c>
      <c r="C371" s="70" t="str">
        <f>IF(ISBLANK(A371),"",INDEX('Error Log'!$A:$J,MATCH('Scores per segment'!$A371,'Error Log'!$A:$A,0),MATCH('Scores per segment'!C$1,'Error Log'!$A$1:$J$1,0)))</f>
        <v/>
      </c>
      <c r="D371" s="70">
        <f>IF(H371=0,wdct(TRIM(C371)),0)</f>
        <v>0</v>
      </c>
      <c r="E371" s="70">
        <f>COUNTIFS('Error Log'!$A:$A,$A371,'Error Log'!$J:$J,E$1)</f>
        <v>0</v>
      </c>
      <c r="F371" s="70">
        <f>COUNTIFS('Error Log'!$A:$A,$A371,'Error Log'!$J:$J,F$1)</f>
        <v>0</v>
      </c>
      <c r="G371" s="70">
        <f>COUNTIFS('Error Log'!$A:$A,$A371,'Error Log'!$J:$J,G$1)</f>
        <v>0</v>
      </c>
      <c r="H371" s="70">
        <f>COUNTIFS('Error Log'!$A:$A,$A371,'Error Log'!$F:$F,"Source")</f>
        <v>0</v>
      </c>
      <c r="I371" s="70">
        <f>COUNTIFS('Error Log'!$A:$A,$A371,'Error Log'!$F:$F,"Target")</f>
        <v>0</v>
      </c>
      <c r="J371" s="71">
        <f t="shared" si="5"/>
        <v>0</v>
      </c>
    </row>
    <row r="372" spans="1:10">
      <c r="A372" s="81"/>
      <c r="B372" s="70" t="str">
        <f>IF(ISBLANK(A372),"",INDEX('Error Log'!$A:$J,MATCH('Scores per segment'!$A372,'Error Log'!$A:$A,0),MATCH('Scores per segment'!B$1,'Error Log'!$A$1:$J$1,0)))</f>
        <v/>
      </c>
      <c r="C372" s="70" t="str">
        <f>IF(ISBLANK(A372),"",INDEX('Error Log'!$A:$J,MATCH('Scores per segment'!$A372,'Error Log'!$A:$A,0),MATCH('Scores per segment'!C$1,'Error Log'!$A$1:$J$1,0)))</f>
        <v/>
      </c>
      <c r="D372" s="70">
        <f>IF(H372=0,wdct(TRIM(C372)),0)</f>
        <v>0</v>
      </c>
      <c r="E372" s="70">
        <f>COUNTIFS('Error Log'!$A:$A,$A372,'Error Log'!$J:$J,E$1)</f>
        <v>0</v>
      </c>
      <c r="F372" s="70">
        <f>COUNTIFS('Error Log'!$A:$A,$A372,'Error Log'!$J:$J,F$1)</f>
        <v>0</v>
      </c>
      <c r="G372" s="70">
        <f>COUNTIFS('Error Log'!$A:$A,$A372,'Error Log'!$J:$J,G$1)</f>
        <v>0</v>
      </c>
      <c r="H372" s="70">
        <f>COUNTIFS('Error Log'!$A:$A,$A372,'Error Log'!$F:$F,"Source")</f>
        <v>0</v>
      </c>
      <c r="I372" s="70">
        <f>COUNTIFS('Error Log'!$A:$A,$A372,'Error Log'!$F:$F,"Target")</f>
        <v>0</v>
      </c>
      <c r="J372" s="71">
        <f t="shared" si="5"/>
        <v>0</v>
      </c>
    </row>
    <row r="373" spans="1:10">
      <c r="A373" s="81"/>
      <c r="B373" s="70" t="str">
        <f>IF(ISBLANK(A373),"",INDEX('Error Log'!$A:$J,MATCH('Scores per segment'!$A373,'Error Log'!$A:$A,0),MATCH('Scores per segment'!B$1,'Error Log'!$A$1:$J$1,0)))</f>
        <v/>
      </c>
      <c r="C373" s="70" t="str">
        <f>IF(ISBLANK(A373),"",INDEX('Error Log'!$A:$J,MATCH('Scores per segment'!$A373,'Error Log'!$A:$A,0),MATCH('Scores per segment'!C$1,'Error Log'!$A$1:$J$1,0)))</f>
        <v/>
      </c>
      <c r="D373" s="70">
        <f>IF(H373=0,wdct(TRIM(C373)),0)</f>
        <v>0</v>
      </c>
      <c r="E373" s="70">
        <f>COUNTIFS('Error Log'!$A:$A,$A373,'Error Log'!$J:$J,E$1)</f>
        <v>0</v>
      </c>
      <c r="F373" s="70">
        <f>COUNTIFS('Error Log'!$A:$A,$A373,'Error Log'!$J:$J,F$1)</f>
        <v>0</v>
      </c>
      <c r="G373" s="70">
        <f>COUNTIFS('Error Log'!$A:$A,$A373,'Error Log'!$J:$J,G$1)</f>
        <v>0</v>
      </c>
      <c r="H373" s="70">
        <f>COUNTIFS('Error Log'!$A:$A,$A373,'Error Log'!$F:$F,"Source")</f>
        <v>0</v>
      </c>
      <c r="I373" s="70">
        <f>COUNTIFS('Error Log'!$A:$A,$A373,'Error Log'!$F:$F,"Target")</f>
        <v>0</v>
      </c>
      <c r="J373" s="71">
        <f t="shared" si="5"/>
        <v>0</v>
      </c>
    </row>
    <row r="374" spans="1:10">
      <c r="A374" s="81"/>
      <c r="B374" s="70" t="str">
        <f>IF(ISBLANK(A374),"",INDEX('Error Log'!$A:$J,MATCH('Scores per segment'!$A374,'Error Log'!$A:$A,0),MATCH('Scores per segment'!B$1,'Error Log'!$A$1:$J$1,0)))</f>
        <v/>
      </c>
      <c r="C374" s="70" t="str">
        <f>IF(ISBLANK(A374),"",INDEX('Error Log'!$A:$J,MATCH('Scores per segment'!$A374,'Error Log'!$A:$A,0),MATCH('Scores per segment'!C$1,'Error Log'!$A$1:$J$1,0)))</f>
        <v/>
      </c>
      <c r="D374" s="70">
        <f>IF(H374=0,wdct(TRIM(C374)),0)</f>
        <v>0</v>
      </c>
      <c r="E374" s="70">
        <f>COUNTIFS('Error Log'!$A:$A,$A374,'Error Log'!$J:$J,E$1)</f>
        <v>0</v>
      </c>
      <c r="F374" s="70">
        <f>COUNTIFS('Error Log'!$A:$A,$A374,'Error Log'!$J:$J,F$1)</f>
        <v>0</v>
      </c>
      <c r="G374" s="70">
        <f>COUNTIFS('Error Log'!$A:$A,$A374,'Error Log'!$J:$J,G$1)</f>
        <v>0</v>
      </c>
      <c r="H374" s="70">
        <f>COUNTIFS('Error Log'!$A:$A,$A374,'Error Log'!$F:$F,"Source")</f>
        <v>0</v>
      </c>
      <c r="I374" s="70">
        <f>COUNTIFS('Error Log'!$A:$A,$A374,'Error Log'!$F:$F,"Target")</f>
        <v>0</v>
      </c>
      <c r="J374" s="71">
        <f t="shared" si="5"/>
        <v>0</v>
      </c>
    </row>
    <row r="375" spans="1:10">
      <c r="A375" s="81"/>
      <c r="B375" s="70" t="str">
        <f>IF(ISBLANK(A375),"",INDEX('Error Log'!$A:$J,MATCH('Scores per segment'!$A375,'Error Log'!$A:$A,0),MATCH('Scores per segment'!B$1,'Error Log'!$A$1:$J$1,0)))</f>
        <v/>
      </c>
      <c r="C375" s="70" t="str">
        <f>IF(ISBLANK(A375),"",INDEX('Error Log'!$A:$J,MATCH('Scores per segment'!$A375,'Error Log'!$A:$A,0),MATCH('Scores per segment'!C$1,'Error Log'!$A$1:$J$1,0)))</f>
        <v/>
      </c>
      <c r="D375" s="70">
        <f>IF(H375=0,wdct(TRIM(C375)),0)</f>
        <v>0</v>
      </c>
      <c r="E375" s="70">
        <f>COUNTIFS('Error Log'!$A:$A,$A375,'Error Log'!$J:$J,E$1)</f>
        <v>0</v>
      </c>
      <c r="F375" s="70">
        <f>COUNTIFS('Error Log'!$A:$A,$A375,'Error Log'!$J:$J,F$1)</f>
        <v>0</v>
      </c>
      <c r="G375" s="70">
        <f>COUNTIFS('Error Log'!$A:$A,$A375,'Error Log'!$J:$J,G$1)</f>
        <v>0</v>
      </c>
      <c r="H375" s="70">
        <f>COUNTIFS('Error Log'!$A:$A,$A375,'Error Log'!$F:$F,"Source")</f>
        <v>0</v>
      </c>
      <c r="I375" s="70">
        <f>COUNTIFS('Error Log'!$A:$A,$A375,'Error Log'!$F:$F,"Target")</f>
        <v>0</v>
      </c>
      <c r="J375" s="71">
        <f t="shared" si="5"/>
        <v>0</v>
      </c>
    </row>
    <row r="376" spans="1:10">
      <c r="A376" s="81"/>
      <c r="B376" s="70" t="str">
        <f>IF(ISBLANK(A376),"",INDEX('Error Log'!$A:$J,MATCH('Scores per segment'!$A376,'Error Log'!$A:$A,0),MATCH('Scores per segment'!B$1,'Error Log'!$A$1:$J$1,0)))</f>
        <v/>
      </c>
      <c r="C376" s="70" t="str">
        <f>IF(ISBLANK(A376),"",INDEX('Error Log'!$A:$J,MATCH('Scores per segment'!$A376,'Error Log'!$A:$A,0),MATCH('Scores per segment'!C$1,'Error Log'!$A$1:$J$1,0)))</f>
        <v/>
      </c>
      <c r="D376" s="70">
        <f>IF(H376=0,wdct(TRIM(C376)),0)</f>
        <v>0</v>
      </c>
      <c r="E376" s="70">
        <f>COUNTIFS('Error Log'!$A:$A,$A376,'Error Log'!$J:$J,E$1)</f>
        <v>0</v>
      </c>
      <c r="F376" s="70">
        <f>COUNTIFS('Error Log'!$A:$A,$A376,'Error Log'!$J:$J,F$1)</f>
        <v>0</v>
      </c>
      <c r="G376" s="70">
        <f>COUNTIFS('Error Log'!$A:$A,$A376,'Error Log'!$J:$J,G$1)</f>
        <v>0</v>
      </c>
      <c r="H376" s="70">
        <f>COUNTIFS('Error Log'!$A:$A,$A376,'Error Log'!$F:$F,"Source")</f>
        <v>0</v>
      </c>
      <c r="I376" s="70">
        <f>COUNTIFS('Error Log'!$A:$A,$A376,'Error Log'!$F:$F,"Target")</f>
        <v>0</v>
      </c>
      <c r="J376" s="71">
        <f t="shared" si="5"/>
        <v>0</v>
      </c>
    </row>
    <row r="377" spans="1:10">
      <c r="A377" s="81"/>
      <c r="B377" s="70" t="str">
        <f>IF(ISBLANK(A377),"",INDEX('Error Log'!$A:$J,MATCH('Scores per segment'!$A377,'Error Log'!$A:$A,0),MATCH('Scores per segment'!B$1,'Error Log'!$A$1:$J$1,0)))</f>
        <v/>
      </c>
      <c r="C377" s="70" t="str">
        <f>IF(ISBLANK(A377),"",INDEX('Error Log'!$A:$J,MATCH('Scores per segment'!$A377,'Error Log'!$A:$A,0),MATCH('Scores per segment'!C$1,'Error Log'!$A$1:$J$1,0)))</f>
        <v/>
      </c>
      <c r="D377" s="70">
        <f>IF(H377=0,wdct(TRIM(C377)),0)</f>
        <v>0</v>
      </c>
      <c r="E377" s="70">
        <f>COUNTIFS('Error Log'!$A:$A,$A377,'Error Log'!$J:$J,E$1)</f>
        <v>0</v>
      </c>
      <c r="F377" s="70">
        <f>COUNTIFS('Error Log'!$A:$A,$A377,'Error Log'!$J:$J,F$1)</f>
        <v>0</v>
      </c>
      <c r="G377" s="70">
        <f>COUNTIFS('Error Log'!$A:$A,$A377,'Error Log'!$J:$J,G$1)</f>
        <v>0</v>
      </c>
      <c r="H377" s="70">
        <f>COUNTIFS('Error Log'!$A:$A,$A377,'Error Log'!$F:$F,"Source")</f>
        <v>0</v>
      </c>
      <c r="I377" s="70">
        <f>COUNTIFS('Error Log'!$A:$A,$A377,'Error Log'!$F:$F,"Target")</f>
        <v>0</v>
      </c>
      <c r="J377" s="71">
        <f t="shared" si="5"/>
        <v>0</v>
      </c>
    </row>
    <row r="378" spans="1:10">
      <c r="A378" s="81"/>
      <c r="B378" s="70" t="str">
        <f>IF(ISBLANK(A378),"",INDEX('Error Log'!$A:$J,MATCH('Scores per segment'!$A378,'Error Log'!$A:$A,0),MATCH('Scores per segment'!B$1,'Error Log'!$A$1:$J$1,0)))</f>
        <v/>
      </c>
      <c r="C378" s="70" t="str">
        <f>IF(ISBLANK(A378),"",INDEX('Error Log'!$A:$J,MATCH('Scores per segment'!$A378,'Error Log'!$A:$A,0),MATCH('Scores per segment'!C$1,'Error Log'!$A$1:$J$1,0)))</f>
        <v/>
      </c>
      <c r="D378" s="70">
        <f>IF(H378=0,wdct(TRIM(C378)),0)</f>
        <v>0</v>
      </c>
      <c r="E378" s="70">
        <f>COUNTIFS('Error Log'!$A:$A,$A378,'Error Log'!$J:$J,E$1)</f>
        <v>0</v>
      </c>
      <c r="F378" s="70">
        <f>COUNTIFS('Error Log'!$A:$A,$A378,'Error Log'!$J:$J,F$1)</f>
        <v>0</v>
      </c>
      <c r="G378" s="70">
        <f>COUNTIFS('Error Log'!$A:$A,$A378,'Error Log'!$J:$J,G$1)</f>
        <v>0</v>
      </c>
      <c r="H378" s="70">
        <f>COUNTIFS('Error Log'!$A:$A,$A378,'Error Log'!$F:$F,"Source")</f>
        <v>0</v>
      </c>
      <c r="I378" s="70">
        <f>COUNTIFS('Error Log'!$A:$A,$A378,'Error Log'!$F:$F,"Target")</f>
        <v>0</v>
      </c>
      <c r="J378" s="71">
        <f t="shared" si="5"/>
        <v>0</v>
      </c>
    </row>
    <row r="379" spans="1:10">
      <c r="A379" s="81"/>
      <c r="B379" s="70" t="str">
        <f>IF(ISBLANK(A379),"",INDEX('Error Log'!$A:$J,MATCH('Scores per segment'!$A379,'Error Log'!$A:$A,0),MATCH('Scores per segment'!B$1,'Error Log'!$A$1:$J$1,0)))</f>
        <v/>
      </c>
      <c r="C379" s="70" t="str">
        <f>IF(ISBLANK(A379),"",INDEX('Error Log'!$A:$J,MATCH('Scores per segment'!$A379,'Error Log'!$A:$A,0),MATCH('Scores per segment'!C$1,'Error Log'!$A$1:$J$1,0)))</f>
        <v/>
      </c>
      <c r="D379" s="70">
        <f>IF(H379=0,wdct(TRIM(C379)),0)</f>
        <v>0</v>
      </c>
      <c r="E379" s="70">
        <f>COUNTIFS('Error Log'!$A:$A,$A379,'Error Log'!$J:$J,E$1)</f>
        <v>0</v>
      </c>
      <c r="F379" s="70">
        <f>COUNTIFS('Error Log'!$A:$A,$A379,'Error Log'!$J:$J,F$1)</f>
        <v>0</v>
      </c>
      <c r="G379" s="70">
        <f>COUNTIFS('Error Log'!$A:$A,$A379,'Error Log'!$J:$J,G$1)</f>
        <v>0</v>
      </c>
      <c r="H379" s="70">
        <f>COUNTIFS('Error Log'!$A:$A,$A379,'Error Log'!$F:$F,"Source")</f>
        <v>0</v>
      </c>
      <c r="I379" s="70">
        <f>COUNTIFS('Error Log'!$A:$A,$A379,'Error Log'!$F:$F,"Target")</f>
        <v>0</v>
      </c>
      <c r="J379" s="71">
        <f t="shared" si="5"/>
        <v>0</v>
      </c>
    </row>
    <row r="380" spans="1:10">
      <c r="A380" s="81"/>
      <c r="B380" s="70" t="str">
        <f>IF(ISBLANK(A380),"",INDEX('Error Log'!$A:$J,MATCH('Scores per segment'!$A380,'Error Log'!$A:$A,0),MATCH('Scores per segment'!B$1,'Error Log'!$A$1:$J$1,0)))</f>
        <v/>
      </c>
      <c r="C380" s="70" t="str">
        <f>IF(ISBLANK(A380),"",INDEX('Error Log'!$A:$J,MATCH('Scores per segment'!$A380,'Error Log'!$A:$A,0),MATCH('Scores per segment'!C$1,'Error Log'!$A$1:$J$1,0)))</f>
        <v/>
      </c>
      <c r="D380" s="70">
        <f>IF(H380=0,wdct(TRIM(C380)),0)</f>
        <v>0</v>
      </c>
      <c r="E380" s="70">
        <f>COUNTIFS('Error Log'!$A:$A,$A380,'Error Log'!$J:$J,E$1)</f>
        <v>0</v>
      </c>
      <c r="F380" s="70">
        <f>COUNTIFS('Error Log'!$A:$A,$A380,'Error Log'!$J:$J,F$1)</f>
        <v>0</v>
      </c>
      <c r="G380" s="70">
        <f>COUNTIFS('Error Log'!$A:$A,$A380,'Error Log'!$J:$J,G$1)</f>
        <v>0</v>
      </c>
      <c r="H380" s="70">
        <f>COUNTIFS('Error Log'!$A:$A,$A380,'Error Log'!$F:$F,"Source")</f>
        <v>0</v>
      </c>
      <c r="I380" s="70">
        <f>COUNTIFS('Error Log'!$A:$A,$A380,'Error Log'!$F:$F,"Target")</f>
        <v>0</v>
      </c>
      <c r="J380" s="71">
        <f t="shared" si="5"/>
        <v>0</v>
      </c>
    </row>
    <row r="381" spans="1:10">
      <c r="A381" s="81"/>
      <c r="B381" s="70" t="str">
        <f>IF(ISBLANK(A381),"",INDEX('Error Log'!$A:$J,MATCH('Scores per segment'!$A381,'Error Log'!$A:$A,0),MATCH('Scores per segment'!B$1,'Error Log'!$A$1:$J$1,0)))</f>
        <v/>
      </c>
      <c r="C381" s="70" t="str">
        <f>IF(ISBLANK(A381),"",INDEX('Error Log'!$A:$J,MATCH('Scores per segment'!$A381,'Error Log'!$A:$A,0),MATCH('Scores per segment'!C$1,'Error Log'!$A$1:$J$1,0)))</f>
        <v/>
      </c>
      <c r="D381" s="70">
        <f>IF(H381=0,wdct(TRIM(C381)),0)</f>
        <v>0</v>
      </c>
      <c r="E381" s="70">
        <f>COUNTIFS('Error Log'!$A:$A,$A381,'Error Log'!$J:$J,E$1)</f>
        <v>0</v>
      </c>
      <c r="F381" s="70">
        <f>COUNTIFS('Error Log'!$A:$A,$A381,'Error Log'!$J:$J,F$1)</f>
        <v>0</v>
      </c>
      <c r="G381" s="70">
        <f>COUNTIFS('Error Log'!$A:$A,$A381,'Error Log'!$J:$J,G$1)</f>
        <v>0</v>
      </c>
      <c r="H381" s="70">
        <f>COUNTIFS('Error Log'!$A:$A,$A381,'Error Log'!$F:$F,"Source")</f>
        <v>0</v>
      </c>
      <c r="I381" s="70">
        <f>COUNTIFS('Error Log'!$A:$A,$A381,'Error Log'!$F:$F,"Target")</f>
        <v>0</v>
      </c>
      <c r="J381" s="71">
        <f t="shared" si="5"/>
        <v>0</v>
      </c>
    </row>
    <row r="382" spans="1:10">
      <c r="A382" s="81"/>
      <c r="B382" s="70" t="str">
        <f>IF(ISBLANK(A382),"",INDEX('Error Log'!$A:$J,MATCH('Scores per segment'!$A382,'Error Log'!$A:$A,0),MATCH('Scores per segment'!B$1,'Error Log'!$A$1:$J$1,0)))</f>
        <v/>
      </c>
      <c r="C382" s="70" t="str">
        <f>IF(ISBLANK(A382),"",INDEX('Error Log'!$A:$J,MATCH('Scores per segment'!$A382,'Error Log'!$A:$A,0),MATCH('Scores per segment'!C$1,'Error Log'!$A$1:$J$1,0)))</f>
        <v/>
      </c>
      <c r="D382" s="70">
        <f>IF(H382=0,wdct(TRIM(C382)),0)</f>
        <v>0</v>
      </c>
      <c r="E382" s="70">
        <f>COUNTIFS('Error Log'!$A:$A,$A382,'Error Log'!$J:$J,E$1)</f>
        <v>0</v>
      </c>
      <c r="F382" s="70">
        <f>COUNTIFS('Error Log'!$A:$A,$A382,'Error Log'!$J:$J,F$1)</f>
        <v>0</v>
      </c>
      <c r="G382" s="70">
        <f>COUNTIFS('Error Log'!$A:$A,$A382,'Error Log'!$J:$J,G$1)</f>
        <v>0</v>
      </c>
      <c r="H382" s="70">
        <f>COUNTIFS('Error Log'!$A:$A,$A382,'Error Log'!$F:$F,"Source")</f>
        <v>0</v>
      </c>
      <c r="I382" s="70">
        <f>COUNTIFS('Error Log'!$A:$A,$A382,'Error Log'!$F:$F,"Target")</f>
        <v>0</v>
      </c>
      <c r="J382" s="71">
        <f t="shared" si="5"/>
        <v>0</v>
      </c>
    </row>
    <row r="383" spans="1:10">
      <c r="A383" s="81"/>
      <c r="B383" s="70" t="str">
        <f>IF(ISBLANK(A383),"",INDEX('Error Log'!$A:$J,MATCH('Scores per segment'!$A383,'Error Log'!$A:$A,0),MATCH('Scores per segment'!B$1,'Error Log'!$A$1:$J$1,0)))</f>
        <v/>
      </c>
      <c r="C383" s="70" t="str">
        <f>IF(ISBLANK(A383),"",INDEX('Error Log'!$A:$J,MATCH('Scores per segment'!$A383,'Error Log'!$A:$A,0),MATCH('Scores per segment'!C$1,'Error Log'!$A$1:$J$1,0)))</f>
        <v/>
      </c>
      <c r="D383" s="70">
        <f>IF(H383=0,wdct(TRIM(C383)),0)</f>
        <v>0</v>
      </c>
      <c r="E383" s="70">
        <f>COUNTIFS('Error Log'!$A:$A,$A383,'Error Log'!$J:$J,E$1)</f>
        <v>0</v>
      </c>
      <c r="F383" s="70">
        <f>COUNTIFS('Error Log'!$A:$A,$A383,'Error Log'!$J:$J,F$1)</f>
        <v>0</v>
      </c>
      <c r="G383" s="70">
        <f>COUNTIFS('Error Log'!$A:$A,$A383,'Error Log'!$J:$J,G$1)</f>
        <v>0</v>
      </c>
      <c r="H383" s="70">
        <f>COUNTIFS('Error Log'!$A:$A,$A383,'Error Log'!$F:$F,"Source")</f>
        <v>0</v>
      </c>
      <c r="I383" s="70">
        <f>COUNTIFS('Error Log'!$A:$A,$A383,'Error Log'!$F:$F,"Target")</f>
        <v>0</v>
      </c>
      <c r="J383" s="71">
        <f t="shared" si="5"/>
        <v>0</v>
      </c>
    </row>
    <row r="384" spans="1:10">
      <c r="A384" s="81"/>
      <c r="B384" s="70" t="str">
        <f>IF(ISBLANK(A384),"",INDEX('Error Log'!$A:$J,MATCH('Scores per segment'!$A384,'Error Log'!$A:$A,0),MATCH('Scores per segment'!B$1,'Error Log'!$A$1:$J$1,0)))</f>
        <v/>
      </c>
      <c r="C384" s="70" t="str">
        <f>IF(ISBLANK(A384),"",INDEX('Error Log'!$A:$J,MATCH('Scores per segment'!$A384,'Error Log'!$A:$A,0),MATCH('Scores per segment'!C$1,'Error Log'!$A$1:$J$1,0)))</f>
        <v/>
      </c>
      <c r="D384" s="70">
        <f>IF(H384=0,wdct(TRIM(C384)),0)</f>
        <v>0</v>
      </c>
      <c r="E384" s="70">
        <f>COUNTIFS('Error Log'!$A:$A,$A384,'Error Log'!$J:$J,E$1)</f>
        <v>0</v>
      </c>
      <c r="F384" s="70">
        <f>COUNTIFS('Error Log'!$A:$A,$A384,'Error Log'!$J:$J,F$1)</f>
        <v>0</v>
      </c>
      <c r="G384" s="70">
        <f>COUNTIFS('Error Log'!$A:$A,$A384,'Error Log'!$J:$J,G$1)</f>
        <v>0</v>
      </c>
      <c r="H384" s="70">
        <f>COUNTIFS('Error Log'!$A:$A,$A384,'Error Log'!$F:$F,"Source")</f>
        <v>0</v>
      </c>
      <c r="I384" s="70">
        <f>COUNTIFS('Error Log'!$A:$A,$A384,'Error Log'!$F:$F,"Target")</f>
        <v>0</v>
      </c>
      <c r="J384" s="71">
        <f t="shared" si="5"/>
        <v>0</v>
      </c>
    </row>
    <row r="385" spans="1:10">
      <c r="A385" s="81"/>
      <c r="B385" s="70" t="str">
        <f>IF(ISBLANK(A385),"",INDEX('Error Log'!$A:$J,MATCH('Scores per segment'!$A385,'Error Log'!$A:$A,0),MATCH('Scores per segment'!B$1,'Error Log'!$A$1:$J$1,0)))</f>
        <v/>
      </c>
      <c r="C385" s="70" t="str">
        <f>IF(ISBLANK(A385),"",INDEX('Error Log'!$A:$J,MATCH('Scores per segment'!$A385,'Error Log'!$A:$A,0),MATCH('Scores per segment'!C$1,'Error Log'!$A$1:$J$1,0)))</f>
        <v/>
      </c>
      <c r="D385" s="70">
        <f>IF(H385=0,wdct(TRIM(C385)),0)</f>
        <v>0</v>
      </c>
      <c r="E385" s="70">
        <f>COUNTIFS('Error Log'!$A:$A,$A385,'Error Log'!$J:$J,E$1)</f>
        <v>0</v>
      </c>
      <c r="F385" s="70">
        <f>COUNTIFS('Error Log'!$A:$A,$A385,'Error Log'!$J:$J,F$1)</f>
        <v>0</v>
      </c>
      <c r="G385" s="70">
        <f>COUNTIFS('Error Log'!$A:$A,$A385,'Error Log'!$J:$J,G$1)</f>
        <v>0</v>
      </c>
      <c r="H385" s="70">
        <f>COUNTIFS('Error Log'!$A:$A,$A385,'Error Log'!$F:$F,"Source")</f>
        <v>0</v>
      </c>
      <c r="I385" s="70">
        <f>COUNTIFS('Error Log'!$A:$A,$A385,'Error Log'!$F:$F,"Target")</f>
        <v>0</v>
      </c>
      <c r="J385" s="71">
        <f t="shared" si="5"/>
        <v>0</v>
      </c>
    </row>
    <row r="386" spans="1:10">
      <c r="A386" s="81"/>
      <c r="B386" s="70" t="str">
        <f>IF(ISBLANK(A386),"",INDEX('Error Log'!$A:$J,MATCH('Scores per segment'!$A386,'Error Log'!$A:$A,0),MATCH('Scores per segment'!B$1,'Error Log'!$A$1:$J$1,0)))</f>
        <v/>
      </c>
      <c r="C386" s="70" t="str">
        <f>IF(ISBLANK(A386),"",INDEX('Error Log'!$A:$J,MATCH('Scores per segment'!$A386,'Error Log'!$A:$A,0),MATCH('Scores per segment'!C$1,'Error Log'!$A$1:$J$1,0)))</f>
        <v/>
      </c>
      <c r="D386" s="70">
        <f>IF(H386=0,wdct(TRIM(C386)),0)</f>
        <v>0</v>
      </c>
      <c r="E386" s="70">
        <f>COUNTIFS('Error Log'!$A:$A,$A386,'Error Log'!$J:$J,E$1)</f>
        <v>0</v>
      </c>
      <c r="F386" s="70">
        <f>COUNTIFS('Error Log'!$A:$A,$A386,'Error Log'!$J:$J,F$1)</f>
        <v>0</v>
      </c>
      <c r="G386" s="70">
        <f>COUNTIFS('Error Log'!$A:$A,$A386,'Error Log'!$J:$J,G$1)</f>
        <v>0</v>
      </c>
      <c r="H386" s="70">
        <f>COUNTIFS('Error Log'!$A:$A,$A386,'Error Log'!$F:$F,"Source")</f>
        <v>0</v>
      </c>
      <c r="I386" s="70">
        <f>COUNTIFS('Error Log'!$A:$A,$A386,'Error Log'!$F:$F,"Target")</f>
        <v>0</v>
      </c>
      <c r="J386" s="71">
        <f t="shared" ref="J386:J449" si="6">IF(I386=0,IFERROR((((1-((E386*10+F386*5+G386*1)/D386))*100)+100)/2,0),-150)</f>
        <v>0</v>
      </c>
    </row>
    <row r="387" spans="1:10">
      <c r="A387" s="81"/>
      <c r="B387" s="70" t="str">
        <f>IF(ISBLANK(A387),"",INDEX('Error Log'!$A:$J,MATCH('Scores per segment'!$A387,'Error Log'!$A:$A,0),MATCH('Scores per segment'!B$1,'Error Log'!$A$1:$J$1,0)))</f>
        <v/>
      </c>
      <c r="C387" s="70" t="str">
        <f>IF(ISBLANK(A387),"",INDEX('Error Log'!$A:$J,MATCH('Scores per segment'!$A387,'Error Log'!$A:$A,0),MATCH('Scores per segment'!C$1,'Error Log'!$A$1:$J$1,0)))</f>
        <v/>
      </c>
      <c r="D387" s="70">
        <f>IF(H387=0,wdct(TRIM(C387)),0)</f>
        <v>0</v>
      </c>
      <c r="E387" s="70">
        <f>COUNTIFS('Error Log'!$A:$A,$A387,'Error Log'!$J:$J,E$1)</f>
        <v>0</v>
      </c>
      <c r="F387" s="70">
        <f>COUNTIFS('Error Log'!$A:$A,$A387,'Error Log'!$J:$J,F$1)</f>
        <v>0</v>
      </c>
      <c r="G387" s="70">
        <f>COUNTIFS('Error Log'!$A:$A,$A387,'Error Log'!$J:$J,G$1)</f>
        <v>0</v>
      </c>
      <c r="H387" s="70">
        <f>COUNTIFS('Error Log'!$A:$A,$A387,'Error Log'!$F:$F,"Source")</f>
        <v>0</v>
      </c>
      <c r="I387" s="70">
        <f>COUNTIFS('Error Log'!$A:$A,$A387,'Error Log'!$F:$F,"Target")</f>
        <v>0</v>
      </c>
      <c r="J387" s="71">
        <f t="shared" si="6"/>
        <v>0</v>
      </c>
    </row>
    <row r="388" spans="1:10">
      <c r="A388" s="81"/>
      <c r="B388" s="70" t="str">
        <f>IF(ISBLANK(A388),"",INDEX('Error Log'!$A:$J,MATCH('Scores per segment'!$A388,'Error Log'!$A:$A,0),MATCH('Scores per segment'!B$1,'Error Log'!$A$1:$J$1,0)))</f>
        <v/>
      </c>
      <c r="C388" s="70" t="str">
        <f>IF(ISBLANK(A388),"",INDEX('Error Log'!$A:$J,MATCH('Scores per segment'!$A388,'Error Log'!$A:$A,0),MATCH('Scores per segment'!C$1,'Error Log'!$A$1:$J$1,0)))</f>
        <v/>
      </c>
      <c r="D388" s="70">
        <f>IF(H388=0,wdct(TRIM(C388)),0)</f>
        <v>0</v>
      </c>
      <c r="E388" s="70">
        <f>COUNTIFS('Error Log'!$A:$A,$A388,'Error Log'!$J:$J,E$1)</f>
        <v>0</v>
      </c>
      <c r="F388" s="70">
        <f>COUNTIFS('Error Log'!$A:$A,$A388,'Error Log'!$J:$J,F$1)</f>
        <v>0</v>
      </c>
      <c r="G388" s="70">
        <f>COUNTIFS('Error Log'!$A:$A,$A388,'Error Log'!$J:$J,G$1)</f>
        <v>0</v>
      </c>
      <c r="H388" s="70">
        <f>COUNTIFS('Error Log'!$A:$A,$A388,'Error Log'!$F:$F,"Source")</f>
        <v>0</v>
      </c>
      <c r="I388" s="70">
        <f>COUNTIFS('Error Log'!$A:$A,$A388,'Error Log'!$F:$F,"Target")</f>
        <v>0</v>
      </c>
      <c r="J388" s="71">
        <f t="shared" si="6"/>
        <v>0</v>
      </c>
    </row>
    <row r="389" spans="1:10">
      <c r="A389" s="81"/>
      <c r="B389" s="70" t="str">
        <f>IF(ISBLANK(A389),"",INDEX('Error Log'!$A:$J,MATCH('Scores per segment'!$A389,'Error Log'!$A:$A,0),MATCH('Scores per segment'!B$1,'Error Log'!$A$1:$J$1,0)))</f>
        <v/>
      </c>
      <c r="C389" s="70" t="str">
        <f>IF(ISBLANK(A389),"",INDEX('Error Log'!$A:$J,MATCH('Scores per segment'!$A389,'Error Log'!$A:$A,0),MATCH('Scores per segment'!C$1,'Error Log'!$A$1:$J$1,0)))</f>
        <v/>
      </c>
      <c r="D389" s="70">
        <f>IF(H389=0,wdct(TRIM(C389)),0)</f>
        <v>0</v>
      </c>
      <c r="E389" s="70">
        <f>COUNTIFS('Error Log'!$A:$A,$A389,'Error Log'!$J:$J,E$1)</f>
        <v>0</v>
      </c>
      <c r="F389" s="70">
        <f>COUNTIFS('Error Log'!$A:$A,$A389,'Error Log'!$J:$J,F$1)</f>
        <v>0</v>
      </c>
      <c r="G389" s="70">
        <f>COUNTIFS('Error Log'!$A:$A,$A389,'Error Log'!$J:$J,G$1)</f>
        <v>0</v>
      </c>
      <c r="H389" s="70">
        <f>COUNTIFS('Error Log'!$A:$A,$A389,'Error Log'!$F:$F,"Source")</f>
        <v>0</v>
      </c>
      <c r="I389" s="70">
        <f>COUNTIFS('Error Log'!$A:$A,$A389,'Error Log'!$F:$F,"Target")</f>
        <v>0</v>
      </c>
      <c r="J389" s="71">
        <f t="shared" si="6"/>
        <v>0</v>
      </c>
    </row>
    <row r="390" spans="1:10">
      <c r="A390" s="81"/>
      <c r="B390" s="70" t="str">
        <f>IF(ISBLANK(A390),"",INDEX('Error Log'!$A:$J,MATCH('Scores per segment'!$A390,'Error Log'!$A:$A,0),MATCH('Scores per segment'!B$1,'Error Log'!$A$1:$J$1,0)))</f>
        <v/>
      </c>
      <c r="C390" s="70" t="str">
        <f>IF(ISBLANK(A390),"",INDEX('Error Log'!$A:$J,MATCH('Scores per segment'!$A390,'Error Log'!$A:$A,0),MATCH('Scores per segment'!C$1,'Error Log'!$A$1:$J$1,0)))</f>
        <v/>
      </c>
      <c r="D390" s="70">
        <f>IF(H390=0,wdct(TRIM(C390)),0)</f>
        <v>0</v>
      </c>
      <c r="E390" s="70">
        <f>COUNTIFS('Error Log'!$A:$A,$A390,'Error Log'!$J:$J,E$1)</f>
        <v>0</v>
      </c>
      <c r="F390" s="70">
        <f>COUNTIFS('Error Log'!$A:$A,$A390,'Error Log'!$J:$J,F$1)</f>
        <v>0</v>
      </c>
      <c r="G390" s="70">
        <f>COUNTIFS('Error Log'!$A:$A,$A390,'Error Log'!$J:$J,G$1)</f>
        <v>0</v>
      </c>
      <c r="H390" s="70">
        <f>COUNTIFS('Error Log'!$A:$A,$A390,'Error Log'!$F:$F,"Source")</f>
        <v>0</v>
      </c>
      <c r="I390" s="70">
        <f>COUNTIFS('Error Log'!$A:$A,$A390,'Error Log'!$F:$F,"Target")</f>
        <v>0</v>
      </c>
      <c r="J390" s="71">
        <f t="shared" si="6"/>
        <v>0</v>
      </c>
    </row>
    <row r="391" spans="1:10">
      <c r="A391" s="81"/>
      <c r="B391" s="70" t="str">
        <f>IF(ISBLANK(A391),"",INDEX('Error Log'!$A:$J,MATCH('Scores per segment'!$A391,'Error Log'!$A:$A,0),MATCH('Scores per segment'!B$1,'Error Log'!$A$1:$J$1,0)))</f>
        <v/>
      </c>
      <c r="C391" s="70" t="str">
        <f>IF(ISBLANK(A391),"",INDEX('Error Log'!$A:$J,MATCH('Scores per segment'!$A391,'Error Log'!$A:$A,0),MATCH('Scores per segment'!C$1,'Error Log'!$A$1:$J$1,0)))</f>
        <v/>
      </c>
      <c r="D391" s="70">
        <f>IF(H391=0,wdct(TRIM(C391)),0)</f>
        <v>0</v>
      </c>
      <c r="E391" s="70">
        <f>COUNTIFS('Error Log'!$A:$A,$A391,'Error Log'!$J:$J,E$1)</f>
        <v>0</v>
      </c>
      <c r="F391" s="70">
        <f>COUNTIFS('Error Log'!$A:$A,$A391,'Error Log'!$J:$J,F$1)</f>
        <v>0</v>
      </c>
      <c r="G391" s="70">
        <f>COUNTIFS('Error Log'!$A:$A,$A391,'Error Log'!$J:$J,G$1)</f>
        <v>0</v>
      </c>
      <c r="H391" s="70">
        <f>COUNTIFS('Error Log'!$A:$A,$A391,'Error Log'!$F:$F,"Source")</f>
        <v>0</v>
      </c>
      <c r="I391" s="70">
        <f>COUNTIFS('Error Log'!$A:$A,$A391,'Error Log'!$F:$F,"Target")</f>
        <v>0</v>
      </c>
      <c r="J391" s="71">
        <f t="shared" si="6"/>
        <v>0</v>
      </c>
    </row>
    <row r="392" spans="1:10">
      <c r="A392" s="81"/>
      <c r="B392" s="70" t="str">
        <f>IF(ISBLANK(A392),"",INDEX('Error Log'!$A:$J,MATCH('Scores per segment'!$A392,'Error Log'!$A:$A,0),MATCH('Scores per segment'!B$1,'Error Log'!$A$1:$J$1,0)))</f>
        <v/>
      </c>
      <c r="C392" s="70" t="str">
        <f>IF(ISBLANK(A392),"",INDEX('Error Log'!$A:$J,MATCH('Scores per segment'!$A392,'Error Log'!$A:$A,0),MATCH('Scores per segment'!C$1,'Error Log'!$A$1:$J$1,0)))</f>
        <v/>
      </c>
      <c r="D392" s="70">
        <f>IF(H392=0,wdct(TRIM(C392)),0)</f>
        <v>0</v>
      </c>
      <c r="E392" s="70">
        <f>COUNTIFS('Error Log'!$A:$A,$A392,'Error Log'!$J:$J,E$1)</f>
        <v>0</v>
      </c>
      <c r="F392" s="70">
        <f>COUNTIFS('Error Log'!$A:$A,$A392,'Error Log'!$J:$J,F$1)</f>
        <v>0</v>
      </c>
      <c r="G392" s="70">
        <f>COUNTIFS('Error Log'!$A:$A,$A392,'Error Log'!$J:$J,G$1)</f>
        <v>0</v>
      </c>
      <c r="H392" s="70">
        <f>COUNTIFS('Error Log'!$A:$A,$A392,'Error Log'!$F:$F,"Source")</f>
        <v>0</v>
      </c>
      <c r="I392" s="70">
        <f>COUNTIFS('Error Log'!$A:$A,$A392,'Error Log'!$F:$F,"Target")</f>
        <v>0</v>
      </c>
      <c r="J392" s="71">
        <f t="shared" si="6"/>
        <v>0</v>
      </c>
    </row>
    <row r="393" spans="1:10">
      <c r="A393" s="81"/>
      <c r="B393" s="70" t="str">
        <f>IF(ISBLANK(A393),"",INDEX('Error Log'!$A:$J,MATCH('Scores per segment'!$A393,'Error Log'!$A:$A,0),MATCH('Scores per segment'!B$1,'Error Log'!$A$1:$J$1,0)))</f>
        <v/>
      </c>
      <c r="C393" s="70" t="str">
        <f>IF(ISBLANK(A393),"",INDEX('Error Log'!$A:$J,MATCH('Scores per segment'!$A393,'Error Log'!$A:$A,0),MATCH('Scores per segment'!C$1,'Error Log'!$A$1:$J$1,0)))</f>
        <v/>
      </c>
      <c r="D393" s="70">
        <f>IF(H393=0,wdct(TRIM(C393)),0)</f>
        <v>0</v>
      </c>
      <c r="E393" s="70">
        <f>COUNTIFS('Error Log'!$A:$A,$A393,'Error Log'!$J:$J,E$1)</f>
        <v>0</v>
      </c>
      <c r="F393" s="70">
        <f>COUNTIFS('Error Log'!$A:$A,$A393,'Error Log'!$J:$J,F$1)</f>
        <v>0</v>
      </c>
      <c r="G393" s="70">
        <f>COUNTIFS('Error Log'!$A:$A,$A393,'Error Log'!$J:$J,G$1)</f>
        <v>0</v>
      </c>
      <c r="H393" s="70">
        <f>COUNTIFS('Error Log'!$A:$A,$A393,'Error Log'!$F:$F,"Source")</f>
        <v>0</v>
      </c>
      <c r="I393" s="70">
        <f>COUNTIFS('Error Log'!$A:$A,$A393,'Error Log'!$F:$F,"Target")</f>
        <v>0</v>
      </c>
      <c r="J393" s="71">
        <f t="shared" si="6"/>
        <v>0</v>
      </c>
    </row>
    <row r="394" spans="1:10">
      <c r="A394" s="81"/>
      <c r="B394" s="70" t="str">
        <f>IF(ISBLANK(A394),"",INDEX('Error Log'!$A:$J,MATCH('Scores per segment'!$A394,'Error Log'!$A:$A,0),MATCH('Scores per segment'!B$1,'Error Log'!$A$1:$J$1,0)))</f>
        <v/>
      </c>
      <c r="C394" s="70" t="str">
        <f>IF(ISBLANK(A394),"",INDEX('Error Log'!$A:$J,MATCH('Scores per segment'!$A394,'Error Log'!$A:$A,0),MATCH('Scores per segment'!C$1,'Error Log'!$A$1:$J$1,0)))</f>
        <v/>
      </c>
      <c r="D394" s="70">
        <f>IF(H394=0,wdct(TRIM(C394)),0)</f>
        <v>0</v>
      </c>
      <c r="E394" s="70">
        <f>COUNTIFS('Error Log'!$A:$A,$A394,'Error Log'!$J:$J,E$1)</f>
        <v>0</v>
      </c>
      <c r="F394" s="70">
        <f>COUNTIFS('Error Log'!$A:$A,$A394,'Error Log'!$J:$J,F$1)</f>
        <v>0</v>
      </c>
      <c r="G394" s="70">
        <f>COUNTIFS('Error Log'!$A:$A,$A394,'Error Log'!$J:$J,G$1)</f>
        <v>0</v>
      </c>
      <c r="H394" s="70">
        <f>COUNTIFS('Error Log'!$A:$A,$A394,'Error Log'!$F:$F,"Source")</f>
        <v>0</v>
      </c>
      <c r="I394" s="70">
        <f>COUNTIFS('Error Log'!$A:$A,$A394,'Error Log'!$F:$F,"Target")</f>
        <v>0</v>
      </c>
      <c r="J394" s="71">
        <f t="shared" si="6"/>
        <v>0</v>
      </c>
    </row>
    <row r="395" spans="1:10">
      <c r="A395" s="81"/>
      <c r="B395" s="70" t="str">
        <f>IF(ISBLANK(A395),"",INDEX('Error Log'!$A:$J,MATCH('Scores per segment'!$A395,'Error Log'!$A:$A,0),MATCH('Scores per segment'!B$1,'Error Log'!$A$1:$J$1,0)))</f>
        <v/>
      </c>
      <c r="C395" s="70" t="str">
        <f>IF(ISBLANK(A395),"",INDEX('Error Log'!$A:$J,MATCH('Scores per segment'!$A395,'Error Log'!$A:$A,0),MATCH('Scores per segment'!C$1,'Error Log'!$A$1:$J$1,0)))</f>
        <v/>
      </c>
      <c r="D395" s="70">
        <f>IF(H395=0,wdct(TRIM(C395)),0)</f>
        <v>0</v>
      </c>
      <c r="E395" s="70">
        <f>COUNTIFS('Error Log'!$A:$A,$A395,'Error Log'!$J:$J,E$1)</f>
        <v>0</v>
      </c>
      <c r="F395" s="70">
        <f>COUNTIFS('Error Log'!$A:$A,$A395,'Error Log'!$J:$J,F$1)</f>
        <v>0</v>
      </c>
      <c r="G395" s="70">
        <f>COUNTIFS('Error Log'!$A:$A,$A395,'Error Log'!$J:$J,G$1)</f>
        <v>0</v>
      </c>
      <c r="H395" s="70">
        <f>COUNTIFS('Error Log'!$A:$A,$A395,'Error Log'!$F:$F,"Source")</f>
        <v>0</v>
      </c>
      <c r="I395" s="70">
        <f>COUNTIFS('Error Log'!$A:$A,$A395,'Error Log'!$F:$F,"Target")</f>
        <v>0</v>
      </c>
      <c r="J395" s="71">
        <f t="shared" si="6"/>
        <v>0</v>
      </c>
    </row>
    <row r="396" spans="1:10">
      <c r="A396" s="81"/>
      <c r="B396" s="70" t="str">
        <f>IF(ISBLANK(A396),"",INDEX('Error Log'!$A:$J,MATCH('Scores per segment'!$A396,'Error Log'!$A:$A,0),MATCH('Scores per segment'!B$1,'Error Log'!$A$1:$J$1,0)))</f>
        <v/>
      </c>
      <c r="C396" s="70" t="str">
        <f>IF(ISBLANK(A396),"",INDEX('Error Log'!$A:$J,MATCH('Scores per segment'!$A396,'Error Log'!$A:$A,0),MATCH('Scores per segment'!C$1,'Error Log'!$A$1:$J$1,0)))</f>
        <v/>
      </c>
      <c r="D396" s="70">
        <f>IF(H396=0,wdct(TRIM(C396)),0)</f>
        <v>0</v>
      </c>
      <c r="E396" s="70">
        <f>COUNTIFS('Error Log'!$A:$A,$A396,'Error Log'!$J:$J,E$1)</f>
        <v>0</v>
      </c>
      <c r="F396" s="70">
        <f>COUNTIFS('Error Log'!$A:$A,$A396,'Error Log'!$J:$J,F$1)</f>
        <v>0</v>
      </c>
      <c r="G396" s="70">
        <f>COUNTIFS('Error Log'!$A:$A,$A396,'Error Log'!$J:$J,G$1)</f>
        <v>0</v>
      </c>
      <c r="H396" s="70">
        <f>COUNTIFS('Error Log'!$A:$A,$A396,'Error Log'!$F:$F,"Source")</f>
        <v>0</v>
      </c>
      <c r="I396" s="70">
        <f>COUNTIFS('Error Log'!$A:$A,$A396,'Error Log'!$F:$F,"Target")</f>
        <v>0</v>
      </c>
      <c r="J396" s="71">
        <f t="shared" si="6"/>
        <v>0</v>
      </c>
    </row>
    <row r="397" spans="1:10">
      <c r="A397" s="81"/>
      <c r="B397" s="70" t="str">
        <f>IF(ISBLANK(A397),"",INDEX('Error Log'!$A:$J,MATCH('Scores per segment'!$A397,'Error Log'!$A:$A,0),MATCH('Scores per segment'!B$1,'Error Log'!$A$1:$J$1,0)))</f>
        <v/>
      </c>
      <c r="C397" s="70" t="str">
        <f>IF(ISBLANK(A397),"",INDEX('Error Log'!$A:$J,MATCH('Scores per segment'!$A397,'Error Log'!$A:$A,0),MATCH('Scores per segment'!C$1,'Error Log'!$A$1:$J$1,0)))</f>
        <v/>
      </c>
      <c r="D397" s="70">
        <f>IF(H397=0,wdct(TRIM(C397)),0)</f>
        <v>0</v>
      </c>
      <c r="E397" s="70">
        <f>COUNTIFS('Error Log'!$A:$A,$A397,'Error Log'!$J:$J,E$1)</f>
        <v>0</v>
      </c>
      <c r="F397" s="70">
        <f>COUNTIFS('Error Log'!$A:$A,$A397,'Error Log'!$J:$J,F$1)</f>
        <v>0</v>
      </c>
      <c r="G397" s="70">
        <f>COUNTIFS('Error Log'!$A:$A,$A397,'Error Log'!$J:$J,G$1)</f>
        <v>0</v>
      </c>
      <c r="H397" s="70">
        <f>COUNTIFS('Error Log'!$A:$A,$A397,'Error Log'!$F:$F,"Source")</f>
        <v>0</v>
      </c>
      <c r="I397" s="70">
        <f>COUNTIFS('Error Log'!$A:$A,$A397,'Error Log'!$F:$F,"Target")</f>
        <v>0</v>
      </c>
      <c r="J397" s="71">
        <f t="shared" si="6"/>
        <v>0</v>
      </c>
    </row>
    <row r="398" spans="1:10">
      <c r="A398" s="81"/>
      <c r="B398" s="70" t="str">
        <f>IF(ISBLANK(A398),"",INDEX('Error Log'!$A:$J,MATCH('Scores per segment'!$A398,'Error Log'!$A:$A,0),MATCH('Scores per segment'!B$1,'Error Log'!$A$1:$J$1,0)))</f>
        <v/>
      </c>
      <c r="C398" s="70" t="str">
        <f>IF(ISBLANK(A398),"",INDEX('Error Log'!$A:$J,MATCH('Scores per segment'!$A398,'Error Log'!$A:$A,0),MATCH('Scores per segment'!C$1,'Error Log'!$A$1:$J$1,0)))</f>
        <v/>
      </c>
      <c r="D398" s="70">
        <f>IF(H398=0,wdct(TRIM(C398)),0)</f>
        <v>0</v>
      </c>
      <c r="E398" s="70">
        <f>COUNTIFS('Error Log'!$A:$A,$A398,'Error Log'!$J:$J,E$1)</f>
        <v>0</v>
      </c>
      <c r="F398" s="70">
        <f>COUNTIFS('Error Log'!$A:$A,$A398,'Error Log'!$J:$J,F$1)</f>
        <v>0</v>
      </c>
      <c r="G398" s="70">
        <f>COUNTIFS('Error Log'!$A:$A,$A398,'Error Log'!$J:$J,G$1)</f>
        <v>0</v>
      </c>
      <c r="H398" s="70">
        <f>COUNTIFS('Error Log'!$A:$A,$A398,'Error Log'!$F:$F,"Source")</f>
        <v>0</v>
      </c>
      <c r="I398" s="70">
        <f>COUNTIFS('Error Log'!$A:$A,$A398,'Error Log'!$F:$F,"Target")</f>
        <v>0</v>
      </c>
      <c r="J398" s="71">
        <f t="shared" si="6"/>
        <v>0</v>
      </c>
    </row>
    <row r="399" spans="1:10">
      <c r="A399" s="81"/>
      <c r="B399" s="70" t="str">
        <f>IF(ISBLANK(A399),"",INDEX('Error Log'!$A:$J,MATCH('Scores per segment'!$A399,'Error Log'!$A:$A,0),MATCH('Scores per segment'!B$1,'Error Log'!$A$1:$J$1,0)))</f>
        <v/>
      </c>
      <c r="C399" s="70" t="str">
        <f>IF(ISBLANK(A399),"",INDEX('Error Log'!$A:$J,MATCH('Scores per segment'!$A399,'Error Log'!$A:$A,0),MATCH('Scores per segment'!C$1,'Error Log'!$A$1:$J$1,0)))</f>
        <v/>
      </c>
      <c r="D399" s="70">
        <f>IF(H399=0,wdct(TRIM(C399)),0)</f>
        <v>0</v>
      </c>
      <c r="E399" s="70">
        <f>COUNTIFS('Error Log'!$A:$A,$A399,'Error Log'!$J:$J,E$1)</f>
        <v>0</v>
      </c>
      <c r="F399" s="70">
        <f>COUNTIFS('Error Log'!$A:$A,$A399,'Error Log'!$J:$J,F$1)</f>
        <v>0</v>
      </c>
      <c r="G399" s="70">
        <f>COUNTIFS('Error Log'!$A:$A,$A399,'Error Log'!$J:$J,G$1)</f>
        <v>0</v>
      </c>
      <c r="H399" s="70">
        <f>COUNTIFS('Error Log'!$A:$A,$A399,'Error Log'!$F:$F,"Source")</f>
        <v>0</v>
      </c>
      <c r="I399" s="70">
        <f>COUNTIFS('Error Log'!$A:$A,$A399,'Error Log'!$F:$F,"Target")</f>
        <v>0</v>
      </c>
      <c r="J399" s="71">
        <f t="shared" si="6"/>
        <v>0</v>
      </c>
    </row>
    <row r="400" spans="1:10">
      <c r="A400" s="81"/>
      <c r="B400" s="70" t="str">
        <f>IF(ISBLANK(A400),"",INDEX('Error Log'!$A:$J,MATCH('Scores per segment'!$A400,'Error Log'!$A:$A,0),MATCH('Scores per segment'!B$1,'Error Log'!$A$1:$J$1,0)))</f>
        <v/>
      </c>
      <c r="C400" s="70" t="str">
        <f>IF(ISBLANK(A400),"",INDEX('Error Log'!$A:$J,MATCH('Scores per segment'!$A400,'Error Log'!$A:$A,0),MATCH('Scores per segment'!C$1,'Error Log'!$A$1:$J$1,0)))</f>
        <v/>
      </c>
      <c r="D400" s="70">
        <f>IF(H400=0,wdct(TRIM(C400)),0)</f>
        <v>0</v>
      </c>
      <c r="E400" s="70">
        <f>COUNTIFS('Error Log'!$A:$A,$A400,'Error Log'!$J:$J,E$1)</f>
        <v>0</v>
      </c>
      <c r="F400" s="70">
        <f>COUNTIFS('Error Log'!$A:$A,$A400,'Error Log'!$J:$J,F$1)</f>
        <v>0</v>
      </c>
      <c r="G400" s="70">
        <f>COUNTIFS('Error Log'!$A:$A,$A400,'Error Log'!$J:$J,G$1)</f>
        <v>0</v>
      </c>
      <c r="H400" s="70">
        <f>COUNTIFS('Error Log'!$A:$A,$A400,'Error Log'!$F:$F,"Source")</f>
        <v>0</v>
      </c>
      <c r="I400" s="70">
        <f>COUNTIFS('Error Log'!$A:$A,$A400,'Error Log'!$F:$F,"Target")</f>
        <v>0</v>
      </c>
      <c r="J400" s="71">
        <f t="shared" si="6"/>
        <v>0</v>
      </c>
    </row>
    <row r="401" spans="1:10">
      <c r="A401" s="81"/>
      <c r="B401" s="70" t="str">
        <f>IF(ISBLANK(A401),"",INDEX('Error Log'!$A:$J,MATCH('Scores per segment'!$A401,'Error Log'!$A:$A,0),MATCH('Scores per segment'!B$1,'Error Log'!$A$1:$J$1,0)))</f>
        <v/>
      </c>
      <c r="C401" s="70" t="str">
        <f>IF(ISBLANK(A401),"",INDEX('Error Log'!$A:$J,MATCH('Scores per segment'!$A401,'Error Log'!$A:$A,0),MATCH('Scores per segment'!C$1,'Error Log'!$A$1:$J$1,0)))</f>
        <v/>
      </c>
      <c r="D401" s="70">
        <f>IF(H401=0,wdct(TRIM(C401)),0)</f>
        <v>0</v>
      </c>
      <c r="E401" s="70">
        <f>COUNTIFS('Error Log'!$A:$A,$A401,'Error Log'!$J:$J,E$1)</f>
        <v>0</v>
      </c>
      <c r="F401" s="70">
        <f>COUNTIFS('Error Log'!$A:$A,$A401,'Error Log'!$J:$J,F$1)</f>
        <v>0</v>
      </c>
      <c r="G401" s="70">
        <f>COUNTIFS('Error Log'!$A:$A,$A401,'Error Log'!$J:$J,G$1)</f>
        <v>0</v>
      </c>
      <c r="H401" s="70">
        <f>COUNTIFS('Error Log'!$A:$A,$A401,'Error Log'!$F:$F,"Source")</f>
        <v>0</v>
      </c>
      <c r="I401" s="70">
        <f>COUNTIFS('Error Log'!$A:$A,$A401,'Error Log'!$F:$F,"Target")</f>
        <v>0</v>
      </c>
      <c r="J401" s="71">
        <f t="shared" si="6"/>
        <v>0</v>
      </c>
    </row>
    <row r="402" spans="1:10">
      <c r="A402" s="81"/>
      <c r="B402" s="70" t="str">
        <f>IF(ISBLANK(A402),"",INDEX('Error Log'!$A:$J,MATCH('Scores per segment'!$A402,'Error Log'!$A:$A,0),MATCH('Scores per segment'!B$1,'Error Log'!$A$1:$J$1,0)))</f>
        <v/>
      </c>
      <c r="C402" s="70" t="str">
        <f>IF(ISBLANK(A402),"",INDEX('Error Log'!$A:$J,MATCH('Scores per segment'!$A402,'Error Log'!$A:$A,0),MATCH('Scores per segment'!C$1,'Error Log'!$A$1:$J$1,0)))</f>
        <v/>
      </c>
      <c r="D402" s="70">
        <f>IF(H402=0,wdct(TRIM(C402)),0)</f>
        <v>0</v>
      </c>
      <c r="E402" s="70">
        <f>COUNTIFS('Error Log'!$A:$A,$A402,'Error Log'!$J:$J,E$1)</f>
        <v>0</v>
      </c>
      <c r="F402" s="70">
        <f>COUNTIFS('Error Log'!$A:$A,$A402,'Error Log'!$J:$J,F$1)</f>
        <v>0</v>
      </c>
      <c r="G402" s="70">
        <f>COUNTIFS('Error Log'!$A:$A,$A402,'Error Log'!$J:$J,G$1)</f>
        <v>0</v>
      </c>
      <c r="H402" s="70">
        <f>COUNTIFS('Error Log'!$A:$A,$A402,'Error Log'!$F:$F,"Source")</f>
        <v>0</v>
      </c>
      <c r="I402" s="70">
        <f>COUNTIFS('Error Log'!$A:$A,$A402,'Error Log'!$F:$F,"Target")</f>
        <v>0</v>
      </c>
      <c r="J402" s="71">
        <f t="shared" si="6"/>
        <v>0</v>
      </c>
    </row>
    <row r="403" spans="1:10">
      <c r="A403" s="81"/>
      <c r="B403" s="70" t="str">
        <f>IF(ISBLANK(A403),"",INDEX('Error Log'!$A:$J,MATCH('Scores per segment'!$A403,'Error Log'!$A:$A,0),MATCH('Scores per segment'!B$1,'Error Log'!$A$1:$J$1,0)))</f>
        <v/>
      </c>
      <c r="C403" s="70" t="str">
        <f>IF(ISBLANK(A403),"",INDEX('Error Log'!$A:$J,MATCH('Scores per segment'!$A403,'Error Log'!$A:$A,0),MATCH('Scores per segment'!C$1,'Error Log'!$A$1:$J$1,0)))</f>
        <v/>
      </c>
      <c r="D403" s="70">
        <f>IF(H403=0,wdct(TRIM(C403)),0)</f>
        <v>0</v>
      </c>
      <c r="E403" s="70">
        <f>COUNTIFS('Error Log'!$A:$A,$A403,'Error Log'!$J:$J,E$1)</f>
        <v>0</v>
      </c>
      <c r="F403" s="70">
        <f>COUNTIFS('Error Log'!$A:$A,$A403,'Error Log'!$J:$J,F$1)</f>
        <v>0</v>
      </c>
      <c r="G403" s="70">
        <f>COUNTIFS('Error Log'!$A:$A,$A403,'Error Log'!$J:$J,G$1)</f>
        <v>0</v>
      </c>
      <c r="H403" s="70">
        <f>COUNTIFS('Error Log'!$A:$A,$A403,'Error Log'!$F:$F,"Source")</f>
        <v>0</v>
      </c>
      <c r="I403" s="70">
        <f>COUNTIFS('Error Log'!$A:$A,$A403,'Error Log'!$F:$F,"Target")</f>
        <v>0</v>
      </c>
      <c r="J403" s="71">
        <f t="shared" si="6"/>
        <v>0</v>
      </c>
    </row>
    <row r="404" spans="1:10">
      <c r="A404" s="81"/>
      <c r="B404" s="70" t="str">
        <f>IF(ISBLANK(A404),"",INDEX('Error Log'!$A:$J,MATCH('Scores per segment'!$A404,'Error Log'!$A:$A,0),MATCH('Scores per segment'!B$1,'Error Log'!$A$1:$J$1,0)))</f>
        <v/>
      </c>
      <c r="C404" s="70" t="str">
        <f>IF(ISBLANK(A404),"",INDEX('Error Log'!$A:$J,MATCH('Scores per segment'!$A404,'Error Log'!$A:$A,0),MATCH('Scores per segment'!C$1,'Error Log'!$A$1:$J$1,0)))</f>
        <v/>
      </c>
      <c r="D404" s="70">
        <f>IF(H404=0,wdct(TRIM(C404)),0)</f>
        <v>0</v>
      </c>
      <c r="E404" s="70">
        <f>COUNTIFS('Error Log'!$A:$A,$A404,'Error Log'!$J:$J,E$1)</f>
        <v>0</v>
      </c>
      <c r="F404" s="70">
        <f>COUNTIFS('Error Log'!$A:$A,$A404,'Error Log'!$J:$J,F$1)</f>
        <v>0</v>
      </c>
      <c r="G404" s="70">
        <f>COUNTIFS('Error Log'!$A:$A,$A404,'Error Log'!$J:$J,G$1)</f>
        <v>0</v>
      </c>
      <c r="H404" s="70">
        <f>COUNTIFS('Error Log'!$A:$A,$A404,'Error Log'!$F:$F,"Source")</f>
        <v>0</v>
      </c>
      <c r="I404" s="70">
        <f>COUNTIFS('Error Log'!$A:$A,$A404,'Error Log'!$F:$F,"Target")</f>
        <v>0</v>
      </c>
      <c r="J404" s="71">
        <f t="shared" si="6"/>
        <v>0</v>
      </c>
    </row>
    <row r="405" spans="1:10">
      <c r="A405" s="81"/>
      <c r="B405" s="70" t="str">
        <f>IF(ISBLANK(A405),"",INDEX('Error Log'!$A:$J,MATCH('Scores per segment'!$A405,'Error Log'!$A:$A,0),MATCH('Scores per segment'!B$1,'Error Log'!$A$1:$J$1,0)))</f>
        <v/>
      </c>
      <c r="C405" s="70" t="str">
        <f>IF(ISBLANK(A405),"",INDEX('Error Log'!$A:$J,MATCH('Scores per segment'!$A405,'Error Log'!$A:$A,0),MATCH('Scores per segment'!C$1,'Error Log'!$A$1:$J$1,0)))</f>
        <v/>
      </c>
      <c r="D405" s="70">
        <f>IF(H405=0,wdct(TRIM(C405)),0)</f>
        <v>0</v>
      </c>
      <c r="E405" s="70">
        <f>COUNTIFS('Error Log'!$A:$A,$A405,'Error Log'!$J:$J,E$1)</f>
        <v>0</v>
      </c>
      <c r="F405" s="70">
        <f>COUNTIFS('Error Log'!$A:$A,$A405,'Error Log'!$J:$J,F$1)</f>
        <v>0</v>
      </c>
      <c r="G405" s="70">
        <f>COUNTIFS('Error Log'!$A:$A,$A405,'Error Log'!$J:$J,G$1)</f>
        <v>0</v>
      </c>
      <c r="H405" s="70">
        <f>COUNTIFS('Error Log'!$A:$A,$A405,'Error Log'!$F:$F,"Source")</f>
        <v>0</v>
      </c>
      <c r="I405" s="70">
        <f>COUNTIFS('Error Log'!$A:$A,$A405,'Error Log'!$F:$F,"Target")</f>
        <v>0</v>
      </c>
      <c r="J405" s="71">
        <f t="shared" si="6"/>
        <v>0</v>
      </c>
    </row>
    <row r="406" spans="1:10">
      <c r="A406" s="81"/>
      <c r="B406" s="70" t="str">
        <f>IF(ISBLANK(A406),"",INDEX('Error Log'!$A:$J,MATCH('Scores per segment'!$A406,'Error Log'!$A:$A,0),MATCH('Scores per segment'!B$1,'Error Log'!$A$1:$J$1,0)))</f>
        <v/>
      </c>
      <c r="C406" s="70" t="str">
        <f>IF(ISBLANK(A406),"",INDEX('Error Log'!$A:$J,MATCH('Scores per segment'!$A406,'Error Log'!$A:$A,0),MATCH('Scores per segment'!C$1,'Error Log'!$A$1:$J$1,0)))</f>
        <v/>
      </c>
      <c r="D406" s="70">
        <f>IF(H406=0,wdct(TRIM(C406)),0)</f>
        <v>0</v>
      </c>
      <c r="E406" s="70">
        <f>COUNTIFS('Error Log'!$A:$A,$A406,'Error Log'!$J:$J,E$1)</f>
        <v>0</v>
      </c>
      <c r="F406" s="70">
        <f>COUNTIFS('Error Log'!$A:$A,$A406,'Error Log'!$J:$J,F$1)</f>
        <v>0</v>
      </c>
      <c r="G406" s="70">
        <f>COUNTIFS('Error Log'!$A:$A,$A406,'Error Log'!$J:$J,G$1)</f>
        <v>0</v>
      </c>
      <c r="H406" s="70">
        <f>COUNTIFS('Error Log'!$A:$A,$A406,'Error Log'!$F:$F,"Source")</f>
        <v>0</v>
      </c>
      <c r="I406" s="70">
        <f>COUNTIFS('Error Log'!$A:$A,$A406,'Error Log'!$F:$F,"Target")</f>
        <v>0</v>
      </c>
      <c r="J406" s="71">
        <f t="shared" si="6"/>
        <v>0</v>
      </c>
    </row>
    <row r="407" spans="1:10">
      <c r="A407" s="81"/>
      <c r="B407" s="70" t="str">
        <f>IF(ISBLANK(A407),"",INDEX('Error Log'!$A:$J,MATCH('Scores per segment'!$A407,'Error Log'!$A:$A,0),MATCH('Scores per segment'!B$1,'Error Log'!$A$1:$J$1,0)))</f>
        <v/>
      </c>
      <c r="C407" s="70" t="str">
        <f>IF(ISBLANK(A407),"",INDEX('Error Log'!$A:$J,MATCH('Scores per segment'!$A407,'Error Log'!$A:$A,0),MATCH('Scores per segment'!C$1,'Error Log'!$A$1:$J$1,0)))</f>
        <v/>
      </c>
      <c r="D407" s="70">
        <f>IF(H407=0,wdct(TRIM(C407)),0)</f>
        <v>0</v>
      </c>
      <c r="E407" s="70">
        <f>COUNTIFS('Error Log'!$A:$A,$A407,'Error Log'!$J:$J,E$1)</f>
        <v>0</v>
      </c>
      <c r="F407" s="70">
        <f>COUNTIFS('Error Log'!$A:$A,$A407,'Error Log'!$J:$J,F$1)</f>
        <v>0</v>
      </c>
      <c r="G407" s="70">
        <f>COUNTIFS('Error Log'!$A:$A,$A407,'Error Log'!$J:$J,G$1)</f>
        <v>0</v>
      </c>
      <c r="H407" s="70">
        <f>COUNTIFS('Error Log'!$A:$A,$A407,'Error Log'!$F:$F,"Source")</f>
        <v>0</v>
      </c>
      <c r="I407" s="70">
        <f>COUNTIFS('Error Log'!$A:$A,$A407,'Error Log'!$F:$F,"Target")</f>
        <v>0</v>
      </c>
      <c r="J407" s="71">
        <f t="shared" si="6"/>
        <v>0</v>
      </c>
    </row>
    <row r="408" spans="1:10">
      <c r="A408" s="81"/>
      <c r="B408" s="70" t="str">
        <f>IF(ISBLANK(A408),"",INDEX('Error Log'!$A:$J,MATCH('Scores per segment'!$A408,'Error Log'!$A:$A,0),MATCH('Scores per segment'!B$1,'Error Log'!$A$1:$J$1,0)))</f>
        <v/>
      </c>
      <c r="C408" s="70" t="str">
        <f>IF(ISBLANK(A408),"",INDEX('Error Log'!$A:$J,MATCH('Scores per segment'!$A408,'Error Log'!$A:$A,0),MATCH('Scores per segment'!C$1,'Error Log'!$A$1:$J$1,0)))</f>
        <v/>
      </c>
      <c r="D408" s="70">
        <f>IF(H408=0,wdct(TRIM(C408)),0)</f>
        <v>0</v>
      </c>
      <c r="E408" s="70">
        <f>COUNTIFS('Error Log'!$A:$A,$A408,'Error Log'!$J:$J,E$1)</f>
        <v>0</v>
      </c>
      <c r="F408" s="70">
        <f>COUNTIFS('Error Log'!$A:$A,$A408,'Error Log'!$J:$J,F$1)</f>
        <v>0</v>
      </c>
      <c r="G408" s="70">
        <f>COUNTIFS('Error Log'!$A:$A,$A408,'Error Log'!$J:$J,G$1)</f>
        <v>0</v>
      </c>
      <c r="H408" s="70">
        <f>COUNTIFS('Error Log'!$A:$A,$A408,'Error Log'!$F:$F,"Source")</f>
        <v>0</v>
      </c>
      <c r="I408" s="70">
        <f>COUNTIFS('Error Log'!$A:$A,$A408,'Error Log'!$F:$F,"Target")</f>
        <v>0</v>
      </c>
      <c r="J408" s="71">
        <f t="shared" si="6"/>
        <v>0</v>
      </c>
    </row>
    <row r="409" spans="1:10">
      <c r="A409" s="81"/>
      <c r="B409" s="70" t="str">
        <f>IF(ISBLANK(A409),"",INDEX('Error Log'!$A:$J,MATCH('Scores per segment'!$A409,'Error Log'!$A:$A,0),MATCH('Scores per segment'!B$1,'Error Log'!$A$1:$J$1,0)))</f>
        <v/>
      </c>
      <c r="C409" s="70" t="str">
        <f>IF(ISBLANK(A409),"",INDEX('Error Log'!$A:$J,MATCH('Scores per segment'!$A409,'Error Log'!$A:$A,0),MATCH('Scores per segment'!C$1,'Error Log'!$A$1:$J$1,0)))</f>
        <v/>
      </c>
      <c r="D409" s="70">
        <f>IF(H409=0,wdct(TRIM(C409)),0)</f>
        <v>0</v>
      </c>
      <c r="E409" s="70">
        <f>COUNTIFS('Error Log'!$A:$A,$A409,'Error Log'!$J:$J,E$1)</f>
        <v>0</v>
      </c>
      <c r="F409" s="70">
        <f>COUNTIFS('Error Log'!$A:$A,$A409,'Error Log'!$J:$J,F$1)</f>
        <v>0</v>
      </c>
      <c r="G409" s="70">
        <f>COUNTIFS('Error Log'!$A:$A,$A409,'Error Log'!$J:$J,G$1)</f>
        <v>0</v>
      </c>
      <c r="H409" s="70">
        <f>COUNTIFS('Error Log'!$A:$A,$A409,'Error Log'!$F:$F,"Source")</f>
        <v>0</v>
      </c>
      <c r="I409" s="70">
        <f>COUNTIFS('Error Log'!$A:$A,$A409,'Error Log'!$F:$F,"Target")</f>
        <v>0</v>
      </c>
      <c r="J409" s="71">
        <f t="shared" si="6"/>
        <v>0</v>
      </c>
    </row>
    <row r="410" spans="1:10">
      <c r="A410" s="81"/>
      <c r="B410" s="70" t="str">
        <f>IF(ISBLANK(A410),"",INDEX('Error Log'!$A:$J,MATCH('Scores per segment'!$A410,'Error Log'!$A:$A,0),MATCH('Scores per segment'!B$1,'Error Log'!$A$1:$J$1,0)))</f>
        <v/>
      </c>
      <c r="C410" s="70" t="str">
        <f>IF(ISBLANK(A410),"",INDEX('Error Log'!$A:$J,MATCH('Scores per segment'!$A410,'Error Log'!$A:$A,0),MATCH('Scores per segment'!C$1,'Error Log'!$A$1:$J$1,0)))</f>
        <v/>
      </c>
      <c r="D410" s="70">
        <f>IF(H410=0,wdct(TRIM(C410)),0)</f>
        <v>0</v>
      </c>
      <c r="E410" s="70">
        <f>COUNTIFS('Error Log'!$A:$A,$A410,'Error Log'!$J:$J,E$1)</f>
        <v>0</v>
      </c>
      <c r="F410" s="70">
        <f>COUNTIFS('Error Log'!$A:$A,$A410,'Error Log'!$J:$J,F$1)</f>
        <v>0</v>
      </c>
      <c r="G410" s="70">
        <f>COUNTIFS('Error Log'!$A:$A,$A410,'Error Log'!$J:$J,G$1)</f>
        <v>0</v>
      </c>
      <c r="H410" s="70">
        <f>COUNTIFS('Error Log'!$A:$A,$A410,'Error Log'!$F:$F,"Source")</f>
        <v>0</v>
      </c>
      <c r="I410" s="70">
        <f>COUNTIFS('Error Log'!$A:$A,$A410,'Error Log'!$F:$F,"Target")</f>
        <v>0</v>
      </c>
      <c r="J410" s="71">
        <f t="shared" si="6"/>
        <v>0</v>
      </c>
    </row>
    <row r="411" spans="1:10">
      <c r="A411" s="81"/>
      <c r="B411" s="70" t="str">
        <f>IF(ISBLANK(A411),"",INDEX('Error Log'!$A:$J,MATCH('Scores per segment'!$A411,'Error Log'!$A:$A,0),MATCH('Scores per segment'!B$1,'Error Log'!$A$1:$J$1,0)))</f>
        <v/>
      </c>
      <c r="C411" s="70" t="str">
        <f>IF(ISBLANK(A411),"",INDEX('Error Log'!$A:$J,MATCH('Scores per segment'!$A411,'Error Log'!$A:$A,0),MATCH('Scores per segment'!C$1,'Error Log'!$A$1:$J$1,0)))</f>
        <v/>
      </c>
      <c r="D411" s="70">
        <f>IF(H411=0,wdct(TRIM(C411)),0)</f>
        <v>0</v>
      </c>
      <c r="E411" s="70">
        <f>COUNTIFS('Error Log'!$A:$A,$A411,'Error Log'!$J:$J,E$1)</f>
        <v>0</v>
      </c>
      <c r="F411" s="70">
        <f>COUNTIFS('Error Log'!$A:$A,$A411,'Error Log'!$J:$J,F$1)</f>
        <v>0</v>
      </c>
      <c r="G411" s="70">
        <f>COUNTIFS('Error Log'!$A:$A,$A411,'Error Log'!$J:$J,G$1)</f>
        <v>0</v>
      </c>
      <c r="H411" s="70">
        <f>COUNTIFS('Error Log'!$A:$A,$A411,'Error Log'!$F:$F,"Source")</f>
        <v>0</v>
      </c>
      <c r="I411" s="70">
        <f>COUNTIFS('Error Log'!$A:$A,$A411,'Error Log'!$F:$F,"Target")</f>
        <v>0</v>
      </c>
      <c r="J411" s="71">
        <f t="shared" si="6"/>
        <v>0</v>
      </c>
    </row>
    <row r="412" spans="1:10">
      <c r="A412" s="81"/>
      <c r="B412" s="70" t="str">
        <f>IF(ISBLANK(A412),"",INDEX('Error Log'!$A:$J,MATCH('Scores per segment'!$A412,'Error Log'!$A:$A,0),MATCH('Scores per segment'!B$1,'Error Log'!$A$1:$J$1,0)))</f>
        <v/>
      </c>
      <c r="C412" s="70" t="str">
        <f>IF(ISBLANK(A412),"",INDEX('Error Log'!$A:$J,MATCH('Scores per segment'!$A412,'Error Log'!$A:$A,0),MATCH('Scores per segment'!C$1,'Error Log'!$A$1:$J$1,0)))</f>
        <v/>
      </c>
      <c r="D412" s="70">
        <f>IF(H412=0,wdct(TRIM(C412)),0)</f>
        <v>0</v>
      </c>
      <c r="E412" s="70">
        <f>COUNTIFS('Error Log'!$A:$A,$A412,'Error Log'!$J:$J,E$1)</f>
        <v>0</v>
      </c>
      <c r="F412" s="70">
        <f>COUNTIFS('Error Log'!$A:$A,$A412,'Error Log'!$J:$J,F$1)</f>
        <v>0</v>
      </c>
      <c r="G412" s="70">
        <f>COUNTIFS('Error Log'!$A:$A,$A412,'Error Log'!$J:$J,G$1)</f>
        <v>0</v>
      </c>
      <c r="H412" s="70">
        <f>COUNTIFS('Error Log'!$A:$A,$A412,'Error Log'!$F:$F,"Source")</f>
        <v>0</v>
      </c>
      <c r="I412" s="70">
        <f>COUNTIFS('Error Log'!$A:$A,$A412,'Error Log'!$F:$F,"Target")</f>
        <v>0</v>
      </c>
      <c r="J412" s="71">
        <f t="shared" si="6"/>
        <v>0</v>
      </c>
    </row>
    <row r="413" spans="1:10">
      <c r="A413" s="81"/>
      <c r="B413" s="70" t="str">
        <f>IF(ISBLANK(A413),"",INDEX('Error Log'!$A:$J,MATCH('Scores per segment'!$A413,'Error Log'!$A:$A,0),MATCH('Scores per segment'!B$1,'Error Log'!$A$1:$J$1,0)))</f>
        <v/>
      </c>
      <c r="C413" s="70" t="str">
        <f>IF(ISBLANK(A413),"",INDEX('Error Log'!$A:$J,MATCH('Scores per segment'!$A413,'Error Log'!$A:$A,0),MATCH('Scores per segment'!C$1,'Error Log'!$A$1:$J$1,0)))</f>
        <v/>
      </c>
      <c r="D413" s="70">
        <f>IF(H413=0,wdct(TRIM(C413)),0)</f>
        <v>0</v>
      </c>
      <c r="E413" s="70">
        <f>COUNTIFS('Error Log'!$A:$A,$A413,'Error Log'!$J:$J,E$1)</f>
        <v>0</v>
      </c>
      <c r="F413" s="70">
        <f>COUNTIFS('Error Log'!$A:$A,$A413,'Error Log'!$J:$J,F$1)</f>
        <v>0</v>
      </c>
      <c r="G413" s="70">
        <f>COUNTIFS('Error Log'!$A:$A,$A413,'Error Log'!$J:$J,G$1)</f>
        <v>0</v>
      </c>
      <c r="H413" s="70">
        <f>COUNTIFS('Error Log'!$A:$A,$A413,'Error Log'!$F:$F,"Source")</f>
        <v>0</v>
      </c>
      <c r="I413" s="70">
        <f>COUNTIFS('Error Log'!$A:$A,$A413,'Error Log'!$F:$F,"Target")</f>
        <v>0</v>
      </c>
      <c r="J413" s="71">
        <f t="shared" si="6"/>
        <v>0</v>
      </c>
    </row>
    <row r="414" spans="1:10">
      <c r="A414" s="81"/>
      <c r="B414" s="70" t="str">
        <f>IF(ISBLANK(A414),"",INDEX('Error Log'!$A:$J,MATCH('Scores per segment'!$A414,'Error Log'!$A:$A,0),MATCH('Scores per segment'!B$1,'Error Log'!$A$1:$J$1,0)))</f>
        <v/>
      </c>
      <c r="C414" s="70" t="str">
        <f>IF(ISBLANK(A414),"",INDEX('Error Log'!$A:$J,MATCH('Scores per segment'!$A414,'Error Log'!$A:$A,0),MATCH('Scores per segment'!C$1,'Error Log'!$A$1:$J$1,0)))</f>
        <v/>
      </c>
      <c r="D414" s="70">
        <f>IF(H414=0,wdct(TRIM(C414)),0)</f>
        <v>0</v>
      </c>
      <c r="E414" s="70">
        <f>COUNTIFS('Error Log'!$A:$A,$A414,'Error Log'!$J:$J,E$1)</f>
        <v>0</v>
      </c>
      <c r="F414" s="70">
        <f>COUNTIFS('Error Log'!$A:$A,$A414,'Error Log'!$J:$J,F$1)</f>
        <v>0</v>
      </c>
      <c r="G414" s="70">
        <f>COUNTIFS('Error Log'!$A:$A,$A414,'Error Log'!$J:$J,G$1)</f>
        <v>0</v>
      </c>
      <c r="H414" s="70">
        <f>COUNTIFS('Error Log'!$A:$A,$A414,'Error Log'!$F:$F,"Source")</f>
        <v>0</v>
      </c>
      <c r="I414" s="70">
        <f>COUNTIFS('Error Log'!$A:$A,$A414,'Error Log'!$F:$F,"Target")</f>
        <v>0</v>
      </c>
      <c r="J414" s="71">
        <f t="shared" si="6"/>
        <v>0</v>
      </c>
    </row>
    <row r="415" spans="1:10">
      <c r="A415" s="81"/>
      <c r="B415" s="70" t="str">
        <f>IF(ISBLANK(A415),"",INDEX('Error Log'!$A:$J,MATCH('Scores per segment'!$A415,'Error Log'!$A:$A,0),MATCH('Scores per segment'!B$1,'Error Log'!$A$1:$J$1,0)))</f>
        <v/>
      </c>
      <c r="C415" s="70" t="str">
        <f>IF(ISBLANK(A415),"",INDEX('Error Log'!$A:$J,MATCH('Scores per segment'!$A415,'Error Log'!$A:$A,0),MATCH('Scores per segment'!C$1,'Error Log'!$A$1:$J$1,0)))</f>
        <v/>
      </c>
      <c r="D415" s="70">
        <f>IF(H415=0,wdct(TRIM(C415)),0)</f>
        <v>0</v>
      </c>
      <c r="E415" s="70">
        <f>COUNTIFS('Error Log'!$A:$A,$A415,'Error Log'!$J:$J,E$1)</f>
        <v>0</v>
      </c>
      <c r="F415" s="70">
        <f>COUNTIFS('Error Log'!$A:$A,$A415,'Error Log'!$J:$J,F$1)</f>
        <v>0</v>
      </c>
      <c r="G415" s="70">
        <f>COUNTIFS('Error Log'!$A:$A,$A415,'Error Log'!$J:$J,G$1)</f>
        <v>0</v>
      </c>
      <c r="H415" s="70">
        <f>COUNTIFS('Error Log'!$A:$A,$A415,'Error Log'!$F:$F,"Source")</f>
        <v>0</v>
      </c>
      <c r="I415" s="70">
        <f>COUNTIFS('Error Log'!$A:$A,$A415,'Error Log'!$F:$F,"Target")</f>
        <v>0</v>
      </c>
      <c r="J415" s="71">
        <f t="shared" si="6"/>
        <v>0</v>
      </c>
    </row>
    <row r="416" spans="1:10">
      <c r="A416" s="81"/>
      <c r="B416" s="70" t="str">
        <f>IF(ISBLANK(A416),"",INDEX('Error Log'!$A:$J,MATCH('Scores per segment'!$A416,'Error Log'!$A:$A,0),MATCH('Scores per segment'!B$1,'Error Log'!$A$1:$J$1,0)))</f>
        <v/>
      </c>
      <c r="C416" s="70" t="str">
        <f>IF(ISBLANK(A416),"",INDEX('Error Log'!$A:$J,MATCH('Scores per segment'!$A416,'Error Log'!$A:$A,0),MATCH('Scores per segment'!C$1,'Error Log'!$A$1:$J$1,0)))</f>
        <v/>
      </c>
      <c r="D416" s="70">
        <f>IF(H416=0,wdct(TRIM(C416)),0)</f>
        <v>0</v>
      </c>
      <c r="E416" s="70">
        <f>COUNTIFS('Error Log'!$A:$A,$A416,'Error Log'!$J:$J,E$1)</f>
        <v>0</v>
      </c>
      <c r="F416" s="70">
        <f>COUNTIFS('Error Log'!$A:$A,$A416,'Error Log'!$J:$J,F$1)</f>
        <v>0</v>
      </c>
      <c r="G416" s="70">
        <f>COUNTIFS('Error Log'!$A:$A,$A416,'Error Log'!$J:$J,G$1)</f>
        <v>0</v>
      </c>
      <c r="H416" s="70">
        <f>COUNTIFS('Error Log'!$A:$A,$A416,'Error Log'!$F:$F,"Source")</f>
        <v>0</v>
      </c>
      <c r="I416" s="70">
        <f>COUNTIFS('Error Log'!$A:$A,$A416,'Error Log'!$F:$F,"Target")</f>
        <v>0</v>
      </c>
      <c r="J416" s="71">
        <f t="shared" si="6"/>
        <v>0</v>
      </c>
    </row>
    <row r="417" spans="1:10">
      <c r="A417" s="81"/>
      <c r="B417" s="70" t="str">
        <f>IF(ISBLANK(A417),"",INDEX('Error Log'!$A:$J,MATCH('Scores per segment'!$A417,'Error Log'!$A:$A,0),MATCH('Scores per segment'!B$1,'Error Log'!$A$1:$J$1,0)))</f>
        <v/>
      </c>
      <c r="C417" s="70" t="str">
        <f>IF(ISBLANK(A417),"",INDEX('Error Log'!$A:$J,MATCH('Scores per segment'!$A417,'Error Log'!$A:$A,0),MATCH('Scores per segment'!C$1,'Error Log'!$A$1:$J$1,0)))</f>
        <v/>
      </c>
      <c r="D417" s="70">
        <f>IF(H417=0,wdct(TRIM(C417)),0)</f>
        <v>0</v>
      </c>
      <c r="E417" s="70">
        <f>COUNTIFS('Error Log'!$A:$A,$A417,'Error Log'!$J:$J,E$1)</f>
        <v>0</v>
      </c>
      <c r="F417" s="70">
        <f>COUNTIFS('Error Log'!$A:$A,$A417,'Error Log'!$J:$J,F$1)</f>
        <v>0</v>
      </c>
      <c r="G417" s="70">
        <f>COUNTIFS('Error Log'!$A:$A,$A417,'Error Log'!$J:$J,G$1)</f>
        <v>0</v>
      </c>
      <c r="H417" s="70">
        <f>COUNTIFS('Error Log'!$A:$A,$A417,'Error Log'!$F:$F,"Source")</f>
        <v>0</v>
      </c>
      <c r="I417" s="70">
        <f>COUNTIFS('Error Log'!$A:$A,$A417,'Error Log'!$F:$F,"Target")</f>
        <v>0</v>
      </c>
      <c r="J417" s="71">
        <f t="shared" si="6"/>
        <v>0</v>
      </c>
    </row>
    <row r="418" spans="1:10">
      <c r="A418" s="81"/>
      <c r="B418" s="70" t="str">
        <f>IF(ISBLANK(A418),"",INDEX('Error Log'!$A:$J,MATCH('Scores per segment'!$A418,'Error Log'!$A:$A,0),MATCH('Scores per segment'!B$1,'Error Log'!$A$1:$J$1,0)))</f>
        <v/>
      </c>
      <c r="C418" s="70" t="str">
        <f>IF(ISBLANK(A418),"",INDEX('Error Log'!$A:$J,MATCH('Scores per segment'!$A418,'Error Log'!$A:$A,0),MATCH('Scores per segment'!C$1,'Error Log'!$A$1:$J$1,0)))</f>
        <v/>
      </c>
      <c r="D418" s="70">
        <f>IF(H418=0,wdct(TRIM(C418)),0)</f>
        <v>0</v>
      </c>
      <c r="E418" s="70">
        <f>COUNTIFS('Error Log'!$A:$A,$A418,'Error Log'!$J:$J,E$1)</f>
        <v>0</v>
      </c>
      <c r="F418" s="70">
        <f>COUNTIFS('Error Log'!$A:$A,$A418,'Error Log'!$J:$J,F$1)</f>
        <v>0</v>
      </c>
      <c r="G418" s="70">
        <f>COUNTIFS('Error Log'!$A:$A,$A418,'Error Log'!$J:$J,G$1)</f>
        <v>0</v>
      </c>
      <c r="H418" s="70">
        <f>COUNTIFS('Error Log'!$A:$A,$A418,'Error Log'!$F:$F,"Source")</f>
        <v>0</v>
      </c>
      <c r="I418" s="70">
        <f>COUNTIFS('Error Log'!$A:$A,$A418,'Error Log'!$F:$F,"Target")</f>
        <v>0</v>
      </c>
      <c r="J418" s="71">
        <f t="shared" si="6"/>
        <v>0</v>
      </c>
    </row>
    <row r="419" spans="1:10">
      <c r="A419" s="81"/>
      <c r="B419" s="70" t="str">
        <f>IF(ISBLANK(A419),"",INDEX('Error Log'!$A:$J,MATCH('Scores per segment'!$A419,'Error Log'!$A:$A,0),MATCH('Scores per segment'!B$1,'Error Log'!$A$1:$J$1,0)))</f>
        <v/>
      </c>
      <c r="C419" s="70" t="str">
        <f>IF(ISBLANK(A419),"",INDEX('Error Log'!$A:$J,MATCH('Scores per segment'!$A419,'Error Log'!$A:$A,0),MATCH('Scores per segment'!C$1,'Error Log'!$A$1:$J$1,0)))</f>
        <v/>
      </c>
      <c r="D419" s="70">
        <f>IF(H419=0,wdct(TRIM(C419)),0)</f>
        <v>0</v>
      </c>
      <c r="E419" s="70">
        <f>COUNTIFS('Error Log'!$A:$A,$A419,'Error Log'!$J:$J,E$1)</f>
        <v>0</v>
      </c>
      <c r="F419" s="70">
        <f>COUNTIFS('Error Log'!$A:$A,$A419,'Error Log'!$J:$J,F$1)</f>
        <v>0</v>
      </c>
      <c r="G419" s="70">
        <f>COUNTIFS('Error Log'!$A:$A,$A419,'Error Log'!$J:$J,G$1)</f>
        <v>0</v>
      </c>
      <c r="H419" s="70">
        <f>COUNTIFS('Error Log'!$A:$A,$A419,'Error Log'!$F:$F,"Source")</f>
        <v>0</v>
      </c>
      <c r="I419" s="70">
        <f>COUNTIFS('Error Log'!$A:$A,$A419,'Error Log'!$F:$F,"Target")</f>
        <v>0</v>
      </c>
      <c r="J419" s="71">
        <f t="shared" si="6"/>
        <v>0</v>
      </c>
    </row>
    <row r="420" spans="1:10">
      <c r="A420" s="81"/>
      <c r="B420" s="70" t="str">
        <f>IF(ISBLANK(A420),"",INDEX('Error Log'!$A:$J,MATCH('Scores per segment'!$A420,'Error Log'!$A:$A,0),MATCH('Scores per segment'!B$1,'Error Log'!$A$1:$J$1,0)))</f>
        <v/>
      </c>
      <c r="C420" s="70" t="str">
        <f>IF(ISBLANK(A420),"",INDEX('Error Log'!$A:$J,MATCH('Scores per segment'!$A420,'Error Log'!$A:$A,0),MATCH('Scores per segment'!C$1,'Error Log'!$A$1:$J$1,0)))</f>
        <v/>
      </c>
      <c r="D420" s="70">
        <f>IF(H420=0,wdct(TRIM(C420)),0)</f>
        <v>0</v>
      </c>
      <c r="E420" s="70">
        <f>COUNTIFS('Error Log'!$A:$A,$A420,'Error Log'!$J:$J,E$1)</f>
        <v>0</v>
      </c>
      <c r="F420" s="70">
        <f>COUNTIFS('Error Log'!$A:$A,$A420,'Error Log'!$J:$J,F$1)</f>
        <v>0</v>
      </c>
      <c r="G420" s="70">
        <f>COUNTIFS('Error Log'!$A:$A,$A420,'Error Log'!$J:$J,G$1)</f>
        <v>0</v>
      </c>
      <c r="H420" s="70">
        <f>COUNTIFS('Error Log'!$A:$A,$A420,'Error Log'!$F:$F,"Source")</f>
        <v>0</v>
      </c>
      <c r="I420" s="70">
        <f>COUNTIFS('Error Log'!$A:$A,$A420,'Error Log'!$F:$F,"Target")</f>
        <v>0</v>
      </c>
      <c r="J420" s="71">
        <f t="shared" si="6"/>
        <v>0</v>
      </c>
    </row>
    <row r="421" spans="1:10">
      <c r="A421" s="81"/>
      <c r="B421" s="70" t="str">
        <f>IF(ISBLANK(A421),"",INDEX('Error Log'!$A:$J,MATCH('Scores per segment'!$A421,'Error Log'!$A:$A,0),MATCH('Scores per segment'!B$1,'Error Log'!$A$1:$J$1,0)))</f>
        <v/>
      </c>
      <c r="C421" s="70" t="str">
        <f>IF(ISBLANK(A421),"",INDEX('Error Log'!$A:$J,MATCH('Scores per segment'!$A421,'Error Log'!$A:$A,0),MATCH('Scores per segment'!C$1,'Error Log'!$A$1:$J$1,0)))</f>
        <v/>
      </c>
      <c r="D421" s="70">
        <f>IF(H421=0,wdct(TRIM(C421)),0)</f>
        <v>0</v>
      </c>
      <c r="E421" s="70">
        <f>COUNTIFS('Error Log'!$A:$A,$A421,'Error Log'!$J:$J,E$1)</f>
        <v>0</v>
      </c>
      <c r="F421" s="70">
        <f>COUNTIFS('Error Log'!$A:$A,$A421,'Error Log'!$J:$J,F$1)</f>
        <v>0</v>
      </c>
      <c r="G421" s="70">
        <f>COUNTIFS('Error Log'!$A:$A,$A421,'Error Log'!$J:$J,G$1)</f>
        <v>0</v>
      </c>
      <c r="H421" s="70">
        <f>COUNTIFS('Error Log'!$A:$A,$A421,'Error Log'!$F:$F,"Source")</f>
        <v>0</v>
      </c>
      <c r="I421" s="70">
        <f>COUNTIFS('Error Log'!$A:$A,$A421,'Error Log'!$F:$F,"Target")</f>
        <v>0</v>
      </c>
      <c r="J421" s="71">
        <f t="shared" si="6"/>
        <v>0</v>
      </c>
    </row>
    <row r="422" spans="1:10">
      <c r="A422" s="81"/>
      <c r="B422" s="70" t="str">
        <f>IF(ISBLANK(A422),"",INDEX('Error Log'!$A:$J,MATCH('Scores per segment'!$A422,'Error Log'!$A:$A,0),MATCH('Scores per segment'!B$1,'Error Log'!$A$1:$J$1,0)))</f>
        <v/>
      </c>
      <c r="C422" s="70" t="str">
        <f>IF(ISBLANK(A422),"",INDEX('Error Log'!$A:$J,MATCH('Scores per segment'!$A422,'Error Log'!$A:$A,0),MATCH('Scores per segment'!C$1,'Error Log'!$A$1:$J$1,0)))</f>
        <v/>
      </c>
      <c r="D422" s="70">
        <f>IF(H422=0,wdct(TRIM(C422)),0)</f>
        <v>0</v>
      </c>
      <c r="E422" s="70">
        <f>COUNTIFS('Error Log'!$A:$A,$A422,'Error Log'!$J:$J,E$1)</f>
        <v>0</v>
      </c>
      <c r="F422" s="70">
        <f>COUNTIFS('Error Log'!$A:$A,$A422,'Error Log'!$J:$J,F$1)</f>
        <v>0</v>
      </c>
      <c r="G422" s="70">
        <f>COUNTIFS('Error Log'!$A:$A,$A422,'Error Log'!$J:$J,G$1)</f>
        <v>0</v>
      </c>
      <c r="H422" s="70">
        <f>COUNTIFS('Error Log'!$A:$A,$A422,'Error Log'!$F:$F,"Source")</f>
        <v>0</v>
      </c>
      <c r="I422" s="70">
        <f>COUNTIFS('Error Log'!$A:$A,$A422,'Error Log'!$F:$F,"Target")</f>
        <v>0</v>
      </c>
      <c r="J422" s="71">
        <f t="shared" si="6"/>
        <v>0</v>
      </c>
    </row>
    <row r="423" spans="1:10">
      <c r="A423" s="81"/>
      <c r="B423" s="70" t="str">
        <f>IF(ISBLANK(A423),"",INDEX('Error Log'!$A:$J,MATCH('Scores per segment'!$A423,'Error Log'!$A:$A,0),MATCH('Scores per segment'!B$1,'Error Log'!$A$1:$J$1,0)))</f>
        <v/>
      </c>
      <c r="C423" s="70" t="str">
        <f>IF(ISBLANK(A423),"",INDEX('Error Log'!$A:$J,MATCH('Scores per segment'!$A423,'Error Log'!$A:$A,0),MATCH('Scores per segment'!C$1,'Error Log'!$A$1:$J$1,0)))</f>
        <v/>
      </c>
      <c r="D423" s="70">
        <f>IF(H423=0,wdct(TRIM(C423)),0)</f>
        <v>0</v>
      </c>
      <c r="E423" s="70">
        <f>COUNTIFS('Error Log'!$A:$A,$A423,'Error Log'!$J:$J,E$1)</f>
        <v>0</v>
      </c>
      <c r="F423" s="70">
        <f>COUNTIFS('Error Log'!$A:$A,$A423,'Error Log'!$J:$J,F$1)</f>
        <v>0</v>
      </c>
      <c r="G423" s="70">
        <f>COUNTIFS('Error Log'!$A:$A,$A423,'Error Log'!$J:$J,G$1)</f>
        <v>0</v>
      </c>
      <c r="H423" s="70">
        <f>COUNTIFS('Error Log'!$A:$A,$A423,'Error Log'!$F:$F,"Source")</f>
        <v>0</v>
      </c>
      <c r="I423" s="70">
        <f>COUNTIFS('Error Log'!$A:$A,$A423,'Error Log'!$F:$F,"Target")</f>
        <v>0</v>
      </c>
      <c r="J423" s="71">
        <f t="shared" si="6"/>
        <v>0</v>
      </c>
    </row>
    <row r="424" spans="1:10">
      <c r="A424" s="81"/>
      <c r="B424" s="70" t="str">
        <f>IF(ISBLANK(A424),"",INDEX('Error Log'!$A:$J,MATCH('Scores per segment'!$A424,'Error Log'!$A:$A,0),MATCH('Scores per segment'!B$1,'Error Log'!$A$1:$J$1,0)))</f>
        <v/>
      </c>
      <c r="C424" s="70" t="str">
        <f>IF(ISBLANK(A424),"",INDEX('Error Log'!$A:$J,MATCH('Scores per segment'!$A424,'Error Log'!$A:$A,0),MATCH('Scores per segment'!C$1,'Error Log'!$A$1:$J$1,0)))</f>
        <v/>
      </c>
      <c r="D424" s="70">
        <f>IF(H424=0,wdct(TRIM(C424)),0)</f>
        <v>0</v>
      </c>
      <c r="E424" s="70">
        <f>COUNTIFS('Error Log'!$A:$A,$A424,'Error Log'!$J:$J,E$1)</f>
        <v>0</v>
      </c>
      <c r="F424" s="70">
        <f>COUNTIFS('Error Log'!$A:$A,$A424,'Error Log'!$J:$J,F$1)</f>
        <v>0</v>
      </c>
      <c r="G424" s="70">
        <f>COUNTIFS('Error Log'!$A:$A,$A424,'Error Log'!$J:$J,G$1)</f>
        <v>0</v>
      </c>
      <c r="H424" s="70">
        <f>COUNTIFS('Error Log'!$A:$A,$A424,'Error Log'!$F:$F,"Source")</f>
        <v>0</v>
      </c>
      <c r="I424" s="70">
        <f>COUNTIFS('Error Log'!$A:$A,$A424,'Error Log'!$F:$F,"Target")</f>
        <v>0</v>
      </c>
      <c r="J424" s="71">
        <f t="shared" si="6"/>
        <v>0</v>
      </c>
    </row>
    <row r="425" spans="1:10">
      <c r="A425" s="81"/>
      <c r="B425" s="70" t="str">
        <f>IF(ISBLANK(A425),"",INDEX('Error Log'!$A:$J,MATCH('Scores per segment'!$A425,'Error Log'!$A:$A,0),MATCH('Scores per segment'!B$1,'Error Log'!$A$1:$J$1,0)))</f>
        <v/>
      </c>
      <c r="C425" s="70" t="str">
        <f>IF(ISBLANK(A425),"",INDEX('Error Log'!$A:$J,MATCH('Scores per segment'!$A425,'Error Log'!$A:$A,0),MATCH('Scores per segment'!C$1,'Error Log'!$A$1:$J$1,0)))</f>
        <v/>
      </c>
      <c r="D425" s="70">
        <f>IF(H425=0,wdct(TRIM(C425)),0)</f>
        <v>0</v>
      </c>
      <c r="E425" s="70">
        <f>COUNTIFS('Error Log'!$A:$A,$A425,'Error Log'!$J:$J,E$1)</f>
        <v>0</v>
      </c>
      <c r="F425" s="70">
        <f>COUNTIFS('Error Log'!$A:$A,$A425,'Error Log'!$J:$J,F$1)</f>
        <v>0</v>
      </c>
      <c r="G425" s="70">
        <f>COUNTIFS('Error Log'!$A:$A,$A425,'Error Log'!$J:$J,G$1)</f>
        <v>0</v>
      </c>
      <c r="H425" s="70">
        <f>COUNTIFS('Error Log'!$A:$A,$A425,'Error Log'!$F:$F,"Source")</f>
        <v>0</v>
      </c>
      <c r="I425" s="70">
        <f>COUNTIFS('Error Log'!$A:$A,$A425,'Error Log'!$F:$F,"Target")</f>
        <v>0</v>
      </c>
      <c r="J425" s="71">
        <f t="shared" si="6"/>
        <v>0</v>
      </c>
    </row>
    <row r="426" spans="1:10">
      <c r="A426" s="81"/>
      <c r="B426" s="70" t="str">
        <f>IF(ISBLANK(A426),"",INDEX('Error Log'!$A:$J,MATCH('Scores per segment'!$A426,'Error Log'!$A:$A,0),MATCH('Scores per segment'!B$1,'Error Log'!$A$1:$J$1,0)))</f>
        <v/>
      </c>
      <c r="C426" s="70" t="str">
        <f>IF(ISBLANK(A426),"",INDEX('Error Log'!$A:$J,MATCH('Scores per segment'!$A426,'Error Log'!$A:$A,0),MATCH('Scores per segment'!C$1,'Error Log'!$A$1:$J$1,0)))</f>
        <v/>
      </c>
      <c r="D426" s="70">
        <f>IF(H426=0,wdct(TRIM(C426)),0)</f>
        <v>0</v>
      </c>
      <c r="E426" s="70">
        <f>COUNTIFS('Error Log'!$A:$A,$A426,'Error Log'!$J:$J,E$1)</f>
        <v>0</v>
      </c>
      <c r="F426" s="70">
        <f>COUNTIFS('Error Log'!$A:$A,$A426,'Error Log'!$J:$J,F$1)</f>
        <v>0</v>
      </c>
      <c r="G426" s="70">
        <f>COUNTIFS('Error Log'!$A:$A,$A426,'Error Log'!$J:$J,G$1)</f>
        <v>0</v>
      </c>
      <c r="H426" s="70">
        <f>COUNTIFS('Error Log'!$A:$A,$A426,'Error Log'!$F:$F,"Source")</f>
        <v>0</v>
      </c>
      <c r="I426" s="70">
        <f>COUNTIFS('Error Log'!$A:$A,$A426,'Error Log'!$F:$F,"Target")</f>
        <v>0</v>
      </c>
      <c r="J426" s="71">
        <f t="shared" si="6"/>
        <v>0</v>
      </c>
    </row>
    <row r="427" spans="1:10">
      <c r="A427" s="81"/>
      <c r="B427" s="70" t="str">
        <f>IF(ISBLANK(A427),"",INDEX('Error Log'!$A:$J,MATCH('Scores per segment'!$A427,'Error Log'!$A:$A,0),MATCH('Scores per segment'!B$1,'Error Log'!$A$1:$J$1,0)))</f>
        <v/>
      </c>
      <c r="C427" s="70" t="str">
        <f>IF(ISBLANK(A427),"",INDEX('Error Log'!$A:$J,MATCH('Scores per segment'!$A427,'Error Log'!$A:$A,0),MATCH('Scores per segment'!C$1,'Error Log'!$A$1:$J$1,0)))</f>
        <v/>
      </c>
      <c r="D427" s="70">
        <f>IF(H427=0,wdct(TRIM(C427)),0)</f>
        <v>0</v>
      </c>
      <c r="E427" s="70">
        <f>COUNTIFS('Error Log'!$A:$A,$A427,'Error Log'!$J:$J,E$1)</f>
        <v>0</v>
      </c>
      <c r="F427" s="70">
        <f>COUNTIFS('Error Log'!$A:$A,$A427,'Error Log'!$J:$J,F$1)</f>
        <v>0</v>
      </c>
      <c r="G427" s="70">
        <f>COUNTIFS('Error Log'!$A:$A,$A427,'Error Log'!$J:$J,G$1)</f>
        <v>0</v>
      </c>
      <c r="H427" s="70">
        <f>COUNTIFS('Error Log'!$A:$A,$A427,'Error Log'!$F:$F,"Source")</f>
        <v>0</v>
      </c>
      <c r="I427" s="70">
        <f>COUNTIFS('Error Log'!$A:$A,$A427,'Error Log'!$F:$F,"Target")</f>
        <v>0</v>
      </c>
      <c r="J427" s="71">
        <f t="shared" si="6"/>
        <v>0</v>
      </c>
    </row>
    <row r="428" spans="1:10">
      <c r="A428" s="81"/>
      <c r="B428" s="70" t="str">
        <f>IF(ISBLANK(A428),"",INDEX('Error Log'!$A:$J,MATCH('Scores per segment'!$A428,'Error Log'!$A:$A,0),MATCH('Scores per segment'!B$1,'Error Log'!$A$1:$J$1,0)))</f>
        <v/>
      </c>
      <c r="C428" s="70" t="str">
        <f>IF(ISBLANK(A428),"",INDEX('Error Log'!$A:$J,MATCH('Scores per segment'!$A428,'Error Log'!$A:$A,0),MATCH('Scores per segment'!C$1,'Error Log'!$A$1:$J$1,0)))</f>
        <v/>
      </c>
      <c r="D428" s="70">
        <f>IF(H428=0,wdct(TRIM(C428)),0)</f>
        <v>0</v>
      </c>
      <c r="E428" s="70">
        <f>COUNTIFS('Error Log'!$A:$A,$A428,'Error Log'!$J:$J,E$1)</f>
        <v>0</v>
      </c>
      <c r="F428" s="70">
        <f>COUNTIFS('Error Log'!$A:$A,$A428,'Error Log'!$J:$J,F$1)</f>
        <v>0</v>
      </c>
      <c r="G428" s="70">
        <f>COUNTIFS('Error Log'!$A:$A,$A428,'Error Log'!$J:$J,G$1)</f>
        <v>0</v>
      </c>
      <c r="H428" s="70">
        <f>COUNTIFS('Error Log'!$A:$A,$A428,'Error Log'!$F:$F,"Source")</f>
        <v>0</v>
      </c>
      <c r="I428" s="70">
        <f>COUNTIFS('Error Log'!$A:$A,$A428,'Error Log'!$F:$F,"Target")</f>
        <v>0</v>
      </c>
      <c r="J428" s="71">
        <f t="shared" si="6"/>
        <v>0</v>
      </c>
    </row>
    <row r="429" spans="1:10">
      <c r="A429" s="81"/>
      <c r="B429" s="70" t="str">
        <f>IF(ISBLANK(A429),"",INDEX('Error Log'!$A:$J,MATCH('Scores per segment'!$A429,'Error Log'!$A:$A,0),MATCH('Scores per segment'!B$1,'Error Log'!$A$1:$J$1,0)))</f>
        <v/>
      </c>
      <c r="C429" s="70" t="str">
        <f>IF(ISBLANK(A429),"",INDEX('Error Log'!$A:$J,MATCH('Scores per segment'!$A429,'Error Log'!$A:$A,0),MATCH('Scores per segment'!C$1,'Error Log'!$A$1:$J$1,0)))</f>
        <v/>
      </c>
      <c r="D429" s="70">
        <f>IF(H429=0,wdct(TRIM(C429)),0)</f>
        <v>0</v>
      </c>
      <c r="E429" s="70">
        <f>COUNTIFS('Error Log'!$A:$A,$A429,'Error Log'!$J:$J,E$1)</f>
        <v>0</v>
      </c>
      <c r="F429" s="70">
        <f>COUNTIFS('Error Log'!$A:$A,$A429,'Error Log'!$J:$J,F$1)</f>
        <v>0</v>
      </c>
      <c r="G429" s="70">
        <f>COUNTIFS('Error Log'!$A:$A,$A429,'Error Log'!$J:$J,G$1)</f>
        <v>0</v>
      </c>
      <c r="H429" s="70">
        <f>COUNTIFS('Error Log'!$A:$A,$A429,'Error Log'!$F:$F,"Source")</f>
        <v>0</v>
      </c>
      <c r="I429" s="70">
        <f>COUNTIFS('Error Log'!$A:$A,$A429,'Error Log'!$F:$F,"Target")</f>
        <v>0</v>
      </c>
      <c r="J429" s="71">
        <f t="shared" si="6"/>
        <v>0</v>
      </c>
    </row>
    <row r="430" spans="1:10">
      <c r="A430" s="81"/>
      <c r="B430" s="70" t="str">
        <f>IF(ISBLANK(A430),"",INDEX('Error Log'!$A:$J,MATCH('Scores per segment'!$A430,'Error Log'!$A:$A,0),MATCH('Scores per segment'!B$1,'Error Log'!$A$1:$J$1,0)))</f>
        <v/>
      </c>
      <c r="C430" s="70" t="str">
        <f>IF(ISBLANK(A430),"",INDEX('Error Log'!$A:$J,MATCH('Scores per segment'!$A430,'Error Log'!$A:$A,0),MATCH('Scores per segment'!C$1,'Error Log'!$A$1:$J$1,0)))</f>
        <v/>
      </c>
      <c r="D430" s="70">
        <f>IF(H430=0,wdct(TRIM(C430)),0)</f>
        <v>0</v>
      </c>
      <c r="E430" s="70">
        <f>COUNTIFS('Error Log'!$A:$A,$A430,'Error Log'!$J:$J,E$1)</f>
        <v>0</v>
      </c>
      <c r="F430" s="70">
        <f>COUNTIFS('Error Log'!$A:$A,$A430,'Error Log'!$J:$J,F$1)</f>
        <v>0</v>
      </c>
      <c r="G430" s="70">
        <f>COUNTIFS('Error Log'!$A:$A,$A430,'Error Log'!$J:$J,G$1)</f>
        <v>0</v>
      </c>
      <c r="H430" s="70">
        <f>COUNTIFS('Error Log'!$A:$A,$A430,'Error Log'!$F:$F,"Source")</f>
        <v>0</v>
      </c>
      <c r="I430" s="70">
        <f>COUNTIFS('Error Log'!$A:$A,$A430,'Error Log'!$F:$F,"Target")</f>
        <v>0</v>
      </c>
      <c r="J430" s="71">
        <f t="shared" si="6"/>
        <v>0</v>
      </c>
    </row>
    <row r="431" spans="1:10">
      <c r="A431" s="81"/>
      <c r="B431" s="70" t="str">
        <f>IF(ISBLANK(A431),"",INDEX('Error Log'!$A:$J,MATCH('Scores per segment'!$A431,'Error Log'!$A:$A,0),MATCH('Scores per segment'!B$1,'Error Log'!$A$1:$J$1,0)))</f>
        <v/>
      </c>
      <c r="C431" s="70" t="str">
        <f>IF(ISBLANK(A431),"",INDEX('Error Log'!$A:$J,MATCH('Scores per segment'!$A431,'Error Log'!$A:$A,0),MATCH('Scores per segment'!C$1,'Error Log'!$A$1:$J$1,0)))</f>
        <v/>
      </c>
      <c r="D431" s="70">
        <f>IF(H431=0,wdct(TRIM(C431)),0)</f>
        <v>0</v>
      </c>
      <c r="E431" s="70">
        <f>COUNTIFS('Error Log'!$A:$A,$A431,'Error Log'!$J:$J,E$1)</f>
        <v>0</v>
      </c>
      <c r="F431" s="70">
        <f>COUNTIFS('Error Log'!$A:$A,$A431,'Error Log'!$J:$J,F$1)</f>
        <v>0</v>
      </c>
      <c r="G431" s="70">
        <f>COUNTIFS('Error Log'!$A:$A,$A431,'Error Log'!$J:$J,G$1)</f>
        <v>0</v>
      </c>
      <c r="H431" s="70">
        <f>COUNTIFS('Error Log'!$A:$A,$A431,'Error Log'!$F:$F,"Source")</f>
        <v>0</v>
      </c>
      <c r="I431" s="70">
        <f>COUNTIFS('Error Log'!$A:$A,$A431,'Error Log'!$F:$F,"Target")</f>
        <v>0</v>
      </c>
      <c r="J431" s="71">
        <f t="shared" si="6"/>
        <v>0</v>
      </c>
    </row>
    <row r="432" spans="1:10">
      <c r="A432" s="81"/>
      <c r="B432" s="70" t="str">
        <f>IF(ISBLANK(A432),"",INDEX('Error Log'!$A:$J,MATCH('Scores per segment'!$A432,'Error Log'!$A:$A,0),MATCH('Scores per segment'!B$1,'Error Log'!$A$1:$J$1,0)))</f>
        <v/>
      </c>
      <c r="C432" s="70" t="str">
        <f>IF(ISBLANK(A432),"",INDEX('Error Log'!$A:$J,MATCH('Scores per segment'!$A432,'Error Log'!$A:$A,0),MATCH('Scores per segment'!C$1,'Error Log'!$A$1:$J$1,0)))</f>
        <v/>
      </c>
      <c r="D432" s="70">
        <f>IF(H432=0,wdct(TRIM(C432)),0)</f>
        <v>0</v>
      </c>
      <c r="E432" s="70">
        <f>COUNTIFS('Error Log'!$A:$A,$A432,'Error Log'!$J:$J,E$1)</f>
        <v>0</v>
      </c>
      <c r="F432" s="70">
        <f>COUNTIFS('Error Log'!$A:$A,$A432,'Error Log'!$J:$J,F$1)</f>
        <v>0</v>
      </c>
      <c r="G432" s="70">
        <f>COUNTIFS('Error Log'!$A:$A,$A432,'Error Log'!$J:$J,G$1)</f>
        <v>0</v>
      </c>
      <c r="H432" s="70">
        <f>COUNTIFS('Error Log'!$A:$A,$A432,'Error Log'!$F:$F,"Source")</f>
        <v>0</v>
      </c>
      <c r="I432" s="70">
        <f>COUNTIFS('Error Log'!$A:$A,$A432,'Error Log'!$F:$F,"Target")</f>
        <v>0</v>
      </c>
      <c r="J432" s="71">
        <f t="shared" si="6"/>
        <v>0</v>
      </c>
    </row>
    <row r="433" spans="1:10">
      <c r="A433" s="81"/>
      <c r="B433" s="70" t="str">
        <f>IF(ISBLANK(A433),"",INDEX('Error Log'!$A:$J,MATCH('Scores per segment'!$A433,'Error Log'!$A:$A,0),MATCH('Scores per segment'!B$1,'Error Log'!$A$1:$J$1,0)))</f>
        <v/>
      </c>
      <c r="C433" s="70" t="str">
        <f>IF(ISBLANK(A433),"",INDEX('Error Log'!$A:$J,MATCH('Scores per segment'!$A433,'Error Log'!$A:$A,0),MATCH('Scores per segment'!C$1,'Error Log'!$A$1:$J$1,0)))</f>
        <v/>
      </c>
      <c r="D433" s="70">
        <f>IF(H433=0,wdct(TRIM(C433)),0)</f>
        <v>0</v>
      </c>
      <c r="E433" s="70">
        <f>COUNTIFS('Error Log'!$A:$A,$A433,'Error Log'!$J:$J,E$1)</f>
        <v>0</v>
      </c>
      <c r="F433" s="70">
        <f>COUNTIFS('Error Log'!$A:$A,$A433,'Error Log'!$J:$J,F$1)</f>
        <v>0</v>
      </c>
      <c r="G433" s="70">
        <f>COUNTIFS('Error Log'!$A:$A,$A433,'Error Log'!$J:$J,G$1)</f>
        <v>0</v>
      </c>
      <c r="H433" s="70">
        <f>COUNTIFS('Error Log'!$A:$A,$A433,'Error Log'!$F:$F,"Source")</f>
        <v>0</v>
      </c>
      <c r="I433" s="70">
        <f>COUNTIFS('Error Log'!$A:$A,$A433,'Error Log'!$F:$F,"Target")</f>
        <v>0</v>
      </c>
      <c r="J433" s="71">
        <f t="shared" si="6"/>
        <v>0</v>
      </c>
    </row>
    <row r="434" spans="1:10">
      <c r="A434" s="81"/>
      <c r="B434" s="70" t="str">
        <f>IF(ISBLANK(A434),"",INDEX('Error Log'!$A:$J,MATCH('Scores per segment'!$A434,'Error Log'!$A:$A,0),MATCH('Scores per segment'!B$1,'Error Log'!$A$1:$J$1,0)))</f>
        <v/>
      </c>
      <c r="C434" s="70" t="str">
        <f>IF(ISBLANK(A434),"",INDEX('Error Log'!$A:$J,MATCH('Scores per segment'!$A434,'Error Log'!$A:$A,0),MATCH('Scores per segment'!C$1,'Error Log'!$A$1:$J$1,0)))</f>
        <v/>
      </c>
      <c r="D434" s="70">
        <f>IF(H434=0,wdct(TRIM(C434)),0)</f>
        <v>0</v>
      </c>
      <c r="E434" s="70">
        <f>COUNTIFS('Error Log'!$A:$A,$A434,'Error Log'!$J:$J,E$1)</f>
        <v>0</v>
      </c>
      <c r="F434" s="70">
        <f>COUNTIFS('Error Log'!$A:$A,$A434,'Error Log'!$J:$J,F$1)</f>
        <v>0</v>
      </c>
      <c r="G434" s="70">
        <f>COUNTIFS('Error Log'!$A:$A,$A434,'Error Log'!$J:$J,G$1)</f>
        <v>0</v>
      </c>
      <c r="H434" s="70">
        <f>COUNTIFS('Error Log'!$A:$A,$A434,'Error Log'!$F:$F,"Source")</f>
        <v>0</v>
      </c>
      <c r="I434" s="70">
        <f>COUNTIFS('Error Log'!$A:$A,$A434,'Error Log'!$F:$F,"Target")</f>
        <v>0</v>
      </c>
      <c r="J434" s="71">
        <f t="shared" si="6"/>
        <v>0</v>
      </c>
    </row>
    <row r="435" spans="1:10">
      <c r="A435" s="81"/>
      <c r="B435" s="70" t="str">
        <f>IF(ISBLANK(A435),"",INDEX('Error Log'!$A:$J,MATCH('Scores per segment'!$A435,'Error Log'!$A:$A,0),MATCH('Scores per segment'!B$1,'Error Log'!$A$1:$J$1,0)))</f>
        <v/>
      </c>
      <c r="C435" s="70" t="str">
        <f>IF(ISBLANK(A435),"",INDEX('Error Log'!$A:$J,MATCH('Scores per segment'!$A435,'Error Log'!$A:$A,0),MATCH('Scores per segment'!C$1,'Error Log'!$A$1:$J$1,0)))</f>
        <v/>
      </c>
      <c r="D435" s="70">
        <f>IF(H435=0,wdct(TRIM(C435)),0)</f>
        <v>0</v>
      </c>
      <c r="E435" s="70">
        <f>COUNTIFS('Error Log'!$A:$A,$A435,'Error Log'!$J:$J,E$1)</f>
        <v>0</v>
      </c>
      <c r="F435" s="70">
        <f>COUNTIFS('Error Log'!$A:$A,$A435,'Error Log'!$J:$J,F$1)</f>
        <v>0</v>
      </c>
      <c r="G435" s="70">
        <f>COUNTIFS('Error Log'!$A:$A,$A435,'Error Log'!$J:$J,G$1)</f>
        <v>0</v>
      </c>
      <c r="H435" s="70">
        <f>COUNTIFS('Error Log'!$A:$A,$A435,'Error Log'!$F:$F,"Source")</f>
        <v>0</v>
      </c>
      <c r="I435" s="70">
        <f>COUNTIFS('Error Log'!$A:$A,$A435,'Error Log'!$F:$F,"Target")</f>
        <v>0</v>
      </c>
      <c r="J435" s="71">
        <f t="shared" si="6"/>
        <v>0</v>
      </c>
    </row>
    <row r="436" spans="1:10">
      <c r="A436" s="81"/>
      <c r="B436" s="70" t="str">
        <f>IF(ISBLANK(A436),"",INDEX('Error Log'!$A:$J,MATCH('Scores per segment'!$A436,'Error Log'!$A:$A,0),MATCH('Scores per segment'!B$1,'Error Log'!$A$1:$J$1,0)))</f>
        <v/>
      </c>
      <c r="C436" s="70" t="str">
        <f>IF(ISBLANK(A436),"",INDEX('Error Log'!$A:$J,MATCH('Scores per segment'!$A436,'Error Log'!$A:$A,0),MATCH('Scores per segment'!C$1,'Error Log'!$A$1:$J$1,0)))</f>
        <v/>
      </c>
      <c r="D436" s="70">
        <f>IF(H436=0,wdct(TRIM(C436)),0)</f>
        <v>0</v>
      </c>
      <c r="E436" s="70">
        <f>COUNTIFS('Error Log'!$A:$A,$A436,'Error Log'!$J:$J,E$1)</f>
        <v>0</v>
      </c>
      <c r="F436" s="70">
        <f>COUNTIFS('Error Log'!$A:$A,$A436,'Error Log'!$J:$J,F$1)</f>
        <v>0</v>
      </c>
      <c r="G436" s="70">
        <f>COUNTIFS('Error Log'!$A:$A,$A436,'Error Log'!$J:$J,G$1)</f>
        <v>0</v>
      </c>
      <c r="H436" s="70">
        <f>COUNTIFS('Error Log'!$A:$A,$A436,'Error Log'!$F:$F,"Source")</f>
        <v>0</v>
      </c>
      <c r="I436" s="70">
        <f>COUNTIFS('Error Log'!$A:$A,$A436,'Error Log'!$F:$F,"Target")</f>
        <v>0</v>
      </c>
      <c r="J436" s="71">
        <f t="shared" si="6"/>
        <v>0</v>
      </c>
    </row>
    <row r="437" spans="1:10">
      <c r="A437" s="81"/>
      <c r="B437" s="70" t="str">
        <f>IF(ISBLANK(A437),"",INDEX('Error Log'!$A:$J,MATCH('Scores per segment'!$A437,'Error Log'!$A:$A,0),MATCH('Scores per segment'!B$1,'Error Log'!$A$1:$J$1,0)))</f>
        <v/>
      </c>
      <c r="C437" s="70" t="str">
        <f>IF(ISBLANK(A437),"",INDEX('Error Log'!$A:$J,MATCH('Scores per segment'!$A437,'Error Log'!$A:$A,0),MATCH('Scores per segment'!C$1,'Error Log'!$A$1:$J$1,0)))</f>
        <v/>
      </c>
      <c r="D437" s="70">
        <f>IF(H437=0,wdct(TRIM(C437)),0)</f>
        <v>0</v>
      </c>
      <c r="E437" s="70">
        <f>COUNTIFS('Error Log'!$A:$A,$A437,'Error Log'!$J:$J,E$1)</f>
        <v>0</v>
      </c>
      <c r="F437" s="70">
        <f>COUNTIFS('Error Log'!$A:$A,$A437,'Error Log'!$J:$J,F$1)</f>
        <v>0</v>
      </c>
      <c r="G437" s="70">
        <f>COUNTIFS('Error Log'!$A:$A,$A437,'Error Log'!$J:$J,G$1)</f>
        <v>0</v>
      </c>
      <c r="H437" s="70">
        <f>COUNTIFS('Error Log'!$A:$A,$A437,'Error Log'!$F:$F,"Source")</f>
        <v>0</v>
      </c>
      <c r="I437" s="70">
        <f>COUNTIFS('Error Log'!$A:$A,$A437,'Error Log'!$F:$F,"Target")</f>
        <v>0</v>
      </c>
      <c r="J437" s="71">
        <f t="shared" si="6"/>
        <v>0</v>
      </c>
    </row>
    <row r="438" spans="1:10">
      <c r="A438" s="81"/>
      <c r="B438" s="70" t="str">
        <f>IF(ISBLANK(A438),"",INDEX('Error Log'!$A:$J,MATCH('Scores per segment'!$A438,'Error Log'!$A:$A,0),MATCH('Scores per segment'!B$1,'Error Log'!$A$1:$J$1,0)))</f>
        <v/>
      </c>
      <c r="C438" s="70" t="str">
        <f>IF(ISBLANK(A438),"",INDEX('Error Log'!$A:$J,MATCH('Scores per segment'!$A438,'Error Log'!$A:$A,0),MATCH('Scores per segment'!C$1,'Error Log'!$A$1:$J$1,0)))</f>
        <v/>
      </c>
      <c r="D438" s="70">
        <f>IF(H438=0,wdct(TRIM(C438)),0)</f>
        <v>0</v>
      </c>
      <c r="E438" s="70">
        <f>COUNTIFS('Error Log'!$A:$A,$A438,'Error Log'!$J:$J,E$1)</f>
        <v>0</v>
      </c>
      <c r="F438" s="70">
        <f>COUNTIFS('Error Log'!$A:$A,$A438,'Error Log'!$J:$J,F$1)</f>
        <v>0</v>
      </c>
      <c r="G438" s="70">
        <f>COUNTIFS('Error Log'!$A:$A,$A438,'Error Log'!$J:$J,G$1)</f>
        <v>0</v>
      </c>
      <c r="H438" s="70">
        <f>COUNTIFS('Error Log'!$A:$A,$A438,'Error Log'!$F:$F,"Source")</f>
        <v>0</v>
      </c>
      <c r="I438" s="70">
        <f>COUNTIFS('Error Log'!$A:$A,$A438,'Error Log'!$F:$F,"Target")</f>
        <v>0</v>
      </c>
      <c r="J438" s="71">
        <f t="shared" si="6"/>
        <v>0</v>
      </c>
    </row>
    <row r="439" spans="1:10">
      <c r="A439" s="81"/>
      <c r="B439" s="70" t="str">
        <f>IF(ISBLANK(A439),"",INDEX('Error Log'!$A:$J,MATCH('Scores per segment'!$A439,'Error Log'!$A:$A,0),MATCH('Scores per segment'!B$1,'Error Log'!$A$1:$J$1,0)))</f>
        <v/>
      </c>
      <c r="C439" s="70" t="str">
        <f>IF(ISBLANK(A439),"",INDEX('Error Log'!$A:$J,MATCH('Scores per segment'!$A439,'Error Log'!$A:$A,0),MATCH('Scores per segment'!C$1,'Error Log'!$A$1:$J$1,0)))</f>
        <v/>
      </c>
      <c r="D439" s="70">
        <f>IF(H439=0,wdct(TRIM(C439)),0)</f>
        <v>0</v>
      </c>
      <c r="E439" s="70">
        <f>COUNTIFS('Error Log'!$A:$A,$A439,'Error Log'!$J:$J,E$1)</f>
        <v>0</v>
      </c>
      <c r="F439" s="70">
        <f>COUNTIFS('Error Log'!$A:$A,$A439,'Error Log'!$J:$J,F$1)</f>
        <v>0</v>
      </c>
      <c r="G439" s="70">
        <f>COUNTIFS('Error Log'!$A:$A,$A439,'Error Log'!$J:$J,G$1)</f>
        <v>0</v>
      </c>
      <c r="H439" s="70">
        <f>COUNTIFS('Error Log'!$A:$A,$A439,'Error Log'!$F:$F,"Source")</f>
        <v>0</v>
      </c>
      <c r="I439" s="70">
        <f>COUNTIFS('Error Log'!$A:$A,$A439,'Error Log'!$F:$F,"Target")</f>
        <v>0</v>
      </c>
      <c r="J439" s="71">
        <f t="shared" si="6"/>
        <v>0</v>
      </c>
    </row>
    <row r="440" spans="1:10">
      <c r="A440" s="81"/>
      <c r="B440" s="70" t="str">
        <f>IF(ISBLANK(A440),"",INDEX('Error Log'!$A:$J,MATCH('Scores per segment'!$A440,'Error Log'!$A:$A,0),MATCH('Scores per segment'!B$1,'Error Log'!$A$1:$J$1,0)))</f>
        <v/>
      </c>
      <c r="C440" s="70" t="str">
        <f>IF(ISBLANK(A440),"",INDEX('Error Log'!$A:$J,MATCH('Scores per segment'!$A440,'Error Log'!$A:$A,0),MATCH('Scores per segment'!C$1,'Error Log'!$A$1:$J$1,0)))</f>
        <v/>
      </c>
      <c r="D440" s="70">
        <f>IF(H440=0,wdct(TRIM(C440)),0)</f>
        <v>0</v>
      </c>
      <c r="E440" s="70">
        <f>COUNTIFS('Error Log'!$A:$A,$A440,'Error Log'!$J:$J,E$1)</f>
        <v>0</v>
      </c>
      <c r="F440" s="70">
        <f>COUNTIFS('Error Log'!$A:$A,$A440,'Error Log'!$J:$J,F$1)</f>
        <v>0</v>
      </c>
      <c r="G440" s="70">
        <f>COUNTIFS('Error Log'!$A:$A,$A440,'Error Log'!$J:$J,G$1)</f>
        <v>0</v>
      </c>
      <c r="H440" s="70">
        <f>COUNTIFS('Error Log'!$A:$A,$A440,'Error Log'!$F:$F,"Source")</f>
        <v>0</v>
      </c>
      <c r="I440" s="70">
        <f>COUNTIFS('Error Log'!$A:$A,$A440,'Error Log'!$F:$F,"Target")</f>
        <v>0</v>
      </c>
      <c r="J440" s="71">
        <f t="shared" si="6"/>
        <v>0</v>
      </c>
    </row>
    <row r="441" spans="1:10">
      <c r="A441" s="81"/>
      <c r="B441" s="70" t="str">
        <f>IF(ISBLANK(A441),"",INDEX('Error Log'!$A:$J,MATCH('Scores per segment'!$A441,'Error Log'!$A:$A,0),MATCH('Scores per segment'!B$1,'Error Log'!$A$1:$J$1,0)))</f>
        <v/>
      </c>
      <c r="C441" s="70" t="str">
        <f>IF(ISBLANK(A441),"",INDEX('Error Log'!$A:$J,MATCH('Scores per segment'!$A441,'Error Log'!$A:$A,0),MATCH('Scores per segment'!C$1,'Error Log'!$A$1:$J$1,0)))</f>
        <v/>
      </c>
      <c r="D441" s="70">
        <f>IF(H441=0,wdct(TRIM(C441)),0)</f>
        <v>0</v>
      </c>
      <c r="E441" s="70">
        <f>COUNTIFS('Error Log'!$A:$A,$A441,'Error Log'!$J:$J,E$1)</f>
        <v>0</v>
      </c>
      <c r="F441" s="70">
        <f>COUNTIFS('Error Log'!$A:$A,$A441,'Error Log'!$J:$J,F$1)</f>
        <v>0</v>
      </c>
      <c r="G441" s="70">
        <f>COUNTIFS('Error Log'!$A:$A,$A441,'Error Log'!$J:$J,G$1)</f>
        <v>0</v>
      </c>
      <c r="H441" s="70">
        <f>COUNTIFS('Error Log'!$A:$A,$A441,'Error Log'!$F:$F,"Source")</f>
        <v>0</v>
      </c>
      <c r="I441" s="70">
        <f>COUNTIFS('Error Log'!$A:$A,$A441,'Error Log'!$F:$F,"Target")</f>
        <v>0</v>
      </c>
      <c r="J441" s="71">
        <f t="shared" si="6"/>
        <v>0</v>
      </c>
    </row>
    <row r="442" spans="1:10">
      <c r="A442" s="81"/>
      <c r="B442" s="70" t="str">
        <f>IF(ISBLANK(A442),"",INDEX('Error Log'!$A:$J,MATCH('Scores per segment'!$A442,'Error Log'!$A:$A,0),MATCH('Scores per segment'!B$1,'Error Log'!$A$1:$J$1,0)))</f>
        <v/>
      </c>
      <c r="C442" s="70" t="str">
        <f>IF(ISBLANK(A442),"",INDEX('Error Log'!$A:$J,MATCH('Scores per segment'!$A442,'Error Log'!$A:$A,0),MATCH('Scores per segment'!C$1,'Error Log'!$A$1:$J$1,0)))</f>
        <v/>
      </c>
      <c r="D442" s="70">
        <f>IF(H442=0,wdct(TRIM(C442)),0)</f>
        <v>0</v>
      </c>
      <c r="E442" s="70">
        <f>COUNTIFS('Error Log'!$A:$A,$A442,'Error Log'!$J:$J,E$1)</f>
        <v>0</v>
      </c>
      <c r="F442" s="70">
        <f>COUNTIFS('Error Log'!$A:$A,$A442,'Error Log'!$J:$J,F$1)</f>
        <v>0</v>
      </c>
      <c r="G442" s="70">
        <f>COUNTIFS('Error Log'!$A:$A,$A442,'Error Log'!$J:$J,G$1)</f>
        <v>0</v>
      </c>
      <c r="H442" s="70">
        <f>COUNTIFS('Error Log'!$A:$A,$A442,'Error Log'!$F:$F,"Source")</f>
        <v>0</v>
      </c>
      <c r="I442" s="70">
        <f>COUNTIFS('Error Log'!$A:$A,$A442,'Error Log'!$F:$F,"Target")</f>
        <v>0</v>
      </c>
      <c r="J442" s="71">
        <f t="shared" si="6"/>
        <v>0</v>
      </c>
    </row>
    <row r="443" spans="1:10">
      <c r="A443" s="81"/>
      <c r="B443" s="70" t="str">
        <f>IF(ISBLANK(A443),"",INDEX('Error Log'!$A:$J,MATCH('Scores per segment'!$A443,'Error Log'!$A:$A,0),MATCH('Scores per segment'!B$1,'Error Log'!$A$1:$J$1,0)))</f>
        <v/>
      </c>
      <c r="C443" s="70" t="str">
        <f>IF(ISBLANK(A443),"",INDEX('Error Log'!$A:$J,MATCH('Scores per segment'!$A443,'Error Log'!$A:$A,0),MATCH('Scores per segment'!C$1,'Error Log'!$A$1:$J$1,0)))</f>
        <v/>
      </c>
      <c r="D443" s="70">
        <f>IF(H443=0,wdct(TRIM(C443)),0)</f>
        <v>0</v>
      </c>
      <c r="E443" s="70">
        <f>COUNTIFS('Error Log'!$A:$A,$A443,'Error Log'!$J:$J,E$1)</f>
        <v>0</v>
      </c>
      <c r="F443" s="70">
        <f>COUNTIFS('Error Log'!$A:$A,$A443,'Error Log'!$J:$J,F$1)</f>
        <v>0</v>
      </c>
      <c r="G443" s="70">
        <f>COUNTIFS('Error Log'!$A:$A,$A443,'Error Log'!$J:$J,G$1)</f>
        <v>0</v>
      </c>
      <c r="H443" s="70">
        <f>COUNTIFS('Error Log'!$A:$A,$A443,'Error Log'!$F:$F,"Source")</f>
        <v>0</v>
      </c>
      <c r="I443" s="70">
        <f>COUNTIFS('Error Log'!$A:$A,$A443,'Error Log'!$F:$F,"Target")</f>
        <v>0</v>
      </c>
      <c r="J443" s="71">
        <f t="shared" si="6"/>
        <v>0</v>
      </c>
    </row>
    <row r="444" spans="1:10">
      <c r="A444" s="81"/>
      <c r="B444" s="70" t="str">
        <f>IF(ISBLANK(A444),"",INDEX('Error Log'!$A:$J,MATCH('Scores per segment'!$A444,'Error Log'!$A:$A,0),MATCH('Scores per segment'!B$1,'Error Log'!$A$1:$J$1,0)))</f>
        <v/>
      </c>
      <c r="C444" s="70" t="str">
        <f>IF(ISBLANK(A444),"",INDEX('Error Log'!$A:$J,MATCH('Scores per segment'!$A444,'Error Log'!$A:$A,0),MATCH('Scores per segment'!C$1,'Error Log'!$A$1:$J$1,0)))</f>
        <v/>
      </c>
      <c r="D444" s="70">
        <f>IF(H444=0,wdct(TRIM(C444)),0)</f>
        <v>0</v>
      </c>
      <c r="E444" s="70">
        <f>COUNTIFS('Error Log'!$A:$A,$A444,'Error Log'!$J:$J,E$1)</f>
        <v>0</v>
      </c>
      <c r="F444" s="70">
        <f>COUNTIFS('Error Log'!$A:$A,$A444,'Error Log'!$J:$J,F$1)</f>
        <v>0</v>
      </c>
      <c r="G444" s="70">
        <f>COUNTIFS('Error Log'!$A:$A,$A444,'Error Log'!$J:$J,G$1)</f>
        <v>0</v>
      </c>
      <c r="H444" s="70">
        <f>COUNTIFS('Error Log'!$A:$A,$A444,'Error Log'!$F:$F,"Source")</f>
        <v>0</v>
      </c>
      <c r="I444" s="70">
        <f>COUNTIFS('Error Log'!$A:$A,$A444,'Error Log'!$F:$F,"Target")</f>
        <v>0</v>
      </c>
      <c r="J444" s="71">
        <f t="shared" si="6"/>
        <v>0</v>
      </c>
    </row>
    <row r="445" spans="1:10">
      <c r="A445" s="81"/>
      <c r="B445" s="70" t="str">
        <f>IF(ISBLANK(A445),"",INDEX('Error Log'!$A:$J,MATCH('Scores per segment'!$A445,'Error Log'!$A:$A,0),MATCH('Scores per segment'!B$1,'Error Log'!$A$1:$J$1,0)))</f>
        <v/>
      </c>
      <c r="C445" s="70" t="str">
        <f>IF(ISBLANK(A445),"",INDEX('Error Log'!$A:$J,MATCH('Scores per segment'!$A445,'Error Log'!$A:$A,0),MATCH('Scores per segment'!C$1,'Error Log'!$A$1:$J$1,0)))</f>
        <v/>
      </c>
      <c r="D445" s="70">
        <f>IF(H445=0,wdct(TRIM(C445)),0)</f>
        <v>0</v>
      </c>
      <c r="E445" s="70">
        <f>COUNTIFS('Error Log'!$A:$A,$A445,'Error Log'!$J:$J,E$1)</f>
        <v>0</v>
      </c>
      <c r="F445" s="70">
        <f>COUNTIFS('Error Log'!$A:$A,$A445,'Error Log'!$J:$J,F$1)</f>
        <v>0</v>
      </c>
      <c r="G445" s="70">
        <f>COUNTIFS('Error Log'!$A:$A,$A445,'Error Log'!$J:$J,G$1)</f>
        <v>0</v>
      </c>
      <c r="H445" s="70">
        <f>COUNTIFS('Error Log'!$A:$A,$A445,'Error Log'!$F:$F,"Source")</f>
        <v>0</v>
      </c>
      <c r="I445" s="70">
        <f>COUNTIFS('Error Log'!$A:$A,$A445,'Error Log'!$F:$F,"Target")</f>
        <v>0</v>
      </c>
      <c r="J445" s="71">
        <f t="shared" si="6"/>
        <v>0</v>
      </c>
    </row>
    <row r="446" spans="1:10">
      <c r="A446" s="81"/>
      <c r="B446" s="70" t="str">
        <f>IF(ISBLANK(A446),"",INDEX('Error Log'!$A:$J,MATCH('Scores per segment'!$A446,'Error Log'!$A:$A,0),MATCH('Scores per segment'!B$1,'Error Log'!$A$1:$J$1,0)))</f>
        <v/>
      </c>
      <c r="C446" s="70" t="str">
        <f>IF(ISBLANK(A446),"",INDEX('Error Log'!$A:$J,MATCH('Scores per segment'!$A446,'Error Log'!$A:$A,0),MATCH('Scores per segment'!C$1,'Error Log'!$A$1:$J$1,0)))</f>
        <v/>
      </c>
      <c r="D446" s="70">
        <f>IF(H446=0,wdct(TRIM(C446)),0)</f>
        <v>0</v>
      </c>
      <c r="E446" s="70">
        <f>COUNTIFS('Error Log'!$A:$A,$A446,'Error Log'!$J:$J,E$1)</f>
        <v>0</v>
      </c>
      <c r="F446" s="70">
        <f>COUNTIFS('Error Log'!$A:$A,$A446,'Error Log'!$J:$J,F$1)</f>
        <v>0</v>
      </c>
      <c r="G446" s="70">
        <f>COUNTIFS('Error Log'!$A:$A,$A446,'Error Log'!$J:$J,G$1)</f>
        <v>0</v>
      </c>
      <c r="H446" s="70">
        <f>COUNTIFS('Error Log'!$A:$A,$A446,'Error Log'!$F:$F,"Source")</f>
        <v>0</v>
      </c>
      <c r="I446" s="70">
        <f>COUNTIFS('Error Log'!$A:$A,$A446,'Error Log'!$F:$F,"Target")</f>
        <v>0</v>
      </c>
      <c r="J446" s="71">
        <f t="shared" si="6"/>
        <v>0</v>
      </c>
    </row>
    <row r="447" spans="1:10">
      <c r="A447" s="81"/>
      <c r="B447" s="70" t="str">
        <f>IF(ISBLANK(A447),"",INDEX('Error Log'!$A:$J,MATCH('Scores per segment'!$A447,'Error Log'!$A:$A,0),MATCH('Scores per segment'!B$1,'Error Log'!$A$1:$J$1,0)))</f>
        <v/>
      </c>
      <c r="C447" s="70" t="str">
        <f>IF(ISBLANK(A447),"",INDEX('Error Log'!$A:$J,MATCH('Scores per segment'!$A447,'Error Log'!$A:$A,0),MATCH('Scores per segment'!C$1,'Error Log'!$A$1:$J$1,0)))</f>
        <v/>
      </c>
      <c r="D447" s="70">
        <f>IF(H447=0,wdct(TRIM(C447)),0)</f>
        <v>0</v>
      </c>
      <c r="E447" s="70">
        <f>COUNTIFS('Error Log'!$A:$A,$A447,'Error Log'!$J:$J,E$1)</f>
        <v>0</v>
      </c>
      <c r="F447" s="70">
        <f>COUNTIFS('Error Log'!$A:$A,$A447,'Error Log'!$J:$J,F$1)</f>
        <v>0</v>
      </c>
      <c r="G447" s="70">
        <f>COUNTIFS('Error Log'!$A:$A,$A447,'Error Log'!$J:$J,G$1)</f>
        <v>0</v>
      </c>
      <c r="H447" s="70">
        <f>COUNTIFS('Error Log'!$A:$A,$A447,'Error Log'!$F:$F,"Source")</f>
        <v>0</v>
      </c>
      <c r="I447" s="70">
        <f>COUNTIFS('Error Log'!$A:$A,$A447,'Error Log'!$F:$F,"Target")</f>
        <v>0</v>
      </c>
      <c r="J447" s="71">
        <f t="shared" si="6"/>
        <v>0</v>
      </c>
    </row>
    <row r="448" spans="1:10">
      <c r="A448" s="81"/>
      <c r="B448" s="70" t="str">
        <f>IF(ISBLANK(A448),"",INDEX('Error Log'!$A:$J,MATCH('Scores per segment'!$A448,'Error Log'!$A:$A,0),MATCH('Scores per segment'!B$1,'Error Log'!$A$1:$J$1,0)))</f>
        <v/>
      </c>
      <c r="C448" s="70" t="str">
        <f>IF(ISBLANK(A448),"",INDEX('Error Log'!$A:$J,MATCH('Scores per segment'!$A448,'Error Log'!$A:$A,0),MATCH('Scores per segment'!C$1,'Error Log'!$A$1:$J$1,0)))</f>
        <v/>
      </c>
      <c r="D448" s="70">
        <f>IF(H448=0,wdct(TRIM(C448)),0)</f>
        <v>0</v>
      </c>
      <c r="E448" s="70">
        <f>COUNTIFS('Error Log'!$A:$A,$A448,'Error Log'!$J:$J,E$1)</f>
        <v>0</v>
      </c>
      <c r="F448" s="70">
        <f>COUNTIFS('Error Log'!$A:$A,$A448,'Error Log'!$J:$J,F$1)</f>
        <v>0</v>
      </c>
      <c r="G448" s="70">
        <f>COUNTIFS('Error Log'!$A:$A,$A448,'Error Log'!$J:$J,G$1)</f>
        <v>0</v>
      </c>
      <c r="H448" s="70">
        <f>COUNTIFS('Error Log'!$A:$A,$A448,'Error Log'!$F:$F,"Source")</f>
        <v>0</v>
      </c>
      <c r="I448" s="70">
        <f>COUNTIFS('Error Log'!$A:$A,$A448,'Error Log'!$F:$F,"Target")</f>
        <v>0</v>
      </c>
      <c r="J448" s="71">
        <f t="shared" si="6"/>
        <v>0</v>
      </c>
    </row>
    <row r="449" spans="1:10">
      <c r="A449" s="81"/>
      <c r="B449" s="70" t="str">
        <f>IF(ISBLANK(A449),"",INDEX('Error Log'!$A:$J,MATCH('Scores per segment'!$A449,'Error Log'!$A:$A,0),MATCH('Scores per segment'!B$1,'Error Log'!$A$1:$J$1,0)))</f>
        <v/>
      </c>
      <c r="C449" s="70" t="str">
        <f>IF(ISBLANK(A449),"",INDEX('Error Log'!$A:$J,MATCH('Scores per segment'!$A449,'Error Log'!$A:$A,0),MATCH('Scores per segment'!C$1,'Error Log'!$A$1:$J$1,0)))</f>
        <v/>
      </c>
      <c r="D449" s="70">
        <f>IF(H449=0,wdct(TRIM(C449)),0)</f>
        <v>0</v>
      </c>
      <c r="E449" s="70">
        <f>COUNTIFS('Error Log'!$A:$A,$A449,'Error Log'!$J:$J,E$1)</f>
        <v>0</v>
      </c>
      <c r="F449" s="70">
        <f>COUNTIFS('Error Log'!$A:$A,$A449,'Error Log'!$J:$J,F$1)</f>
        <v>0</v>
      </c>
      <c r="G449" s="70">
        <f>COUNTIFS('Error Log'!$A:$A,$A449,'Error Log'!$J:$J,G$1)</f>
        <v>0</v>
      </c>
      <c r="H449" s="70">
        <f>COUNTIFS('Error Log'!$A:$A,$A449,'Error Log'!$F:$F,"Source")</f>
        <v>0</v>
      </c>
      <c r="I449" s="70">
        <f>COUNTIFS('Error Log'!$A:$A,$A449,'Error Log'!$F:$F,"Target")</f>
        <v>0</v>
      </c>
      <c r="J449" s="71">
        <f t="shared" si="6"/>
        <v>0</v>
      </c>
    </row>
    <row r="450" spans="1:10">
      <c r="A450" s="81"/>
      <c r="B450" s="70" t="str">
        <f>IF(ISBLANK(A450),"",INDEX('Error Log'!$A:$J,MATCH('Scores per segment'!$A450,'Error Log'!$A:$A,0),MATCH('Scores per segment'!B$1,'Error Log'!$A$1:$J$1,0)))</f>
        <v/>
      </c>
      <c r="C450" s="70" t="str">
        <f>IF(ISBLANK(A450),"",INDEX('Error Log'!$A:$J,MATCH('Scores per segment'!$A450,'Error Log'!$A:$A,0),MATCH('Scores per segment'!C$1,'Error Log'!$A$1:$J$1,0)))</f>
        <v/>
      </c>
      <c r="D450" s="70">
        <f>IF(H450=0,wdct(TRIM(C450)),0)</f>
        <v>0</v>
      </c>
      <c r="E450" s="70">
        <f>COUNTIFS('Error Log'!$A:$A,$A450,'Error Log'!$J:$J,E$1)</f>
        <v>0</v>
      </c>
      <c r="F450" s="70">
        <f>COUNTIFS('Error Log'!$A:$A,$A450,'Error Log'!$J:$J,F$1)</f>
        <v>0</v>
      </c>
      <c r="G450" s="70">
        <f>COUNTIFS('Error Log'!$A:$A,$A450,'Error Log'!$J:$J,G$1)</f>
        <v>0</v>
      </c>
      <c r="H450" s="70">
        <f>COUNTIFS('Error Log'!$A:$A,$A450,'Error Log'!$F:$F,"Source")</f>
        <v>0</v>
      </c>
      <c r="I450" s="70">
        <f>COUNTIFS('Error Log'!$A:$A,$A450,'Error Log'!$F:$F,"Target")</f>
        <v>0</v>
      </c>
      <c r="J450" s="71">
        <f t="shared" ref="J450:J501" si="7">IF(I450=0,IFERROR((((1-((E450*10+F450*5+G450*1)/D450))*100)+100)/2,0),-150)</f>
        <v>0</v>
      </c>
    </row>
    <row r="451" spans="1:10">
      <c r="A451" s="81"/>
      <c r="B451" s="70" t="str">
        <f>IF(ISBLANK(A451),"",INDEX('Error Log'!$A:$J,MATCH('Scores per segment'!$A451,'Error Log'!$A:$A,0),MATCH('Scores per segment'!B$1,'Error Log'!$A$1:$J$1,0)))</f>
        <v/>
      </c>
      <c r="C451" s="70" t="str">
        <f>IF(ISBLANK(A451),"",INDEX('Error Log'!$A:$J,MATCH('Scores per segment'!$A451,'Error Log'!$A:$A,0),MATCH('Scores per segment'!C$1,'Error Log'!$A$1:$J$1,0)))</f>
        <v/>
      </c>
      <c r="D451" s="70">
        <f>IF(H451=0,wdct(TRIM(C451)),0)</f>
        <v>0</v>
      </c>
      <c r="E451" s="70">
        <f>COUNTIFS('Error Log'!$A:$A,$A451,'Error Log'!$J:$J,E$1)</f>
        <v>0</v>
      </c>
      <c r="F451" s="70">
        <f>COUNTIFS('Error Log'!$A:$A,$A451,'Error Log'!$J:$J,F$1)</f>
        <v>0</v>
      </c>
      <c r="G451" s="70">
        <f>COUNTIFS('Error Log'!$A:$A,$A451,'Error Log'!$J:$J,G$1)</f>
        <v>0</v>
      </c>
      <c r="H451" s="70">
        <f>COUNTIFS('Error Log'!$A:$A,$A451,'Error Log'!$F:$F,"Source")</f>
        <v>0</v>
      </c>
      <c r="I451" s="70">
        <f>COUNTIFS('Error Log'!$A:$A,$A451,'Error Log'!$F:$F,"Target")</f>
        <v>0</v>
      </c>
      <c r="J451" s="71">
        <f t="shared" si="7"/>
        <v>0</v>
      </c>
    </row>
    <row r="452" spans="1:10">
      <c r="A452" s="81"/>
      <c r="B452" s="70" t="str">
        <f>IF(ISBLANK(A452),"",INDEX('Error Log'!$A:$J,MATCH('Scores per segment'!$A452,'Error Log'!$A:$A,0),MATCH('Scores per segment'!B$1,'Error Log'!$A$1:$J$1,0)))</f>
        <v/>
      </c>
      <c r="C452" s="70" t="str">
        <f>IF(ISBLANK(A452),"",INDEX('Error Log'!$A:$J,MATCH('Scores per segment'!$A452,'Error Log'!$A:$A,0),MATCH('Scores per segment'!C$1,'Error Log'!$A$1:$J$1,0)))</f>
        <v/>
      </c>
      <c r="D452" s="70">
        <f>IF(H452=0,wdct(TRIM(C452)),0)</f>
        <v>0</v>
      </c>
      <c r="E452" s="70">
        <f>COUNTIFS('Error Log'!$A:$A,$A452,'Error Log'!$J:$J,E$1)</f>
        <v>0</v>
      </c>
      <c r="F452" s="70">
        <f>COUNTIFS('Error Log'!$A:$A,$A452,'Error Log'!$J:$J,F$1)</f>
        <v>0</v>
      </c>
      <c r="G452" s="70">
        <f>COUNTIFS('Error Log'!$A:$A,$A452,'Error Log'!$J:$J,G$1)</f>
        <v>0</v>
      </c>
      <c r="H452" s="70">
        <f>COUNTIFS('Error Log'!$A:$A,$A452,'Error Log'!$F:$F,"Source")</f>
        <v>0</v>
      </c>
      <c r="I452" s="70">
        <f>COUNTIFS('Error Log'!$A:$A,$A452,'Error Log'!$F:$F,"Target")</f>
        <v>0</v>
      </c>
      <c r="J452" s="71">
        <f t="shared" si="7"/>
        <v>0</v>
      </c>
    </row>
    <row r="453" spans="1:10">
      <c r="A453" s="81"/>
      <c r="B453" s="70" t="str">
        <f>IF(ISBLANK(A453),"",INDEX('Error Log'!$A:$J,MATCH('Scores per segment'!$A453,'Error Log'!$A:$A,0),MATCH('Scores per segment'!B$1,'Error Log'!$A$1:$J$1,0)))</f>
        <v/>
      </c>
      <c r="C453" s="70" t="str">
        <f>IF(ISBLANK(A453),"",INDEX('Error Log'!$A:$J,MATCH('Scores per segment'!$A453,'Error Log'!$A:$A,0),MATCH('Scores per segment'!C$1,'Error Log'!$A$1:$J$1,0)))</f>
        <v/>
      </c>
      <c r="D453" s="70">
        <f>IF(H453=0,wdct(TRIM(C453)),0)</f>
        <v>0</v>
      </c>
      <c r="E453" s="70">
        <f>COUNTIFS('Error Log'!$A:$A,$A453,'Error Log'!$J:$J,E$1)</f>
        <v>0</v>
      </c>
      <c r="F453" s="70">
        <f>COUNTIFS('Error Log'!$A:$A,$A453,'Error Log'!$J:$J,F$1)</f>
        <v>0</v>
      </c>
      <c r="G453" s="70">
        <f>COUNTIFS('Error Log'!$A:$A,$A453,'Error Log'!$J:$J,G$1)</f>
        <v>0</v>
      </c>
      <c r="H453" s="70">
        <f>COUNTIFS('Error Log'!$A:$A,$A453,'Error Log'!$F:$F,"Source")</f>
        <v>0</v>
      </c>
      <c r="I453" s="70">
        <f>COUNTIFS('Error Log'!$A:$A,$A453,'Error Log'!$F:$F,"Target")</f>
        <v>0</v>
      </c>
      <c r="J453" s="71">
        <f t="shared" si="7"/>
        <v>0</v>
      </c>
    </row>
    <row r="454" spans="1:10">
      <c r="A454" s="81"/>
      <c r="B454" s="70" t="str">
        <f>IF(ISBLANK(A454),"",INDEX('Error Log'!$A:$J,MATCH('Scores per segment'!$A454,'Error Log'!$A:$A,0),MATCH('Scores per segment'!B$1,'Error Log'!$A$1:$J$1,0)))</f>
        <v/>
      </c>
      <c r="C454" s="70" t="str">
        <f>IF(ISBLANK(A454),"",INDEX('Error Log'!$A:$J,MATCH('Scores per segment'!$A454,'Error Log'!$A:$A,0),MATCH('Scores per segment'!C$1,'Error Log'!$A$1:$J$1,0)))</f>
        <v/>
      </c>
      <c r="D454" s="70">
        <f>IF(H454=0,wdct(TRIM(C454)),0)</f>
        <v>0</v>
      </c>
      <c r="E454" s="70">
        <f>COUNTIFS('Error Log'!$A:$A,$A454,'Error Log'!$J:$J,E$1)</f>
        <v>0</v>
      </c>
      <c r="F454" s="70">
        <f>COUNTIFS('Error Log'!$A:$A,$A454,'Error Log'!$J:$J,F$1)</f>
        <v>0</v>
      </c>
      <c r="G454" s="70">
        <f>COUNTIFS('Error Log'!$A:$A,$A454,'Error Log'!$J:$J,G$1)</f>
        <v>0</v>
      </c>
      <c r="H454" s="70">
        <f>COUNTIFS('Error Log'!$A:$A,$A454,'Error Log'!$F:$F,"Source")</f>
        <v>0</v>
      </c>
      <c r="I454" s="70">
        <f>COUNTIFS('Error Log'!$A:$A,$A454,'Error Log'!$F:$F,"Target")</f>
        <v>0</v>
      </c>
      <c r="J454" s="71">
        <f t="shared" si="7"/>
        <v>0</v>
      </c>
    </row>
    <row r="455" spans="1:10">
      <c r="A455" s="81"/>
      <c r="B455" s="70" t="str">
        <f>IF(ISBLANK(A455),"",INDEX('Error Log'!$A:$J,MATCH('Scores per segment'!$A455,'Error Log'!$A:$A,0),MATCH('Scores per segment'!B$1,'Error Log'!$A$1:$J$1,0)))</f>
        <v/>
      </c>
      <c r="C455" s="70" t="str">
        <f>IF(ISBLANK(A455),"",INDEX('Error Log'!$A:$J,MATCH('Scores per segment'!$A455,'Error Log'!$A:$A,0),MATCH('Scores per segment'!C$1,'Error Log'!$A$1:$J$1,0)))</f>
        <v/>
      </c>
      <c r="D455" s="70">
        <f>IF(H455=0,wdct(TRIM(C455)),0)</f>
        <v>0</v>
      </c>
      <c r="E455" s="70">
        <f>COUNTIFS('Error Log'!$A:$A,$A455,'Error Log'!$J:$J,E$1)</f>
        <v>0</v>
      </c>
      <c r="F455" s="70">
        <f>COUNTIFS('Error Log'!$A:$A,$A455,'Error Log'!$J:$J,F$1)</f>
        <v>0</v>
      </c>
      <c r="G455" s="70">
        <f>COUNTIFS('Error Log'!$A:$A,$A455,'Error Log'!$J:$J,G$1)</f>
        <v>0</v>
      </c>
      <c r="H455" s="70">
        <f>COUNTIFS('Error Log'!$A:$A,$A455,'Error Log'!$F:$F,"Source")</f>
        <v>0</v>
      </c>
      <c r="I455" s="70">
        <f>COUNTIFS('Error Log'!$A:$A,$A455,'Error Log'!$F:$F,"Target")</f>
        <v>0</v>
      </c>
      <c r="J455" s="71">
        <f t="shared" si="7"/>
        <v>0</v>
      </c>
    </row>
    <row r="456" spans="1:10">
      <c r="A456" s="81"/>
      <c r="B456" s="70" t="str">
        <f>IF(ISBLANK(A456),"",INDEX('Error Log'!$A:$J,MATCH('Scores per segment'!$A456,'Error Log'!$A:$A,0),MATCH('Scores per segment'!B$1,'Error Log'!$A$1:$J$1,0)))</f>
        <v/>
      </c>
      <c r="C456" s="70" t="str">
        <f>IF(ISBLANK(A456),"",INDEX('Error Log'!$A:$J,MATCH('Scores per segment'!$A456,'Error Log'!$A:$A,0),MATCH('Scores per segment'!C$1,'Error Log'!$A$1:$J$1,0)))</f>
        <v/>
      </c>
      <c r="D456" s="70">
        <f>IF(H456=0,wdct(TRIM(C456)),0)</f>
        <v>0</v>
      </c>
      <c r="E456" s="70">
        <f>COUNTIFS('Error Log'!$A:$A,$A456,'Error Log'!$J:$J,E$1)</f>
        <v>0</v>
      </c>
      <c r="F456" s="70">
        <f>COUNTIFS('Error Log'!$A:$A,$A456,'Error Log'!$J:$J,F$1)</f>
        <v>0</v>
      </c>
      <c r="G456" s="70">
        <f>COUNTIFS('Error Log'!$A:$A,$A456,'Error Log'!$J:$J,G$1)</f>
        <v>0</v>
      </c>
      <c r="H456" s="70">
        <f>COUNTIFS('Error Log'!$A:$A,$A456,'Error Log'!$F:$F,"Source")</f>
        <v>0</v>
      </c>
      <c r="I456" s="70">
        <f>COUNTIFS('Error Log'!$A:$A,$A456,'Error Log'!$F:$F,"Target")</f>
        <v>0</v>
      </c>
      <c r="J456" s="71">
        <f t="shared" si="7"/>
        <v>0</v>
      </c>
    </row>
    <row r="457" spans="1:10">
      <c r="A457" s="81"/>
      <c r="B457" s="70" t="str">
        <f>IF(ISBLANK(A457),"",INDEX('Error Log'!$A:$J,MATCH('Scores per segment'!$A457,'Error Log'!$A:$A,0),MATCH('Scores per segment'!B$1,'Error Log'!$A$1:$J$1,0)))</f>
        <v/>
      </c>
      <c r="C457" s="70" t="str">
        <f>IF(ISBLANK(A457),"",INDEX('Error Log'!$A:$J,MATCH('Scores per segment'!$A457,'Error Log'!$A:$A,0),MATCH('Scores per segment'!C$1,'Error Log'!$A$1:$J$1,0)))</f>
        <v/>
      </c>
      <c r="D457" s="70">
        <f>IF(H457=0,wdct(TRIM(C457)),0)</f>
        <v>0</v>
      </c>
      <c r="E457" s="70">
        <f>COUNTIFS('Error Log'!$A:$A,$A457,'Error Log'!$J:$J,E$1)</f>
        <v>0</v>
      </c>
      <c r="F457" s="70">
        <f>COUNTIFS('Error Log'!$A:$A,$A457,'Error Log'!$J:$J,F$1)</f>
        <v>0</v>
      </c>
      <c r="G457" s="70">
        <f>COUNTIFS('Error Log'!$A:$A,$A457,'Error Log'!$J:$J,G$1)</f>
        <v>0</v>
      </c>
      <c r="H457" s="70">
        <f>COUNTIFS('Error Log'!$A:$A,$A457,'Error Log'!$F:$F,"Source")</f>
        <v>0</v>
      </c>
      <c r="I457" s="70">
        <f>COUNTIFS('Error Log'!$A:$A,$A457,'Error Log'!$F:$F,"Target")</f>
        <v>0</v>
      </c>
      <c r="J457" s="71">
        <f t="shared" si="7"/>
        <v>0</v>
      </c>
    </row>
    <row r="458" spans="1:10">
      <c r="A458" s="81"/>
      <c r="B458" s="70" t="str">
        <f>IF(ISBLANK(A458),"",INDEX('Error Log'!$A:$J,MATCH('Scores per segment'!$A458,'Error Log'!$A:$A,0),MATCH('Scores per segment'!B$1,'Error Log'!$A$1:$J$1,0)))</f>
        <v/>
      </c>
      <c r="C458" s="70" t="str">
        <f>IF(ISBLANK(A458),"",INDEX('Error Log'!$A:$J,MATCH('Scores per segment'!$A458,'Error Log'!$A:$A,0),MATCH('Scores per segment'!C$1,'Error Log'!$A$1:$J$1,0)))</f>
        <v/>
      </c>
      <c r="D458" s="70">
        <f>IF(H458=0,wdct(TRIM(C458)),0)</f>
        <v>0</v>
      </c>
      <c r="E458" s="70">
        <f>COUNTIFS('Error Log'!$A:$A,$A458,'Error Log'!$J:$J,E$1)</f>
        <v>0</v>
      </c>
      <c r="F458" s="70">
        <f>COUNTIFS('Error Log'!$A:$A,$A458,'Error Log'!$J:$J,F$1)</f>
        <v>0</v>
      </c>
      <c r="G458" s="70">
        <f>COUNTIFS('Error Log'!$A:$A,$A458,'Error Log'!$J:$J,G$1)</f>
        <v>0</v>
      </c>
      <c r="H458" s="70">
        <f>COUNTIFS('Error Log'!$A:$A,$A458,'Error Log'!$F:$F,"Source")</f>
        <v>0</v>
      </c>
      <c r="I458" s="70">
        <f>COUNTIFS('Error Log'!$A:$A,$A458,'Error Log'!$F:$F,"Target")</f>
        <v>0</v>
      </c>
      <c r="J458" s="71">
        <f t="shared" si="7"/>
        <v>0</v>
      </c>
    </row>
    <row r="459" spans="1:10">
      <c r="A459" s="81"/>
      <c r="B459" s="70" t="str">
        <f>IF(ISBLANK(A459),"",INDEX('Error Log'!$A:$J,MATCH('Scores per segment'!$A459,'Error Log'!$A:$A,0),MATCH('Scores per segment'!B$1,'Error Log'!$A$1:$J$1,0)))</f>
        <v/>
      </c>
      <c r="C459" s="70" t="str">
        <f>IF(ISBLANK(A459),"",INDEX('Error Log'!$A:$J,MATCH('Scores per segment'!$A459,'Error Log'!$A:$A,0),MATCH('Scores per segment'!C$1,'Error Log'!$A$1:$J$1,0)))</f>
        <v/>
      </c>
      <c r="D459" s="70">
        <f>IF(H459=0,wdct(TRIM(C459)),0)</f>
        <v>0</v>
      </c>
      <c r="E459" s="70">
        <f>COUNTIFS('Error Log'!$A:$A,$A459,'Error Log'!$J:$J,E$1)</f>
        <v>0</v>
      </c>
      <c r="F459" s="70">
        <f>COUNTIFS('Error Log'!$A:$A,$A459,'Error Log'!$J:$J,F$1)</f>
        <v>0</v>
      </c>
      <c r="G459" s="70">
        <f>COUNTIFS('Error Log'!$A:$A,$A459,'Error Log'!$J:$J,G$1)</f>
        <v>0</v>
      </c>
      <c r="H459" s="70">
        <f>COUNTIFS('Error Log'!$A:$A,$A459,'Error Log'!$F:$F,"Source")</f>
        <v>0</v>
      </c>
      <c r="I459" s="70">
        <f>COUNTIFS('Error Log'!$A:$A,$A459,'Error Log'!$F:$F,"Target")</f>
        <v>0</v>
      </c>
      <c r="J459" s="71">
        <f t="shared" si="7"/>
        <v>0</v>
      </c>
    </row>
    <row r="460" spans="1:10">
      <c r="A460" s="81"/>
      <c r="B460" s="70" t="str">
        <f>IF(ISBLANK(A460),"",INDEX('Error Log'!$A:$J,MATCH('Scores per segment'!$A460,'Error Log'!$A:$A,0),MATCH('Scores per segment'!B$1,'Error Log'!$A$1:$J$1,0)))</f>
        <v/>
      </c>
      <c r="C460" s="70" t="str">
        <f>IF(ISBLANK(A460),"",INDEX('Error Log'!$A:$J,MATCH('Scores per segment'!$A460,'Error Log'!$A:$A,0),MATCH('Scores per segment'!C$1,'Error Log'!$A$1:$J$1,0)))</f>
        <v/>
      </c>
      <c r="D460" s="70">
        <f>IF(H460=0,wdct(TRIM(C460)),0)</f>
        <v>0</v>
      </c>
      <c r="E460" s="70">
        <f>COUNTIFS('Error Log'!$A:$A,$A460,'Error Log'!$J:$J,E$1)</f>
        <v>0</v>
      </c>
      <c r="F460" s="70">
        <f>COUNTIFS('Error Log'!$A:$A,$A460,'Error Log'!$J:$J,F$1)</f>
        <v>0</v>
      </c>
      <c r="G460" s="70">
        <f>COUNTIFS('Error Log'!$A:$A,$A460,'Error Log'!$J:$J,G$1)</f>
        <v>0</v>
      </c>
      <c r="H460" s="70">
        <f>COUNTIFS('Error Log'!$A:$A,$A460,'Error Log'!$F:$F,"Source")</f>
        <v>0</v>
      </c>
      <c r="I460" s="70">
        <f>COUNTIFS('Error Log'!$A:$A,$A460,'Error Log'!$F:$F,"Target")</f>
        <v>0</v>
      </c>
      <c r="J460" s="71">
        <f t="shared" si="7"/>
        <v>0</v>
      </c>
    </row>
    <row r="461" spans="1:10">
      <c r="A461" s="81"/>
      <c r="B461" s="70" t="str">
        <f>IF(ISBLANK(A461),"",INDEX('Error Log'!$A:$J,MATCH('Scores per segment'!$A461,'Error Log'!$A:$A,0),MATCH('Scores per segment'!B$1,'Error Log'!$A$1:$J$1,0)))</f>
        <v/>
      </c>
      <c r="C461" s="70" t="str">
        <f>IF(ISBLANK(A461),"",INDEX('Error Log'!$A:$J,MATCH('Scores per segment'!$A461,'Error Log'!$A:$A,0),MATCH('Scores per segment'!C$1,'Error Log'!$A$1:$J$1,0)))</f>
        <v/>
      </c>
      <c r="D461" s="70">
        <f>IF(H461=0,wdct(TRIM(C461)),0)</f>
        <v>0</v>
      </c>
      <c r="E461" s="70">
        <f>COUNTIFS('Error Log'!$A:$A,$A461,'Error Log'!$J:$J,E$1)</f>
        <v>0</v>
      </c>
      <c r="F461" s="70">
        <f>COUNTIFS('Error Log'!$A:$A,$A461,'Error Log'!$J:$J,F$1)</f>
        <v>0</v>
      </c>
      <c r="G461" s="70">
        <f>COUNTIFS('Error Log'!$A:$A,$A461,'Error Log'!$J:$J,G$1)</f>
        <v>0</v>
      </c>
      <c r="H461" s="70">
        <f>COUNTIFS('Error Log'!$A:$A,$A461,'Error Log'!$F:$F,"Source")</f>
        <v>0</v>
      </c>
      <c r="I461" s="70">
        <f>COUNTIFS('Error Log'!$A:$A,$A461,'Error Log'!$F:$F,"Target")</f>
        <v>0</v>
      </c>
      <c r="J461" s="71">
        <f t="shared" si="7"/>
        <v>0</v>
      </c>
    </row>
    <row r="462" spans="1:10">
      <c r="A462" s="81"/>
      <c r="B462" s="70" t="str">
        <f>IF(ISBLANK(A462),"",INDEX('Error Log'!$A:$J,MATCH('Scores per segment'!$A462,'Error Log'!$A:$A,0),MATCH('Scores per segment'!B$1,'Error Log'!$A$1:$J$1,0)))</f>
        <v/>
      </c>
      <c r="C462" s="70" t="str">
        <f>IF(ISBLANK(A462),"",INDEX('Error Log'!$A:$J,MATCH('Scores per segment'!$A462,'Error Log'!$A:$A,0),MATCH('Scores per segment'!C$1,'Error Log'!$A$1:$J$1,0)))</f>
        <v/>
      </c>
      <c r="D462" s="70">
        <f>IF(H462=0,wdct(TRIM(C462)),0)</f>
        <v>0</v>
      </c>
      <c r="E462" s="70">
        <f>COUNTIFS('Error Log'!$A:$A,$A462,'Error Log'!$J:$J,E$1)</f>
        <v>0</v>
      </c>
      <c r="F462" s="70">
        <f>COUNTIFS('Error Log'!$A:$A,$A462,'Error Log'!$J:$J,F$1)</f>
        <v>0</v>
      </c>
      <c r="G462" s="70">
        <f>COUNTIFS('Error Log'!$A:$A,$A462,'Error Log'!$J:$J,G$1)</f>
        <v>0</v>
      </c>
      <c r="H462" s="70">
        <f>COUNTIFS('Error Log'!$A:$A,$A462,'Error Log'!$F:$F,"Source")</f>
        <v>0</v>
      </c>
      <c r="I462" s="70">
        <f>COUNTIFS('Error Log'!$A:$A,$A462,'Error Log'!$F:$F,"Target")</f>
        <v>0</v>
      </c>
      <c r="J462" s="71">
        <f t="shared" si="7"/>
        <v>0</v>
      </c>
    </row>
    <row r="463" spans="1:10">
      <c r="A463" s="81"/>
      <c r="B463" s="70" t="str">
        <f>IF(ISBLANK(A463),"",INDEX('Error Log'!$A:$J,MATCH('Scores per segment'!$A463,'Error Log'!$A:$A,0),MATCH('Scores per segment'!B$1,'Error Log'!$A$1:$J$1,0)))</f>
        <v/>
      </c>
      <c r="C463" s="70" t="str">
        <f>IF(ISBLANK(A463),"",INDEX('Error Log'!$A:$J,MATCH('Scores per segment'!$A463,'Error Log'!$A:$A,0),MATCH('Scores per segment'!C$1,'Error Log'!$A$1:$J$1,0)))</f>
        <v/>
      </c>
      <c r="D463" s="70">
        <f>IF(H463=0,wdct(TRIM(C463)),0)</f>
        <v>0</v>
      </c>
      <c r="E463" s="70">
        <f>COUNTIFS('Error Log'!$A:$A,$A463,'Error Log'!$J:$J,E$1)</f>
        <v>0</v>
      </c>
      <c r="F463" s="70">
        <f>COUNTIFS('Error Log'!$A:$A,$A463,'Error Log'!$J:$J,F$1)</f>
        <v>0</v>
      </c>
      <c r="G463" s="70">
        <f>COUNTIFS('Error Log'!$A:$A,$A463,'Error Log'!$J:$J,G$1)</f>
        <v>0</v>
      </c>
      <c r="H463" s="70">
        <f>COUNTIFS('Error Log'!$A:$A,$A463,'Error Log'!$F:$F,"Source")</f>
        <v>0</v>
      </c>
      <c r="I463" s="70">
        <f>COUNTIFS('Error Log'!$A:$A,$A463,'Error Log'!$F:$F,"Target")</f>
        <v>0</v>
      </c>
      <c r="J463" s="71">
        <f t="shared" si="7"/>
        <v>0</v>
      </c>
    </row>
    <row r="464" spans="1:10">
      <c r="A464" s="81"/>
      <c r="B464" s="70" t="str">
        <f>IF(ISBLANK(A464),"",INDEX('Error Log'!$A:$J,MATCH('Scores per segment'!$A464,'Error Log'!$A:$A,0),MATCH('Scores per segment'!B$1,'Error Log'!$A$1:$J$1,0)))</f>
        <v/>
      </c>
      <c r="C464" s="70" t="str">
        <f>IF(ISBLANK(A464),"",INDEX('Error Log'!$A:$J,MATCH('Scores per segment'!$A464,'Error Log'!$A:$A,0),MATCH('Scores per segment'!C$1,'Error Log'!$A$1:$J$1,0)))</f>
        <v/>
      </c>
      <c r="D464" s="70">
        <f>IF(H464=0,wdct(TRIM(C464)),0)</f>
        <v>0</v>
      </c>
      <c r="E464" s="70">
        <f>COUNTIFS('Error Log'!$A:$A,$A464,'Error Log'!$J:$J,E$1)</f>
        <v>0</v>
      </c>
      <c r="F464" s="70">
        <f>COUNTIFS('Error Log'!$A:$A,$A464,'Error Log'!$J:$J,F$1)</f>
        <v>0</v>
      </c>
      <c r="G464" s="70">
        <f>COUNTIFS('Error Log'!$A:$A,$A464,'Error Log'!$J:$J,G$1)</f>
        <v>0</v>
      </c>
      <c r="H464" s="70">
        <f>COUNTIFS('Error Log'!$A:$A,$A464,'Error Log'!$F:$F,"Source")</f>
        <v>0</v>
      </c>
      <c r="I464" s="70">
        <f>COUNTIFS('Error Log'!$A:$A,$A464,'Error Log'!$F:$F,"Target")</f>
        <v>0</v>
      </c>
      <c r="J464" s="71">
        <f t="shared" si="7"/>
        <v>0</v>
      </c>
    </row>
    <row r="465" spans="1:10">
      <c r="A465" s="81"/>
      <c r="B465" s="70" t="str">
        <f>IF(ISBLANK(A465),"",INDEX('Error Log'!$A:$J,MATCH('Scores per segment'!$A465,'Error Log'!$A:$A,0),MATCH('Scores per segment'!B$1,'Error Log'!$A$1:$J$1,0)))</f>
        <v/>
      </c>
      <c r="C465" s="70" t="str">
        <f>IF(ISBLANK(A465),"",INDEX('Error Log'!$A:$J,MATCH('Scores per segment'!$A465,'Error Log'!$A:$A,0),MATCH('Scores per segment'!C$1,'Error Log'!$A$1:$J$1,0)))</f>
        <v/>
      </c>
      <c r="D465" s="70">
        <f>IF(H465=0,wdct(TRIM(C465)),0)</f>
        <v>0</v>
      </c>
      <c r="E465" s="70">
        <f>COUNTIFS('Error Log'!$A:$A,$A465,'Error Log'!$J:$J,E$1)</f>
        <v>0</v>
      </c>
      <c r="F465" s="70">
        <f>COUNTIFS('Error Log'!$A:$A,$A465,'Error Log'!$J:$J,F$1)</f>
        <v>0</v>
      </c>
      <c r="G465" s="70">
        <f>COUNTIFS('Error Log'!$A:$A,$A465,'Error Log'!$J:$J,G$1)</f>
        <v>0</v>
      </c>
      <c r="H465" s="70">
        <f>COUNTIFS('Error Log'!$A:$A,$A465,'Error Log'!$F:$F,"Source")</f>
        <v>0</v>
      </c>
      <c r="I465" s="70">
        <f>COUNTIFS('Error Log'!$A:$A,$A465,'Error Log'!$F:$F,"Target")</f>
        <v>0</v>
      </c>
      <c r="J465" s="71">
        <f t="shared" si="7"/>
        <v>0</v>
      </c>
    </row>
    <row r="466" spans="1:10">
      <c r="A466" s="81"/>
      <c r="B466" s="70" t="str">
        <f>IF(ISBLANK(A466),"",INDEX('Error Log'!$A:$J,MATCH('Scores per segment'!$A466,'Error Log'!$A:$A,0),MATCH('Scores per segment'!B$1,'Error Log'!$A$1:$J$1,0)))</f>
        <v/>
      </c>
      <c r="C466" s="70" t="str">
        <f>IF(ISBLANK(A466),"",INDEX('Error Log'!$A:$J,MATCH('Scores per segment'!$A466,'Error Log'!$A:$A,0),MATCH('Scores per segment'!C$1,'Error Log'!$A$1:$J$1,0)))</f>
        <v/>
      </c>
      <c r="D466" s="70">
        <f>IF(H466=0,wdct(TRIM(C466)),0)</f>
        <v>0</v>
      </c>
      <c r="E466" s="70">
        <f>COUNTIFS('Error Log'!$A:$A,$A466,'Error Log'!$J:$J,E$1)</f>
        <v>0</v>
      </c>
      <c r="F466" s="70">
        <f>COUNTIFS('Error Log'!$A:$A,$A466,'Error Log'!$J:$J,F$1)</f>
        <v>0</v>
      </c>
      <c r="G466" s="70">
        <f>COUNTIFS('Error Log'!$A:$A,$A466,'Error Log'!$J:$J,G$1)</f>
        <v>0</v>
      </c>
      <c r="H466" s="70">
        <f>COUNTIFS('Error Log'!$A:$A,$A466,'Error Log'!$F:$F,"Source")</f>
        <v>0</v>
      </c>
      <c r="I466" s="70">
        <f>COUNTIFS('Error Log'!$A:$A,$A466,'Error Log'!$F:$F,"Target")</f>
        <v>0</v>
      </c>
      <c r="J466" s="71">
        <f t="shared" si="7"/>
        <v>0</v>
      </c>
    </row>
    <row r="467" spans="1:10">
      <c r="A467" s="81"/>
      <c r="B467" s="70" t="str">
        <f>IF(ISBLANK(A467),"",INDEX('Error Log'!$A:$J,MATCH('Scores per segment'!$A467,'Error Log'!$A:$A,0),MATCH('Scores per segment'!B$1,'Error Log'!$A$1:$J$1,0)))</f>
        <v/>
      </c>
      <c r="C467" s="70" t="str">
        <f>IF(ISBLANK(A467),"",INDEX('Error Log'!$A:$J,MATCH('Scores per segment'!$A467,'Error Log'!$A:$A,0),MATCH('Scores per segment'!C$1,'Error Log'!$A$1:$J$1,0)))</f>
        <v/>
      </c>
      <c r="D467" s="70">
        <f>IF(H467=0,wdct(TRIM(C467)),0)</f>
        <v>0</v>
      </c>
      <c r="E467" s="70">
        <f>COUNTIFS('Error Log'!$A:$A,$A467,'Error Log'!$J:$J,E$1)</f>
        <v>0</v>
      </c>
      <c r="F467" s="70">
        <f>COUNTIFS('Error Log'!$A:$A,$A467,'Error Log'!$J:$J,F$1)</f>
        <v>0</v>
      </c>
      <c r="G467" s="70">
        <f>COUNTIFS('Error Log'!$A:$A,$A467,'Error Log'!$J:$J,G$1)</f>
        <v>0</v>
      </c>
      <c r="H467" s="70">
        <f>COUNTIFS('Error Log'!$A:$A,$A467,'Error Log'!$F:$F,"Source")</f>
        <v>0</v>
      </c>
      <c r="I467" s="70">
        <f>COUNTIFS('Error Log'!$A:$A,$A467,'Error Log'!$F:$F,"Target")</f>
        <v>0</v>
      </c>
      <c r="J467" s="71">
        <f t="shared" si="7"/>
        <v>0</v>
      </c>
    </row>
    <row r="468" spans="1:10">
      <c r="A468" s="81"/>
      <c r="B468" s="70" t="str">
        <f>IF(ISBLANK(A468),"",INDEX('Error Log'!$A:$J,MATCH('Scores per segment'!$A468,'Error Log'!$A:$A,0),MATCH('Scores per segment'!B$1,'Error Log'!$A$1:$J$1,0)))</f>
        <v/>
      </c>
      <c r="C468" s="70" t="str">
        <f>IF(ISBLANK(A468),"",INDEX('Error Log'!$A:$J,MATCH('Scores per segment'!$A468,'Error Log'!$A:$A,0),MATCH('Scores per segment'!C$1,'Error Log'!$A$1:$J$1,0)))</f>
        <v/>
      </c>
      <c r="D468" s="70">
        <f>IF(H468=0,wdct(TRIM(C468)),0)</f>
        <v>0</v>
      </c>
      <c r="E468" s="70">
        <f>COUNTIFS('Error Log'!$A:$A,$A468,'Error Log'!$J:$J,E$1)</f>
        <v>0</v>
      </c>
      <c r="F468" s="70">
        <f>COUNTIFS('Error Log'!$A:$A,$A468,'Error Log'!$J:$J,F$1)</f>
        <v>0</v>
      </c>
      <c r="G468" s="70">
        <f>COUNTIFS('Error Log'!$A:$A,$A468,'Error Log'!$J:$J,G$1)</f>
        <v>0</v>
      </c>
      <c r="H468" s="70">
        <f>COUNTIFS('Error Log'!$A:$A,$A468,'Error Log'!$F:$F,"Source")</f>
        <v>0</v>
      </c>
      <c r="I468" s="70">
        <f>COUNTIFS('Error Log'!$A:$A,$A468,'Error Log'!$F:$F,"Target")</f>
        <v>0</v>
      </c>
      <c r="J468" s="71">
        <f t="shared" si="7"/>
        <v>0</v>
      </c>
    </row>
    <row r="469" spans="1:10">
      <c r="A469" s="81"/>
      <c r="B469" s="70" t="str">
        <f>IF(ISBLANK(A469),"",INDEX('Error Log'!$A:$J,MATCH('Scores per segment'!$A469,'Error Log'!$A:$A,0),MATCH('Scores per segment'!B$1,'Error Log'!$A$1:$J$1,0)))</f>
        <v/>
      </c>
      <c r="C469" s="70" t="str">
        <f>IF(ISBLANK(A469),"",INDEX('Error Log'!$A:$J,MATCH('Scores per segment'!$A469,'Error Log'!$A:$A,0),MATCH('Scores per segment'!C$1,'Error Log'!$A$1:$J$1,0)))</f>
        <v/>
      </c>
      <c r="D469" s="70">
        <f>IF(H469=0,wdct(TRIM(C469)),0)</f>
        <v>0</v>
      </c>
      <c r="E469" s="70">
        <f>COUNTIFS('Error Log'!$A:$A,$A469,'Error Log'!$J:$J,E$1)</f>
        <v>0</v>
      </c>
      <c r="F469" s="70">
        <f>COUNTIFS('Error Log'!$A:$A,$A469,'Error Log'!$J:$J,F$1)</f>
        <v>0</v>
      </c>
      <c r="G469" s="70">
        <f>COUNTIFS('Error Log'!$A:$A,$A469,'Error Log'!$J:$J,G$1)</f>
        <v>0</v>
      </c>
      <c r="H469" s="70">
        <f>COUNTIFS('Error Log'!$A:$A,$A469,'Error Log'!$F:$F,"Source")</f>
        <v>0</v>
      </c>
      <c r="I469" s="70">
        <f>COUNTIFS('Error Log'!$A:$A,$A469,'Error Log'!$F:$F,"Target")</f>
        <v>0</v>
      </c>
      <c r="J469" s="71">
        <f t="shared" si="7"/>
        <v>0</v>
      </c>
    </row>
    <row r="470" spans="1:10">
      <c r="A470" s="81"/>
      <c r="B470" s="70" t="str">
        <f>IF(ISBLANK(A470),"",INDEX('Error Log'!$A:$J,MATCH('Scores per segment'!$A470,'Error Log'!$A:$A,0),MATCH('Scores per segment'!B$1,'Error Log'!$A$1:$J$1,0)))</f>
        <v/>
      </c>
      <c r="C470" s="70" t="str">
        <f>IF(ISBLANK(A470),"",INDEX('Error Log'!$A:$J,MATCH('Scores per segment'!$A470,'Error Log'!$A:$A,0),MATCH('Scores per segment'!C$1,'Error Log'!$A$1:$J$1,0)))</f>
        <v/>
      </c>
      <c r="D470" s="70">
        <f>IF(H470=0,wdct(TRIM(C470)),0)</f>
        <v>0</v>
      </c>
      <c r="E470" s="70">
        <f>COUNTIFS('Error Log'!$A:$A,$A470,'Error Log'!$J:$J,E$1)</f>
        <v>0</v>
      </c>
      <c r="F470" s="70">
        <f>COUNTIFS('Error Log'!$A:$A,$A470,'Error Log'!$J:$J,F$1)</f>
        <v>0</v>
      </c>
      <c r="G470" s="70">
        <f>COUNTIFS('Error Log'!$A:$A,$A470,'Error Log'!$J:$J,G$1)</f>
        <v>0</v>
      </c>
      <c r="H470" s="70">
        <f>COUNTIFS('Error Log'!$A:$A,$A470,'Error Log'!$F:$F,"Source")</f>
        <v>0</v>
      </c>
      <c r="I470" s="70">
        <f>COUNTIFS('Error Log'!$A:$A,$A470,'Error Log'!$F:$F,"Target")</f>
        <v>0</v>
      </c>
      <c r="J470" s="71">
        <f t="shared" si="7"/>
        <v>0</v>
      </c>
    </row>
    <row r="471" spans="1:10">
      <c r="A471" s="81"/>
      <c r="B471" s="70" t="str">
        <f>IF(ISBLANK(A471),"",INDEX('Error Log'!$A:$J,MATCH('Scores per segment'!$A471,'Error Log'!$A:$A,0),MATCH('Scores per segment'!B$1,'Error Log'!$A$1:$J$1,0)))</f>
        <v/>
      </c>
      <c r="C471" s="70" t="str">
        <f>IF(ISBLANK(A471),"",INDEX('Error Log'!$A:$J,MATCH('Scores per segment'!$A471,'Error Log'!$A:$A,0),MATCH('Scores per segment'!C$1,'Error Log'!$A$1:$J$1,0)))</f>
        <v/>
      </c>
      <c r="D471" s="70">
        <f>IF(H471=0,wdct(TRIM(C471)),0)</f>
        <v>0</v>
      </c>
      <c r="E471" s="70">
        <f>COUNTIFS('Error Log'!$A:$A,$A471,'Error Log'!$J:$J,E$1)</f>
        <v>0</v>
      </c>
      <c r="F471" s="70">
        <f>COUNTIFS('Error Log'!$A:$A,$A471,'Error Log'!$J:$J,F$1)</f>
        <v>0</v>
      </c>
      <c r="G471" s="70">
        <f>COUNTIFS('Error Log'!$A:$A,$A471,'Error Log'!$J:$J,G$1)</f>
        <v>0</v>
      </c>
      <c r="H471" s="70">
        <f>COUNTIFS('Error Log'!$A:$A,$A471,'Error Log'!$F:$F,"Source")</f>
        <v>0</v>
      </c>
      <c r="I471" s="70">
        <f>COUNTIFS('Error Log'!$A:$A,$A471,'Error Log'!$F:$F,"Target")</f>
        <v>0</v>
      </c>
      <c r="J471" s="71">
        <f t="shared" si="7"/>
        <v>0</v>
      </c>
    </row>
    <row r="472" spans="1:10">
      <c r="A472" s="81"/>
      <c r="B472" s="70" t="str">
        <f>IF(ISBLANK(A472),"",INDEX('Error Log'!$A:$J,MATCH('Scores per segment'!$A472,'Error Log'!$A:$A,0),MATCH('Scores per segment'!B$1,'Error Log'!$A$1:$J$1,0)))</f>
        <v/>
      </c>
      <c r="C472" s="70" t="str">
        <f>IF(ISBLANK(A472),"",INDEX('Error Log'!$A:$J,MATCH('Scores per segment'!$A472,'Error Log'!$A:$A,0),MATCH('Scores per segment'!C$1,'Error Log'!$A$1:$J$1,0)))</f>
        <v/>
      </c>
      <c r="D472" s="70">
        <f>IF(H472=0,wdct(TRIM(C472)),0)</f>
        <v>0</v>
      </c>
      <c r="E472" s="70">
        <f>COUNTIFS('Error Log'!$A:$A,$A472,'Error Log'!$J:$J,E$1)</f>
        <v>0</v>
      </c>
      <c r="F472" s="70">
        <f>COUNTIFS('Error Log'!$A:$A,$A472,'Error Log'!$J:$J,F$1)</f>
        <v>0</v>
      </c>
      <c r="G472" s="70">
        <f>COUNTIFS('Error Log'!$A:$A,$A472,'Error Log'!$J:$J,G$1)</f>
        <v>0</v>
      </c>
      <c r="H472" s="70">
        <f>COUNTIFS('Error Log'!$A:$A,$A472,'Error Log'!$F:$F,"Source")</f>
        <v>0</v>
      </c>
      <c r="I472" s="70">
        <f>COUNTIFS('Error Log'!$A:$A,$A472,'Error Log'!$F:$F,"Target")</f>
        <v>0</v>
      </c>
      <c r="J472" s="71">
        <f t="shared" si="7"/>
        <v>0</v>
      </c>
    </row>
    <row r="473" spans="1:10">
      <c r="A473" s="81"/>
      <c r="B473" s="70" t="str">
        <f>IF(ISBLANK(A473),"",INDEX('Error Log'!$A:$J,MATCH('Scores per segment'!$A473,'Error Log'!$A:$A,0),MATCH('Scores per segment'!B$1,'Error Log'!$A$1:$J$1,0)))</f>
        <v/>
      </c>
      <c r="C473" s="70" t="str">
        <f>IF(ISBLANK(A473),"",INDEX('Error Log'!$A:$J,MATCH('Scores per segment'!$A473,'Error Log'!$A:$A,0),MATCH('Scores per segment'!C$1,'Error Log'!$A$1:$J$1,0)))</f>
        <v/>
      </c>
      <c r="D473" s="70">
        <f>IF(H473=0,wdct(TRIM(C473)),0)</f>
        <v>0</v>
      </c>
      <c r="E473" s="70">
        <f>COUNTIFS('Error Log'!$A:$A,$A473,'Error Log'!$J:$J,E$1)</f>
        <v>0</v>
      </c>
      <c r="F473" s="70">
        <f>COUNTIFS('Error Log'!$A:$A,$A473,'Error Log'!$J:$J,F$1)</f>
        <v>0</v>
      </c>
      <c r="G473" s="70">
        <f>COUNTIFS('Error Log'!$A:$A,$A473,'Error Log'!$J:$J,G$1)</f>
        <v>0</v>
      </c>
      <c r="H473" s="70">
        <f>COUNTIFS('Error Log'!$A:$A,$A473,'Error Log'!$F:$F,"Source")</f>
        <v>0</v>
      </c>
      <c r="I473" s="70">
        <f>COUNTIFS('Error Log'!$A:$A,$A473,'Error Log'!$F:$F,"Target")</f>
        <v>0</v>
      </c>
      <c r="J473" s="71">
        <f t="shared" si="7"/>
        <v>0</v>
      </c>
    </row>
    <row r="474" spans="1:10">
      <c r="A474" s="81"/>
      <c r="B474" s="70" t="str">
        <f>IF(ISBLANK(A474),"",INDEX('Error Log'!$A:$J,MATCH('Scores per segment'!$A474,'Error Log'!$A:$A,0),MATCH('Scores per segment'!B$1,'Error Log'!$A$1:$J$1,0)))</f>
        <v/>
      </c>
      <c r="C474" s="70" t="str">
        <f>IF(ISBLANK(A474),"",INDEX('Error Log'!$A:$J,MATCH('Scores per segment'!$A474,'Error Log'!$A:$A,0),MATCH('Scores per segment'!C$1,'Error Log'!$A$1:$J$1,0)))</f>
        <v/>
      </c>
      <c r="D474" s="70">
        <f>IF(H474=0,wdct(TRIM(C474)),0)</f>
        <v>0</v>
      </c>
      <c r="E474" s="70">
        <f>COUNTIFS('Error Log'!$A:$A,$A474,'Error Log'!$J:$J,E$1)</f>
        <v>0</v>
      </c>
      <c r="F474" s="70">
        <f>COUNTIFS('Error Log'!$A:$A,$A474,'Error Log'!$J:$J,F$1)</f>
        <v>0</v>
      </c>
      <c r="G474" s="70">
        <f>COUNTIFS('Error Log'!$A:$A,$A474,'Error Log'!$J:$J,G$1)</f>
        <v>0</v>
      </c>
      <c r="H474" s="70">
        <f>COUNTIFS('Error Log'!$A:$A,$A474,'Error Log'!$F:$F,"Source")</f>
        <v>0</v>
      </c>
      <c r="I474" s="70">
        <f>COUNTIFS('Error Log'!$A:$A,$A474,'Error Log'!$F:$F,"Target")</f>
        <v>0</v>
      </c>
      <c r="J474" s="71">
        <f t="shared" si="7"/>
        <v>0</v>
      </c>
    </row>
    <row r="475" spans="1:10">
      <c r="A475" s="81"/>
      <c r="B475" s="70" t="str">
        <f>IF(ISBLANK(A475),"",INDEX('Error Log'!$A:$J,MATCH('Scores per segment'!$A475,'Error Log'!$A:$A,0),MATCH('Scores per segment'!B$1,'Error Log'!$A$1:$J$1,0)))</f>
        <v/>
      </c>
      <c r="C475" s="70" t="str">
        <f>IF(ISBLANK(A475),"",INDEX('Error Log'!$A:$J,MATCH('Scores per segment'!$A475,'Error Log'!$A:$A,0),MATCH('Scores per segment'!C$1,'Error Log'!$A$1:$J$1,0)))</f>
        <v/>
      </c>
      <c r="D475" s="70">
        <f>IF(H475=0,wdct(TRIM(C475)),0)</f>
        <v>0</v>
      </c>
      <c r="E475" s="70">
        <f>COUNTIFS('Error Log'!$A:$A,$A475,'Error Log'!$J:$J,E$1)</f>
        <v>0</v>
      </c>
      <c r="F475" s="70">
        <f>COUNTIFS('Error Log'!$A:$A,$A475,'Error Log'!$J:$J,F$1)</f>
        <v>0</v>
      </c>
      <c r="G475" s="70">
        <f>COUNTIFS('Error Log'!$A:$A,$A475,'Error Log'!$J:$J,G$1)</f>
        <v>0</v>
      </c>
      <c r="H475" s="70">
        <f>COUNTIFS('Error Log'!$A:$A,$A475,'Error Log'!$F:$F,"Source")</f>
        <v>0</v>
      </c>
      <c r="I475" s="70">
        <f>COUNTIFS('Error Log'!$A:$A,$A475,'Error Log'!$F:$F,"Target")</f>
        <v>0</v>
      </c>
      <c r="J475" s="71">
        <f t="shared" si="7"/>
        <v>0</v>
      </c>
    </row>
    <row r="476" spans="1:10">
      <c r="A476" s="81"/>
      <c r="B476" s="70" t="str">
        <f>IF(ISBLANK(A476),"",INDEX('Error Log'!$A:$J,MATCH('Scores per segment'!$A476,'Error Log'!$A:$A,0),MATCH('Scores per segment'!B$1,'Error Log'!$A$1:$J$1,0)))</f>
        <v/>
      </c>
      <c r="C476" s="70" t="str">
        <f>IF(ISBLANK(A476),"",INDEX('Error Log'!$A:$J,MATCH('Scores per segment'!$A476,'Error Log'!$A:$A,0),MATCH('Scores per segment'!C$1,'Error Log'!$A$1:$J$1,0)))</f>
        <v/>
      </c>
      <c r="D476" s="70">
        <f>IF(H476=0,wdct(TRIM(C476)),0)</f>
        <v>0</v>
      </c>
      <c r="E476" s="70">
        <f>COUNTIFS('Error Log'!$A:$A,$A476,'Error Log'!$J:$J,E$1)</f>
        <v>0</v>
      </c>
      <c r="F476" s="70">
        <f>COUNTIFS('Error Log'!$A:$A,$A476,'Error Log'!$J:$J,F$1)</f>
        <v>0</v>
      </c>
      <c r="G476" s="70">
        <f>COUNTIFS('Error Log'!$A:$A,$A476,'Error Log'!$J:$J,G$1)</f>
        <v>0</v>
      </c>
      <c r="H476" s="70">
        <f>COUNTIFS('Error Log'!$A:$A,$A476,'Error Log'!$F:$F,"Source")</f>
        <v>0</v>
      </c>
      <c r="I476" s="70">
        <f>COUNTIFS('Error Log'!$A:$A,$A476,'Error Log'!$F:$F,"Target")</f>
        <v>0</v>
      </c>
      <c r="J476" s="71">
        <f t="shared" si="7"/>
        <v>0</v>
      </c>
    </row>
    <row r="477" spans="1:10">
      <c r="A477" s="81"/>
      <c r="B477" s="70" t="str">
        <f>IF(ISBLANK(A477),"",INDEX('Error Log'!$A:$J,MATCH('Scores per segment'!$A477,'Error Log'!$A:$A,0),MATCH('Scores per segment'!B$1,'Error Log'!$A$1:$J$1,0)))</f>
        <v/>
      </c>
      <c r="C477" s="70" t="str">
        <f>IF(ISBLANK(A477),"",INDEX('Error Log'!$A:$J,MATCH('Scores per segment'!$A477,'Error Log'!$A:$A,0),MATCH('Scores per segment'!C$1,'Error Log'!$A$1:$J$1,0)))</f>
        <v/>
      </c>
      <c r="D477" s="70">
        <f>IF(H477=0,wdct(TRIM(C477)),0)</f>
        <v>0</v>
      </c>
      <c r="E477" s="70">
        <f>COUNTIFS('Error Log'!$A:$A,$A477,'Error Log'!$J:$J,E$1)</f>
        <v>0</v>
      </c>
      <c r="F477" s="70">
        <f>COUNTIFS('Error Log'!$A:$A,$A477,'Error Log'!$J:$J,F$1)</f>
        <v>0</v>
      </c>
      <c r="G477" s="70">
        <f>COUNTIFS('Error Log'!$A:$A,$A477,'Error Log'!$J:$J,G$1)</f>
        <v>0</v>
      </c>
      <c r="H477" s="70">
        <f>COUNTIFS('Error Log'!$A:$A,$A477,'Error Log'!$F:$F,"Source")</f>
        <v>0</v>
      </c>
      <c r="I477" s="70">
        <f>COUNTIFS('Error Log'!$A:$A,$A477,'Error Log'!$F:$F,"Target")</f>
        <v>0</v>
      </c>
      <c r="J477" s="71">
        <f t="shared" si="7"/>
        <v>0</v>
      </c>
    </row>
    <row r="478" spans="1:10">
      <c r="A478" s="81"/>
      <c r="B478" s="70" t="str">
        <f>IF(ISBLANK(A478),"",INDEX('Error Log'!$A:$J,MATCH('Scores per segment'!$A478,'Error Log'!$A:$A,0),MATCH('Scores per segment'!B$1,'Error Log'!$A$1:$J$1,0)))</f>
        <v/>
      </c>
      <c r="C478" s="70" t="str">
        <f>IF(ISBLANK(A478),"",INDEX('Error Log'!$A:$J,MATCH('Scores per segment'!$A478,'Error Log'!$A:$A,0),MATCH('Scores per segment'!C$1,'Error Log'!$A$1:$J$1,0)))</f>
        <v/>
      </c>
      <c r="D478" s="70">
        <f>IF(H478=0,wdct(TRIM(C478)),0)</f>
        <v>0</v>
      </c>
      <c r="E478" s="70">
        <f>COUNTIFS('Error Log'!$A:$A,$A478,'Error Log'!$J:$J,E$1)</f>
        <v>0</v>
      </c>
      <c r="F478" s="70">
        <f>COUNTIFS('Error Log'!$A:$A,$A478,'Error Log'!$J:$J,F$1)</f>
        <v>0</v>
      </c>
      <c r="G478" s="70">
        <f>COUNTIFS('Error Log'!$A:$A,$A478,'Error Log'!$J:$J,G$1)</f>
        <v>0</v>
      </c>
      <c r="H478" s="70">
        <f>COUNTIFS('Error Log'!$A:$A,$A478,'Error Log'!$F:$F,"Source")</f>
        <v>0</v>
      </c>
      <c r="I478" s="70">
        <f>COUNTIFS('Error Log'!$A:$A,$A478,'Error Log'!$F:$F,"Target")</f>
        <v>0</v>
      </c>
      <c r="J478" s="71">
        <f t="shared" si="7"/>
        <v>0</v>
      </c>
    </row>
    <row r="479" spans="1:10">
      <c r="A479" s="81"/>
      <c r="B479" s="70" t="str">
        <f>IF(ISBLANK(A479),"",INDEX('Error Log'!$A:$J,MATCH('Scores per segment'!$A479,'Error Log'!$A:$A,0),MATCH('Scores per segment'!B$1,'Error Log'!$A$1:$J$1,0)))</f>
        <v/>
      </c>
      <c r="C479" s="70" t="str">
        <f>IF(ISBLANK(A479),"",INDEX('Error Log'!$A:$J,MATCH('Scores per segment'!$A479,'Error Log'!$A:$A,0),MATCH('Scores per segment'!C$1,'Error Log'!$A$1:$J$1,0)))</f>
        <v/>
      </c>
      <c r="D479" s="70">
        <f>IF(H479=0,wdct(TRIM(C479)),0)</f>
        <v>0</v>
      </c>
      <c r="E479" s="70">
        <f>COUNTIFS('Error Log'!$A:$A,$A479,'Error Log'!$J:$J,E$1)</f>
        <v>0</v>
      </c>
      <c r="F479" s="70">
        <f>COUNTIFS('Error Log'!$A:$A,$A479,'Error Log'!$J:$J,F$1)</f>
        <v>0</v>
      </c>
      <c r="G479" s="70">
        <f>COUNTIFS('Error Log'!$A:$A,$A479,'Error Log'!$J:$J,G$1)</f>
        <v>0</v>
      </c>
      <c r="H479" s="70">
        <f>COUNTIFS('Error Log'!$A:$A,$A479,'Error Log'!$F:$F,"Source")</f>
        <v>0</v>
      </c>
      <c r="I479" s="70">
        <f>COUNTIFS('Error Log'!$A:$A,$A479,'Error Log'!$F:$F,"Target")</f>
        <v>0</v>
      </c>
      <c r="J479" s="71">
        <f t="shared" si="7"/>
        <v>0</v>
      </c>
    </row>
    <row r="480" spans="1:10">
      <c r="A480" s="81"/>
      <c r="B480" s="70" t="str">
        <f>IF(ISBLANK(A480),"",INDEX('Error Log'!$A:$J,MATCH('Scores per segment'!$A480,'Error Log'!$A:$A,0),MATCH('Scores per segment'!B$1,'Error Log'!$A$1:$J$1,0)))</f>
        <v/>
      </c>
      <c r="C480" s="70" t="str">
        <f>IF(ISBLANK(A480),"",INDEX('Error Log'!$A:$J,MATCH('Scores per segment'!$A480,'Error Log'!$A:$A,0),MATCH('Scores per segment'!C$1,'Error Log'!$A$1:$J$1,0)))</f>
        <v/>
      </c>
      <c r="D480" s="70">
        <f>IF(H480=0,wdct(TRIM(C480)),0)</f>
        <v>0</v>
      </c>
      <c r="E480" s="70">
        <f>COUNTIFS('Error Log'!$A:$A,$A480,'Error Log'!$J:$J,E$1)</f>
        <v>0</v>
      </c>
      <c r="F480" s="70">
        <f>COUNTIFS('Error Log'!$A:$A,$A480,'Error Log'!$J:$J,F$1)</f>
        <v>0</v>
      </c>
      <c r="G480" s="70">
        <f>COUNTIFS('Error Log'!$A:$A,$A480,'Error Log'!$J:$J,G$1)</f>
        <v>0</v>
      </c>
      <c r="H480" s="70">
        <f>COUNTIFS('Error Log'!$A:$A,$A480,'Error Log'!$F:$F,"Source")</f>
        <v>0</v>
      </c>
      <c r="I480" s="70">
        <f>COUNTIFS('Error Log'!$A:$A,$A480,'Error Log'!$F:$F,"Target")</f>
        <v>0</v>
      </c>
      <c r="J480" s="71">
        <f t="shared" si="7"/>
        <v>0</v>
      </c>
    </row>
    <row r="481" spans="1:10">
      <c r="A481" s="81"/>
      <c r="B481" s="70" t="str">
        <f>IF(ISBLANK(A481),"",INDEX('Error Log'!$A:$J,MATCH('Scores per segment'!$A481,'Error Log'!$A:$A,0),MATCH('Scores per segment'!B$1,'Error Log'!$A$1:$J$1,0)))</f>
        <v/>
      </c>
      <c r="C481" s="70" t="str">
        <f>IF(ISBLANK(A481),"",INDEX('Error Log'!$A:$J,MATCH('Scores per segment'!$A481,'Error Log'!$A:$A,0),MATCH('Scores per segment'!C$1,'Error Log'!$A$1:$J$1,0)))</f>
        <v/>
      </c>
      <c r="D481" s="70">
        <f>IF(H481=0,wdct(TRIM(C481)),0)</f>
        <v>0</v>
      </c>
      <c r="E481" s="70">
        <f>COUNTIFS('Error Log'!$A:$A,$A481,'Error Log'!$J:$J,E$1)</f>
        <v>0</v>
      </c>
      <c r="F481" s="70">
        <f>COUNTIFS('Error Log'!$A:$A,$A481,'Error Log'!$J:$J,F$1)</f>
        <v>0</v>
      </c>
      <c r="G481" s="70">
        <f>COUNTIFS('Error Log'!$A:$A,$A481,'Error Log'!$J:$J,G$1)</f>
        <v>0</v>
      </c>
      <c r="H481" s="70">
        <f>COUNTIFS('Error Log'!$A:$A,$A481,'Error Log'!$F:$F,"Source")</f>
        <v>0</v>
      </c>
      <c r="I481" s="70">
        <f>COUNTIFS('Error Log'!$A:$A,$A481,'Error Log'!$F:$F,"Target")</f>
        <v>0</v>
      </c>
      <c r="J481" s="71">
        <f t="shared" si="7"/>
        <v>0</v>
      </c>
    </row>
    <row r="482" spans="1:10">
      <c r="A482" s="81"/>
      <c r="B482" s="70" t="str">
        <f>IF(ISBLANK(A482),"",INDEX('Error Log'!$A:$J,MATCH('Scores per segment'!$A482,'Error Log'!$A:$A,0),MATCH('Scores per segment'!B$1,'Error Log'!$A$1:$J$1,0)))</f>
        <v/>
      </c>
      <c r="C482" s="70" t="str">
        <f>IF(ISBLANK(A482),"",INDEX('Error Log'!$A:$J,MATCH('Scores per segment'!$A482,'Error Log'!$A:$A,0),MATCH('Scores per segment'!C$1,'Error Log'!$A$1:$J$1,0)))</f>
        <v/>
      </c>
      <c r="D482" s="70">
        <f>IF(H482=0,wdct(TRIM(C482)),0)</f>
        <v>0</v>
      </c>
      <c r="E482" s="70">
        <f>COUNTIFS('Error Log'!$A:$A,$A482,'Error Log'!$J:$J,E$1)</f>
        <v>0</v>
      </c>
      <c r="F482" s="70">
        <f>COUNTIFS('Error Log'!$A:$A,$A482,'Error Log'!$J:$J,F$1)</f>
        <v>0</v>
      </c>
      <c r="G482" s="70">
        <f>COUNTIFS('Error Log'!$A:$A,$A482,'Error Log'!$J:$J,G$1)</f>
        <v>0</v>
      </c>
      <c r="H482" s="70">
        <f>COUNTIFS('Error Log'!$A:$A,$A482,'Error Log'!$F:$F,"Source")</f>
        <v>0</v>
      </c>
      <c r="I482" s="70">
        <f>COUNTIFS('Error Log'!$A:$A,$A482,'Error Log'!$F:$F,"Target")</f>
        <v>0</v>
      </c>
      <c r="J482" s="71">
        <f t="shared" si="7"/>
        <v>0</v>
      </c>
    </row>
    <row r="483" spans="1:10">
      <c r="A483" s="81"/>
      <c r="B483" s="70" t="str">
        <f>IF(ISBLANK(A483),"",INDEX('Error Log'!$A:$J,MATCH('Scores per segment'!$A483,'Error Log'!$A:$A,0),MATCH('Scores per segment'!B$1,'Error Log'!$A$1:$J$1,0)))</f>
        <v/>
      </c>
      <c r="C483" s="70" t="str">
        <f>IF(ISBLANK(A483),"",INDEX('Error Log'!$A:$J,MATCH('Scores per segment'!$A483,'Error Log'!$A:$A,0),MATCH('Scores per segment'!C$1,'Error Log'!$A$1:$J$1,0)))</f>
        <v/>
      </c>
      <c r="D483" s="70">
        <f>IF(H483=0,wdct(TRIM(C483)),0)</f>
        <v>0</v>
      </c>
      <c r="E483" s="70">
        <f>COUNTIFS('Error Log'!$A:$A,$A483,'Error Log'!$J:$J,E$1)</f>
        <v>0</v>
      </c>
      <c r="F483" s="70">
        <f>COUNTIFS('Error Log'!$A:$A,$A483,'Error Log'!$J:$J,F$1)</f>
        <v>0</v>
      </c>
      <c r="G483" s="70">
        <f>COUNTIFS('Error Log'!$A:$A,$A483,'Error Log'!$J:$J,G$1)</f>
        <v>0</v>
      </c>
      <c r="H483" s="70">
        <f>COUNTIFS('Error Log'!$A:$A,$A483,'Error Log'!$F:$F,"Source")</f>
        <v>0</v>
      </c>
      <c r="I483" s="70">
        <f>COUNTIFS('Error Log'!$A:$A,$A483,'Error Log'!$F:$F,"Target")</f>
        <v>0</v>
      </c>
      <c r="J483" s="71">
        <f t="shared" si="7"/>
        <v>0</v>
      </c>
    </row>
    <row r="484" spans="1:10">
      <c r="A484" s="81"/>
      <c r="B484" s="70" t="str">
        <f>IF(ISBLANK(A484),"",INDEX('Error Log'!$A:$J,MATCH('Scores per segment'!$A484,'Error Log'!$A:$A,0),MATCH('Scores per segment'!B$1,'Error Log'!$A$1:$J$1,0)))</f>
        <v/>
      </c>
      <c r="C484" s="70" t="str">
        <f>IF(ISBLANK(A484),"",INDEX('Error Log'!$A:$J,MATCH('Scores per segment'!$A484,'Error Log'!$A:$A,0),MATCH('Scores per segment'!C$1,'Error Log'!$A$1:$J$1,0)))</f>
        <v/>
      </c>
      <c r="D484" s="70">
        <f>IF(H484=0,wdct(TRIM(C484)),0)</f>
        <v>0</v>
      </c>
      <c r="E484" s="70">
        <f>COUNTIFS('Error Log'!$A:$A,$A484,'Error Log'!$J:$J,E$1)</f>
        <v>0</v>
      </c>
      <c r="F484" s="70">
        <f>COUNTIFS('Error Log'!$A:$A,$A484,'Error Log'!$J:$J,F$1)</f>
        <v>0</v>
      </c>
      <c r="G484" s="70">
        <f>COUNTIFS('Error Log'!$A:$A,$A484,'Error Log'!$J:$J,G$1)</f>
        <v>0</v>
      </c>
      <c r="H484" s="70">
        <f>COUNTIFS('Error Log'!$A:$A,$A484,'Error Log'!$F:$F,"Source")</f>
        <v>0</v>
      </c>
      <c r="I484" s="70">
        <f>COUNTIFS('Error Log'!$A:$A,$A484,'Error Log'!$F:$F,"Target")</f>
        <v>0</v>
      </c>
      <c r="J484" s="71">
        <f t="shared" si="7"/>
        <v>0</v>
      </c>
    </row>
    <row r="485" spans="1:10">
      <c r="A485" s="81"/>
      <c r="B485" s="70" t="str">
        <f>IF(ISBLANK(A485),"",INDEX('Error Log'!$A:$J,MATCH('Scores per segment'!$A485,'Error Log'!$A:$A,0),MATCH('Scores per segment'!B$1,'Error Log'!$A$1:$J$1,0)))</f>
        <v/>
      </c>
      <c r="C485" s="70" t="str">
        <f>IF(ISBLANK(A485),"",INDEX('Error Log'!$A:$J,MATCH('Scores per segment'!$A485,'Error Log'!$A:$A,0),MATCH('Scores per segment'!C$1,'Error Log'!$A$1:$J$1,0)))</f>
        <v/>
      </c>
      <c r="D485" s="70">
        <f>IF(H485=0,wdct(TRIM(C485)),0)</f>
        <v>0</v>
      </c>
      <c r="E485" s="70">
        <f>COUNTIFS('Error Log'!$A:$A,$A485,'Error Log'!$J:$J,E$1)</f>
        <v>0</v>
      </c>
      <c r="F485" s="70">
        <f>COUNTIFS('Error Log'!$A:$A,$A485,'Error Log'!$J:$J,F$1)</f>
        <v>0</v>
      </c>
      <c r="G485" s="70">
        <f>COUNTIFS('Error Log'!$A:$A,$A485,'Error Log'!$J:$J,G$1)</f>
        <v>0</v>
      </c>
      <c r="H485" s="70">
        <f>COUNTIFS('Error Log'!$A:$A,$A485,'Error Log'!$F:$F,"Source")</f>
        <v>0</v>
      </c>
      <c r="I485" s="70">
        <f>COUNTIFS('Error Log'!$A:$A,$A485,'Error Log'!$F:$F,"Target")</f>
        <v>0</v>
      </c>
      <c r="J485" s="71">
        <f t="shared" si="7"/>
        <v>0</v>
      </c>
    </row>
    <row r="486" spans="1:10">
      <c r="A486" s="81"/>
      <c r="B486" s="70" t="str">
        <f>IF(ISBLANK(A486),"",INDEX('Error Log'!$A:$J,MATCH('Scores per segment'!$A486,'Error Log'!$A:$A,0),MATCH('Scores per segment'!B$1,'Error Log'!$A$1:$J$1,0)))</f>
        <v/>
      </c>
      <c r="C486" s="70" t="str">
        <f>IF(ISBLANK(A486),"",INDEX('Error Log'!$A:$J,MATCH('Scores per segment'!$A486,'Error Log'!$A:$A,0),MATCH('Scores per segment'!C$1,'Error Log'!$A$1:$J$1,0)))</f>
        <v/>
      </c>
      <c r="D486" s="70">
        <f>IF(H486=0,wdct(TRIM(C486)),0)</f>
        <v>0</v>
      </c>
      <c r="E486" s="70">
        <f>COUNTIFS('Error Log'!$A:$A,$A486,'Error Log'!$J:$J,E$1)</f>
        <v>0</v>
      </c>
      <c r="F486" s="70">
        <f>COUNTIFS('Error Log'!$A:$A,$A486,'Error Log'!$J:$J,F$1)</f>
        <v>0</v>
      </c>
      <c r="G486" s="70">
        <f>COUNTIFS('Error Log'!$A:$A,$A486,'Error Log'!$J:$J,G$1)</f>
        <v>0</v>
      </c>
      <c r="H486" s="70">
        <f>COUNTIFS('Error Log'!$A:$A,$A486,'Error Log'!$F:$F,"Source")</f>
        <v>0</v>
      </c>
      <c r="I486" s="70">
        <f>COUNTIFS('Error Log'!$A:$A,$A486,'Error Log'!$F:$F,"Target")</f>
        <v>0</v>
      </c>
      <c r="J486" s="71">
        <f t="shared" si="7"/>
        <v>0</v>
      </c>
    </row>
    <row r="487" spans="1:10">
      <c r="A487" s="81"/>
      <c r="B487" s="70" t="str">
        <f>IF(ISBLANK(A487),"",INDEX('Error Log'!$A:$J,MATCH('Scores per segment'!$A487,'Error Log'!$A:$A,0),MATCH('Scores per segment'!B$1,'Error Log'!$A$1:$J$1,0)))</f>
        <v/>
      </c>
      <c r="C487" s="70" t="str">
        <f>IF(ISBLANK(A487),"",INDEX('Error Log'!$A:$J,MATCH('Scores per segment'!$A487,'Error Log'!$A:$A,0),MATCH('Scores per segment'!C$1,'Error Log'!$A$1:$J$1,0)))</f>
        <v/>
      </c>
      <c r="D487" s="70">
        <f>IF(H487=0,wdct(TRIM(C487)),0)</f>
        <v>0</v>
      </c>
      <c r="E487" s="70">
        <f>COUNTIFS('Error Log'!$A:$A,$A487,'Error Log'!$J:$J,E$1)</f>
        <v>0</v>
      </c>
      <c r="F487" s="70">
        <f>COUNTIFS('Error Log'!$A:$A,$A487,'Error Log'!$J:$J,F$1)</f>
        <v>0</v>
      </c>
      <c r="G487" s="70">
        <f>COUNTIFS('Error Log'!$A:$A,$A487,'Error Log'!$J:$J,G$1)</f>
        <v>0</v>
      </c>
      <c r="H487" s="70">
        <f>COUNTIFS('Error Log'!$A:$A,$A487,'Error Log'!$F:$F,"Source")</f>
        <v>0</v>
      </c>
      <c r="I487" s="70">
        <f>COUNTIFS('Error Log'!$A:$A,$A487,'Error Log'!$F:$F,"Target")</f>
        <v>0</v>
      </c>
      <c r="J487" s="71">
        <f t="shared" si="7"/>
        <v>0</v>
      </c>
    </row>
    <row r="488" spans="1:10">
      <c r="A488" s="81"/>
      <c r="B488" s="70" t="str">
        <f>IF(ISBLANK(A488),"",INDEX('Error Log'!$A:$J,MATCH('Scores per segment'!$A488,'Error Log'!$A:$A,0),MATCH('Scores per segment'!B$1,'Error Log'!$A$1:$J$1,0)))</f>
        <v/>
      </c>
      <c r="C488" s="70" t="str">
        <f>IF(ISBLANK(A488),"",INDEX('Error Log'!$A:$J,MATCH('Scores per segment'!$A488,'Error Log'!$A:$A,0),MATCH('Scores per segment'!C$1,'Error Log'!$A$1:$J$1,0)))</f>
        <v/>
      </c>
      <c r="D488" s="70">
        <f>IF(H488=0,wdct(TRIM(C488)),0)</f>
        <v>0</v>
      </c>
      <c r="E488" s="70">
        <f>COUNTIFS('Error Log'!$A:$A,$A488,'Error Log'!$J:$J,E$1)</f>
        <v>0</v>
      </c>
      <c r="F488" s="70">
        <f>COUNTIFS('Error Log'!$A:$A,$A488,'Error Log'!$J:$J,F$1)</f>
        <v>0</v>
      </c>
      <c r="G488" s="70">
        <f>COUNTIFS('Error Log'!$A:$A,$A488,'Error Log'!$J:$J,G$1)</f>
        <v>0</v>
      </c>
      <c r="H488" s="70">
        <f>COUNTIFS('Error Log'!$A:$A,$A488,'Error Log'!$F:$F,"Source")</f>
        <v>0</v>
      </c>
      <c r="I488" s="70">
        <f>COUNTIFS('Error Log'!$A:$A,$A488,'Error Log'!$F:$F,"Target")</f>
        <v>0</v>
      </c>
      <c r="J488" s="71">
        <f t="shared" si="7"/>
        <v>0</v>
      </c>
    </row>
    <row r="489" spans="1:10">
      <c r="A489" s="81"/>
      <c r="B489" s="70" t="str">
        <f>IF(ISBLANK(A489),"",INDEX('Error Log'!$A:$J,MATCH('Scores per segment'!$A489,'Error Log'!$A:$A,0),MATCH('Scores per segment'!B$1,'Error Log'!$A$1:$J$1,0)))</f>
        <v/>
      </c>
      <c r="C489" s="70" t="str">
        <f>IF(ISBLANK(A489),"",INDEX('Error Log'!$A:$J,MATCH('Scores per segment'!$A489,'Error Log'!$A:$A,0),MATCH('Scores per segment'!C$1,'Error Log'!$A$1:$J$1,0)))</f>
        <v/>
      </c>
      <c r="D489" s="70">
        <f>IF(H489=0,wdct(TRIM(C489)),0)</f>
        <v>0</v>
      </c>
      <c r="E489" s="70">
        <f>COUNTIFS('Error Log'!$A:$A,$A489,'Error Log'!$J:$J,E$1)</f>
        <v>0</v>
      </c>
      <c r="F489" s="70">
        <f>COUNTIFS('Error Log'!$A:$A,$A489,'Error Log'!$J:$J,F$1)</f>
        <v>0</v>
      </c>
      <c r="G489" s="70">
        <f>COUNTIFS('Error Log'!$A:$A,$A489,'Error Log'!$J:$J,G$1)</f>
        <v>0</v>
      </c>
      <c r="H489" s="70">
        <f>COUNTIFS('Error Log'!$A:$A,$A489,'Error Log'!$F:$F,"Source")</f>
        <v>0</v>
      </c>
      <c r="I489" s="70">
        <f>COUNTIFS('Error Log'!$A:$A,$A489,'Error Log'!$F:$F,"Target")</f>
        <v>0</v>
      </c>
      <c r="J489" s="71">
        <f t="shared" si="7"/>
        <v>0</v>
      </c>
    </row>
    <row r="490" spans="1:10">
      <c r="A490" s="81"/>
      <c r="B490" s="70" t="str">
        <f>IF(ISBLANK(A490),"",INDEX('Error Log'!$A:$J,MATCH('Scores per segment'!$A490,'Error Log'!$A:$A,0),MATCH('Scores per segment'!B$1,'Error Log'!$A$1:$J$1,0)))</f>
        <v/>
      </c>
      <c r="C490" s="70" t="str">
        <f>IF(ISBLANK(A490),"",INDEX('Error Log'!$A:$J,MATCH('Scores per segment'!$A490,'Error Log'!$A:$A,0),MATCH('Scores per segment'!C$1,'Error Log'!$A$1:$J$1,0)))</f>
        <v/>
      </c>
      <c r="D490" s="70">
        <f>IF(H490=0,wdct(TRIM(C490)),0)</f>
        <v>0</v>
      </c>
      <c r="E490" s="70">
        <f>COUNTIFS('Error Log'!$A:$A,$A490,'Error Log'!$J:$J,E$1)</f>
        <v>0</v>
      </c>
      <c r="F490" s="70">
        <f>COUNTIFS('Error Log'!$A:$A,$A490,'Error Log'!$J:$J,F$1)</f>
        <v>0</v>
      </c>
      <c r="G490" s="70">
        <f>COUNTIFS('Error Log'!$A:$A,$A490,'Error Log'!$J:$J,G$1)</f>
        <v>0</v>
      </c>
      <c r="H490" s="70">
        <f>COUNTIFS('Error Log'!$A:$A,$A490,'Error Log'!$F:$F,"Source")</f>
        <v>0</v>
      </c>
      <c r="I490" s="70">
        <f>COUNTIFS('Error Log'!$A:$A,$A490,'Error Log'!$F:$F,"Target")</f>
        <v>0</v>
      </c>
      <c r="J490" s="71">
        <f t="shared" si="7"/>
        <v>0</v>
      </c>
    </row>
    <row r="491" spans="1:10">
      <c r="A491" s="81"/>
      <c r="B491" s="70" t="str">
        <f>IF(ISBLANK(A491),"",INDEX('Error Log'!$A:$J,MATCH('Scores per segment'!$A491,'Error Log'!$A:$A,0),MATCH('Scores per segment'!B$1,'Error Log'!$A$1:$J$1,0)))</f>
        <v/>
      </c>
      <c r="C491" s="70" t="str">
        <f>IF(ISBLANK(A491),"",INDEX('Error Log'!$A:$J,MATCH('Scores per segment'!$A491,'Error Log'!$A:$A,0),MATCH('Scores per segment'!C$1,'Error Log'!$A$1:$J$1,0)))</f>
        <v/>
      </c>
      <c r="D491" s="70">
        <f>IF(H491=0,wdct(TRIM(C491)),0)</f>
        <v>0</v>
      </c>
      <c r="E491" s="70">
        <f>COUNTIFS('Error Log'!$A:$A,$A491,'Error Log'!$J:$J,E$1)</f>
        <v>0</v>
      </c>
      <c r="F491" s="70">
        <f>COUNTIFS('Error Log'!$A:$A,$A491,'Error Log'!$J:$J,F$1)</f>
        <v>0</v>
      </c>
      <c r="G491" s="70">
        <f>COUNTIFS('Error Log'!$A:$A,$A491,'Error Log'!$J:$J,G$1)</f>
        <v>0</v>
      </c>
      <c r="H491" s="70">
        <f>COUNTIFS('Error Log'!$A:$A,$A491,'Error Log'!$F:$F,"Source")</f>
        <v>0</v>
      </c>
      <c r="I491" s="70">
        <f>COUNTIFS('Error Log'!$A:$A,$A491,'Error Log'!$F:$F,"Target")</f>
        <v>0</v>
      </c>
      <c r="J491" s="71">
        <f t="shared" si="7"/>
        <v>0</v>
      </c>
    </row>
    <row r="492" spans="1:10">
      <c r="A492" s="81"/>
      <c r="B492" s="70" t="str">
        <f>IF(ISBLANK(A492),"",INDEX('Error Log'!$A:$J,MATCH('Scores per segment'!$A492,'Error Log'!$A:$A,0),MATCH('Scores per segment'!B$1,'Error Log'!$A$1:$J$1,0)))</f>
        <v/>
      </c>
      <c r="C492" s="70" t="str">
        <f>IF(ISBLANK(A492),"",INDEX('Error Log'!$A:$J,MATCH('Scores per segment'!$A492,'Error Log'!$A:$A,0),MATCH('Scores per segment'!C$1,'Error Log'!$A$1:$J$1,0)))</f>
        <v/>
      </c>
      <c r="D492" s="70">
        <f>IF(H492=0,wdct(TRIM(C492)),0)</f>
        <v>0</v>
      </c>
      <c r="E492" s="70">
        <f>COUNTIFS('Error Log'!$A:$A,$A492,'Error Log'!$J:$J,E$1)</f>
        <v>0</v>
      </c>
      <c r="F492" s="70">
        <f>COUNTIFS('Error Log'!$A:$A,$A492,'Error Log'!$J:$J,F$1)</f>
        <v>0</v>
      </c>
      <c r="G492" s="70">
        <f>COUNTIFS('Error Log'!$A:$A,$A492,'Error Log'!$J:$J,G$1)</f>
        <v>0</v>
      </c>
      <c r="H492" s="70">
        <f>COUNTIFS('Error Log'!$A:$A,$A492,'Error Log'!$F:$F,"Source")</f>
        <v>0</v>
      </c>
      <c r="I492" s="70">
        <f>COUNTIFS('Error Log'!$A:$A,$A492,'Error Log'!$F:$F,"Target")</f>
        <v>0</v>
      </c>
      <c r="J492" s="71">
        <f t="shared" si="7"/>
        <v>0</v>
      </c>
    </row>
    <row r="493" spans="1:10">
      <c r="A493" s="81"/>
      <c r="B493" s="70" t="str">
        <f>IF(ISBLANK(A493),"",INDEX('Error Log'!$A:$J,MATCH('Scores per segment'!$A493,'Error Log'!$A:$A,0),MATCH('Scores per segment'!B$1,'Error Log'!$A$1:$J$1,0)))</f>
        <v/>
      </c>
      <c r="C493" s="70" t="str">
        <f>IF(ISBLANK(A493),"",INDEX('Error Log'!$A:$J,MATCH('Scores per segment'!$A493,'Error Log'!$A:$A,0),MATCH('Scores per segment'!C$1,'Error Log'!$A$1:$J$1,0)))</f>
        <v/>
      </c>
      <c r="D493" s="70">
        <f>IF(H493=0,wdct(TRIM(C493)),0)</f>
        <v>0</v>
      </c>
      <c r="E493" s="70">
        <f>COUNTIFS('Error Log'!$A:$A,$A493,'Error Log'!$J:$J,E$1)</f>
        <v>0</v>
      </c>
      <c r="F493" s="70">
        <f>COUNTIFS('Error Log'!$A:$A,$A493,'Error Log'!$J:$J,F$1)</f>
        <v>0</v>
      </c>
      <c r="G493" s="70">
        <f>COUNTIFS('Error Log'!$A:$A,$A493,'Error Log'!$J:$J,G$1)</f>
        <v>0</v>
      </c>
      <c r="H493" s="70">
        <f>COUNTIFS('Error Log'!$A:$A,$A493,'Error Log'!$F:$F,"Source")</f>
        <v>0</v>
      </c>
      <c r="I493" s="70">
        <f>COUNTIFS('Error Log'!$A:$A,$A493,'Error Log'!$F:$F,"Target")</f>
        <v>0</v>
      </c>
      <c r="J493" s="71">
        <f t="shared" si="7"/>
        <v>0</v>
      </c>
    </row>
    <row r="494" spans="1:10">
      <c r="A494" s="81"/>
      <c r="B494" s="70" t="str">
        <f>IF(ISBLANK(A494),"",INDEX('Error Log'!$A:$J,MATCH('Scores per segment'!$A494,'Error Log'!$A:$A,0),MATCH('Scores per segment'!B$1,'Error Log'!$A$1:$J$1,0)))</f>
        <v/>
      </c>
      <c r="C494" s="70" t="str">
        <f>IF(ISBLANK(A494),"",INDEX('Error Log'!$A:$J,MATCH('Scores per segment'!$A494,'Error Log'!$A:$A,0),MATCH('Scores per segment'!C$1,'Error Log'!$A$1:$J$1,0)))</f>
        <v/>
      </c>
      <c r="D494" s="70">
        <f>IF(H494=0,wdct(TRIM(C494)),0)</f>
        <v>0</v>
      </c>
      <c r="E494" s="70">
        <f>COUNTIFS('Error Log'!$A:$A,$A494,'Error Log'!$J:$J,E$1)</f>
        <v>0</v>
      </c>
      <c r="F494" s="70">
        <f>COUNTIFS('Error Log'!$A:$A,$A494,'Error Log'!$J:$J,F$1)</f>
        <v>0</v>
      </c>
      <c r="G494" s="70">
        <f>COUNTIFS('Error Log'!$A:$A,$A494,'Error Log'!$J:$J,G$1)</f>
        <v>0</v>
      </c>
      <c r="H494" s="70">
        <f>COUNTIFS('Error Log'!$A:$A,$A494,'Error Log'!$F:$F,"Source")</f>
        <v>0</v>
      </c>
      <c r="I494" s="70">
        <f>COUNTIFS('Error Log'!$A:$A,$A494,'Error Log'!$F:$F,"Target")</f>
        <v>0</v>
      </c>
      <c r="J494" s="71">
        <f t="shared" si="7"/>
        <v>0</v>
      </c>
    </row>
    <row r="495" spans="1:10">
      <c r="A495" s="81"/>
      <c r="B495" s="70" t="str">
        <f>IF(ISBLANK(A495),"",INDEX('Error Log'!$A:$J,MATCH('Scores per segment'!$A495,'Error Log'!$A:$A,0),MATCH('Scores per segment'!B$1,'Error Log'!$A$1:$J$1,0)))</f>
        <v/>
      </c>
      <c r="C495" s="70" t="str">
        <f>IF(ISBLANK(A495),"",INDEX('Error Log'!$A:$J,MATCH('Scores per segment'!$A495,'Error Log'!$A:$A,0),MATCH('Scores per segment'!C$1,'Error Log'!$A$1:$J$1,0)))</f>
        <v/>
      </c>
      <c r="D495" s="70">
        <f>IF(H495=0,wdct(TRIM(C495)),0)</f>
        <v>0</v>
      </c>
      <c r="E495" s="70">
        <f>COUNTIFS('Error Log'!$A:$A,$A495,'Error Log'!$J:$J,E$1)</f>
        <v>0</v>
      </c>
      <c r="F495" s="70">
        <f>COUNTIFS('Error Log'!$A:$A,$A495,'Error Log'!$J:$J,F$1)</f>
        <v>0</v>
      </c>
      <c r="G495" s="70">
        <f>COUNTIFS('Error Log'!$A:$A,$A495,'Error Log'!$J:$J,G$1)</f>
        <v>0</v>
      </c>
      <c r="H495" s="70">
        <f>COUNTIFS('Error Log'!$A:$A,$A495,'Error Log'!$F:$F,"Source")</f>
        <v>0</v>
      </c>
      <c r="I495" s="70">
        <f>COUNTIFS('Error Log'!$A:$A,$A495,'Error Log'!$F:$F,"Target")</f>
        <v>0</v>
      </c>
      <c r="J495" s="71">
        <f t="shared" si="7"/>
        <v>0</v>
      </c>
    </row>
    <row r="496" spans="1:10">
      <c r="A496" s="81"/>
      <c r="B496" s="70" t="str">
        <f>IF(ISBLANK(A496),"",INDEX('Error Log'!$A:$J,MATCH('Scores per segment'!$A496,'Error Log'!$A:$A,0),MATCH('Scores per segment'!B$1,'Error Log'!$A$1:$J$1,0)))</f>
        <v/>
      </c>
      <c r="C496" s="70" t="str">
        <f>IF(ISBLANK(A496),"",INDEX('Error Log'!$A:$J,MATCH('Scores per segment'!$A496,'Error Log'!$A:$A,0),MATCH('Scores per segment'!C$1,'Error Log'!$A$1:$J$1,0)))</f>
        <v/>
      </c>
      <c r="D496" s="70">
        <f>IF(H496=0,wdct(TRIM(C496)),0)</f>
        <v>0</v>
      </c>
      <c r="E496" s="70">
        <f>COUNTIFS('Error Log'!$A:$A,$A496,'Error Log'!$J:$J,E$1)</f>
        <v>0</v>
      </c>
      <c r="F496" s="70">
        <f>COUNTIFS('Error Log'!$A:$A,$A496,'Error Log'!$J:$J,F$1)</f>
        <v>0</v>
      </c>
      <c r="G496" s="70">
        <f>COUNTIFS('Error Log'!$A:$A,$A496,'Error Log'!$J:$J,G$1)</f>
        <v>0</v>
      </c>
      <c r="H496" s="70">
        <f>COUNTIFS('Error Log'!$A:$A,$A496,'Error Log'!$F:$F,"Source")</f>
        <v>0</v>
      </c>
      <c r="I496" s="70">
        <f>COUNTIFS('Error Log'!$A:$A,$A496,'Error Log'!$F:$F,"Target")</f>
        <v>0</v>
      </c>
      <c r="J496" s="71">
        <f t="shared" si="7"/>
        <v>0</v>
      </c>
    </row>
    <row r="497" spans="1:10">
      <c r="A497" s="81"/>
      <c r="B497" s="70" t="str">
        <f>IF(ISBLANK(A497),"",INDEX('Error Log'!$A:$J,MATCH('Scores per segment'!$A497,'Error Log'!$A:$A,0),MATCH('Scores per segment'!B$1,'Error Log'!$A$1:$J$1,0)))</f>
        <v/>
      </c>
      <c r="C497" s="70" t="str">
        <f>IF(ISBLANK(A497),"",INDEX('Error Log'!$A:$J,MATCH('Scores per segment'!$A497,'Error Log'!$A:$A,0),MATCH('Scores per segment'!C$1,'Error Log'!$A$1:$J$1,0)))</f>
        <v/>
      </c>
      <c r="D497" s="70">
        <f>IF(H497=0,wdct(TRIM(C497)),0)</f>
        <v>0</v>
      </c>
      <c r="E497" s="70">
        <f>COUNTIFS('Error Log'!$A:$A,$A497,'Error Log'!$J:$J,E$1)</f>
        <v>0</v>
      </c>
      <c r="F497" s="70">
        <f>COUNTIFS('Error Log'!$A:$A,$A497,'Error Log'!$J:$J,F$1)</f>
        <v>0</v>
      </c>
      <c r="G497" s="70">
        <f>COUNTIFS('Error Log'!$A:$A,$A497,'Error Log'!$J:$J,G$1)</f>
        <v>0</v>
      </c>
      <c r="H497" s="70">
        <f>COUNTIFS('Error Log'!$A:$A,$A497,'Error Log'!$F:$F,"Source")</f>
        <v>0</v>
      </c>
      <c r="I497" s="70">
        <f>COUNTIFS('Error Log'!$A:$A,$A497,'Error Log'!$F:$F,"Target")</f>
        <v>0</v>
      </c>
      <c r="J497" s="71">
        <f t="shared" si="7"/>
        <v>0</v>
      </c>
    </row>
    <row r="498" spans="1:10">
      <c r="A498" s="81"/>
      <c r="B498" s="70" t="str">
        <f>IF(ISBLANK(A498),"",INDEX('Error Log'!$A:$J,MATCH('Scores per segment'!$A498,'Error Log'!$A:$A,0),MATCH('Scores per segment'!B$1,'Error Log'!$A$1:$J$1,0)))</f>
        <v/>
      </c>
      <c r="C498" s="70" t="str">
        <f>IF(ISBLANK(A498),"",INDEX('Error Log'!$A:$J,MATCH('Scores per segment'!$A498,'Error Log'!$A:$A,0),MATCH('Scores per segment'!C$1,'Error Log'!$A$1:$J$1,0)))</f>
        <v/>
      </c>
      <c r="D498" s="70">
        <f>IF(H498=0,wdct(TRIM(C498)),0)</f>
        <v>0</v>
      </c>
      <c r="E498" s="70">
        <f>COUNTIFS('Error Log'!$A:$A,$A498,'Error Log'!$J:$J,E$1)</f>
        <v>0</v>
      </c>
      <c r="F498" s="70">
        <f>COUNTIFS('Error Log'!$A:$A,$A498,'Error Log'!$J:$J,F$1)</f>
        <v>0</v>
      </c>
      <c r="G498" s="70">
        <f>COUNTIFS('Error Log'!$A:$A,$A498,'Error Log'!$J:$J,G$1)</f>
        <v>0</v>
      </c>
      <c r="H498" s="70">
        <f>COUNTIFS('Error Log'!$A:$A,$A498,'Error Log'!$F:$F,"Source")</f>
        <v>0</v>
      </c>
      <c r="I498" s="70">
        <f>COUNTIFS('Error Log'!$A:$A,$A498,'Error Log'!$F:$F,"Target")</f>
        <v>0</v>
      </c>
      <c r="J498" s="71">
        <f t="shared" si="7"/>
        <v>0</v>
      </c>
    </row>
    <row r="499" spans="1:10">
      <c r="A499" s="81"/>
      <c r="B499" s="70" t="str">
        <f>IF(ISBLANK(A499),"",INDEX('Error Log'!$A:$J,MATCH('Scores per segment'!$A499,'Error Log'!$A:$A,0),MATCH('Scores per segment'!B$1,'Error Log'!$A$1:$J$1,0)))</f>
        <v/>
      </c>
      <c r="C499" s="70" t="str">
        <f>IF(ISBLANK(A499),"",INDEX('Error Log'!$A:$J,MATCH('Scores per segment'!$A499,'Error Log'!$A:$A,0),MATCH('Scores per segment'!C$1,'Error Log'!$A$1:$J$1,0)))</f>
        <v/>
      </c>
      <c r="D499" s="70">
        <f>IF(H499=0,wdct(TRIM(C499)),0)</f>
        <v>0</v>
      </c>
      <c r="E499" s="70">
        <f>COUNTIFS('Error Log'!$A:$A,$A499,'Error Log'!$J:$J,E$1)</f>
        <v>0</v>
      </c>
      <c r="F499" s="70">
        <f>COUNTIFS('Error Log'!$A:$A,$A499,'Error Log'!$J:$J,F$1)</f>
        <v>0</v>
      </c>
      <c r="G499" s="70">
        <f>COUNTIFS('Error Log'!$A:$A,$A499,'Error Log'!$J:$J,G$1)</f>
        <v>0</v>
      </c>
      <c r="H499" s="70">
        <f>COUNTIFS('Error Log'!$A:$A,$A499,'Error Log'!$F:$F,"Source")</f>
        <v>0</v>
      </c>
      <c r="I499" s="70">
        <f>COUNTIFS('Error Log'!$A:$A,$A499,'Error Log'!$F:$F,"Target")</f>
        <v>0</v>
      </c>
      <c r="J499" s="71">
        <f t="shared" si="7"/>
        <v>0</v>
      </c>
    </row>
    <row r="500" spans="1:10">
      <c r="A500" s="81"/>
      <c r="B500" s="70" t="str">
        <f>IF(ISBLANK(A500),"",INDEX('Error Log'!$A:$J,MATCH('Scores per segment'!$A500,'Error Log'!$A:$A,0),MATCH('Scores per segment'!B$1,'Error Log'!$A$1:$J$1,0)))</f>
        <v/>
      </c>
      <c r="C500" s="70" t="str">
        <f>IF(ISBLANK(A500),"",INDEX('Error Log'!$A:$J,MATCH('Scores per segment'!$A500,'Error Log'!$A:$A,0),MATCH('Scores per segment'!C$1,'Error Log'!$A$1:$J$1,0)))</f>
        <v/>
      </c>
      <c r="D500" s="70">
        <f>IF(H500=0,wdct(TRIM(C500)),0)</f>
        <v>0</v>
      </c>
      <c r="E500" s="70">
        <f>COUNTIFS('Error Log'!$A:$A,$A500,'Error Log'!$J:$J,E$1)</f>
        <v>0</v>
      </c>
      <c r="F500" s="70">
        <f>COUNTIFS('Error Log'!$A:$A,$A500,'Error Log'!$J:$J,F$1)</f>
        <v>0</v>
      </c>
      <c r="G500" s="70">
        <f>COUNTIFS('Error Log'!$A:$A,$A500,'Error Log'!$J:$J,G$1)</f>
        <v>0</v>
      </c>
      <c r="H500" s="70">
        <f>COUNTIFS('Error Log'!$A:$A,$A500,'Error Log'!$F:$F,"Source")</f>
        <v>0</v>
      </c>
      <c r="I500" s="70">
        <f>COUNTIFS('Error Log'!$A:$A,$A500,'Error Log'!$F:$F,"Target")</f>
        <v>0</v>
      </c>
      <c r="J500" s="71">
        <f t="shared" si="7"/>
        <v>0</v>
      </c>
    </row>
    <row r="501" spans="1:10">
      <c r="A501" s="81"/>
      <c r="B501" s="70" t="str">
        <f>IF(ISBLANK(A501),"",INDEX('Error Log'!$A:$J,MATCH('Scores per segment'!$A501,'Error Log'!$A:$A,0),MATCH('Scores per segment'!B$1,'Error Log'!$A$1:$J$1,0)))</f>
        <v/>
      </c>
      <c r="C501" s="70" t="str">
        <f>IF(ISBLANK(A501),"",INDEX('Error Log'!$A:$J,MATCH('Scores per segment'!$A501,'Error Log'!$A:$A,0),MATCH('Scores per segment'!C$1,'Error Log'!$A$1:$J$1,0)))</f>
        <v/>
      </c>
      <c r="D501" s="70">
        <f>IF(H501=0,wdct(TRIM(C501)),0)</f>
        <v>0</v>
      </c>
      <c r="E501" s="70">
        <f>COUNTIFS('Error Log'!$A:$A,$A501,'Error Log'!$J:$J,E$1)</f>
        <v>0</v>
      </c>
      <c r="F501" s="70">
        <f>COUNTIFS('Error Log'!$A:$A,$A501,'Error Log'!$J:$J,F$1)</f>
        <v>0</v>
      </c>
      <c r="G501" s="70">
        <f>COUNTIFS('Error Log'!$A:$A,$A501,'Error Log'!$J:$J,G$1)</f>
        <v>0</v>
      </c>
      <c r="H501" s="70">
        <f>COUNTIFS('Error Log'!$A:$A,$A501,'Error Log'!$F:$F,"Source")</f>
        <v>0</v>
      </c>
      <c r="I501" s="70">
        <f>COUNTIFS('Error Log'!$A:$A,$A501,'Error Log'!$F:$F,"Target")</f>
        <v>0</v>
      </c>
      <c r="J501" s="71">
        <f t="shared" si="7"/>
        <v>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7"/>
  <sheetViews>
    <sheetView zoomScaleNormal="100" workbookViewId="0">
      <pane ySplit="1" topLeftCell="A2" activePane="bottomLeft" state="frozen"/>
      <selection pane="bottomLeft" activeCell="C54" sqref="C54"/>
    </sheetView>
  </sheetViews>
  <sheetFormatPr defaultColWidth="9" defaultRowHeight="14.4"/>
  <cols>
    <col min="1" max="1" width="21.69921875" style="2" customWidth="1"/>
    <col min="2" max="2" width="30" style="2" customWidth="1"/>
    <col min="3" max="3" width="22.19921875" style="2" bestFit="1" customWidth="1"/>
    <col min="4" max="4" width="21.69921875" style="2" bestFit="1" customWidth="1"/>
    <col min="5" max="5" width="22.19921875" style="2" bestFit="1" customWidth="1"/>
    <col min="6" max="7" width="18.69921875" style="2" bestFit="1" customWidth="1"/>
    <col min="8" max="8" width="16.5" style="2" bestFit="1" customWidth="1"/>
    <col min="9" max="9" width="24.5" style="2" customWidth="1"/>
    <col min="10" max="10" width="13.69921875" style="2" customWidth="1"/>
    <col min="11" max="11" width="12.69921875" style="2" bestFit="1" customWidth="1"/>
    <col min="12" max="12" width="11.5" style="2" bestFit="1" customWidth="1"/>
    <col min="13" max="13" width="14" style="2" bestFit="1" customWidth="1"/>
    <col min="14" max="16384" width="9" style="72"/>
  </cols>
  <sheetData>
    <row r="1" spans="1:14">
      <c r="A1" s="105" t="s">
        <v>50</v>
      </c>
      <c r="B1" s="106"/>
      <c r="C1" s="106"/>
      <c r="D1" s="106"/>
      <c r="E1" s="106"/>
      <c r="F1" s="106"/>
      <c r="G1" s="106"/>
      <c r="H1" s="106"/>
      <c r="I1" s="106"/>
      <c r="J1" s="106"/>
      <c r="K1" s="106"/>
      <c r="L1" s="106"/>
      <c r="M1" s="107"/>
    </row>
    <row r="2" spans="1:14">
      <c r="A2" s="5" t="s">
        <v>31</v>
      </c>
      <c r="B2" s="5" t="s">
        <v>30</v>
      </c>
      <c r="C2" s="5" t="s">
        <v>54</v>
      </c>
      <c r="D2" s="5" t="s">
        <v>55</v>
      </c>
      <c r="E2" s="5" t="s">
        <v>56</v>
      </c>
      <c r="F2" s="5" t="s">
        <v>29</v>
      </c>
      <c r="G2" s="5" t="s">
        <v>27</v>
      </c>
      <c r="H2" s="5" t="s">
        <v>28</v>
      </c>
      <c r="I2" s="5" t="s">
        <v>58</v>
      </c>
      <c r="J2" s="5" t="s">
        <v>57</v>
      </c>
    </row>
    <row r="3" spans="1:14">
      <c r="A3" s="104" t="s">
        <v>21</v>
      </c>
      <c r="B3" s="4" t="s">
        <v>22</v>
      </c>
      <c r="C3" s="3" t="s">
        <v>25</v>
      </c>
      <c r="D3" s="3" t="s">
        <v>25</v>
      </c>
      <c r="E3" s="3" t="s">
        <v>25</v>
      </c>
      <c r="F3" s="3" t="s">
        <v>23</v>
      </c>
      <c r="G3" s="3" t="s">
        <v>23</v>
      </c>
      <c r="H3" s="3" t="s">
        <v>23</v>
      </c>
      <c r="I3" s="3" t="s">
        <v>59</v>
      </c>
      <c r="J3" s="3" t="s">
        <v>23</v>
      </c>
      <c r="N3" s="2"/>
    </row>
    <row r="4" spans="1:14">
      <c r="A4" s="104"/>
      <c r="B4" s="4" t="s">
        <v>7</v>
      </c>
      <c r="C4" s="3" t="s">
        <v>25</v>
      </c>
      <c r="D4" s="3" t="s">
        <v>25</v>
      </c>
      <c r="E4" s="3" t="s">
        <v>25</v>
      </c>
      <c r="F4" s="3" t="s">
        <v>60</v>
      </c>
      <c r="G4" s="3" t="s">
        <v>23</v>
      </c>
      <c r="H4" s="3" t="s">
        <v>23</v>
      </c>
      <c r="I4" s="3" t="s">
        <v>59</v>
      </c>
      <c r="J4" s="3" t="s">
        <v>60</v>
      </c>
      <c r="N4" s="2"/>
    </row>
    <row r="5" spans="1:14">
      <c r="A5" s="104"/>
      <c r="B5" s="4" t="s">
        <v>63</v>
      </c>
      <c r="C5" s="3" t="s">
        <v>25</v>
      </c>
      <c r="D5" s="3" t="s">
        <v>25</v>
      </c>
      <c r="E5" s="3" t="s">
        <v>25</v>
      </c>
      <c r="F5" s="3" t="s">
        <v>60</v>
      </c>
      <c r="G5" s="3" t="s">
        <v>60</v>
      </c>
      <c r="H5" s="3" t="s">
        <v>23</v>
      </c>
      <c r="I5" s="3" t="s">
        <v>59</v>
      </c>
      <c r="J5" s="3" t="s">
        <v>24</v>
      </c>
      <c r="N5" s="2"/>
    </row>
    <row r="6" spans="1:14">
      <c r="A6" s="104"/>
      <c r="B6" s="4" t="s">
        <v>64</v>
      </c>
      <c r="C6" s="3" t="s">
        <v>25</v>
      </c>
      <c r="D6" s="3" t="s">
        <v>25</v>
      </c>
      <c r="E6" s="3" t="s">
        <v>25</v>
      </c>
      <c r="F6" s="3" t="s">
        <v>25</v>
      </c>
      <c r="G6" s="3" t="s">
        <v>25</v>
      </c>
      <c r="H6" s="3" t="s">
        <v>25</v>
      </c>
      <c r="I6" s="3" t="s">
        <v>24</v>
      </c>
      <c r="J6" s="3" t="s">
        <v>24</v>
      </c>
      <c r="N6" s="2"/>
    </row>
    <row r="7" spans="1:14">
      <c r="A7" s="104"/>
      <c r="B7" s="4" t="s">
        <v>45</v>
      </c>
      <c r="C7" s="3" t="s">
        <v>24</v>
      </c>
      <c r="D7" s="3" t="s">
        <v>24</v>
      </c>
      <c r="E7" s="3" t="s">
        <v>25</v>
      </c>
      <c r="F7" s="3" t="s">
        <v>24</v>
      </c>
      <c r="G7" s="3" t="s">
        <v>24</v>
      </c>
      <c r="H7" s="3" t="s">
        <v>61</v>
      </c>
      <c r="I7" s="3" t="s">
        <v>24</v>
      </c>
      <c r="J7" s="3" t="s">
        <v>24</v>
      </c>
      <c r="N7" s="2"/>
    </row>
    <row r="8" spans="1:14">
      <c r="A8" s="104" t="s">
        <v>2</v>
      </c>
      <c r="B8" s="4" t="s">
        <v>65</v>
      </c>
      <c r="C8" s="3" t="s">
        <v>24</v>
      </c>
      <c r="D8" s="3" t="s">
        <v>24</v>
      </c>
      <c r="E8" s="3" t="s">
        <v>23</v>
      </c>
      <c r="F8" s="3" t="s">
        <v>24</v>
      </c>
      <c r="G8" s="3" t="s">
        <v>24</v>
      </c>
      <c r="H8" s="3" t="s">
        <v>23</v>
      </c>
      <c r="I8" s="3" t="s">
        <v>1</v>
      </c>
      <c r="J8" s="3" t="s">
        <v>24</v>
      </c>
      <c r="N8" s="2"/>
    </row>
    <row r="9" spans="1:14">
      <c r="A9" s="104"/>
      <c r="B9" s="4" t="s">
        <v>26</v>
      </c>
      <c r="C9" s="3" t="s">
        <v>23</v>
      </c>
      <c r="D9" s="3" t="s">
        <v>23</v>
      </c>
      <c r="E9" s="3" t="s">
        <v>23</v>
      </c>
      <c r="F9" s="3" t="s">
        <v>23</v>
      </c>
      <c r="G9" s="3" t="s">
        <v>23</v>
      </c>
      <c r="H9" s="3" t="s">
        <v>23</v>
      </c>
      <c r="I9" s="3" t="s">
        <v>59</v>
      </c>
      <c r="J9" s="3" t="s">
        <v>23</v>
      </c>
      <c r="N9" s="2"/>
    </row>
    <row r="10" spans="1:14">
      <c r="A10" s="104"/>
      <c r="B10" s="4" t="s">
        <v>66</v>
      </c>
      <c r="C10" s="3" t="s">
        <v>1</v>
      </c>
      <c r="D10" s="3" t="s">
        <v>1</v>
      </c>
      <c r="E10" s="3" t="s">
        <v>1</v>
      </c>
      <c r="F10" s="3" t="s">
        <v>1</v>
      </c>
      <c r="G10" s="3" t="s">
        <v>1</v>
      </c>
      <c r="H10" s="3" t="s">
        <v>1</v>
      </c>
      <c r="I10" s="3" t="s">
        <v>1</v>
      </c>
      <c r="J10" s="3" t="s">
        <v>24</v>
      </c>
      <c r="N10" s="2"/>
    </row>
    <row r="11" spans="1:14">
      <c r="A11" s="74"/>
      <c r="B11" s="74"/>
      <c r="C11" s="75"/>
      <c r="D11" s="75"/>
      <c r="E11" s="75"/>
      <c r="F11" s="75"/>
      <c r="G11" s="75"/>
      <c r="H11" s="75"/>
      <c r="N11" s="2"/>
    </row>
    <row r="13" spans="1:14">
      <c r="A13" s="9" t="s">
        <v>31</v>
      </c>
      <c r="B13" s="8" t="s">
        <v>21</v>
      </c>
      <c r="C13" s="8" t="s">
        <v>2</v>
      </c>
    </row>
    <row r="14" spans="1:14">
      <c r="A14" s="7" t="s">
        <v>21</v>
      </c>
      <c r="B14" s="10" t="s">
        <v>22</v>
      </c>
      <c r="C14" s="10" t="s">
        <v>65</v>
      </c>
    </row>
    <row r="15" spans="1:14">
      <c r="A15" s="7" t="s">
        <v>2</v>
      </c>
      <c r="B15" s="10" t="s">
        <v>7</v>
      </c>
      <c r="C15" s="10" t="s">
        <v>26</v>
      </c>
    </row>
    <row r="16" spans="1:14">
      <c r="A16" s="7"/>
      <c r="B16" s="10" t="s">
        <v>63</v>
      </c>
      <c r="C16" s="10" t="s">
        <v>66</v>
      </c>
    </row>
    <row r="17" spans="1:5">
      <c r="A17" s="7"/>
      <c r="B17" s="10" t="s">
        <v>64</v>
      </c>
      <c r="C17" s="10"/>
      <c r="D17" s="6"/>
    </row>
    <row r="18" spans="1:5">
      <c r="B18" s="10" t="s">
        <v>45</v>
      </c>
      <c r="C18" s="10"/>
      <c r="D18" s="6"/>
    </row>
    <row r="19" spans="1:5">
      <c r="B19" s="6"/>
      <c r="C19" s="6"/>
      <c r="D19" s="6"/>
    </row>
    <row r="20" spans="1:5">
      <c r="A20" s="6"/>
      <c r="B20" s="6"/>
      <c r="C20" s="6"/>
      <c r="D20" s="6"/>
    </row>
    <row r="21" spans="1:5">
      <c r="A21" s="6"/>
      <c r="B21" s="6"/>
      <c r="D21" s="6"/>
    </row>
    <row r="24" spans="1:5">
      <c r="A24" s="8" t="s">
        <v>21</v>
      </c>
      <c r="B24" s="8" t="s">
        <v>21</v>
      </c>
      <c r="C24" s="8" t="s">
        <v>21</v>
      </c>
      <c r="D24" s="8" t="s">
        <v>21</v>
      </c>
      <c r="E24" s="8" t="s">
        <v>21</v>
      </c>
    </row>
    <row r="25" spans="1:5">
      <c r="A25" s="8" t="s">
        <v>22</v>
      </c>
      <c r="B25" s="8" t="s">
        <v>7</v>
      </c>
      <c r="C25" s="8" t="s">
        <v>63</v>
      </c>
      <c r="D25" s="8" t="s">
        <v>64</v>
      </c>
      <c r="E25" s="8" t="s">
        <v>45</v>
      </c>
    </row>
    <row r="26" spans="1:5">
      <c r="A26" s="11" t="s">
        <v>54</v>
      </c>
      <c r="B26" s="11" t="s">
        <v>54</v>
      </c>
      <c r="C26" s="11" t="s">
        <v>54</v>
      </c>
      <c r="D26" s="11" t="s">
        <v>54</v>
      </c>
      <c r="E26" s="11" t="s">
        <v>56</v>
      </c>
    </row>
    <row r="27" spans="1:5">
      <c r="A27" s="11" t="s">
        <v>55</v>
      </c>
      <c r="B27" s="11" t="s">
        <v>55</v>
      </c>
      <c r="C27" s="11" t="s">
        <v>55</v>
      </c>
      <c r="D27" s="11" t="s">
        <v>55</v>
      </c>
      <c r="E27" s="11" t="s">
        <v>28</v>
      </c>
    </row>
    <row r="28" spans="1:5">
      <c r="A28" s="11" t="s">
        <v>56</v>
      </c>
      <c r="B28" s="11" t="s">
        <v>56</v>
      </c>
      <c r="C28" s="11" t="s">
        <v>56</v>
      </c>
      <c r="D28" s="11" t="s">
        <v>56</v>
      </c>
    </row>
    <row r="29" spans="1:5">
      <c r="A29" s="11" t="s">
        <v>29</v>
      </c>
      <c r="B29" s="11" t="s">
        <v>29</v>
      </c>
      <c r="C29" s="11" t="s">
        <v>29</v>
      </c>
      <c r="D29" s="11" t="s">
        <v>29</v>
      </c>
    </row>
    <row r="30" spans="1:5">
      <c r="A30" s="11" t="s">
        <v>27</v>
      </c>
      <c r="B30" s="11" t="s">
        <v>27</v>
      </c>
      <c r="C30" s="11" t="s">
        <v>27</v>
      </c>
      <c r="D30" s="11" t="s">
        <v>27</v>
      </c>
    </row>
    <row r="31" spans="1:5">
      <c r="A31" s="11" t="s">
        <v>28</v>
      </c>
      <c r="B31" s="11" t="s">
        <v>28</v>
      </c>
      <c r="C31" s="11" t="s">
        <v>28</v>
      </c>
      <c r="D31" s="11" t="s">
        <v>28</v>
      </c>
    </row>
    <row r="32" spans="1:5">
      <c r="A32" s="11" t="s">
        <v>58</v>
      </c>
      <c r="B32" s="11" t="s">
        <v>58</v>
      </c>
      <c r="C32" s="11" t="s">
        <v>58</v>
      </c>
      <c r="D32" s="11"/>
    </row>
    <row r="33" spans="1:13">
      <c r="A33" s="11" t="s">
        <v>57</v>
      </c>
      <c r="B33" s="11" t="s">
        <v>57</v>
      </c>
      <c r="C33" s="72"/>
    </row>
    <row r="34" spans="1:13">
      <c r="A34" s="72"/>
      <c r="B34" s="72"/>
      <c r="C34" s="72"/>
    </row>
    <row r="35" spans="1:13">
      <c r="A35" s="72"/>
      <c r="B35" s="72"/>
      <c r="C35" s="72"/>
    </row>
    <row r="36" spans="1:13">
      <c r="A36" s="72"/>
      <c r="B36" s="72"/>
      <c r="C36" s="76"/>
    </row>
    <row r="37" spans="1:13">
      <c r="A37" s="76"/>
      <c r="E37" s="76"/>
    </row>
    <row r="39" spans="1:13">
      <c r="A39" s="8" t="s">
        <v>2</v>
      </c>
      <c r="B39" s="8" t="s">
        <v>2</v>
      </c>
      <c r="C39" s="8" t="s">
        <v>2</v>
      </c>
      <c r="E39" s="76"/>
      <c r="M39" s="72"/>
    </row>
    <row r="40" spans="1:13">
      <c r="A40" s="8" t="s">
        <v>65</v>
      </c>
      <c r="B40" s="8" t="s">
        <v>26</v>
      </c>
      <c r="C40" s="8" t="s">
        <v>67</v>
      </c>
      <c r="M40" s="72"/>
    </row>
    <row r="41" spans="1:13">
      <c r="A41" s="11" t="s">
        <v>56</v>
      </c>
      <c r="B41" s="11" t="s">
        <v>54</v>
      </c>
      <c r="C41" s="11" t="s">
        <v>54</v>
      </c>
      <c r="E41" s="76"/>
      <c r="M41" s="72"/>
    </row>
    <row r="42" spans="1:13">
      <c r="A42" s="11" t="s">
        <v>28</v>
      </c>
      <c r="B42" s="11" t="s">
        <v>55</v>
      </c>
      <c r="C42" s="11" t="s">
        <v>55</v>
      </c>
      <c r="M42" s="72"/>
    </row>
    <row r="43" spans="1:13">
      <c r="A43" s="11" t="s">
        <v>58</v>
      </c>
      <c r="B43" s="11" t="s">
        <v>56</v>
      </c>
      <c r="C43" s="11" t="s">
        <v>56</v>
      </c>
      <c r="E43" s="76"/>
      <c r="M43" s="72"/>
    </row>
    <row r="44" spans="1:13">
      <c r="A44" s="11"/>
      <c r="B44" s="11" t="s">
        <v>29</v>
      </c>
      <c r="C44" s="11" t="s">
        <v>29</v>
      </c>
      <c r="M44" s="72"/>
    </row>
    <row r="45" spans="1:13">
      <c r="A45" s="11"/>
      <c r="B45" s="11" t="s">
        <v>27</v>
      </c>
      <c r="C45" s="11" t="s">
        <v>27</v>
      </c>
      <c r="E45" s="76"/>
      <c r="M45" s="72"/>
    </row>
    <row r="46" spans="1:13">
      <c r="B46" s="11" t="s">
        <v>28</v>
      </c>
      <c r="C46" s="11" t="s">
        <v>28</v>
      </c>
      <c r="M46" s="72"/>
    </row>
    <row r="47" spans="1:13">
      <c r="B47" s="11" t="s">
        <v>58</v>
      </c>
      <c r="E47" s="76"/>
      <c r="M47" s="72"/>
    </row>
    <row r="48" spans="1:13">
      <c r="B48" s="11" t="s">
        <v>57</v>
      </c>
    </row>
    <row r="49" spans="1:5">
      <c r="E49" s="76"/>
    </row>
    <row r="51" spans="1:5">
      <c r="A51" s="76"/>
    </row>
    <row r="52" spans="1:5">
      <c r="A52" s="76"/>
    </row>
    <row r="53" spans="1:5">
      <c r="A53" s="76"/>
    </row>
    <row r="54" spans="1:5">
      <c r="A54" s="76"/>
    </row>
    <row r="55" spans="1:5">
      <c r="A55" s="76"/>
    </row>
    <row r="56" spans="1:5">
      <c r="A56" s="76"/>
    </row>
    <row r="57" spans="1:5">
      <c r="A57" s="76"/>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13</vt:i4>
      </vt:variant>
    </vt:vector>
  </HeadingPairs>
  <TitlesOfParts>
    <vt:vector size="17" baseType="lpstr">
      <vt:lpstr>ScoreCard</vt:lpstr>
      <vt:lpstr>Error Log</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2020-11-27T09:26:36Z</dcterms:modified>
</cp:coreProperties>
</file>