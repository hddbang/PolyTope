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dd\Desktop\github-polytope\"/>
    </mc:Choice>
  </mc:AlternateContent>
  <xr:revisionPtr revIDLastSave="0" documentId="13_ncr:1_{631B2003-14FA-472D-BC43-254B5CE6E033}" xr6:coauthVersionLast="45" xr6:coauthVersionMax="45" xr10:uidLastSave="{00000000-0000-0000-0000-000000000000}"/>
  <bookViews>
    <workbookView xWindow="900" yWindow="0" windowWidth="21768" windowHeight="12360" tabRatio="868" activeTab="3" xr2:uid="{00000000-000D-0000-FFFF-FFFF00000000}"/>
  </bookViews>
  <sheets>
    <sheet name="ScoreCard" sheetId="18" r:id="rId1"/>
    <sheet name="Error Log" sheetId="14" r:id="rId2"/>
    <sheet name="Scores per segment" sheetId="21" r:id="rId3"/>
    <sheet name="Severity_Matrix" sheetId="19" r:id="rId4"/>
  </sheets>
  <functionGroups builtInGroupCount="19"/>
  <definedNames>
    <definedName name="_xlnm._FilterDatabase" localSheetId="1" hidden="1">'Error Log'!$A$1:$J$31</definedName>
    <definedName name="_xlnm._FilterDatabase" localSheetId="2" hidden="1">'Scores per segment'!$A$1:$J$4</definedName>
    <definedName name="Accuracy">Severity_Matrix!$B$14:$B$18</definedName>
    <definedName name="Addition">Severity_Matrix!$A$26:$A$33</definedName>
    <definedName name="Duplication">Severity_Matrix!$B$41:$B$48</definedName>
    <definedName name="Fluency">Severity_Matrix!$C$14:$C$18</definedName>
    <definedName name="Inaccuracy_external">Severity_Matrix!$D$26:$D$33</definedName>
    <definedName name="Inaccuracy_internal">Severity_Matrix!$C$26:$C$33</definedName>
    <definedName name="Inappropriate_Selection_of_Words">Severity_Matrix!#REF!</definedName>
    <definedName name="Issue_Type">Severity_Matrix!$A$14:$A$16</definedName>
    <definedName name="Omission">Severity_Matrix!$B$26:$B$33</definedName>
    <definedName name="Positive_Negative_Aspect">Severity_Matrix!$E$26:$E$33</definedName>
    <definedName name="Spelling">Severity_Matrix!#REF!</definedName>
    <definedName name="Word_From">Severity_Matrix!$C$41:$C$48</definedName>
    <definedName name="Word_Order">Severity_Matrix!$A$41:$A$48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1" l="1"/>
  <c r="D3" i="21"/>
  <c r="E3" i="21"/>
  <c r="F3" i="21"/>
  <c r="G3" i="21"/>
  <c r="I3" i="21"/>
  <c r="J3" i="21"/>
  <c r="H4" i="21"/>
  <c r="D4" i="21"/>
  <c r="E4" i="21"/>
  <c r="F4" i="21"/>
  <c r="G4" i="21"/>
  <c r="I4" i="21"/>
  <c r="J4" i="21"/>
  <c r="H5" i="21"/>
  <c r="D5" i="21"/>
  <c r="E5" i="21"/>
  <c r="F5" i="21"/>
  <c r="G5" i="21"/>
  <c r="I5" i="21"/>
  <c r="J5" i="21"/>
  <c r="H6" i="21"/>
  <c r="D6" i="21"/>
  <c r="E6" i="21"/>
  <c r="F6" i="21"/>
  <c r="G6" i="21"/>
  <c r="I6" i="21"/>
  <c r="J6" i="21"/>
  <c r="H7" i="21"/>
  <c r="D7" i="21"/>
  <c r="E7" i="21"/>
  <c r="F7" i="21"/>
  <c r="G7" i="21"/>
  <c r="I7" i="21"/>
  <c r="J7" i="21"/>
  <c r="H8" i="21"/>
  <c r="D8" i="21"/>
  <c r="E8" i="21"/>
  <c r="F8" i="21"/>
  <c r="G8" i="21"/>
  <c r="I8" i="21"/>
  <c r="J8" i="21"/>
  <c r="H9" i="21"/>
  <c r="D9" i="21"/>
  <c r="E9" i="21"/>
  <c r="F9" i="21"/>
  <c r="G9" i="21"/>
  <c r="I9" i="21"/>
  <c r="J9" i="21"/>
  <c r="H10" i="21"/>
  <c r="D10" i="21"/>
  <c r="E10" i="21"/>
  <c r="F10" i="21"/>
  <c r="G10" i="21"/>
  <c r="I10" i="21"/>
  <c r="J10" i="21"/>
  <c r="H11" i="21"/>
  <c r="D11" i="21"/>
  <c r="E11" i="21"/>
  <c r="F11" i="21"/>
  <c r="G11" i="21"/>
  <c r="I11" i="21"/>
  <c r="J11" i="21"/>
  <c r="H12" i="21"/>
  <c r="D12" i="21"/>
  <c r="E12" i="21"/>
  <c r="F12" i="21"/>
  <c r="G12" i="21"/>
  <c r="I12" i="21"/>
  <c r="J12" i="21"/>
  <c r="H13" i="21"/>
  <c r="D13" i="21"/>
  <c r="E13" i="21"/>
  <c r="F13" i="21"/>
  <c r="G13" i="21"/>
  <c r="I13" i="21"/>
  <c r="J13" i="21"/>
  <c r="H14" i="21"/>
  <c r="D14" i="21"/>
  <c r="E14" i="21"/>
  <c r="F14" i="21"/>
  <c r="G14" i="21"/>
  <c r="I14" i="21"/>
  <c r="J14" i="21"/>
  <c r="H15" i="21"/>
  <c r="D15" i="21"/>
  <c r="E15" i="21"/>
  <c r="F15" i="21"/>
  <c r="G15" i="21"/>
  <c r="I15" i="21"/>
  <c r="J15" i="21"/>
  <c r="H16" i="21"/>
  <c r="D16" i="21"/>
  <c r="E16" i="21"/>
  <c r="F16" i="21"/>
  <c r="G16" i="21"/>
  <c r="I16" i="21"/>
  <c r="J16" i="21"/>
  <c r="H17" i="21"/>
  <c r="D17" i="21"/>
  <c r="E17" i="21"/>
  <c r="F17" i="21"/>
  <c r="G17" i="21"/>
  <c r="I17" i="21"/>
  <c r="J17" i="21"/>
  <c r="H18" i="21"/>
  <c r="D18" i="21"/>
  <c r="E18" i="21"/>
  <c r="F18" i="21"/>
  <c r="G18" i="21"/>
  <c r="I18" i="21"/>
  <c r="J18" i="21"/>
  <c r="H19" i="21"/>
  <c r="D19" i="21"/>
  <c r="E19" i="21"/>
  <c r="F19" i="21"/>
  <c r="G19" i="21"/>
  <c r="I19" i="21"/>
  <c r="J19" i="21"/>
  <c r="H20" i="21"/>
  <c r="D20" i="21"/>
  <c r="E20" i="21"/>
  <c r="F20" i="21"/>
  <c r="G20" i="21"/>
  <c r="I20" i="21"/>
  <c r="J20" i="21"/>
  <c r="H21" i="21"/>
  <c r="D21" i="21"/>
  <c r="E21" i="21"/>
  <c r="F21" i="21"/>
  <c r="G21" i="21"/>
  <c r="I21" i="21"/>
  <c r="J21" i="21"/>
  <c r="H22" i="21"/>
  <c r="D22" i="21"/>
  <c r="E22" i="21"/>
  <c r="F22" i="21"/>
  <c r="G22" i="21"/>
  <c r="I22" i="21"/>
  <c r="J22" i="21"/>
  <c r="H23" i="21"/>
  <c r="D23" i="21"/>
  <c r="E23" i="21"/>
  <c r="F23" i="21"/>
  <c r="G23" i="21"/>
  <c r="I23" i="21"/>
  <c r="J23" i="21"/>
  <c r="H24" i="21"/>
  <c r="D24" i="21"/>
  <c r="E24" i="21"/>
  <c r="F24" i="21"/>
  <c r="G24" i="21"/>
  <c r="I24" i="21"/>
  <c r="J24" i="21"/>
  <c r="H25" i="21"/>
  <c r="D25" i="21"/>
  <c r="E25" i="21"/>
  <c r="F25" i="21"/>
  <c r="G25" i="21"/>
  <c r="I25" i="21"/>
  <c r="J25" i="21"/>
  <c r="H26" i="21"/>
  <c r="D26" i="21"/>
  <c r="E26" i="21"/>
  <c r="F26" i="21"/>
  <c r="G26" i="21"/>
  <c r="I26" i="21"/>
  <c r="J26" i="21"/>
  <c r="H27" i="21"/>
  <c r="D27" i="21"/>
  <c r="E27" i="21"/>
  <c r="F27" i="21"/>
  <c r="G27" i="21"/>
  <c r="I27" i="21"/>
  <c r="J27" i="21"/>
  <c r="H28" i="21"/>
  <c r="D28" i="21"/>
  <c r="E28" i="21"/>
  <c r="F28" i="21"/>
  <c r="G28" i="21"/>
  <c r="I28" i="21"/>
  <c r="J28" i="21"/>
  <c r="H29" i="21"/>
  <c r="D29" i="21"/>
  <c r="E29" i="21"/>
  <c r="F29" i="21"/>
  <c r="G29" i="21"/>
  <c r="I29" i="21"/>
  <c r="J29" i="21"/>
  <c r="H30" i="21"/>
  <c r="D30" i="21"/>
  <c r="E30" i="21"/>
  <c r="F30" i="21"/>
  <c r="G30" i="21"/>
  <c r="I30" i="21"/>
  <c r="J30" i="21"/>
  <c r="H31" i="21"/>
  <c r="D31" i="21"/>
  <c r="E31" i="21"/>
  <c r="F31" i="21"/>
  <c r="G31" i="21"/>
  <c r="I31" i="21"/>
  <c r="J31" i="21"/>
  <c r="H32" i="21"/>
  <c r="D32" i="21"/>
  <c r="E32" i="21"/>
  <c r="F32" i="21"/>
  <c r="G32" i="21"/>
  <c r="I32" i="21"/>
  <c r="J32" i="2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H46" i="21"/>
  <c r="D46" i="21"/>
  <c r="E46" i="21"/>
  <c r="F46" i="21"/>
  <c r="G46" i="21"/>
  <c r="I46" i="21"/>
  <c r="J46" i="21"/>
  <c r="H47" i="21"/>
  <c r="D47" i="21"/>
  <c r="E47" i="21"/>
  <c r="F47" i="21"/>
  <c r="G47" i="21"/>
  <c r="I47" i="21"/>
  <c r="J47" i="21"/>
  <c r="H48" i="21"/>
  <c r="D48" i="21"/>
  <c r="E48" i="21"/>
  <c r="F48" i="21"/>
  <c r="G48" i="21"/>
  <c r="I48" i="21"/>
  <c r="J48" i="21"/>
  <c r="H49" i="21"/>
  <c r="D49" i="21"/>
  <c r="E49" i="21"/>
  <c r="F49" i="21"/>
  <c r="G49" i="21"/>
  <c r="I49" i="21"/>
  <c r="J49" i="21"/>
  <c r="H50" i="21"/>
  <c r="D50" i="21"/>
  <c r="E50" i="21"/>
  <c r="F50" i="21"/>
  <c r="G50" i="21"/>
  <c r="I50" i="21"/>
  <c r="J50" i="21"/>
  <c r="H51" i="21"/>
  <c r="D51" i="21"/>
  <c r="E51" i="21"/>
  <c r="F51" i="21"/>
  <c r="G51" i="21"/>
  <c r="I51" i="21"/>
  <c r="J51" i="21"/>
  <c r="H52" i="21"/>
  <c r="D52" i="21"/>
  <c r="E52" i="21"/>
  <c r="F52" i="21"/>
  <c r="G52" i="21"/>
  <c r="I52" i="21"/>
  <c r="J52" i="21"/>
  <c r="H53" i="21"/>
  <c r="D53" i="21"/>
  <c r="E53" i="21"/>
  <c r="F53" i="21"/>
  <c r="G53" i="21"/>
  <c r="I53" i="21"/>
  <c r="J53" i="21"/>
  <c r="H54" i="21"/>
  <c r="D54" i="21"/>
  <c r="E54" i="21"/>
  <c r="F54" i="21"/>
  <c r="G54" i="21"/>
  <c r="I54" i="21"/>
  <c r="J54" i="21"/>
  <c r="H55" i="21"/>
  <c r="D55" i="21"/>
  <c r="E55" i="21"/>
  <c r="F55" i="21"/>
  <c r="G55" i="21"/>
  <c r="I55" i="21"/>
  <c r="J55" i="21"/>
  <c r="H56" i="21"/>
  <c r="D56" i="21"/>
  <c r="E56" i="21"/>
  <c r="F56" i="21"/>
  <c r="G56" i="21"/>
  <c r="I56" i="21"/>
  <c r="J56" i="21"/>
  <c r="H57" i="21"/>
  <c r="D57" i="21"/>
  <c r="E57" i="21"/>
  <c r="F57" i="21"/>
  <c r="G57" i="21"/>
  <c r="I57" i="21"/>
  <c r="J57" i="21"/>
  <c r="H58" i="21"/>
  <c r="D58" i="21"/>
  <c r="E58" i="21"/>
  <c r="F58" i="21"/>
  <c r="G58" i="21"/>
  <c r="I58" i="21"/>
  <c r="J58" i="21"/>
  <c r="H59" i="21"/>
  <c r="D59" i="21"/>
  <c r="E59" i="21"/>
  <c r="F59" i="21"/>
  <c r="G59" i="21"/>
  <c r="I59" i="21"/>
  <c r="J59" i="21"/>
  <c r="H60" i="21"/>
  <c r="D60" i="21"/>
  <c r="E60" i="21"/>
  <c r="F60" i="21"/>
  <c r="G60" i="21"/>
  <c r="I60" i="21"/>
  <c r="J60" i="21"/>
  <c r="H61" i="21"/>
  <c r="D61" i="21"/>
  <c r="E61" i="21"/>
  <c r="F61" i="21"/>
  <c r="G61" i="21"/>
  <c r="I61" i="21"/>
  <c r="J61" i="21"/>
  <c r="H62" i="21"/>
  <c r="D62" i="21"/>
  <c r="E62" i="21"/>
  <c r="F62" i="21"/>
  <c r="G62" i="21"/>
  <c r="I62" i="21"/>
  <c r="J62" i="21"/>
  <c r="H63" i="21"/>
  <c r="D63" i="21"/>
  <c r="E63" i="21"/>
  <c r="F63" i="21"/>
  <c r="G63" i="21"/>
  <c r="I63" i="21"/>
  <c r="J63" i="21"/>
  <c r="H64" i="21"/>
  <c r="D64" i="21"/>
  <c r="E64" i="21"/>
  <c r="F64" i="21"/>
  <c r="G64" i="21"/>
  <c r="I64" i="21"/>
  <c r="J64" i="21"/>
  <c r="H65" i="21"/>
  <c r="D65" i="21"/>
  <c r="E65" i="21"/>
  <c r="F65" i="21"/>
  <c r="G65" i="21"/>
  <c r="I65" i="21"/>
  <c r="J65" i="21"/>
  <c r="H66" i="21"/>
  <c r="D66" i="21"/>
  <c r="E66" i="21"/>
  <c r="F66" i="21"/>
  <c r="G66" i="21"/>
  <c r="I66" i="21"/>
  <c r="J66" i="21"/>
  <c r="H67" i="21"/>
  <c r="D67" i="21"/>
  <c r="E67" i="21"/>
  <c r="F67" i="21"/>
  <c r="G67" i="21"/>
  <c r="I67" i="21"/>
  <c r="J67" i="21"/>
  <c r="H68" i="21"/>
  <c r="D68" i="21"/>
  <c r="E68" i="21"/>
  <c r="F68" i="21"/>
  <c r="G68" i="21"/>
  <c r="I68" i="21"/>
  <c r="J68" i="21"/>
  <c r="H69" i="21"/>
  <c r="D69" i="21"/>
  <c r="E69" i="21"/>
  <c r="F69" i="21"/>
  <c r="G69" i="21"/>
  <c r="I69" i="21"/>
  <c r="J69" i="21"/>
  <c r="H70" i="21"/>
  <c r="D70" i="21"/>
  <c r="E70" i="21"/>
  <c r="F70" i="21"/>
  <c r="G70" i="21"/>
  <c r="I70" i="21"/>
  <c r="J70" i="21"/>
  <c r="H71" i="21"/>
  <c r="D71" i="21"/>
  <c r="E71" i="21"/>
  <c r="F71" i="21"/>
  <c r="G71" i="21"/>
  <c r="I71" i="21"/>
  <c r="J71" i="21"/>
  <c r="H72" i="21"/>
  <c r="D72" i="21"/>
  <c r="E72" i="21"/>
  <c r="F72" i="21"/>
  <c r="G72" i="21"/>
  <c r="I72" i="21"/>
  <c r="J72" i="21"/>
  <c r="H73" i="21"/>
  <c r="D73" i="21"/>
  <c r="E73" i="21"/>
  <c r="F73" i="21"/>
  <c r="G73" i="21"/>
  <c r="I73" i="21"/>
  <c r="J73" i="21"/>
  <c r="H74" i="21"/>
  <c r="D74" i="21"/>
  <c r="E74" i="21"/>
  <c r="F74" i="21"/>
  <c r="G74" i="21"/>
  <c r="I74" i="21"/>
  <c r="J74" i="21"/>
  <c r="H75" i="21"/>
  <c r="D75" i="21"/>
  <c r="E75" i="21"/>
  <c r="F75" i="21"/>
  <c r="G75" i="21"/>
  <c r="I75" i="21"/>
  <c r="J75" i="21"/>
  <c r="H76" i="21"/>
  <c r="D76" i="21"/>
  <c r="E76" i="21"/>
  <c r="F76" i="21"/>
  <c r="G76" i="21"/>
  <c r="I76" i="21"/>
  <c r="J76" i="21"/>
  <c r="H77" i="21"/>
  <c r="D77" i="21"/>
  <c r="E77" i="21"/>
  <c r="F77" i="21"/>
  <c r="G77" i="21"/>
  <c r="I77" i="21"/>
  <c r="J77" i="21"/>
  <c r="H78" i="21"/>
  <c r="D78" i="21"/>
  <c r="E78" i="21"/>
  <c r="F78" i="21"/>
  <c r="G78" i="21"/>
  <c r="I78" i="21"/>
  <c r="J78" i="21"/>
  <c r="H79" i="21"/>
  <c r="D79" i="21"/>
  <c r="E79" i="21"/>
  <c r="F79" i="21"/>
  <c r="G79" i="21"/>
  <c r="I79" i="21"/>
  <c r="J79" i="21"/>
  <c r="H80" i="21"/>
  <c r="D80" i="21"/>
  <c r="E80" i="21"/>
  <c r="F80" i="21"/>
  <c r="G80" i="21"/>
  <c r="I80" i="21"/>
  <c r="J80" i="21"/>
  <c r="H81" i="21"/>
  <c r="D81" i="21"/>
  <c r="E81" i="21"/>
  <c r="F81" i="21"/>
  <c r="G81" i="21"/>
  <c r="I81" i="21"/>
  <c r="J81" i="21"/>
  <c r="H82" i="21"/>
  <c r="D82" i="21"/>
  <c r="E82" i="21"/>
  <c r="F82" i="21"/>
  <c r="G82" i="21"/>
  <c r="I82" i="21"/>
  <c r="J82" i="21"/>
  <c r="H83" i="21"/>
  <c r="D83" i="21"/>
  <c r="E83" i="21"/>
  <c r="F83" i="21"/>
  <c r="G83" i="21"/>
  <c r="I83" i="21"/>
  <c r="J83" i="21"/>
  <c r="H84" i="21"/>
  <c r="D84" i="21"/>
  <c r="E84" i="21"/>
  <c r="F84" i="21"/>
  <c r="G84" i="21"/>
  <c r="I84" i="21"/>
  <c r="J84" i="21"/>
  <c r="H85" i="21"/>
  <c r="D85" i="21"/>
  <c r="E85" i="21"/>
  <c r="F85" i="21"/>
  <c r="G85" i="21"/>
  <c r="I85" i="21"/>
  <c r="J85" i="21"/>
  <c r="H86" i="21"/>
  <c r="D86" i="21"/>
  <c r="E86" i="21"/>
  <c r="F86" i="21"/>
  <c r="G86" i="21"/>
  <c r="I86" i="21"/>
  <c r="J86" i="21"/>
  <c r="H87" i="21"/>
  <c r="D87" i="21"/>
  <c r="E87" i="21"/>
  <c r="F87" i="21"/>
  <c r="G87" i="21"/>
  <c r="I87" i="21"/>
  <c r="J87" i="21"/>
  <c r="H88" i="21"/>
  <c r="D88" i="21"/>
  <c r="E88" i="21"/>
  <c r="F88" i="21"/>
  <c r="G88" i="21"/>
  <c r="I88" i="21"/>
  <c r="J88" i="21"/>
  <c r="H89" i="21"/>
  <c r="D89" i="21"/>
  <c r="E89" i="21"/>
  <c r="F89" i="21"/>
  <c r="G89" i="21"/>
  <c r="I89" i="21"/>
  <c r="J89" i="21"/>
  <c r="H90" i="21"/>
  <c r="D90" i="21"/>
  <c r="E90" i="21"/>
  <c r="F90" i="21"/>
  <c r="G90" i="21"/>
  <c r="I90" i="21"/>
  <c r="J90" i="21"/>
  <c r="H91" i="21"/>
  <c r="D91" i="21"/>
  <c r="E91" i="21"/>
  <c r="F91" i="21"/>
  <c r="G91" i="21"/>
  <c r="I91" i="21"/>
  <c r="J91" i="21"/>
  <c r="H92" i="21"/>
  <c r="D92" i="21"/>
  <c r="E92" i="21"/>
  <c r="F92" i="21"/>
  <c r="G92" i="21"/>
  <c r="I92" i="21"/>
  <c r="J92" i="21"/>
  <c r="H93" i="21"/>
  <c r="D93" i="21"/>
  <c r="E93" i="21"/>
  <c r="F93" i="21"/>
  <c r="G93" i="21"/>
  <c r="I93" i="21"/>
  <c r="J93" i="21"/>
  <c r="H94" i="21"/>
  <c r="D94" i="21"/>
  <c r="E94" i="21"/>
  <c r="F94" i="21"/>
  <c r="G94" i="21"/>
  <c r="I94" i="21"/>
  <c r="J94" i="21"/>
  <c r="H95" i="21"/>
  <c r="D95" i="21"/>
  <c r="E95" i="21"/>
  <c r="F95" i="21"/>
  <c r="G95" i="21"/>
  <c r="I95" i="21"/>
  <c r="J95" i="21"/>
  <c r="H96" i="21"/>
  <c r="D96" i="21"/>
  <c r="E96" i="21"/>
  <c r="F96" i="21"/>
  <c r="G96" i="21"/>
  <c r="I96" i="21"/>
  <c r="J96" i="21"/>
  <c r="H97" i="21"/>
  <c r="D97" i="21"/>
  <c r="E97" i="21"/>
  <c r="F97" i="21"/>
  <c r="G97" i="21"/>
  <c r="I97" i="21"/>
  <c r="J97" i="21"/>
  <c r="H98" i="21"/>
  <c r="D98" i="21"/>
  <c r="E98" i="21"/>
  <c r="F98" i="21"/>
  <c r="G98" i="21"/>
  <c r="I98" i="21"/>
  <c r="J98" i="21"/>
  <c r="H99" i="21"/>
  <c r="D99" i="21"/>
  <c r="E99" i="21"/>
  <c r="F99" i="21"/>
  <c r="G99" i="21"/>
  <c r="I99" i="21"/>
  <c r="J99" i="21"/>
  <c r="H100" i="21"/>
  <c r="D100" i="21"/>
  <c r="E100" i="21"/>
  <c r="F100" i="21"/>
  <c r="G100" i="21"/>
  <c r="I100" i="21"/>
  <c r="J100" i="21"/>
  <c r="H101" i="21"/>
  <c r="D101" i="21"/>
  <c r="E101" i="21"/>
  <c r="F101" i="21"/>
  <c r="G101" i="21"/>
  <c r="I101" i="21"/>
  <c r="J101" i="21"/>
  <c r="H102" i="21"/>
  <c r="D102" i="21"/>
  <c r="E102" i="21"/>
  <c r="F102" i="21"/>
  <c r="G102" i="21"/>
  <c r="I102" i="21"/>
  <c r="J102" i="21"/>
  <c r="H103" i="21"/>
  <c r="D103" i="21"/>
  <c r="E103" i="21"/>
  <c r="F103" i="21"/>
  <c r="G103" i="21"/>
  <c r="I103" i="21"/>
  <c r="J103" i="21"/>
  <c r="H104" i="21"/>
  <c r="D104" i="21"/>
  <c r="E104" i="21"/>
  <c r="F104" i="21"/>
  <c r="G104" i="21"/>
  <c r="I104" i="21"/>
  <c r="J104" i="21"/>
  <c r="H105" i="21"/>
  <c r="D105" i="21"/>
  <c r="E105" i="21"/>
  <c r="F105" i="21"/>
  <c r="G105" i="21"/>
  <c r="I105" i="21"/>
  <c r="J105" i="21"/>
  <c r="H106" i="21"/>
  <c r="D106" i="21"/>
  <c r="E106" i="21"/>
  <c r="F106" i="21"/>
  <c r="G106" i="21"/>
  <c r="I106" i="21"/>
  <c r="J106" i="21"/>
  <c r="H107" i="21"/>
  <c r="D107" i="21"/>
  <c r="E107" i="21"/>
  <c r="F107" i="21"/>
  <c r="G107" i="21"/>
  <c r="I107" i="21"/>
  <c r="J107" i="21"/>
  <c r="H108" i="21"/>
  <c r="D108" i="21"/>
  <c r="E108" i="21"/>
  <c r="F108" i="21"/>
  <c r="G108" i="21"/>
  <c r="I108" i="21"/>
  <c r="J108" i="21"/>
  <c r="H109" i="21"/>
  <c r="D109" i="21"/>
  <c r="E109" i="21"/>
  <c r="F109" i="21"/>
  <c r="G109" i="21"/>
  <c r="I109" i="21"/>
  <c r="J109" i="21"/>
  <c r="H110" i="21"/>
  <c r="D110" i="21"/>
  <c r="E110" i="21"/>
  <c r="F110" i="21"/>
  <c r="G110" i="21"/>
  <c r="I110" i="21"/>
  <c r="J110" i="21"/>
  <c r="H111" i="21"/>
  <c r="D111" i="21"/>
  <c r="E111" i="21"/>
  <c r="F111" i="21"/>
  <c r="G111" i="21"/>
  <c r="I111" i="21"/>
  <c r="J111" i="21"/>
  <c r="H112" i="21"/>
  <c r="D112" i="21"/>
  <c r="E112" i="21"/>
  <c r="F112" i="21"/>
  <c r="G112" i="21"/>
  <c r="I112" i="21"/>
  <c r="J112" i="21"/>
  <c r="H113" i="21"/>
  <c r="D113" i="21"/>
  <c r="E113" i="21"/>
  <c r="F113" i="21"/>
  <c r="G113" i="21"/>
  <c r="I113" i="21"/>
  <c r="J113" i="21"/>
  <c r="H114" i="21"/>
  <c r="D114" i="21"/>
  <c r="E114" i="21"/>
  <c r="F114" i="21"/>
  <c r="G114" i="21"/>
  <c r="I114" i="21"/>
  <c r="J114" i="21"/>
  <c r="H115" i="21"/>
  <c r="D115" i="21"/>
  <c r="E115" i="21"/>
  <c r="F115" i="21"/>
  <c r="G115" i="21"/>
  <c r="I115" i="21"/>
  <c r="J115" i="21"/>
  <c r="H116" i="21"/>
  <c r="D116" i="21"/>
  <c r="E116" i="21"/>
  <c r="F116" i="21"/>
  <c r="G116" i="21"/>
  <c r="I116" i="21"/>
  <c r="J116" i="21"/>
  <c r="H117" i="21"/>
  <c r="D117" i="21"/>
  <c r="E117" i="21"/>
  <c r="F117" i="21"/>
  <c r="G117" i="21"/>
  <c r="I117" i="21"/>
  <c r="J117" i="21"/>
  <c r="H118" i="21"/>
  <c r="D118" i="21"/>
  <c r="E118" i="21"/>
  <c r="F118" i="21"/>
  <c r="G118" i="21"/>
  <c r="I118" i="21"/>
  <c r="J118" i="21"/>
  <c r="H119" i="21"/>
  <c r="D119" i="21"/>
  <c r="E119" i="21"/>
  <c r="F119" i="21"/>
  <c r="G119" i="21"/>
  <c r="I119" i="21"/>
  <c r="J119" i="21"/>
  <c r="H120" i="21"/>
  <c r="D120" i="21"/>
  <c r="E120" i="21"/>
  <c r="F120" i="21"/>
  <c r="G120" i="21"/>
  <c r="I120" i="21"/>
  <c r="J120" i="21"/>
  <c r="H121" i="21"/>
  <c r="D121" i="21"/>
  <c r="E121" i="21"/>
  <c r="F121" i="21"/>
  <c r="G121" i="21"/>
  <c r="I121" i="21"/>
  <c r="J121" i="21"/>
  <c r="H122" i="21"/>
  <c r="D122" i="21"/>
  <c r="E122" i="21"/>
  <c r="F122" i="21"/>
  <c r="G122" i="21"/>
  <c r="I122" i="21"/>
  <c r="J122" i="21"/>
  <c r="H123" i="21"/>
  <c r="D123" i="21"/>
  <c r="E123" i="21"/>
  <c r="F123" i="21"/>
  <c r="G123" i="21"/>
  <c r="I123" i="21"/>
  <c r="J123" i="21"/>
  <c r="H124" i="21"/>
  <c r="D124" i="21"/>
  <c r="E124" i="21"/>
  <c r="F124" i="21"/>
  <c r="G124" i="21"/>
  <c r="I124" i="21"/>
  <c r="J124" i="21"/>
  <c r="H125" i="21"/>
  <c r="D125" i="21"/>
  <c r="E125" i="21"/>
  <c r="F125" i="21"/>
  <c r="G125" i="21"/>
  <c r="I125" i="21"/>
  <c r="J125" i="21"/>
  <c r="H126" i="21"/>
  <c r="D126" i="21"/>
  <c r="E126" i="21"/>
  <c r="F126" i="21"/>
  <c r="G126" i="21"/>
  <c r="I126" i="21"/>
  <c r="J126" i="21"/>
  <c r="H127" i="21"/>
  <c r="D127" i="21"/>
  <c r="E127" i="21"/>
  <c r="F127" i="21"/>
  <c r="G127" i="21"/>
  <c r="I127" i="21"/>
  <c r="J127" i="21"/>
  <c r="H128" i="21"/>
  <c r="D128" i="21"/>
  <c r="E128" i="21"/>
  <c r="F128" i="21"/>
  <c r="G128" i="21"/>
  <c r="I128" i="21"/>
  <c r="J128" i="21"/>
  <c r="H129" i="21"/>
  <c r="D129" i="21"/>
  <c r="E129" i="21"/>
  <c r="F129" i="21"/>
  <c r="G129" i="21"/>
  <c r="I129" i="21"/>
  <c r="J129" i="21"/>
  <c r="H130" i="21"/>
  <c r="D130" i="21"/>
  <c r="E130" i="21"/>
  <c r="F130" i="21"/>
  <c r="G130" i="21"/>
  <c r="I130" i="21"/>
  <c r="J130" i="21"/>
  <c r="H131" i="21"/>
  <c r="D131" i="21"/>
  <c r="E131" i="21"/>
  <c r="F131" i="21"/>
  <c r="G131" i="21"/>
  <c r="I131" i="21"/>
  <c r="J131" i="21"/>
  <c r="H132" i="21"/>
  <c r="D132" i="21"/>
  <c r="E132" i="21"/>
  <c r="F132" i="21"/>
  <c r="G132" i="21"/>
  <c r="I132" i="21"/>
  <c r="J132" i="21"/>
  <c r="H133" i="21"/>
  <c r="D133" i="21"/>
  <c r="E133" i="21"/>
  <c r="F133" i="21"/>
  <c r="G133" i="21"/>
  <c r="I133" i="21"/>
  <c r="J133" i="21"/>
  <c r="H134" i="21"/>
  <c r="D134" i="21"/>
  <c r="E134" i="21"/>
  <c r="F134" i="21"/>
  <c r="G134" i="21"/>
  <c r="I134" i="21"/>
  <c r="J134" i="21"/>
  <c r="H135" i="21"/>
  <c r="D135" i="21"/>
  <c r="E135" i="21"/>
  <c r="F135" i="21"/>
  <c r="G135" i="21"/>
  <c r="I135" i="21"/>
  <c r="J135" i="21"/>
  <c r="H136" i="21"/>
  <c r="D136" i="21"/>
  <c r="E136" i="21"/>
  <c r="F136" i="21"/>
  <c r="G136" i="21"/>
  <c r="I136" i="21"/>
  <c r="J136" i="21"/>
  <c r="H137" i="21"/>
  <c r="D137" i="21"/>
  <c r="E137" i="21"/>
  <c r="F137" i="21"/>
  <c r="G137" i="21"/>
  <c r="I137" i="21"/>
  <c r="J137" i="21"/>
  <c r="H138" i="21"/>
  <c r="D138" i="21"/>
  <c r="E138" i="21"/>
  <c r="F138" i="21"/>
  <c r="G138" i="21"/>
  <c r="I138" i="21"/>
  <c r="J138" i="21"/>
  <c r="H139" i="21"/>
  <c r="D139" i="21"/>
  <c r="E139" i="21"/>
  <c r="F139" i="21"/>
  <c r="G139" i="21"/>
  <c r="I139" i="21"/>
  <c r="J139" i="21"/>
  <c r="H140" i="21"/>
  <c r="D140" i="21"/>
  <c r="E140" i="21"/>
  <c r="F140" i="21"/>
  <c r="G140" i="21"/>
  <c r="I140" i="21"/>
  <c r="J140" i="21"/>
  <c r="H141" i="21"/>
  <c r="D141" i="21"/>
  <c r="E141" i="21"/>
  <c r="F141" i="21"/>
  <c r="G141" i="21"/>
  <c r="I141" i="21"/>
  <c r="J141" i="21"/>
  <c r="H142" i="21"/>
  <c r="D142" i="21"/>
  <c r="E142" i="21"/>
  <c r="F142" i="21"/>
  <c r="G142" i="21"/>
  <c r="I142" i="21"/>
  <c r="J142" i="21"/>
  <c r="H143" i="21"/>
  <c r="D143" i="21"/>
  <c r="E143" i="21"/>
  <c r="F143" i="21"/>
  <c r="G143" i="21"/>
  <c r="I143" i="21"/>
  <c r="J143" i="21"/>
  <c r="H144" i="21"/>
  <c r="D144" i="21"/>
  <c r="E144" i="21"/>
  <c r="F144" i="21"/>
  <c r="G144" i="21"/>
  <c r="I144" i="21"/>
  <c r="J144" i="21"/>
  <c r="H145" i="21"/>
  <c r="D145" i="21"/>
  <c r="E145" i="21"/>
  <c r="F145" i="21"/>
  <c r="G145" i="21"/>
  <c r="I145" i="21"/>
  <c r="J145" i="21"/>
  <c r="H146" i="21"/>
  <c r="D146" i="21"/>
  <c r="E146" i="21"/>
  <c r="F146" i="21"/>
  <c r="G146" i="21"/>
  <c r="I146" i="21"/>
  <c r="J146" i="21"/>
  <c r="H147" i="21"/>
  <c r="D147" i="21"/>
  <c r="E147" i="21"/>
  <c r="F147" i="21"/>
  <c r="G147" i="21"/>
  <c r="I147" i="21"/>
  <c r="J147" i="21"/>
  <c r="H148" i="21"/>
  <c r="D148" i="21"/>
  <c r="E148" i="21"/>
  <c r="F148" i="21"/>
  <c r="G148" i="21"/>
  <c r="I148" i="21"/>
  <c r="J148" i="21"/>
  <c r="H149" i="21"/>
  <c r="D149" i="21"/>
  <c r="E149" i="21"/>
  <c r="F149" i="21"/>
  <c r="G149" i="21"/>
  <c r="I149" i="21"/>
  <c r="J149" i="21"/>
  <c r="H150" i="21"/>
  <c r="D150" i="21"/>
  <c r="E150" i="21"/>
  <c r="F150" i="21"/>
  <c r="G150" i="21"/>
  <c r="I150" i="21"/>
  <c r="J150" i="21"/>
  <c r="H151" i="21"/>
  <c r="D151" i="21"/>
  <c r="E151" i="21"/>
  <c r="F151" i="21"/>
  <c r="G151" i="21"/>
  <c r="I151" i="21"/>
  <c r="J151" i="21"/>
  <c r="H152" i="21"/>
  <c r="D152" i="21"/>
  <c r="E152" i="21"/>
  <c r="F152" i="21"/>
  <c r="G152" i="21"/>
  <c r="I152" i="21"/>
  <c r="J152" i="21"/>
  <c r="H153" i="21"/>
  <c r="D153" i="21"/>
  <c r="E153" i="21"/>
  <c r="F153" i="21"/>
  <c r="G153" i="21"/>
  <c r="I153" i="21"/>
  <c r="J153" i="21"/>
  <c r="H154" i="21"/>
  <c r="D154" i="21"/>
  <c r="E154" i="21"/>
  <c r="F154" i="21"/>
  <c r="G154" i="21"/>
  <c r="I154" i="21"/>
  <c r="J154" i="21"/>
  <c r="H155" i="21"/>
  <c r="D155" i="21"/>
  <c r="E155" i="21"/>
  <c r="F155" i="21"/>
  <c r="G155" i="21"/>
  <c r="I155" i="21"/>
  <c r="J155" i="21"/>
  <c r="H156" i="21"/>
  <c r="D156" i="21"/>
  <c r="E156" i="21"/>
  <c r="F156" i="21"/>
  <c r="G156" i="21"/>
  <c r="I156" i="21"/>
  <c r="J156" i="21"/>
  <c r="H157" i="21"/>
  <c r="D157" i="21"/>
  <c r="E157" i="21"/>
  <c r="F157" i="21"/>
  <c r="G157" i="21"/>
  <c r="I157" i="21"/>
  <c r="J157" i="21"/>
  <c r="H158" i="21"/>
  <c r="D158" i="21"/>
  <c r="E158" i="21"/>
  <c r="F158" i="21"/>
  <c r="G158" i="21"/>
  <c r="I158" i="21"/>
  <c r="J158" i="21"/>
  <c r="H159" i="21"/>
  <c r="D159" i="21"/>
  <c r="E159" i="21"/>
  <c r="F159" i="21"/>
  <c r="G159" i="21"/>
  <c r="I159" i="21"/>
  <c r="J159" i="21"/>
  <c r="H160" i="21"/>
  <c r="D160" i="21"/>
  <c r="E160" i="21"/>
  <c r="F160" i="21"/>
  <c r="G160" i="21"/>
  <c r="I160" i="21"/>
  <c r="J160" i="21"/>
  <c r="H161" i="21"/>
  <c r="D161" i="21"/>
  <c r="E161" i="21"/>
  <c r="F161" i="21"/>
  <c r="G161" i="21"/>
  <c r="I161" i="21"/>
  <c r="J161" i="21"/>
  <c r="H162" i="21"/>
  <c r="D162" i="21"/>
  <c r="E162" i="21"/>
  <c r="F162" i="21"/>
  <c r="G162" i="21"/>
  <c r="I162" i="21"/>
  <c r="J162" i="21"/>
  <c r="H163" i="21"/>
  <c r="D163" i="21"/>
  <c r="E163" i="21"/>
  <c r="F163" i="21"/>
  <c r="G163" i="21"/>
  <c r="I163" i="21"/>
  <c r="J163" i="21"/>
  <c r="H164" i="21"/>
  <c r="D164" i="21"/>
  <c r="E164" i="21"/>
  <c r="F164" i="21"/>
  <c r="G164" i="21"/>
  <c r="I164" i="21"/>
  <c r="J164" i="21"/>
  <c r="H165" i="21"/>
  <c r="D165" i="21"/>
  <c r="E165" i="21"/>
  <c r="F165" i="21"/>
  <c r="G165" i="21"/>
  <c r="I165" i="21"/>
  <c r="J165" i="21"/>
  <c r="H166" i="21"/>
  <c r="D166" i="21"/>
  <c r="E166" i="21"/>
  <c r="F166" i="21"/>
  <c r="G166" i="21"/>
  <c r="I166" i="21"/>
  <c r="J166" i="21"/>
  <c r="H167" i="21"/>
  <c r="D167" i="21"/>
  <c r="E167" i="21"/>
  <c r="F167" i="21"/>
  <c r="G167" i="21"/>
  <c r="I167" i="21"/>
  <c r="J167" i="21"/>
  <c r="H168" i="21"/>
  <c r="D168" i="21"/>
  <c r="E168" i="21"/>
  <c r="F168" i="21"/>
  <c r="G168" i="21"/>
  <c r="I168" i="21"/>
  <c r="J168" i="21"/>
  <c r="H169" i="21"/>
  <c r="D169" i="21"/>
  <c r="E169" i="21"/>
  <c r="F169" i="21"/>
  <c r="G169" i="21"/>
  <c r="I169" i="21"/>
  <c r="J169" i="21"/>
  <c r="H170" i="21"/>
  <c r="D170" i="21"/>
  <c r="E170" i="21"/>
  <c r="F170" i="21"/>
  <c r="G170" i="21"/>
  <c r="I170" i="21"/>
  <c r="J170" i="21"/>
  <c r="H171" i="21"/>
  <c r="D171" i="21"/>
  <c r="E171" i="21"/>
  <c r="F171" i="21"/>
  <c r="G171" i="21"/>
  <c r="I171" i="21"/>
  <c r="J171" i="21"/>
  <c r="H172" i="21"/>
  <c r="D172" i="21"/>
  <c r="E172" i="21"/>
  <c r="F172" i="21"/>
  <c r="G172" i="21"/>
  <c r="I172" i="21"/>
  <c r="J172" i="21"/>
  <c r="H173" i="21"/>
  <c r="D173" i="21"/>
  <c r="E173" i="21"/>
  <c r="F173" i="21"/>
  <c r="G173" i="21"/>
  <c r="I173" i="21"/>
  <c r="J173" i="21"/>
  <c r="H174" i="21"/>
  <c r="D174" i="21"/>
  <c r="E174" i="21"/>
  <c r="F174" i="21"/>
  <c r="G174" i="21"/>
  <c r="I174" i="21"/>
  <c r="J174" i="21"/>
  <c r="H175" i="21"/>
  <c r="D175" i="21"/>
  <c r="E175" i="21"/>
  <c r="F175" i="21"/>
  <c r="G175" i="21"/>
  <c r="I175" i="21"/>
  <c r="J175" i="21"/>
  <c r="H176" i="21"/>
  <c r="D176" i="21"/>
  <c r="E176" i="21"/>
  <c r="F176" i="21"/>
  <c r="G176" i="21"/>
  <c r="I176" i="21"/>
  <c r="J176" i="21"/>
  <c r="H177" i="21"/>
  <c r="D177" i="21"/>
  <c r="E177" i="21"/>
  <c r="F177" i="21"/>
  <c r="G177" i="21"/>
  <c r="I177" i="21"/>
  <c r="J177" i="21"/>
  <c r="H178" i="21"/>
  <c r="D178" i="21"/>
  <c r="E178" i="21"/>
  <c r="F178" i="21"/>
  <c r="G178" i="21"/>
  <c r="I178" i="21"/>
  <c r="J178" i="21"/>
  <c r="H179" i="21"/>
  <c r="D179" i="21"/>
  <c r="E179" i="21"/>
  <c r="F179" i="21"/>
  <c r="G179" i="21"/>
  <c r="I179" i="21"/>
  <c r="J179" i="21"/>
  <c r="H180" i="21"/>
  <c r="D180" i="21"/>
  <c r="E180" i="21"/>
  <c r="F180" i="21"/>
  <c r="G180" i="21"/>
  <c r="I180" i="21"/>
  <c r="J180" i="21"/>
  <c r="H181" i="21"/>
  <c r="D181" i="21"/>
  <c r="E181" i="21"/>
  <c r="F181" i="21"/>
  <c r="G181" i="21"/>
  <c r="I181" i="21"/>
  <c r="J181" i="21"/>
  <c r="H182" i="21"/>
  <c r="D182" i="21"/>
  <c r="E182" i="21"/>
  <c r="F182" i="21"/>
  <c r="G182" i="21"/>
  <c r="I182" i="21"/>
  <c r="J182" i="21"/>
  <c r="H183" i="21"/>
  <c r="D183" i="21"/>
  <c r="E183" i="21"/>
  <c r="F183" i="21"/>
  <c r="G183" i="21"/>
  <c r="I183" i="21"/>
  <c r="J183" i="21"/>
  <c r="H184" i="21"/>
  <c r="D184" i="21"/>
  <c r="E184" i="21"/>
  <c r="F184" i="21"/>
  <c r="G184" i="21"/>
  <c r="I184" i="21"/>
  <c r="J184" i="21"/>
  <c r="H185" i="21"/>
  <c r="D185" i="21"/>
  <c r="E185" i="21"/>
  <c r="F185" i="21"/>
  <c r="G185" i="21"/>
  <c r="I185" i="21"/>
  <c r="J185" i="21"/>
  <c r="H186" i="21"/>
  <c r="D186" i="21"/>
  <c r="E186" i="21"/>
  <c r="F186" i="21"/>
  <c r="G186" i="21"/>
  <c r="I186" i="21"/>
  <c r="J186" i="21"/>
  <c r="H187" i="21"/>
  <c r="D187" i="21"/>
  <c r="E187" i="21"/>
  <c r="F187" i="21"/>
  <c r="G187" i="21"/>
  <c r="I187" i="21"/>
  <c r="J187" i="21"/>
  <c r="H188" i="21"/>
  <c r="D188" i="21"/>
  <c r="E188" i="21"/>
  <c r="F188" i="21"/>
  <c r="G188" i="21"/>
  <c r="I188" i="21"/>
  <c r="J188" i="21"/>
  <c r="H189" i="21"/>
  <c r="D189" i="21"/>
  <c r="E189" i="21"/>
  <c r="F189" i="21"/>
  <c r="G189" i="21"/>
  <c r="I189" i="21"/>
  <c r="J189" i="21"/>
  <c r="H190" i="21"/>
  <c r="D190" i="21"/>
  <c r="E190" i="21"/>
  <c r="F190" i="21"/>
  <c r="G190" i="21"/>
  <c r="I190" i="21"/>
  <c r="J190" i="21"/>
  <c r="H191" i="21"/>
  <c r="D191" i="21"/>
  <c r="E191" i="21"/>
  <c r="F191" i="21"/>
  <c r="G191" i="21"/>
  <c r="I191" i="21"/>
  <c r="J191" i="21"/>
  <c r="H192" i="21"/>
  <c r="D192" i="21"/>
  <c r="E192" i="21"/>
  <c r="F192" i="21"/>
  <c r="G192" i="21"/>
  <c r="I192" i="21"/>
  <c r="J192" i="21"/>
  <c r="H193" i="21"/>
  <c r="D193" i="21"/>
  <c r="E193" i="21"/>
  <c r="F193" i="21"/>
  <c r="G193" i="21"/>
  <c r="I193" i="21"/>
  <c r="J193" i="21"/>
  <c r="H194" i="21"/>
  <c r="D194" i="21"/>
  <c r="E194" i="21"/>
  <c r="F194" i="21"/>
  <c r="G194" i="21"/>
  <c r="I194" i="21"/>
  <c r="J194" i="21"/>
  <c r="H195" i="21"/>
  <c r="D195" i="21"/>
  <c r="E195" i="21"/>
  <c r="F195" i="21"/>
  <c r="G195" i="21"/>
  <c r="I195" i="21"/>
  <c r="J195" i="21"/>
  <c r="H196" i="21"/>
  <c r="D196" i="21"/>
  <c r="E196" i="21"/>
  <c r="F196" i="21"/>
  <c r="G196" i="21"/>
  <c r="I196" i="21"/>
  <c r="J196" i="21"/>
  <c r="H197" i="21"/>
  <c r="D197" i="21"/>
  <c r="E197" i="21"/>
  <c r="F197" i="21"/>
  <c r="G197" i="21"/>
  <c r="I197" i="21"/>
  <c r="J197" i="21"/>
  <c r="H198" i="21"/>
  <c r="D198" i="21"/>
  <c r="E198" i="21"/>
  <c r="F198" i="21"/>
  <c r="G198" i="21"/>
  <c r="I198" i="21"/>
  <c r="J198" i="21"/>
  <c r="H199" i="21"/>
  <c r="D199" i="21"/>
  <c r="E199" i="21"/>
  <c r="F199" i="21"/>
  <c r="G199" i="21"/>
  <c r="I199" i="21"/>
  <c r="J199" i="21"/>
  <c r="H200" i="21"/>
  <c r="D200" i="21"/>
  <c r="E200" i="21"/>
  <c r="F200" i="21"/>
  <c r="G200" i="21"/>
  <c r="I200" i="21"/>
  <c r="J200" i="21"/>
  <c r="H201" i="21"/>
  <c r="D201" i="21"/>
  <c r="E201" i="21"/>
  <c r="F201" i="21"/>
  <c r="G201" i="21"/>
  <c r="I201" i="21"/>
  <c r="J201" i="21"/>
  <c r="H202" i="21"/>
  <c r="D202" i="21"/>
  <c r="E202" i="21"/>
  <c r="F202" i="21"/>
  <c r="G202" i="21"/>
  <c r="I202" i="21"/>
  <c r="J202" i="21"/>
  <c r="H203" i="21"/>
  <c r="D203" i="21"/>
  <c r="E203" i="21"/>
  <c r="F203" i="21"/>
  <c r="G203" i="21"/>
  <c r="I203" i="21"/>
  <c r="J203" i="21"/>
  <c r="D32" i="18"/>
  <c r="E32" i="18"/>
  <c r="F32" i="18"/>
  <c r="G32" i="18"/>
  <c r="H32" i="18"/>
  <c r="I32" i="18"/>
  <c r="J32" i="18"/>
  <c r="K32" i="18"/>
  <c r="L32" i="18"/>
  <c r="J2" i="14"/>
  <c r="H31" i="18"/>
  <c r="I35" i="18"/>
  <c r="I34" i="18"/>
  <c r="I33" i="18"/>
  <c r="H35" i="18"/>
  <c r="H34" i="18"/>
  <c r="H33" i="18"/>
  <c r="I31" i="18"/>
  <c r="I30" i="18"/>
  <c r="H30" i="18"/>
  <c r="H29" i="18"/>
  <c r="I29" i="18"/>
  <c r="I28" i="18"/>
  <c r="H28" i="18"/>
  <c r="D28" i="18"/>
  <c r="D31" i="18"/>
  <c r="E31" i="18"/>
  <c r="F31" i="18"/>
  <c r="G31" i="18"/>
  <c r="J31" i="18"/>
  <c r="K31" i="18"/>
  <c r="H2" i="21"/>
  <c r="I2" i="21"/>
  <c r="L31" i="18"/>
  <c r="B2" i="21"/>
  <c r="C2" i="21"/>
  <c r="E2" i="21"/>
  <c r="F2" i="21"/>
  <c r="G2" i="21"/>
  <c r="G18" i="18"/>
  <c r="F18" i="18"/>
  <c r="E18" i="18"/>
  <c r="D18" i="18"/>
  <c r="D34" i="18"/>
  <c r="E34" i="18"/>
  <c r="F34" i="18"/>
  <c r="G34" i="18"/>
  <c r="J34" i="18"/>
  <c r="K34" i="18"/>
  <c r="D35" i="18"/>
  <c r="E35" i="18"/>
  <c r="F35" i="18"/>
  <c r="G35" i="18"/>
  <c r="J35" i="18"/>
  <c r="K35" i="18"/>
  <c r="E33" i="18"/>
  <c r="F33" i="18"/>
  <c r="G33" i="18"/>
  <c r="J33" i="18"/>
  <c r="K33" i="18"/>
  <c r="D33" i="18"/>
  <c r="D29" i="18"/>
  <c r="E29" i="18"/>
  <c r="F29" i="18"/>
  <c r="G29" i="18"/>
  <c r="J29" i="18"/>
  <c r="K29" i="18"/>
  <c r="D30" i="18"/>
  <c r="E30" i="18"/>
  <c r="F30" i="18"/>
  <c r="G30" i="18"/>
  <c r="J30" i="18"/>
  <c r="K30" i="18"/>
  <c r="E28" i="18"/>
  <c r="F28" i="18"/>
  <c r="G28" i="18"/>
  <c r="J28" i="18"/>
  <c r="K28" i="18"/>
  <c r="F10" i="18"/>
  <c r="F4" i="18"/>
  <c r="I8" i="18"/>
  <c r="L34" i="18"/>
  <c r="I10" i="18"/>
  <c r="L29" i="18"/>
  <c r="J36" i="18"/>
  <c r="L35" i="18"/>
  <c r="K36" i="18"/>
  <c r="G36" i="18"/>
  <c r="F36" i="18"/>
  <c r="I36" i="18"/>
  <c r="E36" i="18"/>
  <c r="L30" i="18"/>
  <c r="L33" i="18"/>
  <c r="L28" i="18"/>
  <c r="H36" i="18"/>
  <c r="D36" i="18"/>
  <c r="L36" i="18"/>
  <c r="F6" i="18"/>
  <c r="D2" i="21"/>
  <c r="J2" i="21"/>
  <c r="C8" i="18"/>
  <c r="I6" i="18"/>
  <c r="H18" i="18"/>
  <c r="I4" i="18"/>
  <c r="K5" i="18"/>
  <c r="K7" i="18"/>
</calcChain>
</file>

<file path=xl/sharedStrings.xml><?xml version="1.0" encoding="utf-8"?>
<sst xmlns="http://schemas.openxmlformats.org/spreadsheetml/2006/main" count="227" uniqueCount="77">
  <si>
    <t>Issue Types</t>
    <phoneticPr fontId="4" type="noConversion"/>
  </si>
  <si>
    <t>Minor</t>
  </si>
  <si>
    <t>Fluency</t>
  </si>
  <si>
    <t>Subtypes</t>
  </si>
  <si>
    <t>Source</t>
  </si>
  <si>
    <t>Target</t>
  </si>
  <si>
    <t>Total Errors</t>
    <phoneticPr fontId="6" type="noConversion"/>
  </si>
  <si>
    <t>Omission</t>
  </si>
  <si>
    <t>Accuracy</t>
    <phoneticPr fontId="6" type="noConversion"/>
  </si>
  <si>
    <t># Total Errors:</t>
    <phoneticPr fontId="6" type="noConversion"/>
  </si>
  <si>
    <t># Segments:</t>
    <phoneticPr fontId="3" type="noConversion"/>
  </si>
  <si>
    <t># Words:</t>
    <phoneticPr fontId="3" type="noConversion"/>
  </si>
  <si>
    <t>Errors / 1k words:</t>
    <phoneticPr fontId="3" type="noConversion"/>
  </si>
  <si>
    <t># Total Rows:</t>
    <phoneticPr fontId="3" type="noConversion"/>
  </si>
  <si>
    <t>After Evaluation</t>
    <phoneticPr fontId="3" type="noConversion"/>
  </si>
  <si>
    <t>Before Evaluation</t>
    <phoneticPr fontId="3" type="noConversion"/>
  </si>
  <si>
    <t>#error</t>
    <phoneticPr fontId="4" type="noConversion"/>
  </si>
  <si>
    <t>ID</t>
    <phoneticPr fontId="4" type="noConversion"/>
  </si>
  <si>
    <t>Accuracy</t>
  </si>
  <si>
    <t>Addition</t>
  </si>
  <si>
    <t>Major</t>
  </si>
  <si>
    <t>N/A</t>
  </si>
  <si>
    <t>Critical</t>
  </si>
  <si>
    <t>Duplication</t>
  </si>
  <si>
    <t>Place&amp;Name</t>
  </si>
  <si>
    <t>Attribute</t>
  </si>
  <si>
    <t>Number&amp;Time</t>
  </si>
  <si>
    <t>Sub_Issue_Type</t>
  </si>
  <si>
    <t>Issue_Type</t>
  </si>
  <si>
    <t>Issue Words</t>
  </si>
  <si>
    <t>Labels</t>
  </si>
  <si>
    <t>Severity</t>
  </si>
  <si>
    <t>Critical</t>
    <phoneticPr fontId="4" type="noConversion"/>
  </si>
  <si>
    <t>Major</t>
    <phoneticPr fontId="4" type="noConversion"/>
  </si>
  <si>
    <t>Minor</t>
    <phoneticPr fontId="4" type="noConversion"/>
  </si>
  <si>
    <t># Invalid Segments:</t>
    <phoneticPr fontId="4" type="noConversion"/>
  </si>
  <si>
    <t>% Invalid Segments:</t>
    <phoneticPr fontId="6" type="noConversion"/>
  </si>
  <si>
    <t>Results</t>
    <phoneticPr fontId="4" type="noConversion"/>
  </si>
  <si>
    <t>wordcount</t>
    <phoneticPr fontId="4" type="noConversion"/>
  </si>
  <si>
    <t>Positive_Negative_Aspect</t>
  </si>
  <si>
    <t>Invalid Source</t>
    <phoneticPr fontId="4" type="noConversion"/>
  </si>
  <si>
    <t>Invalid Target</t>
    <phoneticPr fontId="4" type="noConversion"/>
  </si>
  <si>
    <t>Invalid Target</t>
    <phoneticPr fontId="4" type="noConversion"/>
  </si>
  <si>
    <t>Severity_Matrix</t>
    <phoneticPr fontId="15" type="noConversion"/>
  </si>
  <si>
    <t>Score</t>
  </si>
  <si>
    <t>Whole Sentence</t>
  </si>
  <si>
    <t>Minor</t>
    <phoneticPr fontId="1" type="noConversion"/>
  </si>
  <si>
    <t>Critical</t>
    <phoneticPr fontId="1" type="noConversion"/>
  </si>
  <si>
    <t>Critical</t>
    <phoneticPr fontId="1" type="noConversion"/>
  </si>
  <si>
    <t>Reason for Error (optional)</t>
  </si>
  <si>
    <t>Inaccuracy_internal</t>
  </si>
  <si>
    <t>Inaccuracy_external</t>
  </si>
  <si>
    <t>Word_Order</t>
  </si>
  <si>
    <t>Word_Form</t>
  </si>
  <si>
    <t>Word_From</t>
  </si>
  <si>
    <t>Inaccuracy_internal</t>
    <phoneticPr fontId="4" type="noConversion"/>
  </si>
  <si>
    <t>Inaccuracy_external</t>
    <phoneticPr fontId="4" type="noConversion"/>
  </si>
  <si>
    <t>Word_Form</t>
    <phoneticPr fontId="4" type="noConversion"/>
  </si>
  <si>
    <t>Word_Order</t>
    <phoneticPr fontId="4" type="noConversion"/>
  </si>
  <si>
    <t>Attribute</t>
    <phoneticPr fontId="4" type="noConversion"/>
  </si>
  <si>
    <t>PolyTope Metrics</t>
    <phoneticPr fontId="1" type="noConversion"/>
  </si>
  <si>
    <t>PolyTope Score:</t>
    <phoneticPr fontId="3" type="noConversion"/>
  </si>
  <si>
    <t>Subject</t>
    <phoneticPr fontId="4" type="noConversion"/>
  </si>
  <si>
    <t>Object</t>
    <phoneticPr fontId="4" type="noConversion"/>
  </si>
  <si>
    <t>Predicate</t>
    <phoneticPr fontId="4" type="noConversion"/>
  </si>
  <si>
    <t>Function Word</t>
    <phoneticPr fontId="4" type="noConversion"/>
  </si>
  <si>
    <t>Source</t>
    <phoneticPr fontId="4" type="noConversion"/>
  </si>
  <si>
    <t>Error Counts</t>
  </si>
  <si>
    <t xml:space="preserve">Score Card </t>
  </si>
  <si>
    <t>Evaluation Date:</t>
  </si>
  <si>
    <t>Source Language:</t>
  </si>
  <si>
    <t># Correct Segments:</t>
  </si>
  <si>
    <t>% Correct Segments:</t>
  </si>
  <si>
    <t>Subject</t>
  </si>
  <si>
    <t>Object</t>
  </si>
  <si>
    <t>Predicate</t>
  </si>
  <si>
    <t>Function 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</si>
</sst>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0_ "/>
    <numFmt numFmtId="165" formatCode="0.000000000000_ "/>
    <numFmt numFmtId="166" formatCode="_-* #,##0.0_-;\-* #,##0.0_-;_-* &quot;-&quot;??_-;_-@_-"/>
  </numFmts>
  <fonts count="35">
    <font>
      <sz val="12"/>
      <color indexed="8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2"/>
      <color theme="11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宋体"/>
      <family val="3"/>
      <charset val="134"/>
    </font>
    <font>
      <b/>
      <sz val="11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u/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sz val="12"/>
      <color rgb="FF000000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9"/>
      <color rgb="FF000000"/>
      <name val="Arial"/>
      <family val="2"/>
    </font>
    <font>
      <sz val="12"/>
      <color indexed="8"/>
      <name val="Arial"/>
      <family val="2"/>
    </font>
    <font>
      <sz val="11"/>
      <color theme="0" tint="-0.14999847407452621"/>
      <name val="Arial"/>
      <family val="2"/>
    </font>
    <font>
      <sz val="11"/>
      <color theme="0"/>
      <name val="Arial"/>
      <family val="2"/>
    </font>
    <font>
      <sz val="12"/>
      <color indexed="8"/>
      <name val="宋体"/>
      <family val="3"/>
      <charset val="134"/>
    </font>
    <font>
      <sz val="9"/>
      <color theme="1" tint="0.499984740745262"/>
      <name val="Arial"/>
      <family val="2"/>
    </font>
    <font>
      <b/>
      <sz val="12"/>
      <color theme="1"/>
      <name val="Arial"/>
      <family val="2"/>
    </font>
    <font>
      <sz val="12"/>
      <color rgb="FF000000"/>
      <name val="Calibri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11">
    <xf numFmtId="0" fontId="0" fillId="0" borderId="0"/>
    <xf numFmtId="0" fontId="6" fillId="0" borderId="0"/>
    <xf numFmtId="0" fontId="5" fillId="0" borderId="0"/>
    <xf numFmtId="0" fontId="3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9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43" fontId="30" fillId="0" borderId="0" applyFont="0" applyFill="0" applyBorder="0" applyAlignment="0" applyProtection="0">
      <alignment vertical="center"/>
    </xf>
    <xf numFmtId="0" fontId="9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9">
    <xf numFmtId="0" fontId="0" fillId="0" borderId="0" xfId="0"/>
    <xf numFmtId="0" fontId="12" fillId="0" borderId="0" xfId="180" applyFont="1" applyAlignment="1">
      <alignment vertical="center"/>
    </xf>
    <xf numFmtId="0" fontId="5" fillId="0" borderId="1" xfId="180" applyFont="1" applyFill="1" applyBorder="1" applyAlignment="1">
      <alignment vertical="center"/>
    </xf>
    <xf numFmtId="0" fontId="13" fillId="0" borderId="1" xfId="180" applyFont="1" applyFill="1" applyBorder="1" applyAlignment="1">
      <alignment vertical="center"/>
    </xf>
    <xf numFmtId="0" fontId="13" fillId="2" borderId="1" xfId="18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2" fillId="4" borderId="1" xfId="0" applyFont="1" applyFill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0" fontId="13" fillId="2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>
      <alignment horizontal="center" vertical="center" wrapText="1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7" fillId="0" borderId="1" xfId="0" applyFont="1" applyBorder="1" applyAlignment="1">
      <alignment vertical="center"/>
    </xf>
    <xf numFmtId="1" fontId="18" fillId="0" borderId="1" xfId="0" applyNumberFormat="1" applyFont="1" applyBorder="1" applyAlignment="1">
      <alignment horizontal="left" vertical="center"/>
    </xf>
    <xf numFmtId="1" fontId="17" fillId="0" borderId="1" xfId="0" applyNumberFormat="1" applyFont="1" applyBorder="1" applyAlignment="1">
      <alignment horizontal="left" vertical="center"/>
    </xf>
    <xf numFmtId="0" fontId="17" fillId="0" borderId="1" xfId="0" applyFont="1" applyBorder="1" applyAlignment="1">
      <alignment wrapText="1"/>
    </xf>
    <xf numFmtId="0" fontId="17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left" vertical="top" wrapText="1"/>
    </xf>
    <xf numFmtId="0" fontId="17" fillId="0" borderId="0" xfId="0" applyFont="1" applyBorder="1" applyAlignment="1" applyProtection="1">
      <alignment horizontal="left" vertical="center" wrapText="1"/>
      <protection locked="0"/>
    </xf>
    <xf numFmtId="0" fontId="11" fillId="0" borderId="0" xfId="180" applyFont="1">
      <alignment vertical="center"/>
    </xf>
    <xf numFmtId="0" fontId="11" fillId="0" borderId="1" xfId="180" applyFont="1" applyBorder="1" applyAlignment="1">
      <alignment horizontal="right" vertical="center"/>
    </xf>
    <xf numFmtId="0" fontId="11" fillId="0" borderId="0" xfId="180" applyFont="1" applyAlignment="1">
      <alignment horizontal="right" vertical="center"/>
    </xf>
    <xf numFmtId="14" fontId="11" fillId="0" borderId="1" xfId="180" applyNumberFormat="1" applyFont="1" applyBorder="1" applyAlignment="1">
      <alignment horizontal="right" vertical="center"/>
    </xf>
    <xf numFmtId="0" fontId="11" fillId="0" borderId="5" xfId="180" applyFont="1" applyBorder="1">
      <alignment vertical="center"/>
    </xf>
    <xf numFmtId="0" fontId="26" fillId="0" borderId="11" xfId="180" applyFont="1" applyFill="1" applyBorder="1" applyAlignment="1">
      <alignment horizontal="right"/>
    </xf>
    <xf numFmtId="0" fontId="27" fillId="0" borderId="0" xfId="0" applyFont="1"/>
    <xf numFmtId="0" fontId="11" fillId="0" borderId="0" xfId="180" applyFont="1" applyBorder="1">
      <alignment vertical="center"/>
    </xf>
    <xf numFmtId="0" fontId="11" fillId="0" borderId="0" xfId="180" applyFont="1" applyBorder="1" applyAlignment="1">
      <alignment horizontal="right" vertical="center"/>
    </xf>
    <xf numFmtId="0" fontId="28" fillId="0" borderId="0" xfId="180" applyFont="1">
      <alignment vertical="center"/>
    </xf>
    <xf numFmtId="2" fontId="29" fillId="0" borderId="0" xfId="180" applyNumberFormat="1" applyFont="1">
      <alignment vertical="center"/>
    </xf>
    <xf numFmtId="0" fontId="29" fillId="0" borderId="0" xfId="180" applyFont="1">
      <alignment vertical="center"/>
    </xf>
    <xf numFmtId="165" fontId="29" fillId="0" borderId="0" xfId="180" applyNumberFormat="1" applyFont="1">
      <alignment vertical="center"/>
    </xf>
    <xf numFmtId="0" fontId="11" fillId="0" borderId="0" xfId="180" applyFont="1" applyBorder="1" applyAlignment="1">
      <alignment horizontal="center" vertical="center"/>
    </xf>
    <xf numFmtId="0" fontId="19" fillId="0" borderId="0" xfId="180" applyFont="1">
      <alignment vertical="center"/>
    </xf>
    <xf numFmtId="0" fontId="16" fillId="2" borderId="0" xfId="180" applyFont="1" applyFill="1" applyAlignment="1">
      <alignment horizontal="right" vertical="center"/>
    </xf>
    <xf numFmtId="43" fontId="20" fillId="2" borderId="0" xfId="203" applyFont="1" applyFill="1" applyAlignment="1">
      <alignment horizontal="right" vertical="center"/>
    </xf>
    <xf numFmtId="166" fontId="20" fillId="2" borderId="0" xfId="182" applyNumberFormat="1" applyFont="1" applyFill="1" applyAlignment="1">
      <alignment horizontal="right" vertical="center"/>
    </xf>
    <xf numFmtId="10" fontId="20" fillId="2" borderId="0" xfId="181" applyNumberFormat="1" applyFont="1" applyFill="1" applyAlignment="1">
      <alignment horizontal="right" vertical="center"/>
    </xf>
    <xf numFmtId="0" fontId="5" fillId="0" borderId="2" xfId="180" applyFont="1" applyFill="1" applyBorder="1" applyAlignment="1"/>
    <xf numFmtId="0" fontId="5" fillId="0" borderId="1" xfId="180" applyFont="1" applyFill="1" applyBorder="1" applyAlignment="1"/>
    <xf numFmtId="0" fontId="24" fillId="0" borderId="9" xfId="180" applyFont="1" applyFill="1" applyBorder="1" applyAlignment="1"/>
    <xf numFmtId="0" fontId="26" fillId="0" borderId="12" xfId="180" applyFont="1" applyFill="1" applyBorder="1" applyAlignment="1"/>
    <xf numFmtId="0" fontId="21" fillId="0" borderId="14" xfId="180" applyFont="1" applyFill="1" applyBorder="1" applyAlignment="1"/>
    <xf numFmtId="0" fontId="21" fillId="0" borderId="13" xfId="180" applyFont="1" applyFill="1" applyBorder="1" applyAlignment="1"/>
    <xf numFmtId="0" fontId="20" fillId="0" borderId="0" xfId="180" applyFont="1" applyBorder="1" applyAlignment="1">
      <alignment horizontal="right" vertical="center"/>
    </xf>
    <xf numFmtId="2" fontId="32" fillId="0" borderId="1" xfId="180" applyNumberFormat="1" applyFont="1" applyFill="1" applyBorder="1" applyAlignment="1">
      <alignment horizontal="center" vertical="center"/>
    </xf>
    <xf numFmtId="0" fontId="27" fillId="0" borderId="1" xfId="0" applyFont="1" applyBorder="1"/>
    <xf numFmtId="2" fontId="27" fillId="0" borderId="1" xfId="0" applyNumberFormat="1" applyFont="1" applyBorder="1"/>
    <xf numFmtId="0" fontId="10" fillId="0" borderId="0" xfId="180">
      <alignment vertical="center"/>
    </xf>
    <xf numFmtId="0" fontId="13" fillId="0" borderId="0" xfId="180" applyFont="1" applyFill="1" applyBorder="1" applyAlignment="1">
      <alignment vertical="center"/>
    </xf>
    <xf numFmtId="0" fontId="5" fillId="0" borderId="0" xfId="180" applyFont="1" applyFill="1" applyBorder="1" applyAlignment="1">
      <alignment vertical="center"/>
    </xf>
    <xf numFmtId="0" fontId="12" fillId="0" borderId="0" xfId="0" applyFont="1" applyBorder="1" applyAlignment="1">
      <alignment vertical="center"/>
    </xf>
    <xf numFmtId="1" fontId="11" fillId="0" borderId="1" xfId="180" applyNumberFormat="1" applyFont="1" applyBorder="1" applyAlignment="1">
      <alignment horizontal="right" vertical="center"/>
    </xf>
    <xf numFmtId="49" fontId="11" fillId="0" borderId="1" xfId="0" applyNumberFormat="1" applyFont="1" applyBorder="1" applyAlignment="1"/>
    <xf numFmtId="0" fontId="17" fillId="0" borderId="1" xfId="0" applyFont="1" applyBorder="1" applyAlignment="1" applyProtection="1">
      <alignment horizontal="left" vertical="center"/>
      <protection locked="0"/>
    </xf>
    <xf numFmtId="0" fontId="17" fillId="0" borderId="1" xfId="0" quotePrefix="1" applyFont="1" applyBorder="1" applyAlignment="1" applyProtection="1">
      <alignment horizontal="left" vertical="center"/>
      <protection locked="0"/>
    </xf>
    <xf numFmtId="0" fontId="17" fillId="0" borderId="1" xfId="0" applyFont="1" applyBorder="1" applyAlignment="1"/>
    <xf numFmtId="0" fontId="34" fillId="0" borderId="1" xfId="0" applyFont="1" applyBorder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  <protection locked="0"/>
    </xf>
    <xf numFmtId="0" fontId="20" fillId="0" borderId="1" xfId="180" applyFont="1" applyFill="1" applyBorder="1" applyAlignment="1">
      <alignment horizontal="center" vertical="center"/>
    </xf>
    <xf numFmtId="0" fontId="21" fillId="0" borderId="6" xfId="180" applyFont="1" applyFill="1" applyBorder="1" applyAlignment="1">
      <alignment vertical="center"/>
    </xf>
    <xf numFmtId="0" fontId="21" fillId="0" borderId="11" xfId="180" applyFont="1" applyFill="1" applyBorder="1" applyAlignment="1">
      <alignment vertical="center"/>
    </xf>
    <xf numFmtId="0" fontId="21" fillId="0" borderId="15" xfId="180" applyFont="1" applyFill="1" applyBorder="1" applyAlignment="1">
      <alignment vertical="center"/>
    </xf>
    <xf numFmtId="0" fontId="23" fillId="0" borderId="2" xfId="180" applyFont="1" applyFill="1" applyBorder="1" applyAlignment="1">
      <alignment horizontal="right"/>
    </xf>
    <xf numFmtId="0" fontId="23" fillId="0" borderId="1" xfId="180" applyFont="1" applyFill="1" applyBorder="1" applyAlignment="1">
      <alignment horizontal="right"/>
    </xf>
    <xf numFmtId="0" fontId="31" fillId="0" borderId="1" xfId="180" applyFont="1" applyFill="1" applyBorder="1" applyAlignment="1">
      <alignment horizontal="right"/>
    </xf>
    <xf numFmtId="0" fontId="23" fillId="0" borderId="9" xfId="180" applyFont="1" applyFill="1" applyBorder="1" applyAlignment="1">
      <alignment horizontal="right"/>
    </xf>
    <xf numFmtId="0" fontId="32" fillId="5" borderId="1" xfId="180" applyFont="1" applyFill="1" applyBorder="1" applyAlignment="1">
      <alignment horizontal="center" vertical="center"/>
    </xf>
    <xf numFmtId="0" fontId="21" fillId="0" borderId="17" xfId="180" applyFont="1" applyFill="1" applyBorder="1" applyAlignment="1"/>
    <xf numFmtId="49" fontId="18" fillId="0" borderId="1" xfId="0" applyNumberFormat="1" applyFont="1" applyBorder="1" applyAlignment="1">
      <alignment vertical="center"/>
    </xf>
    <xf numFmtId="49" fontId="27" fillId="0" borderId="0" xfId="0" applyNumberFormat="1" applyFont="1" applyAlignment="1"/>
    <xf numFmtId="0" fontId="17" fillId="0" borderId="1" xfId="0" applyFont="1" applyBorder="1" applyAlignment="1">
      <alignment horizontal="left" vertical="center"/>
    </xf>
    <xf numFmtId="0" fontId="19" fillId="0" borderId="0" xfId="180" applyFont="1" applyAlignment="1">
      <alignment horizontal="center" vertical="center"/>
    </xf>
    <xf numFmtId="0" fontId="25" fillId="0" borderId="6" xfId="180" applyFont="1" applyFill="1" applyBorder="1" applyAlignment="1">
      <alignment horizontal="center" vertical="center"/>
    </xf>
    <xf numFmtId="0" fontId="25" fillId="0" borderId="11" xfId="180" applyFont="1" applyFill="1" applyBorder="1" applyAlignment="1">
      <alignment horizontal="center" vertical="center"/>
    </xf>
    <xf numFmtId="0" fontId="22" fillId="0" borderId="8" xfId="180" applyFont="1" applyFill="1" applyBorder="1" applyAlignment="1">
      <alignment horizontal="center" vertical="center"/>
    </xf>
    <xf numFmtId="0" fontId="22" fillId="0" borderId="7" xfId="180" applyFont="1" applyFill="1" applyBorder="1" applyAlignment="1">
      <alignment horizontal="center" vertical="center"/>
    </xf>
    <xf numFmtId="0" fontId="22" fillId="0" borderId="16" xfId="180" applyFont="1" applyFill="1" applyBorder="1" applyAlignment="1">
      <alignment horizontal="center" vertical="center"/>
    </xf>
    <xf numFmtId="0" fontId="13" fillId="4" borderId="1" xfId="180" applyFont="1" applyFill="1" applyBorder="1" applyAlignment="1">
      <alignment horizontal="center" vertical="center"/>
    </xf>
    <xf numFmtId="0" fontId="13" fillId="0" borderId="3" xfId="180" applyFont="1" applyBorder="1" applyAlignment="1">
      <alignment horizontal="center" vertical="center"/>
    </xf>
    <xf numFmtId="0" fontId="13" fillId="0" borderId="4" xfId="180" applyFont="1" applyBorder="1" applyAlignment="1">
      <alignment horizontal="center" vertical="center"/>
    </xf>
    <xf numFmtId="0" fontId="13" fillId="0" borderId="10" xfId="18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164" fontId="17" fillId="0" borderId="10" xfId="0" applyNumberFormat="1" applyFont="1" applyBorder="1" applyAlignment="1">
      <alignment horizontal="center" vertical="center"/>
    </xf>
  </cellXfs>
  <cellStyles count="211">
    <cellStyle name="Comma 2" xfId="182" xr:uid="{00000000-0005-0000-0000-000001000000}"/>
    <cellStyle name="Normal 2" xfId="1" xr:uid="{00000000-0005-0000-0000-0000C9000000}"/>
    <cellStyle name="Normal 2 2" xfId="2" xr:uid="{00000000-0005-0000-0000-0000CA000000}"/>
    <cellStyle name="Normal 3" xfId="3" xr:uid="{00000000-0005-0000-0000-0000CB000000}"/>
    <cellStyle name="Normal 3 2" xfId="163" xr:uid="{00000000-0005-0000-0000-0000CC000000}"/>
    <cellStyle name="Normal 4" xfId="165" xr:uid="{00000000-0005-0000-0000-0000CD000000}"/>
    <cellStyle name="Normal 5" xfId="180" xr:uid="{00000000-0005-0000-0000-0000CE000000}"/>
    <cellStyle name="Normal 6" xfId="204" xr:uid="{00000000-0005-0000-0000-0000CF000000}"/>
    <cellStyle name="Percent 2" xfId="4" xr:uid="{00000000-0005-0000-0000-0000D0000000}"/>
    <cellStyle name="Percent 2 2" xfId="164" xr:uid="{00000000-0005-0000-0000-0000D1000000}"/>
    <cellStyle name="Percent 3" xfId="181" xr:uid="{00000000-0005-0000-0000-0000D2000000}"/>
    <cellStyle name="千位分隔" xfId="203" builtinId="3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常规" xfId="0" builtinId="0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5" builtinId="8" hidden="1"/>
    <cellStyle name="超链接" xfId="207" builtinId="8" hidden="1"/>
    <cellStyle name="超链接" xfId="209" builtinId="8" hidden="1"/>
  </cellStyles>
  <dxfs count="83"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22860</xdr:rowOff>
        </xdr:from>
        <xdr:to>
          <xdr:col>10</xdr:col>
          <xdr:colOff>1013460</xdr:colOff>
          <xdr:row>0</xdr:row>
          <xdr:rowOff>365760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L36"/>
  <sheetViews>
    <sheetView showGridLines="0" zoomScale="70" zoomScaleNormal="70" zoomScalePageLayoutView="70" workbookViewId="0">
      <selection activeCell="J10" sqref="J10"/>
    </sheetView>
  </sheetViews>
  <sheetFormatPr defaultColWidth="7.69921875" defaultRowHeight="13.8"/>
  <cols>
    <col min="1" max="1" width="3.19921875" style="22" customWidth="1"/>
    <col min="2" max="2" width="16.796875" style="22" customWidth="1"/>
    <col min="3" max="3" width="20.796875" style="22" customWidth="1"/>
    <col min="4" max="4" width="14.69921875" style="22" customWidth="1"/>
    <col min="5" max="5" width="19.19921875" style="22" customWidth="1"/>
    <col min="6" max="6" width="17.19921875" style="22" customWidth="1"/>
    <col min="7" max="7" width="15.69921875" style="22" customWidth="1"/>
    <col min="8" max="8" width="19.19921875" style="22" customWidth="1"/>
    <col min="9" max="9" width="17.69921875" style="22" customWidth="1"/>
    <col min="10" max="12" width="13.796875" style="22" customWidth="1"/>
    <col min="13" max="16384" width="7.69921875" style="22"/>
  </cols>
  <sheetData>
    <row r="2" spans="2:12">
      <c r="B2" s="77" t="s">
        <v>15</v>
      </c>
      <c r="C2" s="77"/>
      <c r="E2" s="77" t="s">
        <v>14</v>
      </c>
      <c r="F2" s="77"/>
      <c r="H2" s="77" t="s">
        <v>60</v>
      </c>
      <c r="I2" s="77"/>
    </row>
    <row r="4" spans="2:12">
      <c r="B4" s="22" t="s">
        <v>69</v>
      </c>
      <c r="C4" s="23"/>
      <c r="E4" s="22" t="s">
        <v>13</v>
      </c>
      <c r="F4" s="37">
        <f>COUNTA('Error Log'!A:A)-1</f>
        <v>0</v>
      </c>
      <c r="H4" s="22" t="s">
        <v>61</v>
      </c>
      <c r="I4" s="38" t="e">
        <f>H18</f>
        <v>#DIV/0!</v>
      </c>
      <c r="K4" s="31"/>
    </row>
    <row r="5" spans="2:12">
      <c r="C5" s="24"/>
      <c r="F5" s="24"/>
      <c r="K5" s="32" t="e">
        <f>I4</f>
        <v>#DIV/0!</v>
      </c>
    </row>
    <row r="6" spans="2:12">
      <c r="B6" s="22" t="s">
        <v>70</v>
      </c>
      <c r="C6" s="25"/>
      <c r="E6" s="22" t="s">
        <v>9</v>
      </c>
      <c r="F6" s="37">
        <f>L36</f>
        <v>0</v>
      </c>
      <c r="H6" s="22" t="s">
        <v>12</v>
      </c>
      <c r="I6" s="39" t="str">
        <f>IF(C8=0,"0",1000*(F6/C8))</f>
        <v>0</v>
      </c>
      <c r="K6" s="33">
        <v>1</v>
      </c>
    </row>
    <row r="7" spans="2:12">
      <c r="C7" s="24"/>
      <c r="F7" s="24"/>
      <c r="I7" s="24"/>
      <c r="K7" s="34" t="e">
        <f>200-(K5+K6)</f>
        <v>#DIV/0!</v>
      </c>
    </row>
    <row r="8" spans="2:12">
      <c r="B8" s="22" t="s">
        <v>11</v>
      </c>
      <c r="C8" s="55">
        <f>SUM('Scores per segment'!D:D)</f>
        <v>0</v>
      </c>
      <c r="E8" s="22" t="s">
        <v>35</v>
      </c>
      <c r="F8" s="37">
        <v>0</v>
      </c>
      <c r="H8" s="22" t="s">
        <v>36</v>
      </c>
      <c r="I8" s="40" t="str">
        <f>IF(C10=0,"0",(F8/C10))</f>
        <v>0</v>
      </c>
      <c r="K8" s="33"/>
    </row>
    <row r="9" spans="2:12">
      <c r="C9" s="24"/>
      <c r="I9" s="24"/>
      <c r="K9" s="33"/>
    </row>
    <row r="10" spans="2:12">
      <c r="B10" s="22" t="s">
        <v>10</v>
      </c>
      <c r="C10" s="23">
        <v>0</v>
      </c>
      <c r="E10" s="22" t="s">
        <v>71</v>
      </c>
      <c r="F10" s="37">
        <f>COUNTIFS('Error Log'!D:D,"*",'Error Log'!E:E,"")</f>
        <v>0</v>
      </c>
      <c r="H10" s="22" t="s">
        <v>72</v>
      </c>
      <c r="I10" s="40" t="str">
        <f>IF(C10=0,"0",(F10/C10))</f>
        <v>0</v>
      </c>
    </row>
    <row r="11" spans="2:12">
      <c r="C11" s="30"/>
    </row>
    <row r="12" spans="2:12" ht="14.4" thickBot="1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2:12" ht="14.4" thickTop="1">
      <c r="B13" s="29"/>
      <c r="C13" s="29"/>
      <c r="D13" s="29"/>
      <c r="E13" s="29"/>
      <c r="F13" s="29"/>
      <c r="G13" s="29"/>
      <c r="H13" s="29"/>
      <c r="I13" s="29"/>
      <c r="J13" s="29"/>
    </row>
    <row r="15" spans="2:12">
      <c r="D15" s="36" t="s">
        <v>68</v>
      </c>
    </row>
    <row r="16" spans="2:12">
      <c r="C16" s="30"/>
    </row>
    <row r="17" spans="2:12" ht="15.6">
      <c r="C17" s="35"/>
      <c r="D17" s="64" t="s">
        <v>32</v>
      </c>
      <c r="E17" s="64" t="s">
        <v>33</v>
      </c>
      <c r="F17" s="64" t="s">
        <v>34</v>
      </c>
      <c r="G17" s="64" t="s">
        <v>42</v>
      </c>
      <c r="H17" s="72" t="s">
        <v>44</v>
      </c>
    </row>
    <row r="18" spans="2:12" ht="15.6">
      <c r="C18" s="47" t="s">
        <v>37</v>
      </c>
      <c r="D18" s="64">
        <f>COUNTIF('Error Log'!$J:$J,D$17)</f>
        <v>0</v>
      </c>
      <c r="E18" s="64">
        <f>COUNTIF('Error Log'!$J:$J,E$17)</f>
        <v>0</v>
      </c>
      <c r="F18" s="64">
        <f>COUNTIF('Error Log'!$J:$J,F$17)</f>
        <v>0</v>
      </c>
      <c r="G18" s="64">
        <f>COUNTIF('Error Log'!$F:$F,"Target")</f>
        <v>0</v>
      </c>
      <c r="H18" s="48" t="e">
        <f>SUMPRODUCT('Scores per segment'!J:J,'Scores per segment'!D:D)/SUM('Scores per segment'!D:D)</f>
        <v>#DIV/0!</v>
      </c>
    </row>
    <row r="21" spans="2:12">
      <c r="C21" s="30"/>
    </row>
    <row r="22" spans="2:12" ht="14.4" thickBot="1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  <row r="23" spans="2:12" ht="14.4" thickTop="1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</row>
    <row r="24" spans="2:12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</row>
    <row r="25" spans="2:12">
      <c r="B25" s="29"/>
      <c r="D25" s="36" t="s">
        <v>67</v>
      </c>
      <c r="E25" s="29"/>
      <c r="F25" s="29"/>
      <c r="G25" s="29"/>
      <c r="H25" s="29"/>
      <c r="I25" s="29"/>
      <c r="J25" s="29"/>
      <c r="K25" s="29"/>
      <c r="L25" s="29"/>
    </row>
    <row r="26" spans="2:12" ht="14.4" thickBot="1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</row>
    <row r="27" spans="2:12" ht="14.4" thickBot="1">
      <c r="B27" s="65" t="s">
        <v>28</v>
      </c>
      <c r="C27" s="66" t="s">
        <v>27</v>
      </c>
      <c r="D27" s="66" t="s">
        <v>62</v>
      </c>
      <c r="E27" s="66" t="s">
        <v>63</v>
      </c>
      <c r="F27" s="66" t="s">
        <v>64</v>
      </c>
      <c r="G27" s="66" t="s">
        <v>26</v>
      </c>
      <c r="H27" s="66" t="s">
        <v>24</v>
      </c>
      <c r="I27" s="66" t="s">
        <v>59</v>
      </c>
      <c r="J27" s="66" t="s">
        <v>65</v>
      </c>
      <c r="K27" s="66" t="s">
        <v>45</v>
      </c>
      <c r="L27" s="67" t="s">
        <v>6</v>
      </c>
    </row>
    <row r="28" spans="2:12">
      <c r="B28" s="82" t="s">
        <v>8</v>
      </c>
      <c r="C28" s="41" t="s">
        <v>19</v>
      </c>
      <c r="D28" s="68">
        <f>COUNTIFS('Error Log'!$E:$E,$B$28,'Error Log'!$F:$F,$C28,'Error Log'!$G:$G,D$27)</f>
        <v>0</v>
      </c>
      <c r="E28" s="68">
        <f>COUNTIFS('Error Log'!$E:$E,$B$28,'Error Log'!$F:$F,$C28,'Error Log'!$G:$G,E$27)</f>
        <v>0</v>
      </c>
      <c r="F28" s="68">
        <f>COUNTIFS('Error Log'!$E:$E,$B$28,'Error Log'!$F:$F,$C28,'Error Log'!$G:$G,F$27)</f>
        <v>0</v>
      </c>
      <c r="G28" s="68">
        <f>COUNTIFS('Error Log'!$E:$E,$B$28,'Error Log'!$F:$F,$C28,'Error Log'!$G:$G,G$27)</f>
        <v>0</v>
      </c>
      <c r="H28" s="68">
        <f>COUNTIFS('Error Log'!$E:$E,$B$28,'Error Log'!$F:$F,$C28,'Error Log'!$G:$G,H$27)</f>
        <v>0</v>
      </c>
      <c r="I28" s="68">
        <f>COUNTIFS('Error Log'!$E:$E,$B$28,'Error Log'!$F:$F,$C28,'Error Log'!$G:$G,I$27)</f>
        <v>0</v>
      </c>
      <c r="J28" s="68">
        <f>COUNTIFS('Error Log'!$E:$E,$B$28,'Error Log'!$F:$F,$C28,'Error Log'!$G:$G,J$27)</f>
        <v>0</v>
      </c>
      <c r="K28" s="68">
        <f>COUNTIFS('Error Log'!$E:$E,$B$28,'Error Log'!$F:$F,$C28,'Error Log'!$G:$G,K$27)</f>
        <v>0</v>
      </c>
      <c r="L28" s="45">
        <f t="shared" ref="L28:L35" si="0">SUM(D28:K28)</f>
        <v>0</v>
      </c>
    </row>
    <row r="29" spans="2:12">
      <c r="B29" s="81"/>
      <c r="C29" s="42" t="s">
        <v>7</v>
      </c>
      <c r="D29" s="69">
        <f>COUNTIFS('Error Log'!$E:$E,$B$28,'Error Log'!$F:$F,$C29,'Error Log'!$G:$G,D$27)</f>
        <v>0</v>
      </c>
      <c r="E29" s="69">
        <f>COUNTIFS('Error Log'!$E:$E,$B$28,'Error Log'!$F:$F,$C29,'Error Log'!$G:$G,E$27)</f>
        <v>0</v>
      </c>
      <c r="F29" s="69">
        <f>COUNTIFS('Error Log'!$E:$E,$B$28,'Error Log'!$F:$F,$C29,'Error Log'!$G:$G,F$27)</f>
        <v>0</v>
      </c>
      <c r="G29" s="69">
        <f>COUNTIFS('Error Log'!$E:$E,$B$28,'Error Log'!$F:$F,$C29,'Error Log'!$G:$G,G$27)</f>
        <v>0</v>
      </c>
      <c r="H29" s="69">
        <f>COUNTIFS('Error Log'!$E:$E,$B$28,'Error Log'!$F:$F,$C29,'Error Log'!$G:$G,H$27)</f>
        <v>0</v>
      </c>
      <c r="I29" s="69">
        <f>COUNTIFS('Error Log'!$E:$E,$B$28,'Error Log'!$F:$F,$C29,'Error Log'!$G:$G,I$27)</f>
        <v>0</v>
      </c>
      <c r="J29" s="70">
        <f>COUNTIFS('Error Log'!$E:$E,$B$28,'Error Log'!$F:$F,$C29,'Error Log'!$G:$G,J$27)</f>
        <v>0</v>
      </c>
      <c r="K29" s="69">
        <f>COUNTIFS('Error Log'!$E:$E,$B$28,'Error Log'!$F:$F,$C29,'Error Log'!$G:$G,K$27)</f>
        <v>0</v>
      </c>
      <c r="L29" s="46">
        <f t="shared" si="0"/>
        <v>0</v>
      </c>
    </row>
    <row r="30" spans="2:12">
      <c r="B30" s="81"/>
      <c r="C30" s="42" t="s">
        <v>55</v>
      </c>
      <c r="D30" s="69">
        <f>COUNTIFS('Error Log'!$E:$E,$B$28,'Error Log'!$F:$F,$C30,'Error Log'!$G:$G,D$27)</f>
        <v>0</v>
      </c>
      <c r="E30" s="69">
        <f>COUNTIFS('Error Log'!$E:$E,$B$28,'Error Log'!$F:$F,$C30,'Error Log'!$G:$G,E$27)</f>
        <v>0</v>
      </c>
      <c r="F30" s="69">
        <f>COUNTIFS('Error Log'!$E:$E,$B$28,'Error Log'!$F:$F,$C30,'Error Log'!$G:$G,F$27)</f>
        <v>0</v>
      </c>
      <c r="G30" s="69">
        <f>COUNTIFS('Error Log'!$E:$E,$B$28,'Error Log'!$F:$F,$C30,'Error Log'!$G:$G,G$27)</f>
        <v>0</v>
      </c>
      <c r="H30" s="69">
        <f>COUNTIFS('Error Log'!$E:$E,$B$28,'Error Log'!$F:$F,$C30,'Error Log'!$G:$G,H$27)</f>
        <v>0</v>
      </c>
      <c r="I30" s="69">
        <f>COUNTIFS('Error Log'!$E:$E,$B$28,'Error Log'!$F:$F,$C30,'Error Log'!$G:$G,I$27)</f>
        <v>0</v>
      </c>
      <c r="J30" s="69">
        <f>COUNTIFS('Error Log'!$E:$E,$B$28,'Error Log'!$F:$F,$C30,'Error Log'!$G:$G,J$27)</f>
        <v>0</v>
      </c>
      <c r="K30" s="69">
        <f>COUNTIFS('Error Log'!$E:$E,$B$28,'Error Log'!$F:$F,$C30,'Error Log'!$G:$G,K$27)</f>
        <v>0</v>
      </c>
      <c r="L30" s="46">
        <f t="shared" si="0"/>
        <v>0</v>
      </c>
    </row>
    <row r="31" spans="2:12">
      <c r="B31" s="81"/>
      <c r="C31" s="42" t="s">
        <v>56</v>
      </c>
      <c r="D31" s="69">
        <f>COUNTIFS('Error Log'!$E:$E,$B$28,'Error Log'!$F:$F,$C31,'Error Log'!$G:$G,D$27)</f>
        <v>0</v>
      </c>
      <c r="E31" s="69">
        <f>COUNTIFS('Error Log'!$E:$E,$B$28,'Error Log'!$F:$F,$C31,'Error Log'!$G:$G,E$27)</f>
        <v>0</v>
      </c>
      <c r="F31" s="69">
        <f>COUNTIFS('Error Log'!$E:$E,$B$28,'Error Log'!$F:$F,$C31,'Error Log'!$G:$G,F$27)</f>
        <v>0</v>
      </c>
      <c r="G31" s="69">
        <f>COUNTIFS('Error Log'!$E:$E,$B$28,'Error Log'!$F:$F,$C31,'Error Log'!$G:$G,G$27)</f>
        <v>0</v>
      </c>
      <c r="H31" s="69">
        <f>COUNTIFS('Error Log'!$E:$E,$B$28,'Error Log'!$F:$F,$C31,'Error Log'!$G:$G,H$27)</f>
        <v>0</v>
      </c>
      <c r="I31" s="69">
        <f>COUNTIFS('Error Log'!$E:$E,$B$28,'Error Log'!$F:$F,$C31,'Error Log'!$G:$G,I$27)</f>
        <v>0</v>
      </c>
      <c r="J31" s="69">
        <f>COUNTIFS('Error Log'!$E:$E,$B$28,'Error Log'!$F:$F,$C31,'Error Log'!$G:$G,J$27)</f>
        <v>0</v>
      </c>
      <c r="K31" s="69">
        <f>COUNTIFS('Error Log'!$E:$E,$B$28,'Error Log'!$F:$F,$C31,'Error Log'!$G:$G,K$27)</f>
        <v>0</v>
      </c>
      <c r="L31" s="46">
        <f t="shared" ref="L31" si="1">SUM(D31:K31)</f>
        <v>0</v>
      </c>
    </row>
    <row r="32" spans="2:12" ht="14.4" thickBot="1">
      <c r="B32" s="81"/>
      <c r="C32" s="42" t="s">
        <v>39</v>
      </c>
      <c r="D32" s="70">
        <f>COUNTIFS('Error Log'!$E:$E,$B$28,'Error Log'!$F:$F,$C32,'Error Log'!$G:$G,D$27)</f>
        <v>0</v>
      </c>
      <c r="E32" s="70">
        <f>COUNTIFS('Error Log'!$E:$E,$B$28,'Error Log'!$F:$F,$C32,'Error Log'!$G:$G,E$27)</f>
        <v>0</v>
      </c>
      <c r="F32" s="70">
        <f>COUNTIFS('Error Log'!$E:$E,$B$28,'Error Log'!$F:$F,$C32,'Error Log'!$G:$G,F$27)</f>
        <v>0</v>
      </c>
      <c r="G32" s="70">
        <f>COUNTIFS('Error Log'!$E:$E,$B$28,'Error Log'!$F:$F,$C32,'Error Log'!$G:$G,G$27)</f>
        <v>0</v>
      </c>
      <c r="H32" s="70">
        <f>COUNTIFS('Error Log'!$E:$E,$B$28,'Error Log'!$F:$F,$C32,'Error Log'!$G:$G,H$27)</f>
        <v>0</v>
      </c>
      <c r="I32" s="70">
        <f>COUNTIFS('Error Log'!$E:$E,$B$28,'Error Log'!$F:$F,$C32,'Error Log'!$G:$G,I$27)</f>
        <v>0</v>
      </c>
      <c r="J32" s="69">
        <f>COUNTIFS('Error Log'!$E:$E,$B$28,'Error Log'!$F:$F,$C32,'Error Log'!$G:$G,J$27)</f>
        <v>0</v>
      </c>
      <c r="K32" s="69">
        <f>COUNTIFS('Error Log'!$E:$E,$B$28,'Error Log'!$F:$F,$C32,'Error Log'!$G:$G,K$27)</f>
        <v>0</v>
      </c>
      <c r="L32" s="73">
        <f t="shared" si="0"/>
        <v>0</v>
      </c>
    </row>
    <row r="33" spans="2:12">
      <c r="B33" s="80" t="s">
        <v>2</v>
      </c>
      <c r="C33" s="43" t="s">
        <v>58</v>
      </c>
      <c r="D33" s="71">
        <f>COUNTIFS('Error Log'!$E:$E,$B$33,'Error Log'!$F:$F,$C33,'Error Log'!$G:$G,D$27)</f>
        <v>0</v>
      </c>
      <c r="E33" s="71">
        <f>COUNTIFS('Error Log'!$E:$E,$B$33,'Error Log'!$F:$F,$C33,'Error Log'!$G:$G,E$27)</f>
        <v>0</v>
      </c>
      <c r="F33" s="71">
        <f>COUNTIFS('Error Log'!$E:$E,$B$33,'Error Log'!$F:$F,$C33,'Error Log'!$G:$G,F$27)</f>
        <v>0</v>
      </c>
      <c r="G33" s="71">
        <f>COUNTIFS('Error Log'!$E:$E,$B$33,'Error Log'!$F:$F,$C33,'Error Log'!$G:$G,G$27)</f>
        <v>0</v>
      </c>
      <c r="H33" s="71">
        <f>COUNTIFS('Error Log'!$E:$E,$B$33,'Error Log'!$F:$F,$C33,'Error Log'!$G:$G,H$27)</f>
        <v>0</v>
      </c>
      <c r="I33" s="71">
        <f>COUNTIFS('Error Log'!$E:$E,$B$33,'Error Log'!$F:$F,$C33,'Error Log'!$G:$G,I$27)</f>
        <v>0</v>
      </c>
      <c r="J33" s="71">
        <f>COUNTIFS('Error Log'!$E:$E,$B$33,'Error Log'!$F:$F,$C33,'Error Log'!$G:$G,J$27)</f>
        <v>0</v>
      </c>
      <c r="K33" s="71">
        <f>COUNTIFS('Error Log'!$E:$E,$B$33,'Error Log'!$F:$F,$C33,'Error Log'!$G:$G,K$27)</f>
        <v>0</v>
      </c>
      <c r="L33" s="45">
        <f t="shared" si="0"/>
        <v>0</v>
      </c>
    </row>
    <row r="34" spans="2:12">
      <c r="B34" s="81"/>
      <c r="C34" s="42" t="s">
        <v>23</v>
      </c>
      <c r="D34" s="69">
        <f>COUNTIFS('Error Log'!$E:$E,$B$33,'Error Log'!$F:$F,$C34,'Error Log'!$G:$G,D$27)</f>
        <v>0</v>
      </c>
      <c r="E34" s="69">
        <f>COUNTIFS('Error Log'!$E:$E,$B$33,'Error Log'!$F:$F,$C34,'Error Log'!$G:$G,E$27)</f>
        <v>0</v>
      </c>
      <c r="F34" s="69">
        <f>COUNTIFS('Error Log'!$E:$E,$B$33,'Error Log'!$F:$F,$C34,'Error Log'!$G:$G,F$27)</f>
        <v>0</v>
      </c>
      <c r="G34" s="69">
        <f>COUNTIFS('Error Log'!$E:$E,$B$33,'Error Log'!$F:$F,$C34,'Error Log'!$G:$G,G$27)</f>
        <v>0</v>
      </c>
      <c r="H34" s="69">
        <f>COUNTIFS('Error Log'!$E:$E,$B$33,'Error Log'!$F:$F,$C34,'Error Log'!$G:$G,H$27)</f>
        <v>0</v>
      </c>
      <c r="I34" s="69">
        <f>COUNTIFS('Error Log'!$E:$E,$B$33,'Error Log'!$F:$F,$C34,'Error Log'!$G:$G,I$27)</f>
        <v>0</v>
      </c>
      <c r="J34" s="70">
        <f>COUNTIFS('Error Log'!$E:$E,$B$33,'Error Log'!$F:$F,$C34,'Error Log'!$G:$G,J$27)</f>
        <v>0</v>
      </c>
      <c r="K34" s="69">
        <f>COUNTIFS('Error Log'!$E:$E,$B$33,'Error Log'!$F:$F,$C34,'Error Log'!$G:$G,K$27)</f>
        <v>0</v>
      </c>
      <c r="L34" s="46">
        <f t="shared" si="0"/>
        <v>0</v>
      </c>
    </row>
    <row r="35" spans="2:12" ht="14.4" thickBot="1">
      <c r="B35" s="81"/>
      <c r="C35" s="42" t="s">
        <v>57</v>
      </c>
      <c r="D35" s="69">
        <f>COUNTIFS('Error Log'!$E:$E,$B$33,'Error Log'!$F:$F,$C35,'Error Log'!$G:$G,D$27)</f>
        <v>0</v>
      </c>
      <c r="E35" s="69">
        <f>COUNTIFS('Error Log'!$E:$E,$B$33,'Error Log'!$F:$F,$C35,'Error Log'!$G:$G,E$27)</f>
        <v>0</v>
      </c>
      <c r="F35" s="69">
        <f>COUNTIFS('Error Log'!$E:$E,$B$33,'Error Log'!$F:$F,$C35,'Error Log'!$G:$G,F$27)</f>
        <v>0</v>
      </c>
      <c r="G35" s="69">
        <f>COUNTIFS('Error Log'!$E:$E,$B$33,'Error Log'!$F:$F,$C35,'Error Log'!$G:$G,G$27)</f>
        <v>0</v>
      </c>
      <c r="H35" s="69">
        <f>COUNTIFS('Error Log'!$E:$E,$B$33,'Error Log'!$F:$F,$C35,'Error Log'!$G:$G,H$27)</f>
        <v>0</v>
      </c>
      <c r="I35" s="69">
        <f>COUNTIFS('Error Log'!$E:$E,$B$33,'Error Log'!$F:$F,$C35,'Error Log'!$G:$G,I$27)</f>
        <v>0</v>
      </c>
      <c r="J35" s="70">
        <f>COUNTIFS('Error Log'!$E:$E,$B$33,'Error Log'!$F:$F,$C35,'Error Log'!$G:$G,J$27)</f>
        <v>0</v>
      </c>
      <c r="K35" s="69">
        <f>COUNTIFS('Error Log'!$E:$E,$B$33,'Error Log'!$F:$F,$C35,'Error Log'!$G:$G,K$27)</f>
        <v>0</v>
      </c>
      <c r="L35" s="73">
        <f t="shared" si="0"/>
        <v>0</v>
      </c>
    </row>
    <row r="36" spans="2:12" ht="16.2" thickBot="1">
      <c r="B36" s="78" t="s">
        <v>6</v>
      </c>
      <c r="C36" s="79"/>
      <c r="D36" s="27">
        <f t="shared" ref="D36:L36" si="2">SUM(D28:D35)</f>
        <v>0</v>
      </c>
      <c r="E36" s="27">
        <f t="shared" si="2"/>
        <v>0</v>
      </c>
      <c r="F36" s="27">
        <f t="shared" si="2"/>
        <v>0</v>
      </c>
      <c r="G36" s="27">
        <f t="shared" si="2"/>
        <v>0</v>
      </c>
      <c r="H36" s="27">
        <f t="shared" si="2"/>
        <v>0</v>
      </c>
      <c r="I36" s="27">
        <f t="shared" si="2"/>
        <v>0</v>
      </c>
      <c r="J36" s="27">
        <f t="shared" si="2"/>
        <v>0</v>
      </c>
      <c r="K36" s="27">
        <f t="shared" si="2"/>
        <v>0</v>
      </c>
      <c r="L36" s="44">
        <f t="shared" si="2"/>
        <v>0</v>
      </c>
    </row>
  </sheetData>
  <mergeCells count="6">
    <mergeCell ref="B2:C2"/>
    <mergeCell ref="E2:F2"/>
    <mergeCell ref="H2:I2"/>
    <mergeCell ref="B36:C36"/>
    <mergeCell ref="B33:B35"/>
    <mergeCell ref="B28:B32"/>
  </mergeCells>
  <phoneticPr fontId="4" type="noConversion"/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00"/>
  </sheetPr>
  <dimension ref="A1:J476"/>
  <sheetViews>
    <sheetView showGridLines="0" workbookViewId="0">
      <pane ySplit="1" topLeftCell="A2" activePane="bottomLeft" state="frozen"/>
      <selection pane="bottomLeft" activeCell="I11" sqref="I11"/>
    </sheetView>
  </sheetViews>
  <sheetFormatPr defaultColWidth="11" defaultRowHeight="13.8"/>
  <cols>
    <col min="1" max="1" width="6.5" style="16" customWidth="1"/>
    <col min="2" max="2" width="11.19921875" style="19" customWidth="1"/>
    <col min="3" max="3" width="19.19921875" style="56" customWidth="1"/>
    <col min="4" max="4" width="33.19921875" style="20" customWidth="1"/>
    <col min="5" max="5" width="14.69921875" style="21" bestFit="1" customWidth="1"/>
    <col min="6" max="6" width="13.69921875" style="21" bestFit="1" customWidth="1"/>
    <col min="7" max="7" width="16.69921875" style="21" bestFit="1" customWidth="1"/>
    <col min="8" max="8" width="19.5" style="21" customWidth="1"/>
    <col min="9" max="9" width="25.5" style="21" customWidth="1"/>
    <col min="10" max="10" width="13.19921875" style="18" customWidth="1"/>
    <col min="11" max="11" width="17.19921875" style="18" customWidth="1"/>
    <col min="12" max="16384" width="11" style="18"/>
  </cols>
  <sheetData>
    <row r="1" spans="1:10">
      <c r="A1" s="15" t="s">
        <v>17</v>
      </c>
      <c r="B1" s="87" t="s">
        <v>16</v>
      </c>
      <c r="C1" s="62" t="s">
        <v>66</v>
      </c>
      <c r="D1" s="62" t="s">
        <v>5</v>
      </c>
      <c r="E1" s="63" t="s">
        <v>0</v>
      </c>
      <c r="F1" s="63" t="s">
        <v>3</v>
      </c>
      <c r="G1" s="63" t="s">
        <v>30</v>
      </c>
      <c r="H1" s="63" t="s">
        <v>29</v>
      </c>
      <c r="I1" s="63" t="s">
        <v>49</v>
      </c>
      <c r="J1" s="63" t="s">
        <v>31</v>
      </c>
    </row>
    <row r="2" spans="1:10">
      <c r="A2" s="14"/>
      <c r="B2" s="88"/>
      <c r="D2" s="56"/>
      <c r="E2" s="57"/>
      <c r="F2" s="57"/>
      <c r="G2" s="57"/>
      <c r="H2" s="57"/>
      <c r="I2" s="57"/>
      <c r="J2" s="14" t="str">
        <f>IF(E2="Invalid_Segment","Invalid",IFERROR(INDEX(Severity_Matrix!$C$3:$M$10,MATCH('Error Log'!$F2,Severity_Matrix!$B$3:$B$10,0),MATCH('Error Log'!$G2,Severity_Matrix!$C$2:$M$2,0)),"No errors"))</f>
        <v>No errors</v>
      </c>
    </row>
    <row r="3" spans="1:10">
      <c r="A3" s="14"/>
      <c r="B3" s="88"/>
      <c r="D3" s="56"/>
      <c r="E3" s="57"/>
      <c r="F3" s="57"/>
      <c r="G3" s="57"/>
      <c r="H3" s="57"/>
      <c r="I3" s="57"/>
      <c r="J3" s="14" t="str">
        <f>IF(E3="Invalid_Segment","Invalid",IFERROR(INDEX(Severity_Matrix!$C$3:$M$10,MATCH('Error Log'!$F3,Severity_Matrix!$B$3:$B$10,0),MATCH('Error Log'!$G3,Severity_Matrix!$C$2:$M$2,0)),"No errors"))</f>
        <v>No errors</v>
      </c>
    </row>
    <row r="4" spans="1:10">
      <c r="A4" s="14"/>
      <c r="B4" s="88"/>
      <c r="D4" s="56"/>
      <c r="E4" s="57"/>
      <c r="F4" s="57"/>
      <c r="G4" s="57"/>
      <c r="H4" s="57"/>
      <c r="I4" s="57"/>
      <c r="J4" s="14" t="str">
        <f>IF(E4="Invalid_Segment","Invalid",IFERROR(INDEX(Severity_Matrix!$C$3:$M$10,MATCH('Error Log'!$F4,Severity_Matrix!$B$3:$B$10,0),MATCH('Error Log'!$G4,Severity_Matrix!$C$2:$M$2,0)),"No errors"))</f>
        <v>No errors</v>
      </c>
    </row>
    <row r="5" spans="1:10">
      <c r="A5" s="14"/>
      <c r="B5" s="88"/>
      <c r="D5" s="56"/>
      <c r="E5" s="57"/>
      <c r="F5" s="57"/>
      <c r="G5" s="57"/>
      <c r="H5" s="57"/>
      <c r="I5" s="57"/>
      <c r="J5" s="14" t="str">
        <f>IF(E5="Invalid_Segment","Invalid",IFERROR(INDEX(Severity_Matrix!$C$3:$M$10,MATCH('Error Log'!$F5,Severity_Matrix!$B$3:$B$10,0),MATCH('Error Log'!$G5,Severity_Matrix!$C$2:$M$2,0)),"No errors"))</f>
        <v>No errors</v>
      </c>
    </row>
    <row r="6" spans="1:10">
      <c r="A6" s="14"/>
      <c r="B6" s="88"/>
      <c r="D6" s="56"/>
      <c r="E6" s="57"/>
      <c r="F6" s="57"/>
      <c r="G6" s="57"/>
      <c r="H6" s="57"/>
      <c r="I6" s="57"/>
      <c r="J6" s="14" t="str">
        <f>IF(E6="Invalid_Segment","Invalid",IFERROR(INDEX(Severity_Matrix!$C$3:$M$10,MATCH('Error Log'!$F6,Severity_Matrix!$B$3:$B$10,0),MATCH('Error Log'!$G6,Severity_Matrix!$C$2:$M$2,0)),"No errors"))</f>
        <v>No errors</v>
      </c>
    </row>
    <row r="7" spans="1:10">
      <c r="A7" s="14"/>
      <c r="B7" s="88"/>
      <c r="D7" s="56"/>
      <c r="E7" s="57"/>
      <c r="F7" s="57"/>
      <c r="G7" s="57"/>
      <c r="H7" s="57"/>
      <c r="I7" s="57"/>
      <c r="J7" s="14" t="str">
        <f>IF(E7="Invalid_Segment","Invalid",IFERROR(INDEX(Severity_Matrix!$C$3:$M$10,MATCH('Error Log'!$F7,Severity_Matrix!$B$3:$B$10,0),MATCH('Error Log'!$G7,Severity_Matrix!$C$2:$M$2,0)),"No errors"))</f>
        <v>No errors</v>
      </c>
    </row>
    <row r="8" spans="1:10">
      <c r="A8" s="14"/>
      <c r="B8" s="88"/>
      <c r="D8" s="56"/>
      <c r="E8" s="57"/>
      <c r="F8" s="57"/>
      <c r="G8" s="57"/>
      <c r="H8" s="57"/>
      <c r="I8" s="57"/>
      <c r="J8" s="14" t="str">
        <f>IF(E8="Invalid_Segment","Invalid",IFERROR(INDEX(Severity_Matrix!$C$3:$M$10,MATCH('Error Log'!$F8,Severity_Matrix!$B$3:$B$10,0),MATCH('Error Log'!$G8,Severity_Matrix!$C$2:$M$2,0)),"No errors"))</f>
        <v>No errors</v>
      </c>
    </row>
    <row r="9" spans="1:10">
      <c r="A9" s="14"/>
      <c r="B9" s="88"/>
      <c r="D9" s="56"/>
      <c r="E9" s="57"/>
      <c r="F9" s="57"/>
      <c r="G9" s="57"/>
      <c r="H9" s="58"/>
      <c r="I9" s="57"/>
      <c r="J9" s="14" t="str">
        <f>IF(E9="Invalid_Segment","Invalid",IFERROR(INDEX(Severity_Matrix!$C$3:$M$10,MATCH('Error Log'!$F9,Severity_Matrix!$B$3:$B$10,0),MATCH('Error Log'!$G9,Severity_Matrix!$C$2:$M$2,0)),"No errors"))</f>
        <v>No errors</v>
      </c>
    </row>
    <row r="10" spans="1:10">
      <c r="A10" s="14"/>
      <c r="B10" s="88"/>
      <c r="D10" s="56"/>
      <c r="E10" s="57"/>
      <c r="F10" s="57"/>
      <c r="G10" s="57"/>
      <c r="H10" s="58"/>
      <c r="I10" s="57"/>
      <c r="J10" s="14" t="str">
        <f>IF(E10="Invalid_Segment","Invalid",IFERROR(INDEX(Severity_Matrix!$C$3:$M$10,MATCH('Error Log'!$F10,Severity_Matrix!$B$3:$B$10,0),MATCH('Error Log'!$G10,Severity_Matrix!$C$2:$M$2,0)),"No errors"))</f>
        <v>No errors</v>
      </c>
    </row>
    <row r="11" spans="1:10">
      <c r="A11" s="14"/>
      <c r="B11" s="88"/>
      <c r="D11" s="56"/>
      <c r="E11" s="57"/>
      <c r="F11" s="57"/>
      <c r="G11" s="57"/>
      <c r="H11" s="57"/>
      <c r="I11" s="57"/>
      <c r="J11" s="14" t="str">
        <f>IF(E11="Invalid_Segment","Invalid",IFERROR(INDEX(Severity_Matrix!$C$3:$M$10,MATCH('Error Log'!$F11,Severity_Matrix!$B$3:$B$10,0),MATCH('Error Log'!$G11,Severity_Matrix!$C$2:$M$2,0)),"No errors"))</f>
        <v>No errors</v>
      </c>
    </row>
    <row r="12" spans="1:10">
      <c r="A12" s="14"/>
      <c r="B12" s="88"/>
      <c r="D12" s="56"/>
      <c r="E12" s="57"/>
      <c r="F12" s="57"/>
      <c r="G12" s="57"/>
      <c r="H12" s="57"/>
      <c r="I12" s="57"/>
      <c r="J12" s="14" t="str">
        <f>IF(E12="Invalid_Segment","Invalid",IFERROR(INDEX(Severity_Matrix!$C$3:$M$10,MATCH('Error Log'!$F12,Severity_Matrix!$B$3:$B$10,0),MATCH('Error Log'!$G12,Severity_Matrix!$C$2:$M$2,0)),"No errors"))</f>
        <v>No errors</v>
      </c>
    </row>
    <row r="13" spans="1:10">
      <c r="A13" s="14"/>
      <c r="B13" s="88"/>
      <c r="D13" s="56"/>
      <c r="E13" s="57"/>
      <c r="F13" s="57"/>
      <c r="G13" s="57"/>
      <c r="H13" s="57"/>
      <c r="I13" s="57"/>
      <c r="J13" s="14" t="str">
        <f>IF(E13="Invalid_Segment","Invalid",IFERROR(INDEX(Severity_Matrix!$C$3:$M$10,MATCH('Error Log'!$F13,Severity_Matrix!$B$3:$B$10,0),MATCH('Error Log'!$G13,Severity_Matrix!$C$2:$M$2,0)),"No errors"))</f>
        <v>No errors</v>
      </c>
    </row>
    <row r="14" spans="1:10">
      <c r="A14" s="14"/>
      <c r="B14" s="88"/>
      <c r="D14" s="56"/>
      <c r="E14" s="57"/>
      <c r="F14" s="57"/>
      <c r="G14" s="57"/>
      <c r="H14" s="57"/>
      <c r="I14" s="57"/>
      <c r="J14" s="14" t="str">
        <f>IF(E14="Invalid_Segment","Invalid",IFERROR(INDEX(Severity_Matrix!$C$3:$M$10,MATCH('Error Log'!$F14,Severity_Matrix!$B$3:$B$10,0),MATCH('Error Log'!$G14,Severity_Matrix!$C$2:$M$2,0)),"No errors"))</f>
        <v>No errors</v>
      </c>
    </row>
    <row r="15" spans="1:10">
      <c r="A15" s="14"/>
      <c r="B15" s="88"/>
      <c r="D15" s="56"/>
      <c r="E15" s="57"/>
      <c r="F15" s="57"/>
      <c r="G15" s="57"/>
      <c r="H15" s="57"/>
      <c r="I15" s="57"/>
      <c r="J15" s="14" t="str">
        <f>IF(E15="Invalid_Segment","Invalid",IFERROR(INDEX(Severity_Matrix!$C$3:$M$10,MATCH('Error Log'!$F15,Severity_Matrix!$B$3:$B$10,0),MATCH('Error Log'!$G15,Severity_Matrix!$C$2:$M$2,0)),"No errors"))</f>
        <v>No errors</v>
      </c>
    </row>
    <row r="16" spans="1:10">
      <c r="A16" s="14"/>
      <c r="B16" s="88"/>
      <c r="D16" s="56"/>
      <c r="E16" s="57"/>
      <c r="F16" s="57"/>
      <c r="G16" s="57"/>
      <c r="H16" s="57"/>
      <c r="I16" s="57"/>
      <c r="J16" s="14" t="str">
        <f>IF(E16="Invalid_Segment","Invalid",IFERROR(INDEX(Severity_Matrix!$C$3:$M$10,MATCH('Error Log'!$F16,Severity_Matrix!$B$3:$B$10,0),MATCH('Error Log'!$G16,Severity_Matrix!$C$2:$M$2,0)),"No errors"))</f>
        <v>No errors</v>
      </c>
    </row>
    <row r="17" spans="1:10">
      <c r="A17" s="14"/>
      <c r="B17" s="88"/>
      <c r="D17" s="56"/>
      <c r="E17" s="57"/>
      <c r="F17" s="57"/>
      <c r="G17" s="57"/>
      <c r="H17" s="57"/>
      <c r="I17" s="57"/>
      <c r="J17" s="14" t="str">
        <f>IF(E17="Invalid_Segment","Invalid",IFERROR(INDEX(Severity_Matrix!$C$3:$M$10,MATCH('Error Log'!$F17,Severity_Matrix!$B$3:$B$10,0),MATCH('Error Log'!$G17,Severity_Matrix!$C$2:$M$2,0)),"No errors"))</f>
        <v>No errors</v>
      </c>
    </row>
    <row r="18" spans="1:10">
      <c r="A18" s="14"/>
      <c r="B18" s="88"/>
      <c r="D18" s="56"/>
      <c r="E18" s="57"/>
      <c r="F18" s="57"/>
      <c r="G18" s="57"/>
      <c r="H18" s="57"/>
      <c r="I18" s="57"/>
      <c r="J18" s="14" t="str">
        <f>IF(E18="Invalid_Segment","Invalid",IFERROR(INDEX(Severity_Matrix!$C$3:$M$10,MATCH('Error Log'!$F18,Severity_Matrix!$B$3:$B$10,0),MATCH('Error Log'!$G18,Severity_Matrix!$C$2:$M$2,0)),"No errors"))</f>
        <v>No errors</v>
      </c>
    </row>
    <row r="19" spans="1:10">
      <c r="A19" s="14"/>
      <c r="B19" s="88"/>
      <c r="D19" s="56"/>
      <c r="E19" s="57"/>
      <c r="F19" s="57"/>
      <c r="G19" s="57"/>
      <c r="H19" s="57"/>
      <c r="I19" s="57"/>
      <c r="J19" s="14" t="str">
        <f>IF(E19="Invalid_Segment","Invalid",IFERROR(INDEX(Severity_Matrix!$C$3:$M$10,MATCH('Error Log'!$F19,Severity_Matrix!$B$3:$B$10,0),MATCH('Error Log'!$G19,Severity_Matrix!$C$2:$M$2,0)),"No errors"))</f>
        <v>No errors</v>
      </c>
    </row>
    <row r="20" spans="1:10">
      <c r="A20" s="14"/>
      <c r="B20" s="88"/>
      <c r="D20" s="56"/>
      <c r="E20" s="57"/>
      <c r="F20" s="57"/>
      <c r="G20" s="57"/>
      <c r="H20" s="57"/>
      <c r="I20" s="57"/>
      <c r="J20" s="14" t="str">
        <f>IF(E20="Invalid_Segment","Invalid",IFERROR(INDEX(Severity_Matrix!$C$3:$M$10,MATCH('Error Log'!$F20,Severity_Matrix!$B$3:$B$10,0),MATCH('Error Log'!$G20,Severity_Matrix!$C$2:$M$2,0)),"No errors"))</f>
        <v>No errors</v>
      </c>
    </row>
    <row r="21" spans="1:10">
      <c r="A21" s="14"/>
      <c r="B21" s="88"/>
      <c r="D21" s="56"/>
      <c r="E21" s="57"/>
      <c r="F21" s="57"/>
      <c r="G21" s="57"/>
      <c r="H21" s="57"/>
      <c r="I21" s="57"/>
      <c r="J21" s="14" t="str">
        <f>IF(E21="Invalid_Segment","Invalid",IFERROR(INDEX(Severity_Matrix!$C$3:$M$10,MATCH('Error Log'!$F21,Severity_Matrix!$B$3:$B$10,0),MATCH('Error Log'!$G21,Severity_Matrix!$C$2:$M$2,0)),"No errors"))</f>
        <v>No errors</v>
      </c>
    </row>
    <row r="22" spans="1:10">
      <c r="A22" s="14"/>
      <c r="B22" s="88"/>
      <c r="D22" s="56"/>
      <c r="E22" s="57"/>
      <c r="F22" s="57"/>
      <c r="G22" s="57"/>
      <c r="H22" s="57"/>
      <c r="I22" s="57"/>
      <c r="J22" s="14" t="str">
        <f>IF(E22="Invalid_Segment","Invalid",IFERROR(INDEX(Severity_Matrix!$C$3:$M$10,MATCH('Error Log'!$F22,Severity_Matrix!$B$3:$B$10,0),MATCH('Error Log'!$G22,Severity_Matrix!$C$2:$M$2,0)),"No errors"))</f>
        <v>No errors</v>
      </c>
    </row>
    <row r="23" spans="1:10">
      <c r="A23" s="14"/>
      <c r="B23" s="88"/>
      <c r="D23" s="56"/>
      <c r="E23" s="57"/>
      <c r="F23" s="57"/>
      <c r="G23" s="57"/>
      <c r="H23" s="57"/>
      <c r="I23" s="57"/>
      <c r="J23" s="14" t="str">
        <f>IF(E23="Invalid_Segment","Invalid",IFERROR(INDEX(Severity_Matrix!$C$3:$M$10,MATCH('Error Log'!$F23,Severity_Matrix!$B$3:$B$10,0),MATCH('Error Log'!$G23,Severity_Matrix!$C$2:$M$2,0)),"No errors"))</f>
        <v>No errors</v>
      </c>
    </row>
    <row r="24" spans="1:10">
      <c r="A24" s="14"/>
      <c r="B24" s="88"/>
      <c r="D24" s="59"/>
      <c r="E24" s="57"/>
      <c r="F24" s="57"/>
      <c r="G24" s="57"/>
      <c r="H24" s="57"/>
      <c r="I24" s="57"/>
      <c r="J24" s="14" t="str">
        <f>IF(E24="Invalid_Segment","Invalid",IFERROR(INDEX(Severity_Matrix!$C$3:$M$10,MATCH('Error Log'!$F24,Severity_Matrix!$B$3:$B$10,0),MATCH('Error Log'!$G24,Severity_Matrix!$C$2:$M$2,0)),"No errors"))</f>
        <v>No errors</v>
      </c>
    </row>
    <row r="25" spans="1:10">
      <c r="A25" s="14"/>
      <c r="B25" s="88"/>
      <c r="D25" s="59"/>
      <c r="E25" s="57"/>
      <c r="F25" s="57"/>
      <c r="G25" s="57"/>
      <c r="H25" s="60"/>
      <c r="I25" s="57"/>
      <c r="J25" s="14" t="str">
        <f>IF(E25="Invalid_Segment","Invalid",IFERROR(INDEX(Severity_Matrix!$C$3:$M$10,MATCH('Error Log'!$F25,Severity_Matrix!$B$3:$B$10,0),MATCH('Error Log'!$G25,Severity_Matrix!$C$2:$M$2,0)),"No errors"))</f>
        <v>No errors</v>
      </c>
    </row>
    <row r="26" spans="1:10">
      <c r="A26" s="14"/>
      <c r="B26" s="88"/>
      <c r="D26" s="59"/>
      <c r="E26" s="57"/>
      <c r="F26" s="57"/>
      <c r="G26" s="57"/>
      <c r="H26" s="57"/>
      <c r="I26" s="57"/>
      <c r="J26" s="14" t="str">
        <f>IF(E26="Invalid_Segment","Invalid",IFERROR(INDEX(Severity_Matrix!$C$3:$M$10,MATCH('Error Log'!$F26,Severity_Matrix!$B$3:$B$10,0),MATCH('Error Log'!$G26,Severity_Matrix!$C$2:$M$2,0)),"No errors"))</f>
        <v>No errors</v>
      </c>
    </row>
    <row r="27" spans="1:10">
      <c r="A27" s="14"/>
      <c r="B27" s="88"/>
      <c r="D27" s="59"/>
      <c r="E27" s="57"/>
      <c r="F27" s="57"/>
      <c r="G27" s="57"/>
      <c r="H27" s="57"/>
      <c r="I27" s="57"/>
      <c r="J27" s="14" t="str">
        <f>IF(E27="Invalid_Segment","Invalid",IFERROR(INDEX(Severity_Matrix!$C$3:$M$10,MATCH('Error Log'!$F27,Severity_Matrix!$B$3:$B$10,0),MATCH('Error Log'!$G27,Severity_Matrix!$C$2:$M$2,0)),"No errors"))</f>
        <v>No errors</v>
      </c>
    </row>
    <row r="28" spans="1:10">
      <c r="A28" s="14"/>
      <c r="B28" s="88"/>
      <c r="D28" s="59"/>
      <c r="E28" s="57"/>
      <c r="F28" s="57"/>
      <c r="G28" s="57"/>
      <c r="H28" s="57"/>
      <c r="I28" s="57"/>
      <c r="J28" s="14" t="str">
        <f>IF(E28="Invalid_Segment","Invalid",IFERROR(INDEX(Severity_Matrix!$C$3:$M$10,MATCH('Error Log'!$F28,Severity_Matrix!$B$3:$B$10,0),MATCH('Error Log'!$G28,Severity_Matrix!$C$2:$M$2,0)),"No errors"))</f>
        <v>No errors</v>
      </c>
    </row>
    <row r="29" spans="1:10">
      <c r="A29" s="14"/>
      <c r="B29" s="88"/>
      <c r="D29" s="59"/>
      <c r="E29" s="57"/>
      <c r="F29" s="57"/>
      <c r="G29" s="57"/>
      <c r="H29" s="61"/>
      <c r="I29" s="57"/>
      <c r="J29" s="14" t="str">
        <f>IF(E29="Invalid_Segment","Invalid",IFERROR(INDEX(Severity_Matrix!$C$3:$M$10,MATCH('Error Log'!$F29,Severity_Matrix!$B$3:$B$10,0),MATCH('Error Log'!$G29,Severity_Matrix!$C$2:$M$2,0)),"No errors"))</f>
        <v>No errors</v>
      </c>
    </row>
    <row r="30" spans="1:10">
      <c r="A30" s="14"/>
      <c r="B30" s="88"/>
      <c r="D30" s="59"/>
      <c r="E30" s="57"/>
      <c r="F30" s="57"/>
      <c r="G30" s="57"/>
      <c r="H30" s="57"/>
      <c r="I30" s="57"/>
      <c r="J30" s="14" t="str">
        <f>IF(E30="Invalid_Segment","Invalid",IFERROR(INDEX(Severity_Matrix!$C$3:$M$10,MATCH('Error Log'!$F30,Severity_Matrix!$B$3:$B$10,0),MATCH('Error Log'!$G30,Severity_Matrix!$C$2:$M$2,0)),"No errors"))</f>
        <v>No errors</v>
      </c>
    </row>
    <row r="31" spans="1:10">
      <c r="A31" s="14"/>
      <c r="B31" s="88"/>
      <c r="D31" s="59"/>
      <c r="E31" s="57"/>
      <c r="F31" s="57"/>
      <c r="G31" s="57"/>
      <c r="H31" s="57"/>
      <c r="I31" s="57"/>
      <c r="J31" s="14"/>
    </row>
    <row r="32" spans="1:10">
      <c r="B32" s="88"/>
      <c r="D32" s="17"/>
      <c r="E32" s="13"/>
      <c r="F32" s="13"/>
      <c r="G32" s="13"/>
      <c r="H32" s="13"/>
      <c r="I32" s="13"/>
      <c r="J32" s="14"/>
    </row>
    <row r="33" spans="2:10">
      <c r="B33" s="88"/>
      <c r="D33" s="17"/>
      <c r="E33" s="13"/>
      <c r="F33" s="13"/>
      <c r="G33" s="13"/>
      <c r="H33" s="13"/>
      <c r="I33" s="13"/>
      <c r="J33" s="14"/>
    </row>
    <row r="34" spans="2:10">
      <c r="B34" s="88"/>
      <c r="D34" s="17"/>
      <c r="E34" s="13"/>
      <c r="F34" s="13"/>
      <c r="G34" s="13"/>
      <c r="H34" s="13"/>
      <c r="I34" s="13"/>
      <c r="J34" s="14"/>
    </row>
    <row r="35" spans="2:10">
      <c r="B35" s="88"/>
      <c r="D35" s="17"/>
      <c r="E35" s="13"/>
      <c r="F35" s="13"/>
      <c r="G35" s="13"/>
      <c r="H35" s="13"/>
      <c r="I35" s="13"/>
      <c r="J35" s="14"/>
    </row>
    <row r="36" spans="2:10">
      <c r="B36" s="88"/>
      <c r="D36" s="17"/>
      <c r="E36" s="13"/>
      <c r="F36" s="13"/>
      <c r="G36" s="13"/>
      <c r="H36" s="13"/>
      <c r="I36" s="13"/>
      <c r="J36" s="14"/>
    </row>
    <row r="37" spans="2:10">
      <c r="B37" s="88"/>
      <c r="D37" s="17"/>
      <c r="E37" s="13"/>
      <c r="F37" s="13"/>
      <c r="G37" s="13"/>
      <c r="H37" s="13"/>
      <c r="I37" s="13"/>
      <c r="J37" s="14"/>
    </row>
    <row r="38" spans="2:10">
      <c r="B38" s="88"/>
      <c r="D38" s="17"/>
      <c r="E38" s="13"/>
      <c r="F38" s="13"/>
      <c r="G38" s="13"/>
      <c r="H38" s="13"/>
      <c r="I38" s="13"/>
      <c r="J38" s="14"/>
    </row>
    <row r="39" spans="2:10">
      <c r="B39" s="88"/>
      <c r="D39" s="17"/>
      <c r="E39" s="13"/>
      <c r="F39" s="13"/>
      <c r="G39" s="13"/>
      <c r="H39" s="13"/>
      <c r="I39" s="13"/>
      <c r="J39" s="14"/>
    </row>
    <row r="40" spans="2:10">
      <c r="B40" s="88"/>
      <c r="D40" s="17"/>
      <c r="E40" s="13"/>
      <c r="F40" s="13"/>
      <c r="G40" s="13"/>
      <c r="H40" s="13"/>
      <c r="I40" s="13"/>
      <c r="J40" s="14"/>
    </row>
    <row r="41" spans="2:10">
      <c r="B41" s="88"/>
      <c r="D41" s="17"/>
      <c r="E41" s="13"/>
      <c r="F41" s="13"/>
      <c r="G41" s="13"/>
      <c r="H41" s="13"/>
      <c r="I41" s="13"/>
      <c r="J41" s="14"/>
    </row>
    <row r="42" spans="2:10">
      <c r="B42" s="88"/>
      <c r="D42" s="17"/>
      <c r="E42" s="13"/>
      <c r="F42" s="13"/>
      <c r="G42" s="13"/>
      <c r="H42" s="13"/>
      <c r="I42" s="13"/>
      <c r="J42" s="14"/>
    </row>
    <row r="43" spans="2:10">
      <c r="B43" s="88"/>
      <c r="D43" s="17"/>
      <c r="E43" s="13"/>
      <c r="F43" s="13"/>
      <c r="G43" s="13"/>
      <c r="H43" s="13"/>
      <c r="I43" s="13"/>
      <c r="J43" s="14"/>
    </row>
    <row r="44" spans="2:10">
      <c r="B44" s="88"/>
      <c r="D44" s="17"/>
      <c r="E44" s="13"/>
      <c r="F44" s="13"/>
      <c r="G44" s="13"/>
      <c r="H44" s="13"/>
      <c r="I44" s="13"/>
      <c r="J44" s="14"/>
    </row>
    <row r="45" spans="2:10">
      <c r="B45" s="88"/>
      <c r="D45" s="17"/>
      <c r="E45" s="13"/>
      <c r="F45" s="13"/>
      <c r="G45" s="13"/>
      <c r="H45" s="13"/>
      <c r="I45" s="13"/>
      <c r="J45" s="14"/>
    </row>
    <row r="46" spans="2:10">
      <c r="B46" s="88"/>
      <c r="D46" s="17"/>
      <c r="E46" s="13"/>
      <c r="F46" s="13"/>
      <c r="G46" s="13"/>
      <c r="H46" s="13"/>
      <c r="I46" s="13"/>
      <c r="J46" s="14"/>
    </row>
    <row r="47" spans="2:10">
      <c r="B47" s="88"/>
      <c r="D47" s="17"/>
      <c r="E47" s="13"/>
      <c r="F47" s="13"/>
      <c r="G47" s="13"/>
      <c r="H47" s="13"/>
      <c r="I47" s="13"/>
      <c r="J47" s="14"/>
    </row>
    <row r="48" spans="2:10">
      <c r="B48" s="88"/>
      <c r="D48" s="17"/>
      <c r="E48" s="13"/>
      <c r="F48" s="13"/>
      <c r="G48" s="13"/>
      <c r="H48" s="13"/>
      <c r="I48" s="13"/>
      <c r="J48" s="14"/>
    </row>
    <row r="49" spans="2:10">
      <c r="B49" s="88"/>
      <c r="D49" s="17"/>
      <c r="E49" s="13"/>
      <c r="F49" s="13"/>
      <c r="G49" s="13"/>
      <c r="H49" s="13"/>
      <c r="I49" s="13"/>
      <c r="J49" s="14"/>
    </row>
    <row r="50" spans="2:10">
      <c r="B50" s="88"/>
      <c r="D50" s="17"/>
      <c r="E50" s="13"/>
      <c r="F50" s="13"/>
      <c r="G50" s="13"/>
      <c r="H50" s="13"/>
      <c r="I50" s="13"/>
      <c r="J50" s="14"/>
    </row>
    <row r="51" spans="2:10">
      <c r="B51" s="88"/>
      <c r="D51" s="17"/>
      <c r="E51" s="13"/>
      <c r="F51" s="13"/>
      <c r="G51" s="13"/>
      <c r="H51" s="13"/>
      <c r="I51" s="13"/>
      <c r="J51" s="14"/>
    </row>
    <row r="52" spans="2:10">
      <c r="B52" s="88"/>
      <c r="D52" s="17"/>
      <c r="E52" s="13"/>
      <c r="F52" s="13"/>
      <c r="G52" s="13"/>
      <c r="H52" s="13"/>
      <c r="I52" s="13"/>
      <c r="J52" s="14"/>
    </row>
    <row r="53" spans="2:10">
      <c r="B53" s="88"/>
      <c r="D53" s="17"/>
      <c r="E53" s="13"/>
      <c r="F53" s="13"/>
      <c r="G53" s="13"/>
      <c r="H53" s="13"/>
      <c r="I53" s="13"/>
      <c r="J53" s="14"/>
    </row>
    <row r="54" spans="2:10">
      <c r="B54" s="88"/>
      <c r="D54" s="17"/>
      <c r="E54" s="13"/>
      <c r="F54" s="13"/>
      <c r="G54" s="13"/>
      <c r="H54" s="13"/>
      <c r="I54" s="13"/>
      <c r="J54" s="14"/>
    </row>
    <row r="55" spans="2:10">
      <c r="B55" s="88"/>
      <c r="D55" s="17"/>
      <c r="E55" s="13"/>
      <c r="F55" s="13"/>
      <c r="G55" s="13"/>
      <c r="H55" s="13"/>
      <c r="I55" s="13"/>
      <c r="J55" s="14"/>
    </row>
    <row r="56" spans="2:10">
      <c r="B56" s="88"/>
      <c r="D56" s="17"/>
      <c r="E56" s="13"/>
      <c r="F56" s="13"/>
      <c r="G56" s="13"/>
      <c r="H56" s="13"/>
      <c r="I56" s="13"/>
      <c r="J56" s="14"/>
    </row>
    <row r="57" spans="2:10">
      <c r="B57" s="88"/>
      <c r="D57" s="17"/>
      <c r="E57" s="13"/>
      <c r="F57" s="13"/>
      <c r="G57" s="13"/>
      <c r="H57" s="13"/>
      <c r="I57" s="13"/>
      <c r="J57" s="14"/>
    </row>
    <row r="58" spans="2:10">
      <c r="B58" s="88"/>
      <c r="D58" s="17"/>
      <c r="E58" s="13"/>
      <c r="F58" s="13"/>
      <c r="G58" s="13"/>
      <c r="H58" s="13"/>
      <c r="I58" s="13"/>
      <c r="J58" s="14"/>
    </row>
    <row r="59" spans="2:10">
      <c r="B59" s="88"/>
      <c r="D59" s="17"/>
      <c r="E59" s="13"/>
      <c r="F59" s="13"/>
      <c r="G59" s="13"/>
      <c r="H59" s="13"/>
      <c r="I59" s="13"/>
      <c r="J59" s="14"/>
    </row>
    <row r="60" spans="2:10">
      <c r="B60" s="88"/>
      <c r="D60" s="17"/>
      <c r="E60" s="13"/>
      <c r="F60" s="13"/>
      <c r="G60" s="13"/>
      <c r="H60" s="13"/>
      <c r="I60" s="13"/>
      <c r="J60" s="14"/>
    </row>
    <row r="61" spans="2:10">
      <c r="B61" s="88"/>
      <c r="D61" s="17"/>
      <c r="E61" s="13"/>
      <c r="F61" s="13"/>
      <c r="G61" s="13"/>
      <c r="H61" s="13"/>
      <c r="I61" s="13"/>
      <c r="J61" s="14"/>
    </row>
    <row r="62" spans="2:10">
      <c r="B62" s="88"/>
      <c r="D62" s="17"/>
      <c r="E62" s="13"/>
      <c r="F62" s="13"/>
      <c r="G62" s="13"/>
      <c r="H62" s="13"/>
      <c r="I62" s="13"/>
      <c r="J62" s="14"/>
    </row>
    <row r="63" spans="2:10">
      <c r="B63" s="88"/>
      <c r="D63" s="17"/>
      <c r="E63" s="13"/>
      <c r="F63" s="13"/>
      <c r="G63" s="13"/>
      <c r="H63" s="13"/>
      <c r="I63" s="13"/>
      <c r="J63" s="14"/>
    </row>
    <row r="64" spans="2:10">
      <c r="B64" s="88"/>
      <c r="D64" s="17"/>
      <c r="E64" s="13"/>
      <c r="F64" s="13"/>
      <c r="G64" s="13"/>
      <c r="H64" s="13"/>
      <c r="I64" s="13"/>
      <c r="J64" s="14"/>
    </row>
    <row r="65" spans="2:10">
      <c r="B65" s="88"/>
      <c r="D65" s="17"/>
      <c r="E65" s="13"/>
      <c r="F65" s="13"/>
      <c r="G65" s="13"/>
      <c r="H65" s="13"/>
      <c r="I65" s="13"/>
      <c r="J65" s="14"/>
    </row>
    <row r="66" spans="2:10">
      <c r="B66" s="88"/>
      <c r="D66" s="17"/>
      <c r="E66" s="13"/>
      <c r="F66" s="13"/>
      <c r="G66" s="13"/>
      <c r="H66" s="13"/>
      <c r="I66" s="13"/>
      <c r="J66" s="14"/>
    </row>
    <row r="67" spans="2:10">
      <c r="B67" s="88"/>
      <c r="D67" s="17"/>
      <c r="E67" s="13"/>
      <c r="F67" s="13"/>
      <c r="G67" s="13"/>
      <c r="H67" s="13"/>
      <c r="I67" s="13"/>
      <c r="J67" s="14"/>
    </row>
    <row r="68" spans="2:10">
      <c r="B68" s="88"/>
      <c r="D68" s="17"/>
      <c r="E68" s="13"/>
      <c r="F68" s="13"/>
      <c r="G68" s="13"/>
      <c r="H68" s="13"/>
      <c r="I68" s="13"/>
      <c r="J68" s="14"/>
    </row>
    <row r="69" spans="2:10">
      <c r="B69" s="88"/>
      <c r="D69" s="17"/>
      <c r="E69" s="13"/>
      <c r="F69" s="13"/>
      <c r="G69" s="13"/>
      <c r="H69" s="13"/>
      <c r="I69" s="13"/>
      <c r="J69" s="14"/>
    </row>
    <row r="70" spans="2:10">
      <c r="B70" s="88"/>
      <c r="D70" s="17"/>
      <c r="E70" s="13"/>
      <c r="F70" s="13"/>
      <c r="G70" s="13"/>
      <c r="H70" s="13"/>
      <c r="I70" s="13"/>
      <c r="J70" s="14"/>
    </row>
    <row r="71" spans="2:10">
      <c r="B71" s="88"/>
      <c r="D71" s="17"/>
      <c r="E71" s="13"/>
      <c r="F71" s="13"/>
      <c r="G71" s="13"/>
      <c r="H71" s="13"/>
      <c r="I71" s="13"/>
      <c r="J71" s="14"/>
    </row>
    <row r="72" spans="2:10">
      <c r="B72" s="88"/>
      <c r="D72" s="17"/>
      <c r="E72" s="13"/>
      <c r="F72" s="13"/>
      <c r="G72" s="13"/>
      <c r="H72" s="13"/>
      <c r="I72" s="13"/>
      <c r="J72" s="14"/>
    </row>
    <row r="73" spans="2:10">
      <c r="B73" s="88"/>
      <c r="D73" s="17"/>
      <c r="E73" s="13"/>
      <c r="F73" s="13"/>
      <c r="G73" s="13"/>
      <c r="H73" s="13"/>
      <c r="I73" s="13"/>
      <c r="J73" s="14"/>
    </row>
    <row r="74" spans="2:10">
      <c r="B74" s="88"/>
      <c r="D74" s="17"/>
      <c r="E74" s="13"/>
      <c r="F74" s="13"/>
      <c r="G74" s="13"/>
      <c r="H74" s="13"/>
      <c r="I74" s="13"/>
      <c r="J74" s="14"/>
    </row>
    <row r="75" spans="2:10">
      <c r="B75" s="88"/>
      <c r="D75" s="17"/>
      <c r="E75" s="13"/>
      <c r="F75" s="13"/>
      <c r="G75" s="13"/>
      <c r="H75" s="13"/>
      <c r="I75" s="13"/>
      <c r="J75" s="14"/>
    </row>
    <row r="76" spans="2:10">
      <c r="B76" s="88"/>
      <c r="D76" s="17"/>
      <c r="E76" s="13"/>
      <c r="F76" s="13"/>
      <c r="G76" s="13"/>
      <c r="H76" s="13"/>
      <c r="I76" s="13"/>
      <c r="J76" s="14"/>
    </row>
    <row r="77" spans="2:10">
      <c r="B77" s="88"/>
      <c r="D77" s="17"/>
      <c r="E77" s="13"/>
      <c r="F77" s="13"/>
      <c r="G77" s="13"/>
      <c r="H77" s="13"/>
      <c r="I77" s="13"/>
      <c r="J77" s="14"/>
    </row>
    <row r="78" spans="2:10">
      <c r="B78" s="88"/>
      <c r="D78" s="17"/>
      <c r="E78" s="13"/>
      <c r="F78" s="13"/>
      <c r="G78" s="13"/>
      <c r="H78" s="13"/>
      <c r="I78" s="13"/>
      <c r="J78" s="14"/>
    </row>
    <row r="79" spans="2:10">
      <c r="B79" s="88"/>
      <c r="D79" s="17"/>
      <c r="E79" s="13"/>
      <c r="F79" s="13"/>
      <c r="G79" s="13"/>
      <c r="H79" s="13"/>
      <c r="I79" s="13"/>
      <c r="J79" s="14"/>
    </row>
    <row r="80" spans="2:10">
      <c r="B80" s="88"/>
      <c r="D80" s="17"/>
      <c r="E80" s="13"/>
      <c r="F80" s="13"/>
      <c r="G80" s="13"/>
      <c r="H80" s="13"/>
      <c r="I80" s="13"/>
      <c r="J80" s="14"/>
    </row>
    <row r="81" spans="2:10">
      <c r="B81" s="88"/>
      <c r="D81" s="17"/>
      <c r="E81" s="13"/>
      <c r="F81" s="13"/>
      <c r="G81" s="13"/>
      <c r="H81" s="13"/>
      <c r="I81" s="13"/>
      <c r="J81" s="14"/>
    </row>
    <row r="82" spans="2:10">
      <c r="B82" s="88"/>
      <c r="D82" s="17"/>
      <c r="E82" s="13"/>
      <c r="F82" s="13"/>
      <c r="G82" s="13"/>
      <c r="H82" s="13"/>
      <c r="I82" s="13"/>
      <c r="J82" s="14"/>
    </row>
    <row r="83" spans="2:10">
      <c r="B83" s="88"/>
      <c r="D83" s="17"/>
      <c r="E83" s="13"/>
      <c r="F83" s="13"/>
      <c r="G83" s="13"/>
      <c r="H83" s="13"/>
      <c r="I83" s="13"/>
      <c r="J83" s="14"/>
    </row>
    <row r="84" spans="2:10">
      <c r="B84" s="88"/>
      <c r="D84" s="17"/>
      <c r="E84" s="13"/>
      <c r="F84" s="13"/>
      <c r="G84" s="13"/>
      <c r="H84" s="13"/>
      <c r="I84" s="13"/>
      <c r="J84" s="14"/>
    </row>
    <row r="85" spans="2:10">
      <c r="B85" s="88"/>
      <c r="D85" s="17"/>
      <c r="E85" s="13"/>
      <c r="F85" s="13"/>
      <c r="G85" s="13"/>
      <c r="H85" s="13"/>
      <c r="I85" s="13"/>
      <c r="J85" s="14"/>
    </row>
    <row r="86" spans="2:10">
      <c r="B86" s="88"/>
      <c r="D86" s="17"/>
      <c r="E86" s="13"/>
      <c r="F86" s="13"/>
      <c r="G86" s="13"/>
      <c r="H86" s="13"/>
      <c r="I86" s="13"/>
      <c r="J86" s="14"/>
    </row>
    <row r="87" spans="2:10">
      <c r="B87" s="88"/>
      <c r="D87" s="17"/>
      <c r="E87" s="13"/>
      <c r="F87" s="13"/>
      <c r="G87" s="13"/>
      <c r="H87" s="13"/>
      <c r="I87" s="13"/>
      <c r="J87" s="14"/>
    </row>
    <row r="88" spans="2:10">
      <c r="B88" s="88"/>
      <c r="D88" s="17"/>
      <c r="E88" s="13"/>
      <c r="F88" s="13"/>
      <c r="G88" s="13"/>
      <c r="H88" s="13"/>
      <c r="I88" s="13"/>
      <c r="J88" s="14"/>
    </row>
    <row r="89" spans="2:10">
      <c r="B89" s="88"/>
      <c r="D89" s="17"/>
      <c r="E89" s="13"/>
      <c r="F89" s="13"/>
      <c r="G89" s="13"/>
      <c r="H89" s="13"/>
      <c r="I89" s="13"/>
      <c r="J89" s="14"/>
    </row>
    <row r="90" spans="2:10">
      <c r="B90" s="88"/>
      <c r="D90" s="17"/>
      <c r="E90" s="13"/>
      <c r="F90" s="13"/>
      <c r="G90" s="13"/>
      <c r="H90" s="13"/>
      <c r="I90" s="13"/>
      <c r="J90" s="14"/>
    </row>
    <row r="91" spans="2:10">
      <c r="B91" s="88"/>
      <c r="D91" s="17"/>
      <c r="E91" s="13"/>
      <c r="F91" s="13"/>
      <c r="G91" s="13"/>
      <c r="H91" s="13"/>
      <c r="I91" s="13"/>
      <c r="J91" s="14"/>
    </row>
    <row r="92" spans="2:10">
      <c r="B92" s="88"/>
      <c r="D92" s="17"/>
      <c r="E92" s="13"/>
      <c r="F92" s="13"/>
      <c r="G92" s="13"/>
      <c r="H92" s="13"/>
      <c r="I92" s="13"/>
      <c r="J92" s="14"/>
    </row>
    <row r="93" spans="2:10">
      <c r="B93" s="88"/>
      <c r="D93" s="17"/>
      <c r="E93" s="13"/>
      <c r="F93" s="13"/>
      <c r="G93" s="13"/>
      <c r="H93" s="13"/>
      <c r="I93" s="13"/>
      <c r="J93" s="14"/>
    </row>
    <row r="94" spans="2:10">
      <c r="B94" s="88"/>
      <c r="D94" s="17"/>
      <c r="E94" s="13"/>
      <c r="F94" s="13"/>
      <c r="G94" s="13"/>
      <c r="H94" s="13"/>
      <c r="I94" s="13"/>
      <c r="J94" s="14"/>
    </row>
    <row r="95" spans="2:10">
      <c r="B95" s="88"/>
      <c r="D95" s="17"/>
      <c r="E95" s="13"/>
      <c r="F95" s="13"/>
      <c r="G95" s="13"/>
      <c r="H95" s="13"/>
      <c r="I95" s="13"/>
      <c r="J95" s="14"/>
    </row>
    <row r="96" spans="2:10">
      <c r="B96" s="88"/>
      <c r="D96" s="17"/>
      <c r="E96" s="13"/>
      <c r="F96" s="13"/>
      <c r="G96" s="13"/>
      <c r="H96" s="13"/>
      <c r="I96" s="13"/>
      <c r="J96" s="14"/>
    </row>
    <row r="97" spans="2:10">
      <c r="B97" s="88"/>
      <c r="D97" s="17"/>
      <c r="E97" s="13"/>
      <c r="F97" s="13"/>
      <c r="G97" s="13"/>
      <c r="H97" s="13"/>
      <c r="I97" s="13"/>
      <c r="J97" s="14"/>
    </row>
    <row r="98" spans="2:10">
      <c r="B98" s="88"/>
      <c r="D98" s="17"/>
      <c r="E98" s="13"/>
      <c r="F98" s="13"/>
      <c r="G98" s="13"/>
      <c r="H98" s="13"/>
      <c r="I98" s="13"/>
      <c r="J98" s="14"/>
    </row>
    <row r="99" spans="2:10">
      <c r="B99" s="88"/>
      <c r="D99" s="17"/>
      <c r="E99" s="13"/>
      <c r="F99" s="13"/>
      <c r="G99" s="13"/>
      <c r="H99" s="13"/>
      <c r="I99" s="13"/>
      <c r="J99" s="14"/>
    </row>
    <row r="100" spans="2:10">
      <c r="B100" s="88"/>
      <c r="D100" s="17"/>
      <c r="E100" s="13"/>
      <c r="F100" s="13"/>
      <c r="G100" s="13"/>
      <c r="H100" s="13"/>
      <c r="I100" s="13"/>
      <c r="J100" s="14"/>
    </row>
    <row r="101" spans="2:10">
      <c r="B101" s="88"/>
      <c r="D101" s="17"/>
      <c r="E101" s="13"/>
      <c r="F101" s="13"/>
      <c r="G101" s="13"/>
      <c r="H101" s="13"/>
      <c r="I101" s="13"/>
      <c r="J101" s="14"/>
    </row>
    <row r="102" spans="2:10">
      <c r="B102" s="88"/>
      <c r="D102" s="17"/>
      <c r="E102" s="13"/>
      <c r="F102" s="13"/>
      <c r="G102" s="13"/>
      <c r="H102" s="13"/>
      <c r="I102" s="13"/>
      <c r="J102" s="14"/>
    </row>
    <row r="103" spans="2:10">
      <c r="B103" s="88"/>
      <c r="D103" s="17"/>
      <c r="E103" s="13"/>
      <c r="F103" s="13"/>
      <c r="G103" s="13"/>
      <c r="H103" s="13"/>
      <c r="I103" s="13"/>
      <c r="J103" s="14"/>
    </row>
    <row r="104" spans="2:10">
      <c r="B104" s="88"/>
      <c r="D104" s="17"/>
      <c r="E104" s="13"/>
      <c r="F104" s="13"/>
      <c r="G104" s="13"/>
      <c r="H104" s="13"/>
      <c r="I104" s="13"/>
      <c r="J104" s="14"/>
    </row>
    <row r="105" spans="2:10">
      <c r="B105" s="88"/>
      <c r="D105" s="17"/>
      <c r="E105" s="13"/>
      <c r="F105" s="13"/>
      <c r="G105" s="13"/>
      <c r="H105" s="13"/>
      <c r="I105" s="13"/>
      <c r="J105" s="14"/>
    </row>
    <row r="106" spans="2:10">
      <c r="B106" s="88"/>
      <c r="D106" s="17"/>
      <c r="E106" s="13"/>
      <c r="F106" s="13"/>
      <c r="G106" s="13"/>
      <c r="H106" s="13"/>
      <c r="I106" s="13"/>
      <c r="J106" s="14"/>
    </row>
    <row r="107" spans="2:10">
      <c r="B107" s="88"/>
      <c r="D107" s="17"/>
      <c r="E107" s="13"/>
      <c r="F107" s="13"/>
      <c r="G107" s="13"/>
      <c r="H107" s="13"/>
      <c r="I107" s="13"/>
      <c r="J107" s="14"/>
    </row>
    <row r="108" spans="2:10">
      <c r="B108" s="88"/>
      <c r="D108" s="17"/>
      <c r="E108" s="13"/>
      <c r="F108" s="13"/>
      <c r="G108" s="13"/>
      <c r="H108" s="13"/>
      <c r="I108" s="13"/>
      <c r="J108" s="14"/>
    </row>
    <row r="109" spans="2:10">
      <c r="B109" s="88"/>
      <c r="D109" s="17"/>
      <c r="E109" s="13"/>
      <c r="F109" s="13"/>
      <c r="G109" s="13"/>
      <c r="H109" s="13"/>
      <c r="I109" s="13"/>
      <c r="J109" s="14"/>
    </row>
    <row r="110" spans="2:10">
      <c r="B110" s="88"/>
      <c r="D110" s="17"/>
      <c r="E110" s="13"/>
      <c r="F110" s="13"/>
      <c r="G110" s="13"/>
      <c r="H110" s="13"/>
      <c r="I110" s="13"/>
      <c r="J110" s="14"/>
    </row>
    <row r="111" spans="2:10">
      <c r="B111" s="88"/>
      <c r="D111" s="17"/>
      <c r="E111" s="13"/>
      <c r="F111" s="13"/>
      <c r="G111" s="13"/>
      <c r="H111" s="13"/>
      <c r="I111" s="13"/>
      <c r="J111" s="14"/>
    </row>
    <row r="112" spans="2:10">
      <c r="B112" s="88"/>
      <c r="D112" s="17"/>
      <c r="E112" s="13"/>
      <c r="F112" s="13"/>
      <c r="G112" s="13"/>
      <c r="H112" s="13"/>
      <c r="I112" s="13"/>
      <c r="J112" s="14"/>
    </row>
    <row r="113" spans="2:10">
      <c r="B113" s="88"/>
      <c r="D113" s="17"/>
      <c r="E113" s="13"/>
      <c r="F113" s="13"/>
      <c r="G113" s="13"/>
      <c r="H113" s="13"/>
      <c r="I113" s="13"/>
      <c r="J113" s="14"/>
    </row>
    <row r="114" spans="2:10">
      <c r="B114" s="88"/>
      <c r="D114" s="17"/>
      <c r="E114" s="13"/>
      <c r="F114" s="13"/>
      <c r="G114" s="13"/>
      <c r="H114" s="13"/>
      <c r="I114" s="13"/>
      <c r="J114" s="14"/>
    </row>
    <row r="115" spans="2:10">
      <c r="B115" s="88"/>
      <c r="D115" s="17"/>
      <c r="E115" s="13"/>
      <c r="F115" s="13"/>
      <c r="G115" s="13"/>
      <c r="H115" s="13"/>
      <c r="I115" s="13"/>
      <c r="J115" s="14"/>
    </row>
    <row r="116" spans="2:10">
      <c r="B116" s="88"/>
      <c r="D116" s="17"/>
      <c r="E116" s="13"/>
      <c r="F116" s="13"/>
      <c r="G116" s="13"/>
      <c r="H116" s="13"/>
      <c r="I116" s="13"/>
      <c r="J116" s="14"/>
    </row>
    <row r="117" spans="2:10">
      <c r="B117" s="88"/>
      <c r="D117" s="17"/>
      <c r="E117" s="13"/>
      <c r="F117" s="13"/>
      <c r="G117" s="13"/>
      <c r="H117" s="13"/>
      <c r="I117" s="13"/>
      <c r="J117" s="14"/>
    </row>
    <row r="118" spans="2:10">
      <c r="B118" s="88"/>
      <c r="D118" s="17"/>
      <c r="E118" s="13"/>
      <c r="F118" s="13"/>
      <c r="G118" s="13"/>
      <c r="H118" s="13"/>
      <c r="I118" s="13"/>
      <c r="J118" s="14"/>
    </row>
    <row r="119" spans="2:10">
      <c r="B119" s="88"/>
      <c r="D119" s="17"/>
      <c r="E119" s="13"/>
      <c r="F119" s="13"/>
      <c r="G119" s="13"/>
      <c r="H119" s="13"/>
      <c r="I119" s="13"/>
      <c r="J119" s="14"/>
    </row>
    <row r="120" spans="2:10">
      <c r="B120" s="88"/>
      <c r="D120" s="17"/>
      <c r="E120" s="13"/>
      <c r="F120" s="13"/>
      <c r="G120" s="13"/>
      <c r="H120" s="13"/>
      <c r="I120" s="13"/>
      <c r="J120" s="14"/>
    </row>
    <row r="121" spans="2:10">
      <c r="B121" s="88"/>
      <c r="D121" s="17"/>
      <c r="E121" s="13"/>
      <c r="F121" s="13"/>
      <c r="G121" s="13"/>
      <c r="H121" s="13"/>
      <c r="I121" s="13"/>
      <c r="J121" s="14"/>
    </row>
    <row r="122" spans="2:10">
      <c r="B122" s="88"/>
      <c r="D122" s="17"/>
      <c r="E122" s="13"/>
      <c r="F122" s="13"/>
      <c r="G122" s="13"/>
      <c r="H122" s="13"/>
      <c r="I122" s="13"/>
      <c r="J122" s="14"/>
    </row>
    <row r="123" spans="2:10">
      <c r="B123" s="88"/>
      <c r="D123" s="17"/>
      <c r="E123" s="13"/>
      <c r="F123" s="13"/>
      <c r="G123" s="13"/>
      <c r="H123" s="13"/>
      <c r="I123" s="13"/>
      <c r="J123" s="14"/>
    </row>
    <row r="124" spans="2:10">
      <c r="B124" s="88"/>
      <c r="D124" s="17"/>
      <c r="E124" s="13"/>
      <c r="F124" s="13"/>
      <c r="G124" s="13"/>
      <c r="H124" s="13"/>
      <c r="I124" s="13"/>
      <c r="J124" s="14"/>
    </row>
    <row r="125" spans="2:10">
      <c r="B125" s="88"/>
      <c r="D125" s="17"/>
      <c r="E125" s="13"/>
      <c r="F125" s="13"/>
      <c r="G125" s="13"/>
      <c r="H125" s="13"/>
      <c r="I125" s="13"/>
      <c r="J125" s="14"/>
    </row>
    <row r="126" spans="2:10">
      <c r="B126" s="88"/>
      <c r="D126" s="17"/>
      <c r="E126" s="13"/>
      <c r="F126" s="13"/>
      <c r="G126" s="13"/>
      <c r="H126" s="13"/>
      <c r="I126" s="13"/>
      <c r="J126" s="14"/>
    </row>
    <row r="127" spans="2:10">
      <c r="B127" s="88"/>
      <c r="D127" s="17"/>
      <c r="E127" s="13"/>
      <c r="F127" s="13"/>
      <c r="G127" s="13"/>
      <c r="H127" s="13"/>
      <c r="I127" s="13"/>
      <c r="J127" s="14"/>
    </row>
    <row r="128" spans="2:10">
      <c r="B128" s="88"/>
      <c r="D128" s="17"/>
      <c r="E128" s="13"/>
      <c r="F128" s="13"/>
      <c r="G128" s="13"/>
      <c r="H128" s="13"/>
      <c r="I128" s="13"/>
      <c r="J128" s="14"/>
    </row>
    <row r="129" spans="2:10">
      <c r="B129" s="88"/>
      <c r="D129" s="17"/>
      <c r="E129" s="13"/>
      <c r="F129" s="13"/>
      <c r="G129" s="13"/>
      <c r="H129" s="13"/>
      <c r="I129" s="13"/>
      <c r="J129" s="14"/>
    </row>
    <row r="130" spans="2:10">
      <c r="B130" s="88"/>
      <c r="D130" s="17"/>
      <c r="E130" s="13"/>
      <c r="F130" s="13"/>
      <c r="G130" s="13"/>
      <c r="H130" s="13"/>
      <c r="I130" s="13"/>
      <c r="J130" s="14"/>
    </row>
    <row r="131" spans="2:10">
      <c r="B131" s="88"/>
      <c r="D131" s="17"/>
      <c r="E131" s="13"/>
      <c r="F131" s="13"/>
      <c r="G131" s="13"/>
      <c r="H131" s="13"/>
      <c r="I131" s="13"/>
      <c r="J131" s="14"/>
    </row>
    <row r="132" spans="2:10">
      <c r="B132" s="88"/>
      <c r="D132" s="17"/>
      <c r="E132" s="13"/>
      <c r="F132" s="13"/>
      <c r="G132" s="13"/>
      <c r="H132" s="13"/>
      <c r="I132" s="13"/>
      <c r="J132" s="14"/>
    </row>
    <row r="133" spans="2:10">
      <c r="B133" s="88"/>
      <c r="D133" s="17"/>
      <c r="E133" s="13"/>
      <c r="F133" s="13"/>
      <c r="G133" s="13"/>
      <c r="H133" s="13"/>
      <c r="I133" s="13"/>
      <c r="J133" s="14"/>
    </row>
    <row r="134" spans="2:10">
      <c r="B134" s="88"/>
      <c r="D134" s="17"/>
      <c r="E134" s="13"/>
      <c r="F134" s="13"/>
      <c r="G134" s="13"/>
      <c r="H134" s="13"/>
      <c r="I134" s="13"/>
      <c r="J134" s="14"/>
    </row>
    <row r="135" spans="2:10">
      <c r="B135" s="88"/>
      <c r="D135" s="17"/>
      <c r="E135" s="13"/>
      <c r="F135" s="13"/>
      <c r="G135" s="13"/>
      <c r="H135" s="13"/>
      <c r="I135" s="13"/>
      <c r="J135" s="14"/>
    </row>
    <row r="136" spans="2:10">
      <c r="B136" s="88"/>
      <c r="D136" s="17"/>
      <c r="E136" s="13"/>
      <c r="F136" s="13"/>
      <c r="G136" s="13"/>
      <c r="H136" s="13"/>
      <c r="I136" s="13"/>
      <c r="J136" s="14"/>
    </row>
    <row r="137" spans="2:10">
      <c r="B137" s="88"/>
      <c r="D137" s="17"/>
      <c r="E137" s="13"/>
      <c r="F137" s="13"/>
      <c r="G137" s="13"/>
      <c r="H137" s="13"/>
      <c r="I137" s="13"/>
      <c r="J137" s="14"/>
    </row>
    <row r="138" spans="2:10">
      <c r="B138" s="88"/>
      <c r="D138" s="17"/>
      <c r="E138" s="13"/>
      <c r="F138" s="13"/>
      <c r="G138" s="13"/>
      <c r="H138" s="13"/>
      <c r="I138" s="13"/>
      <c r="J138" s="14"/>
    </row>
    <row r="139" spans="2:10">
      <c r="B139" s="88"/>
      <c r="D139" s="17"/>
      <c r="E139" s="13"/>
      <c r="F139" s="13"/>
      <c r="G139" s="13"/>
      <c r="H139" s="13"/>
      <c r="I139" s="13"/>
      <c r="J139" s="14"/>
    </row>
    <row r="140" spans="2:10">
      <c r="B140" s="88"/>
      <c r="D140" s="17"/>
      <c r="E140" s="13"/>
      <c r="F140" s="13"/>
      <c r="G140" s="13"/>
      <c r="H140" s="13"/>
      <c r="I140" s="13"/>
      <c r="J140" s="14"/>
    </row>
    <row r="141" spans="2:10">
      <c r="B141" s="88"/>
      <c r="D141" s="17"/>
      <c r="E141" s="13"/>
      <c r="F141" s="13"/>
      <c r="G141" s="13"/>
      <c r="H141" s="13"/>
      <c r="I141" s="13"/>
      <c r="J141" s="14"/>
    </row>
    <row r="142" spans="2:10">
      <c r="B142" s="88"/>
      <c r="D142" s="17"/>
      <c r="E142" s="13"/>
      <c r="F142" s="13"/>
      <c r="G142" s="13"/>
      <c r="H142" s="13"/>
      <c r="I142" s="13"/>
      <c r="J142" s="14"/>
    </row>
    <row r="143" spans="2:10">
      <c r="B143" s="88"/>
      <c r="D143" s="17"/>
      <c r="E143" s="13"/>
      <c r="F143" s="13"/>
      <c r="G143" s="13"/>
      <c r="H143" s="13"/>
      <c r="I143" s="13"/>
      <c r="J143" s="14"/>
    </row>
    <row r="144" spans="2:10">
      <c r="B144" s="88"/>
      <c r="D144" s="17"/>
      <c r="E144" s="13"/>
      <c r="F144" s="13"/>
      <c r="G144" s="13"/>
      <c r="H144" s="13"/>
      <c r="I144" s="13"/>
      <c r="J144" s="14"/>
    </row>
    <row r="145" spans="2:10">
      <c r="B145" s="88"/>
      <c r="D145" s="17"/>
      <c r="E145" s="13"/>
      <c r="F145" s="13"/>
      <c r="G145" s="13"/>
      <c r="H145" s="13"/>
      <c r="I145" s="13"/>
      <c r="J145" s="14"/>
    </row>
    <row r="146" spans="2:10">
      <c r="B146" s="88"/>
      <c r="D146" s="17"/>
      <c r="E146" s="13"/>
      <c r="F146" s="13"/>
      <c r="G146" s="13"/>
      <c r="H146" s="13"/>
      <c r="I146" s="13"/>
      <c r="J146" s="14"/>
    </row>
    <row r="147" spans="2:10">
      <c r="B147" s="88"/>
      <c r="D147" s="17"/>
      <c r="E147" s="13"/>
      <c r="F147" s="13"/>
      <c r="G147" s="13"/>
      <c r="H147" s="13"/>
      <c r="I147" s="13"/>
      <c r="J147" s="14"/>
    </row>
    <row r="148" spans="2:10">
      <c r="B148" s="88"/>
      <c r="D148" s="17"/>
      <c r="E148" s="13"/>
      <c r="F148" s="13"/>
      <c r="G148" s="13"/>
      <c r="H148" s="13"/>
      <c r="I148" s="13"/>
      <c r="J148" s="14"/>
    </row>
    <row r="149" spans="2:10">
      <c r="B149" s="88"/>
      <c r="D149" s="17"/>
      <c r="E149" s="13"/>
      <c r="F149" s="13"/>
      <c r="G149" s="13"/>
      <c r="H149" s="13"/>
      <c r="I149" s="13"/>
      <c r="J149" s="14"/>
    </row>
    <row r="150" spans="2:10">
      <c r="B150" s="88"/>
      <c r="D150" s="17"/>
      <c r="E150" s="13"/>
      <c r="F150" s="13"/>
      <c r="G150" s="13"/>
      <c r="H150" s="13"/>
      <c r="I150" s="13"/>
      <c r="J150" s="14"/>
    </row>
    <row r="151" spans="2:10">
      <c r="B151" s="88"/>
      <c r="D151" s="17"/>
      <c r="E151" s="13"/>
      <c r="F151" s="13"/>
      <c r="G151" s="13"/>
      <c r="H151" s="13"/>
      <c r="I151" s="13"/>
      <c r="J151" s="14"/>
    </row>
    <row r="152" spans="2:10">
      <c r="B152" s="88"/>
      <c r="D152" s="17"/>
      <c r="E152" s="13"/>
      <c r="F152" s="13"/>
      <c r="G152" s="13"/>
      <c r="H152" s="13"/>
      <c r="I152" s="13"/>
      <c r="J152" s="14"/>
    </row>
    <row r="153" spans="2:10">
      <c r="B153" s="88"/>
      <c r="D153" s="17"/>
      <c r="E153" s="13"/>
      <c r="F153" s="13"/>
      <c r="G153" s="13"/>
      <c r="H153" s="13"/>
      <c r="I153" s="13"/>
      <c r="J153" s="14"/>
    </row>
    <row r="154" spans="2:10">
      <c r="B154" s="88"/>
      <c r="D154" s="17"/>
      <c r="E154" s="13"/>
      <c r="F154" s="13"/>
      <c r="G154" s="13"/>
      <c r="H154" s="13"/>
      <c r="I154" s="13"/>
      <c r="J154" s="14"/>
    </row>
    <row r="155" spans="2:10">
      <c r="B155" s="88"/>
      <c r="D155" s="17"/>
      <c r="E155" s="13"/>
      <c r="F155" s="13"/>
      <c r="G155" s="13"/>
      <c r="H155" s="13"/>
      <c r="I155" s="13"/>
      <c r="J155" s="14"/>
    </row>
    <row r="156" spans="2:10">
      <c r="B156" s="88"/>
      <c r="D156" s="17"/>
      <c r="E156" s="13"/>
      <c r="F156" s="13"/>
      <c r="G156" s="13"/>
      <c r="H156" s="13"/>
      <c r="I156" s="13"/>
      <c r="J156" s="14"/>
    </row>
    <row r="157" spans="2:10">
      <c r="B157" s="88"/>
      <c r="D157" s="17"/>
      <c r="E157" s="13"/>
      <c r="F157" s="13"/>
      <c r="G157" s="13"/>
      <c r="H157" s="13"/>
      <c r="I157" s="13"/>
      <c r="J157" s="14"/>
    </row>
    <row r="158" spans="2:10">
      <c r="B158" s="88"/>
      <c r="D158" s="17"/>
      <c r="E158" s="13"/>
      <c r="F158" s="13"/>
      <c r="G158" s="13"/>
      <c r="H158" s="13"/>
      <c r="I158" s="13"/>
      <c r="J158" s="14"/>
    </row>
    <row r="159" spans="2:10">
      <c r="B159" s="88"/>
      <c r="D159" s="17"/>
      <c r="E159" s="13"/>
      <c r="F159" s="13"/>
      <c r="G159" s="13"/>
      <c r="H159" s="13"/>
      <c r="I159" s="13"/>
      <c r="J159" s="14"/>
    </row>
    <row r="160" spans="2:10">
      <c r="B160" s="88"/>
      <c r="D160" s="17"/>
      <c r="E160" s="13"/>
      <c r="F160" s="13"/>
      <c r="G160" s="13"/>
      <c r="H160" s="13"/>
      <c r="I160" s="13"/>
      <c r="J160" s="14"/>
    </row>
    <row r="161" spans="2:10">
      <c r="B161" s="88"/>
      <c r="D161" s="17"/>
      <c r="E161" s="13"/>
      <c r="F161" s="13"/>
      <c r="G161" s="13"/>
      <c r="H161" s="13"/>
      <c r="I161" s="13"/>
      <c r="J161" s="14"/>
    </row>
    <row r="162" spans="2:10">
      <c r="B162" s="88"/>
      <c r="D162" s="17"/>
      <c r="E162" s="13"/>
      <c r="F162" s="13"/>
      <c r="G162" s="13"/>
      <c r="H162" s="13"/>
      <c r="I162" s="13"/>
      <c r="J162" s="14"/>
    </row>
    <row r="163" spans="2:10">
      <c r="B163" s="88"/>
      <c r="D163" s="17"/>
      <c r="E163" s="13"/>
      <c r="F163" s="13"/>
      <c r="G163" s="13"/>
      <c r="H163" s="13"/>
      <c r="I163" s="13"/>
      <c r="J163" s="14"/>
    </row>
    <row r="164" spans="2:10">
      <c r="B164" s="88"/>
      <c r="D164" s="17"/>
      <c r="E164" s="13"/>
      <c r="F164" s="13"/>
      <c r="G164" s="13"/>
      <c r="H164" s="13"/>
      <c r="I164" s="13"/>
      <c r="J164" s="14"/>
    </row>
    <row r="165" spans="2:10">
      <c r="B165" s="88"/>
      <c r="D165" s="17"/>
      <c r="E165" s="13"/>
      <c r="F165" s="13"/>
      <c r="G165" s="13"/>
      <c r="H165" s="13"/>
      <c r="I165" s="13"/>
      <c r="J165" s="14"/>
    </row>
    <row r="166" spans="2:10">
      <c r="B166" s="88"/>
      <c r="D166" s="17"/>
      <c r="E166" s="13"/>
      <c r="F166" s="13"/>
      <c r="G166" s="13"/>
      <c r="H166" s="13"/>
      <c r="I166" s="13"/>
      <c r="J166" s="14"/>
    </row>
    <row r="167" spans="2:10">
      <c r="B167" s="88"/>
      <c r="D167" s="17"/>
      <c r="E167" s="13"/>
      <c r="F167" s="13"/>
      <c r="G167" s="13"/>
      <c r="H167" s="13"/>
      <c r="I167" s="13"/>
      <c r="J167" s="14"/>
    </row>
    <row r="168" spans="2:10">
      <c r="B168" s="88"/>
      <c r="D168" s="17"/>
      <c r="E168" s="13"/>
      <c r="F168" s="13"/>
      <c r="G168" s="13"/>
      <c r="H168" s="13"/>
      <c r="I168" s="13"/>
      <c r="J168" s="14"/>
    </row>
    <row r="169" spans="2:10">
      <c r="B169" s="88"/>
      <c r="D169" s="17"/>
      <c r="E169" s="13"/>
      <c r="F169" s="13"/>
      <c r="G169" s="13"/>
      <c r="H169" s="13"/>
      <c r="I169" s="13"/>
      <c r="J169" s="14"/>
    </row>
    <row r="170" spans="2:10">
      <c r="B170" s="88"/>
      <c r="D170" s="17"/>
      <c r="E170" s="13"/>
      <c r="F170" s="13"/>
      <c r="G170" s="13"/>
      <c r="H170" s="13"/>
      <c r="I170" s="13"/>
      <c r="J170" s="14"/>
    </row>
    <row r="171" spans="2:10">
      <c r="B171" s="88"/>
      <c r="D171" s="17"/>
      <c r="E171" s="13"/>
      <c r="F171" s="13"/>
      <c r="G171" s="13"/>
      <c r="H171" s="13"/>
      <c r="I171" s="13"/>
      <c r="J171" s="14"/>
    </row>
    <row r="172" spans="2:10">
      <c r="B172" s="88"/>
      <c r="D172" s="17"/>
      <c r="E172" s="13"/>
      <c r="F172" s="13"/>
      <c r="G172" s="13"/>
      <c r="H172" s="13"/>
      <c r="I172" s="13"/>
      <c r="J172" s="14"/>
    </row>
    <row r="173" spans="2:10">
      <c r="B173" s="88"/>
      <c r="D173" s="17"/>
      <c r="E173" s="13"/>
      <c r="F173" s="13"/>
      <c r="G173" s="13"/>
      <c r="H173" s="13"/>
      <c r="I173" s="13"/>
      <c r="J173" s="14"/>
    </row>
    <row r="174" spans="2:10">
      <c r="B174" s="88"/>
      <c r="D174" s="17"/>
      <c r="E174" s="13"/>
      <c r="F174" s="13"/>
      <c r="G174" s="13"/>
      <c r="H174" s="13"/>
      <c r="I174" s="13"/>
      <c r="J174" s="14"/>
    </row>
    <row r="175" spans="2:10">
      <c r="B175" s="88"/>
      <c r="D175" s="17"/>
      <c r="E175" s="13"/>
      <c r="F175" s="13"/>
      <c r="G175" s="13"/>
      <c r="H175" s="13"/>
      <c r="I175" s="13"/>
      <c r="J175" s="14"/>
    </row>
    <row r="176" spans="2:10">
      <c r="B176" s="88"/>
      <c r="D176" s="17"/>
      <c r="E176" s="13"/>
      <c r="F176" s="13"/>
      <c r="G176" s="13"/>
      <c r="H176" s="13"/>
      <c r="I176" s="13"/>
      <c r="J176" s="14"/>
    </row>
    <row r="177" spans="2:10">
      <c r="B177" s="88"/>
      <c r="D177" s="17"/>
      <c r="E177" s="13"/>
      <c r="F177" s="13"/>
      <c r="G177" s="13"/>
      <c r="H177" s="13"/>
      <c r="I177" s="13"/>
      <c r="J177" s="14"/>
    </row>
    <row r="178" spans="2:10">
      <c r="B178" s="88"/>
      <c r="D178" s="17"/>
      <c r="E178" s="13"/>
      <c r="F178" s="13"/>
      <c r="G178" s="13"/>
      <c r="H178" s="13"/>
      <c r="I178" s="13"/>
      <c r="J178" s="14"/>
    </row>
    <row r="179" spans="2:10">
      <c r="B179" s="88"/>
      <c r="D179" s="17"/>
      <c r="E179" s="13"/>
      <c r="F179" s="13"/>
      <c r="G179" s="13"/>
      <c r="H179" s="13"/>
      <c r="I179" s="13"/>
      <c r="J179" s="14"/>
    </row>
    <row r="180" spans="2:10">
      <c r="B180" s="88"/>
      <c r="D180" s="17"/>
      <c r="E180" s="13"/>
      <c r="F180" s="13"/>
      <c r="G180" s="13"/>
      <c r="H180" s="13"/>
      <c r="I180" s="13"/>
      <c r="J180" s="14"/>
    </row>
    <row r="181" spans="2:10">
      <c r="B181" s="88"/>
      <c r="D181" s="17"/>
      <c r="E181" s="13"/>
      <c r="F181" s="13"/>
      <c r="G181" s="13"/>
      <c r="H181" s="13"/>
      <c r="I181" s="13"/>
      <c r="J181" s="14"/>
    </row>
    <row r="182" spans="2:10">
      <c r="B182" s="88"/>
      <c r="D182" s="17"/>
      <c r="E182" s="13"/>
      <c r="F182" s="13"/>
      <c r="G182" s="13"/>
      <c r="H182" s="13"/>
      <c r="I182" s="13"/>
      <c r="J182" s="14"/>
    </row>
    <row r="183" spans="2:10">
      <c r="B183" s="88"/>
      <c r="D183" s="17"/>
      <c r="E183" s="13"/>
      <c r="F183" s="13"/>
      <c r="G183" s="13"/>
      <c r="H183" s="13"/>
      <c r="I183" s="13"/>
      <c r="J183" s="14"/>
    </row>
    <row r="184" spans="2:10">
      <c r="B184" s="88"/>
      <c r="D184" s="17"/>
      <c r="E184" s="13"/>
      <c r="F184" s="13"/>
      <c r="G184" s="13"/>
      <c r="H184" s="13"/>
      <c r="I184" s="13"/>
      <c r="J184" s="14"/>
    </row>
    <row r="185" spans="2:10">
      <c r="B185" s="88"/>
      <c r="D185" s="17"/>
      <c r="E185" s="13"/>
      <c r="F185" s="13"/>
      <c r="G185" s="13"/>
      <c r="H185" s="13"/>
      <c r="I185" s="13"/>
      <c r="J185" s="14"/>
    </row>
    <row r="186" spans="2:10">
      <c r="B186" s="88"/>
      <c r="D186" s="17"/>
      <c r="E186" s="13"/>
      <c r="F186" s="13"/>
      <c r="G186" s="13"/>
      <c r="H186" s="13"/>
      <c r="I186" s="13"/>
      <c r="J186" s="14"/>
    </row>
    <row r="187" spans="2:10">
      <c r="B187" s="88"/>
      <c r="D187" s="17"/>
      <c r="E187" s="13"/>
      <c r="F187" s="13"/>
      <c r="G187" s="13"/>
      <c r="H187" s="13"/>
      <c r="I187" s="13"/>
      <c r="J187" s="14"/>
    </row>
    <row r="188" spans="2:10">
      <c r="B188" s="88"/>
      <c r="D188" s="17"/>
      <c r="E188" s="13"/>
      <c r="F188" s="13"/>
      <c r="G188" s="13"/>
      <c r="H188" s="13"/>
      <c r="I188" s="13"/>
      <c r="J188" s="14"/>
    </row>
    <row r="189" spans="2:10">
      <c r="B189" s="88"/>
      <c r="D189" s="17"/>
      <c r="E189" s="13"/>
      <c r="F189" s="13"/>
      <c r="G189" s="13"/>
      <c r="H189" s="13"/>
      <c r="I189" s="13"/>
      <c r="J189" s="14"/>
    </row>
    <row r="190" spans="2:10">
      <c r="B190" s="88"/>
      <c r="D190" s="17"/>
      <c r="E190" s="13"/>
      <c r="F190" s="13"/>
      <c r="G190" s="13"/>
      <c r="H190" s="13"/>
      <c r="I190" s="13"/>
      <c r="J190" s="14"/>
    </row>
    <row r="191" spans="2:10">
      <c r="B191" s="88"/>
      <c r="D191" s="17"/>
      <c r="E191" s="13"/>
      <c r="F191" s="13"/>
      <c r="G191" s="13"/>
      <c r="H191" s="13"/>
      <c r="I191" s="13"/>
      <c r="J191" s="14"/>
    </row>
    <row r="192" spans="2:10">
      <c r="B192" s="88"/>
      <c r="D192" s="17"/>
      <c r="E192" s="13"/>
      <c r="F192" s="13"/>
      <c r="G192" s="13"/>
      <c r="H192" s="13"/>
      <c r="I192" s="13"/>
      <c r="J192" s="14"/>
    </row>
    <row r="193" spans="2:10">
      <c r="B193" s="88"/>
      <c r="D193" s="17"/>
      <c r="E193" s="13"/>
      <c r="F193" s="13"/>
      <c r="G193" s="13"/>
      <c r="H193" s="13"/>
      <c r="I193" s="13"/>
      <c r="J193" s="14"/>
    </row>
    <row r="194" spans="2:10">
      <c r="B194" s="88"/>
      <c r="D194" s="17"/>
      <c r="E194" s="13"/>
      <c r="F194" s="13"/>
      <c r="G194" s="13"/>
      <c r="H194" s="13"/>
      <c r="I194" s="13"/>
      <c r="J194" s="14"/>
    </row>
    <row r="195" spans="2:10">
      <c r="B195" s="88"/>
      <c r="D195" s="17"/>
      <c r="E195" s="13"/>
      <c r="F195" s="13"/>
      <c r="G195" s="13"/>
      <c r="H195" s="13"/>
      <c r="I195" s="13"/>
      <c r="J195" s="14"/>
    </row>
    <row r="196" spans="2:10">
      <c r="B196" s="88"/>
      <c r="D196" s="17"/>
      <c r="E196" s="13"/>
      <c r="F196" s="13"/>
      <c r="G196" s="13"/>
      <c r="H196" s="13"/>
      <c r="I196" s="13"/>
      <c r="J196" s="14"/>
    </row>
    <row r="197" spans="2:10">
      <c r="B197" s="88"/>
      <c r="D197" s="17"/>
      <c r="E197" s="13"/>
      <c r="F197" s="13"/>
      <c r="G197" s="13"/>
      <c r="H197" s="13"/>
      <c r="I197" s="13"/>
      <c r="J197" s="14"/>
    </row>
    <row r="198" spans="2:10">
      <c r="B198" s="88"/>
      <c r="D198" s="17"/>
      <c r="E198" s="13"/>
      <c r="F198" s="13"/>
      <c r="G198" s="13"/>
      <c r="H198" s="13"/>
      <c r="I198" s="13"/>
      <c r="J198" s="14"/>
    </row>
    <row r="199" spans="2:10">
      <c r="B199" s="88"/>
      <c r="D199" s="17"/>
      <c r="E199" s="13"/>
      <c r="F199" s="13"/>
      <c r="G199" s="13"/>
      <c r="H199" s="13"/>
      <c r="I199" s="13"/>
      <c r="J199" s="14"/>
    </row>
    <row r="200" spans="2:10">
      <c r="B200" s="88"/>
      <c r="D200" s="17"/>
      <c r="E200" s="13"/>
      <c r="F200" s="13"/>
      <c r="G200" s="13"/>
      <c r="H200" s="13"/>
      <c r="I200" s="13"/>
      <c r="J200" s="14"/>
    </row>
    <row r="201" spans="2:10">
      <c r="B201" s="88"/>
      <c r="D201" s="17"/>
      <c r="E201" s="13"/>
      <c r="F201" s="13"/>
      <c r="G201" s="13"/>
      <c r="H201" s="13"/>
      <c r="I201" s="13"/>
      <c r="J201" s="14"/>
    </row>
    <row r="202" spans="2:10">
      <c r="B202" s="88"/>
      <c r="D202" s="17"/>
      <c r="E202" s="13"/>
      <c r="F202" s="13"/>
      <c r="G202" s="13"/>
      <c r="H202" s="13"/>
      <c r="I202" s="13"/>
      <c r="J202" s="14"/>
    </row>
    <row r="203" spans="2:10">
      <c r="B203" s="88"/>
      <c r="D203" s="17"/>
      <c r="E203" s="13"/>
      <c r="F203" s="13"/>
      <c r="G203" s="13"/>
      <c r="H203" s="13"/>
      <c r="I203" s="13"/>
      <c r="J203" s="14"/>
    </row>
    <row r="204" spans="2:10">
      <c r="B204" s="88"/>
      <c r="D204" s="17"/>
      <c r="E204" s="13"/>
      <c r="F204" s="13"/>
      <c r="G204" s="13"/>
      <c r="H204" s="13"/>
      <c r="I204" s="13"/>
      <c r="J204" s="14"/>
    </row>
    <row r="205" spans="2:10">
      <c r="B205" s="88"/>
      <c r="D205" s="17"/>
      <c r="E205" s="13"/>
      <c r="F205" s="13"/>
      <c r="G205" s="13"/>
      <c r="H205" s="13"/>
      <c r="I205" s="13"/>
      <c r="J205" s="14"/>
    </row>
    <row r="206" spans="2:10">
      <c r="B206" s="88"/>
      <c r="D206" s="17"/>
      <c r="E206" s="13"/>
      <c r="F206" s="13"/>
      <c r="G206" s="13"/>
      <c r="H206" s="13"/>
      <c r="I206" s="13"/>
      <c r="J206" s="14"/>
    </row>
    <row r="207" spans="2:10">
      <c r="B207" s="88"/>
      <c r="D207" s="17"/>
      <c r="E207" s="13"/>
      <c r="F207" s="13"/>
      <c r="G207" s="13"/>
      <c r="H207" s="13"/>
      <c r="I207" s="13"/>
      <c r="J207" s="14"/>
    </row>
    <row r="208" spans="2:10">
      <c r="B208" s="88"/>
      <c r="D208" s="17"/>
      <c r="E208" s="13"/>
      <c r="F208" s="13"/>
      <c r="G208" s="13"/>
      <c r="H208" s="13"/>
      <c r="I208" s="13"/>
      <c r="J208" s="14"/>
    </row>
    <row r="209" spans="2:10">
      <c r="B209" s="88"/>
      <c r="D209" s="17"/>
      <c r="E209" s="13"/>
      <c r="F209" s="13"/>
      <c r="G209" s="13"/>
      <c r="H209" s="13"/>
      <c r="I209" s="13"/>
      <c r="J209" s="14"/>
    </row>
    <row r="210" spans="2:10">
      <c r="B210" s="88"/>
      <c r="D210" s="17"/>
      <c r="E210" s="13"/>
      <c r="F210" s="13"/>
      <c r="G210" s="13"/>
      <c r="H210" s="13"/>
      <c r="I210" s="13"/>
      <c r="J210" s="14"/>
    </row>
    <row r="211" spans="2:10">
      <c r="B211" s="88"/>
      <c r="D211" s="17"/>
      <c r="E211" s="13"/>
      <c r="F211" s="13"/>
      <c r="G211" s="13"/>
      <c r="H211" s="13"/>
      <c r="I211" s="13"/>
      <c r="J211" s="14"/>
    </row>
    <row r="212" spans="2:10">
      <c r="B212" s="88"/>
      <c r="D212" s="17"/>
      <c r="E212" s="13"/>
      <c r="F212" s="13"/>
      <c r="G212" s="13"/>
      <c r="H212" s="13"/>
      <c r="I212" s="13"/>
      <c r="J212" s="14"/>
    </row>
    <row r="213" spans="2:10">
      <c r="B213" s="88"/>
      <c r="D213" s="17"/>
      <c r="E213" s="13"/>
      <c r="F213" s="13"/>
      <c r="G213" s="13"/>
      <c r="H213" s="13"/>
      <c r="I213" s="13"/>
      <c r="J213" s="14"/>
    </row>
    <row r="214" spans="2:10">
      <c r="B214" s="88"/>
      <c r="D214" s="17"/>
      <c r="E214" s="13"/>
      <c r="F214" s="13"/>
      <c r="G214" s="13"/>
      <c r="H214" s="13"/>
      <c r="I214" s="13"/>
      <c r="J214" s="14"/>
    </row>
    <row r="215" spans="2:10">
      <c r="B215" s="88"/>
      <c r="D215" s="17"/>
      <c r="E215" s="13"/>
      <c r="F215" s="13"/>
      <c r="G215" s="13"/>
      <c r="H215" s="13"/>
      <c r="I215" s="13"/>
      <c r="J215" s="14"/>
    </row>
    <row r="216" spans="2:10">
      <c r="B216" s="88"/>
      <c r="D216" s="17"/>
      <c r="E216" s="13"/>
      <c r="F216" s="13"/>
      <c r="G216" s="13"/>
      <c r="H216" s="13"/>
      <c r="I216" s="13"/>
      <c r="J216" s="14"/>
    </row>
    <row r="217" spans="2:10">
      <c r="B217" s="88"/>
      <c r="D217" s="17"/>
      <c r="E217" s="13"/>
      <c r="F217" s="13"/>
      <c r="G217" s="13"/>
      <c r="H217" s="13"/>
      <c r="I217" s="13"/>
      <c r="J217" s="14"/>
    </row>
    <row r="218" spans="2:10">
      <c r="B218" s="88"/>
      <c r="D218" s="17"/>
      <c r="E218" s="13"/>
      <c r="F218" s="13"/>
      <c r="G218" s="13"/>
      <c r="H218" s="13"/>
      <c r="I218" s="13"/>
      <c r="J218" s="14"/>
    </row>
    <row r="219" spans="2:10">
      <c r="B219" s="88"/>
      <c r="D219" s="17"/>
      <c r="E219" s="13"/>
      <c r="F219" s="13"/>
      <c r="G219" s="13"/>
      <c r="H219" s="13"/>
      <c r="I219" s="13"/>
      <c r="J219" s="14"/>
    </row>
    <row r="220" spans="2:10">
      <c r="B220" s="88"/>
      <c r="D220" s="17"/>
      <c r="E220" s="13"/>
      <c r="F220" s="13"/>
      <c r="G220" s="13"/>
      <c r="H220" s="13"/>
      <c r="I220" s="13"/>
      <c r="J220" s="14"/>
    </row>
    <row r="221" spans="2:10">
      <c r="B221" s="88"/>
      <c r="D221" s="17"/>
      <c r="E221" s="13"/>
      <c r="F221" s="13"/>
      <c r="G221" s="13"/>
      <c r="H221" s="13"/>
      <c r="I221" s="13"/>
      <c r="J221" s="14"/>
    </row>
    <row r="222" spans="2:10">
      <c r="B222" s="88"/>
      <c r="D222" s="17"/>
      <c r="E222" s="13"/>
      <c r="F222" s="13"/>
      <c r="G222" s="13"/>
      <c r="H222" s="13"/>
      <c r="I222" s="13"/>
      <c r="J222" s="14"/>
    </row>
    <row r="223" spans="2:10">
      <c r="B223" s="88"/>
      <c r="D223" s="17"/>
      <c r="E223" s="13"/>
      <c r="F223" s="13"/>
      <c r="G223" s="13"/>
      <c r="H223" s="13"/>
      <c r="I223" s="13"/>
      <c r="J223" s="14"/>
    </row>
    <row r="224" spans="2:10">
      <c r="B224" s="88"/>
      <c r="D224" s="17"/>
      <c r="E224" s="13"/>
      <c r="F224" s="13"/>
      <c r="G224" s="13"/>
      <c r="H224" s="13"/>
      <c r="I224" s="13"/>
      <c r="J224" s="14"/>
    </row>
    <row r="225" spans="2:10">
      <c r="B225" s="88"/>
      <c r="D225" s="17"/>
      <c r="E225" s="13"/>
      <c r="F225" s="13"/>
      <c r="G225" s="13"/>
      <c r="H225" s="13"/>
      <c r="I225" s="13"/>
      <c r="J225" s="14"/>
    </row>
    <row r="226" spans="2:10">
      <c r="B226" s="88"/>
      <c r="D226" s="17"/>
      <c r="E226" s="13"/>
      <c r="F226" s="13"/>
      <c r="G226" s="13"/>
      <c r="H226" s="13"/>
      <c r="I226" s="13"/>
      <c r="J226" s="14"/>
    </row>
    <row r="227" spans="2:10">
      <c r="B227" s="88"/>
      <c r="D227" s="17"/>
      <c r="E227" s="13"/>
      <c r="F227" s="13"/>
      <c r="G227" s="13"/>
      <c r="H227" s="13"/>
      <c r="I227" s="13"/>
      <c r="J227" s="14"/>
    </row>
    <row r="228" spans="2:10">
      <c r="B228" s="88"/>
      <c r="D228" s="17"/>
      <c r="E228" s="13"/>
      <c r="F228" s="13"/>
      <c r="G228" s="13"/>
      <c r="H228" s="13"/>
      <c r="I228" s="13"/>
      <c r="J228" s="14"/>
    </row>
    <row r="229" spans="2:10">
      <c r="B229" s="88"/>
      <c r="D229" s="17"/>
      <c r="E229" s="13"/>
      <c r="F229" s="13"/>
      <c r="G229" s="13"/>
      <c r="H229" s="13"/>
      <c r="I229" s="13"/>
      <c r="J229" s="14"/>
    </row>
    <row r="230" spans="2:10">
      <c r="B230" s="88"/>
      <c r="D230" s="17"/>
      <c r="E230" s="13"/>
      <c r="F230" s="13"/>
      <c r="G230" s="13"/>
      <c r="H230" s="13"/>
      <c r="I230" s="13"/>
      <c r="J230" s="14"/>
    </row>
    <row r="231" spans="2:10">
      <c r="B231" s="88"/>
      <c r="D231" s="17"/>
      <c r="E231" s="13"/>
      <c r="F231" s="13"/>
      <c r="G231" s="13"/>
      <c r="H231" s="13"/>
      <c r="I231" s="13"/>
      <c r="J231" s="14"/>
    </row>
    <row r="232" spans="2:10">
      <c r="B232" s="88"/>
      <c r="D232" s="17"/>
      <c r="E232" s="13"/>
      <c r="F232" s="13"/>
      <c r="G232" s="13"/>
      <c r="H232" s="13"/>
      <c r="I232" s="13"/>
      <c r="J232" s="14"/>
    </row>
    <row r="233" spans="2:10">
      <c r="B233" s="88"/>
      <c r="D233" s="17"/>
      <c r="E233" s="13"/>
      <c r="F233" s="13"/>
      <c r="G233" s="13"/>
      <c r="H233" s="13"/>
      <c r="I233" s="13"/>
      <c r="J233" s="14"/>
    </row>
    <row r="234" spans="2:10">
      <c r="B234" s="88"/>
      <c r="D234" s="17"/>
      <c r="E234" s="13"/>
      <c r="F234" s="13"/>
      <c r="G234" s="13"/>
      <c r="H234" s="13"/>
      <c r="I234" s="13"/>
      <c r="J234" s="14"/>
    </row>
    <row r="235" spans="2:10">
      <c r="B235" s="88"/>
      <c r="D235" s="17"/>
      <c r="E235" s="13"/>
      <c r="F235" s="13"/>
      <c r="G235" s="13"/>
      <c r="H235" s="13"/>
      <c r="I235" s="13"/>
      <c r="J235" s="14"/>
    </row>
    <row r="236" spans="2:10">
      <c r="B236" s="88"/>
      <c r="D236" s="17"/>
      <c r="E236" s="13"/>
      <c r="F236" s="13"/>
      <c r="G236" s="13"/>
      <c r="H236" s="13"/>
      <c r="I236" s="13"/>
      <c r="J236" s="14"/>
    </row>
    <row r="237" spans="2:10">
      <c r="B237" s="88"/>
      <c r="D237" s="17"/>
      <c r="E237" s="13"/>
      <c r="F237" s="13"/>
      <c r="G237" s="13"/>
      <c r="H237" s="13"/>
      <c r="I237" s="13"/>
      <c r="J237" s="14"/>
    </row>
    <row r="238" spans="2:10">
      <c r="B238" s="88"/>
      <c r="D238" s="17"/>
      <c r="E238" s="13"/>
      <c r="F238" s="13"/>
      <c r="G238" s="13"/>
      <c r="H238" s="13"/>
      <c r="I238" s="13"/>
      <c r="J238" s="14"/>
    </row>
    <row r="239" spans="2:10">
      <c r="B239" s="88"/>
      <c r="D239" s="17"/>
      <c r="E239" s="13"/>
      <c r="F239" s="13"/>
      <c r="G239" s="13"/>
      <c r="H239" s="13"/>
      <c r="I239" s="13"/>
      <c r="J239" s="14"/>
    </row>
    <row r="240" spans="2:10">
      <c r="B240" s="88"/>
      <c r="D240" s="17"/>
      <c r="E240" s="13"/>
      <c r="F240" s="13"/>
      <c r="G240" s="13"/>
      <c r="H240" s="13"/>
      <c r="I240" s="13"/>
      <c r="J240" s="14"/>
    </row>
    <row r="241" spans="2:10">
      <c r="B241" s="88"/>
      <c r="D241" s="17"/>
      <c r="E241" s="13"/>
      <c r="F241" s="13"/>
      <c r="G241" s="13"/>
      <c r="H241" s="13"/>
      <c r="I241" s="13"/>
      <c r="J241" s="14"/>
    </row>
    <row r="242" spans="2:10">
      <c r="B242" s="88"/>
      <c r="D242" s="17"/>
      <c r="E242" s="13"/>
      <c r="F242" s="13"/>
      <c r="G242" s="13"/>
      <c r="H242" s="13"/>
      <c r="I242" s="13"/>
      <c r="J242" s="14"/>
    </row>
    <row r="243" spans="2:10">
      <c r="B243" s="88"/>
      <c r="D243" s="17"/>
      <c r="E243" s="13"/>
      <c r="F243" s="13"/>
      <c r="G243" s="13"/>
      <c r="H243" s="13"/>
      <c r="I243" s="13"/>
      <c r="J243" s="14"/>
    </row>
    <row r="244" spans="2:10">
      <c r="B244" s="88"/>
      <c r="D244" s="17"/>
      <c r="E244" s="13"/>
      <c r="F244" s="13"/>
      <c r="G244" s="13"/>
      <c r="H244" s="13"/>
      <c r="I244" s="13"/>
      <c r="J244" s="14"/>
    </row>
    <row r="245" spans="2:10">
      <c r="B245" s="88"/>
      <c r="D245" s="17"/>
      <c r="E245" s="13"/>
      <c r="F245" s="13"/>
      <c r="G245" s="13"/>
      <c r="H245" s="13"/>
      <c r="I245" s="13"/>
      <c r="J245" s="14"/>
    </row>
    <row r="246" spans="2:10">
      <c r="B246" s="88"/>
      <c r="D246" s="17"/>
      <c r="E246" s="13"/>
      <c r="F246" s="13"/>
      <c r="G246" s="13"/>
      <c r="H246" s="13"/>
      <c r="I246" s="13"/>
      <c r="J246" s="14"/>
    </row>
    <row r="247" spans="2:10">
      <c r="B247" s="88"/>
      <c r="D247" s="17"/>
      <c r="E247" s="13"/>
      <c r="F247" s="13"/>
      <c r="G247" s="13"/>
      <c r="H247" s="13"/>
      <c r="I247" s="13"/>
      <c r="J247" s="14"/>
    </row>
    <row r="248" spans="2:10">
      <c r="B248" s="88"/>
      <c r="D248" s="17"/>
      <c r="E248" s="13"/>
      <c r="F248" s="13"/>
      <c r="G248" s="13"/>
      <c r="H248" s="13"/>
      <c r="I248" s="13"/>
      <c r="J248" s="14"/>
    </row>
    <row r="249" spans="2:10">
      <c r="B249" s="88"/>
      <c r="D249" s="17"/>
      <c r="E249" s="13"/>
      <c r="F249" s="13"/>
      <c r="G249" s="13"/>
      <c r="H249" s="13"/>
      <c r="I249" s="13"/>
      <c r="J249" s="14"/>
    </row>
    <row r="250" spans="2:10">
      <c r="B250" s="88"/>
      <c r="D250" s="17"/>
      <c r="E250" s="13"/>
      <c r="F250" s="13"/>
      <c r="G250" s="13"/>
      <c r="H250" s="13"/>
      <c r="I250" s="13"/>
      <c r="J250" s="14"/>
    </row>
    <row r="251" spans="2:10">
      <c r="B251" s="88"/>
      <c r="D251" s="17"/>
      <c r="E251" s="13"/>
      <c r="F251" s="13"/>
      <c r="G251" s="13"/>
      <c r="H251" s="13"/>
      <c r="I251" s="13"/>
      <c r="J251" s="14"/>
    </row>
    <row r="252" spans="2:10">
      <c r="B252" s="88"/>
      <c r="D252" s="17"/>
      <c r="E252" s="13"/>
      <c r="F252" s="13"/>
      <c r="G252" s="13"/>
      <c r="H252" s="13"/>
      <c r="I252" s="13"/>
      <c r="J252" s="14"/>
    </row>
    <row r="253" spans="2:10">
      <c r="B253" s="88"/>
      <c r="D253" s="17"/>
      <c r="E253" s="13"/>
      <c r="F253" s="13"/>
      <c r="G253" s="13"/>
      <c r="H253" s="13"/>
      <c r="I253" s="13"/>
      <c r="J253" s="14"/>
    </row>
    <row r="254" spans="2:10">
      <c r="B254" s="88"/>
      <c r="D254" s="17"/>
      <c r="E254" s="13"/>
      <c r="F254" s="13"/>
      <c r="G254" s="13"/>
      <c r="H254" s="13"/>
      <c r="I254" s="13"/>
      <c r="J254" s="14"/>
    </row>
    <row r="255" spans="2:10">
      <c r="B255" s="88"/>
      <c r="D255" s="17"/>
      <c r="E255" s="13"/>
      <c r="F255" s="13"/>
      <c r="G255" s="13"/>
      <c r="H255" s="13"/>
      <c r="I255" s="13"/>
      <c r="J255" s="14"/>
    </row>
    <row r="256" spans="2:10">
      <c r="B256" s="88"/>
      <c r="D256" s="17"/>
      <c r="E256" s="13"/>
      <c r="F256" s="13"/>
      <c r="G256" s="13"/>
      <c r="H256" s="13"/>
      <c r="I256" s="13"/>
      <c r="J256" s="14"/>
    </row>
    <row r="257" spans="2:10">
      <c r="B257" s="88"/>
      <c r="D257" s="17"/>
      <c r="E257" s="13"/>
      <c r="F257" s="13"/>
      <c r="G257" s="13"/>
      <c r="H257" s="13"/>
      <c r="I257" s="13"/>
      <c r="J257" s="14"/>
    </row>
    <row r="258" spans="2:10">
      <c r="B258" s="88"/>
      <c r="D258" s="17"/>
      <c r="E258" s="13"/>
      <c r="F258" s="13"/>
      <c r="G258" s="13"/>
      <c r="H258" s="13"/>
      <c r="I258" s="13"/>
      <c r="J258" s="14"/>
    </row>
    <row r="259" spans="2:10">
      <c r="B259" s="88"/>
      <c r="D259" s="17"/>
      <c r="E259" s="13"/>
      <c r="F259" s="13"/>
      <c r="G259" s="13"/>
      <c r="H259" s="13"/>
      <c r="I259" s="13"/>
      <c r="J259" s="14"/>
    </row>
    <row r="260" spans="2:10">
      <c r="B260" s="88"/>
      <c r="D260" s="17"/>
      <c r="E260" s="13"/>
      <c r="F260" s="13"/>
      <c r="G260" s="13"/>
      <c r="H260" s="13"/>
      <c r="I260" s="13"/>
      <c r="J260" s="14"/>
    </row>
    <row r="261" spans="2:10">
      <c r="B261" s="88"/>
      <c r="D261" s="17"/>
      <c r="E261" s="13"/>
      <c r="F261" s="13"/>
      <c r="G261" s="13"/>
      <c r="H261" s="13"/>
      <c r="I261" s="13"/>
      <c r="J261" s="14"/>
    </row>
    <row r="262" spans="2:10">
      <c r="B262" s="88"/>
      <c r="D262" s="17"/>
      <c r="E262" s="13"/>
      <c r="F262" s="13"/>
      <c r="G262" s="13"/>
      <c r="H262" s="13"/>
      <c r="I262" s="13"/>
      <c r="J262" s="14"/>
    </row>
    <row r="263" spans="2:10">
      <c r="B263" s="88"/>
      <c r="D263" s="17"/>
      <c r="E263" s="13"/>
      <c r="F263" s="13"/>
      <c r="G263" s="13"/>
      <c r="H263" s="13"/>
      <c r="I263" s="13"/>
      <c r="J263" s="14"/>
    </row>
    <row r="264" spans="2:10">
      <c r="B264" s="88"/>
      <c r="D264" s="17"/>
      <c r="E264" s="13"/>
      <c r="F264" s="13"/>
      <c r="G264" s="13"/>
      <c r="H264" s="13"/>
      <c r="I264" s="13"/>
      <c r="J264" s="14"/>
    </row>
    <row r="265" spans="2:10">
      <c r="B265" s="88"/>
      <c r="D265" s="17"/>
      <c r="E265" s="13"/>
      <c r="F265" s="13"/>
      <c r="G265" s="13"/>
      <c r="H265" s="13"/>
      <c r="I265" s="13"/>
      <c r="J265" s="14"/>
    </row>
    <row r="266" spans="2:10">
      <c r="B266" s="88"/>
      <c r="D266" s="17"/>
      <c r="E266" s="13"/>
      <c r="F266" s="13"/>
      <c r="G266" s="13"/>
      <c r="H266" s="13"/>
      <c r="I266" s="13"/>
      <c r="J266" s="14"/>
    </row>
    <row r="267" spans="2:10">
      <c r="B267" s="88"/>
      <c r="D267" s="17"/>
      <c r="E267" s="13"/>
      <c r="F267" s="13"/>
      <c r="G267" s="13"/>
      <c r="H267" s="13"/>
      <c r="I267" s="13"/>
      <c r="J267" s="14"/>
    </row>
    <row r="268" spans="2:10">
      <c r="B268" s="88"/>
      <c r="D268" s="17"/>
      <c r="E268" s="13"/>
      <c r="F268" s="13"/>
      <c r="G268" s="13"/>
      <c r="H268" s="13"/>
      <c r="I268" s="13"/>
      <c r="J268" s="14"/>
    </row>
    <row r="269" spans="2:10">
      <c r="B269" s="88"/>
      <c r="D269" s="17"/>
      <c r="E269" s="13"/>
      <c r="F269" s="13"/>
      <c r="G269" s="13"/>
      <c r="H269" s="13"/>
      <c r="I269" s="13"/>
      <c r="J269" s="14"/>
    </row>
    <row r="270" spans="2:10">
      <c r="B270" s="88"/>
      <c r="D270" s="17"/>
      <c r="E270" s="13"/>
      <c r="F270" s="13"/>
      <c r="G270" s="13"/>
      <c r="H270" s="13"/>
      <c r="I270" s="13"/>
      <c r="J270" s="14"/>
    </row>
    <row r="271" spans="2:10">
      <c r="B271" s="88"/>
      <c r="D271" s="17"/>
      <c r="E271" s="13"/>
      <c r="F271" s="13"/>
      <c r="G271" s="13"/>
      <c r="H271" s="13"/>
      <c r="I271" s="13"/>
      <c r="J271" s="14"/>
    </row>
    <row r="272" spans="2:10">
      <c r="B272" s="88"/>
      <c r="D272" s="17"/>
      <c r="E272" s="13"/>
      <c r="F272" s="13"/>
      <c r="G272" s="13"/>
      <c r="H272" s="13"/>
      <c r="I272" s="13"/>
      <c r="J272" s="14"/>
    </row>
    <row r="273" spans="2:10">
      <c r="B273" s="88"/>
      <c r="D273" s="17"/>
      <c r="E273" s="13"/>
      <c r="F273" s="13"/>
      <c r="G273" s="13"/>
      <c r="H273" s="13"/>
      <c r="I273" s="13"/>
      <c r="J273" s="14"/>
    </row>
    <row r="274" spans="2:10">
      <c r="B274" s="88"/>
      <c r="D274" s="17"/>
      <c r="E274" s="13"/>
      <c r="F274" s="13"/>
      <c r="G274" s="13"/>
      <c r="H274" s="13"/>
      <c r="I274" s="13"/>
      <c r="J274" s="14"/>
    </row>
    <row r="275" spans="2:10">
      <c r="B275" s="88"/>
      <c r="D275" s="17"/>
      <c r="E275" s="13"/>
      <c r="F275" s="13"/>
      <c r="G275" s="13"/>
      <c r="H275" s="13"/>
      <c r="I275" s="13"/>
      <c r="J275" s="14"/>
    </row>
    <row r="276" spans="2:10">
      <c r="B276" s="88"/>
      <c r="D276" s="17"/>
      <c r="E276" s="13"/>
      <c r="F276" s="13"/>
      <c r="G276" s="13"/>
      <c r="H276" s="13"/>
      <c r="I276" s="13"/>
      <c r="J276" s="14"/>
    </row>
    <row r="277" spans="2:10">
      <c r="B277" s="88"/>
      <c r="D277" s="17"/>
      <c r="E277" s="13"/>
      <c r="F277" s="13"/>
      <c r="G277" s="13"/>
      <c r="H277" s="13"/>
      <c r="I277" s="13"/>
      <c r="J277" s="14"/>
    </row>
    <row r="278" spans="2:10">
      <c r="B278" s="88"/>
      <c r="D278" s="17"/>
      <c r="E278" s="13"/>
      <c r="F278" s="13"/>
      <c r="G278" s="13"/>
      <c r="H278" s="13"/>
      <c r="I278" s="13"/>
      <c r="J278" s="14"/>
    </row>
    <row r="279" spans="2:10">
      <c r="B279" s="88"/>
      <c r="D279" s="17"/>
      <c r="E279" s="13"/>
      <c r="F279" s="13"/>
      <c r="G279" s="13"/>
      <c r="H279" s="13"/>
      <c r="I279" s="13"/>
      <c r="J279" s="14"/>
    </row>
    <row r="280" spans="2:10">
      <c r="B280" s="88"/>
      <c r="D280" s="17"/>
      <c r="E280" s="13"/>
      <c r="F280" s="13"/>
      <c r="G280" s="13"/>
      <c r="H280" s="13"/>
      <c r="I280" s="13"/>
      <c r="J280" s="14"/>
    </row>
    <row r="281" spans="2:10">
      <c r="B281" s="88"/>
      <c r="D281" s="17"/>
      <c r="E281" s="13"/>
      <c r="F281" s="13"/>
      <c r="G281" s="13"/>
      <c r="H281" s="13"/>
      <c r="I281" s="13"/>
      <c r="J281" s="14"/>
    </row>
    <row r="282" spans="2:10">
      <c r="B282" s="88"/>
      <c r="D282" s="17"/>
      <c r="E282" s="13"/>
      <c r="F282" s="13"/>
      <c r="G282" s="13"/>
      <c r="H282" s="13"/>
      <c r="I282" s="13"/>
      <c r="J282" s="14"/>
    </row>
    <row r="283" spans="2:10">
      <c r="B283" s="88"/>
      <c r="D283" s="17"/>
      <c r="E283" s="13"/>
      <c r="F283" s="13"/>
      <c r="G283" s="13"/>
      <c r="H283" s="13"/>
      <c r="I283" s="13"/>
      <c r="J283" s="14"/>
    </row>
    <row r="284" spans="2:10">
      <c r="B284" s="88"/>
      <c r="D284" s="17"/>
      <c r="E284" s="13"/>
      <c r="F284" s="13"/>
      <c r="G284" s="13"/>
      <c r="H284" s="13"/>
      <c r="I284" s="13"/>
      <c r="J284" s="14"/>
    </row>
    <row r="285" spans="2:10">
      <c r="B285" s="88"/>
      <c r="D285" s="17"/>
      <c r="E285" s="13"/>
      <c r="F285" s="13"/>
      <c r="G285" s="13"/>
      <c r="H285" s="13"/>
      <c r="I285" s="13"/>
      <c r="J285" s="14"/>
    </row>
    <row r="286" spans="2:10">
      <c r="B286" s="88"/>
      <c r="D286" s="17"/>
      <c r="E286" s="13"/>
      <c r="F286" s="13"/>
      <c r="G286" s="13"/>
      <c r="H286" s="13"/>
      <c r="I286" s="13"/>
      <c r="J286" s="14"/>
    </row>
    <row r="287" spans="2:10">
      <c r="B287" s="88"/>
      <c r="D287" s="17"/>
      <c r="E287" s="13"/>
      <c r="F287" s="13"/>
      <c r="G287" s="13"/>
      <c r="H287" s="13"/>
      <c r="I287" s="13"/>
      <c r="J287" s="14"/>
    </row>
    <row r="288" spans="2:10">
      <c r="B288" s="88"/>
      <c r="D288" s="17"/>
      <c r="E288" s="13"/>
      <c r="F288" s="13"/>
      <c r="G288" s="13"/>
      <c r="H288" s="13"/>
      <c r="I288" s="13"/>
      <c r="J288" s="14"/>
    </row>
    <row r="289" spans="2:10">
      <c r="B289" s="88"/>
      <c r="D289" s="17"/>
      <c r="E289" s="13"/>
      <c r="F289" s="13"/>
      <c r="G289" s="13"/>
      <c r="H289" s="13"/>
      <c r="I289" s="13"/>
      <c r="J289" s="14"/>
    </row>
    <row r="290" spans="2:10">
      <c r="B290" s="88"/>
      <c r="D290" s="17"/>
      <c r="E290" s="13"/>
      <c r="F290" s="13"/>
      <c r="G290" s="13"/>
      <c r="H290" s="13"/>
      <c r="I290" s="13"/>
      <c r="J290" s="14"/>
    </row>
    <row r="291" spans="2:10">
      <c r="B291" s="88"/>
      <c r="D291" s="17"/>
      <c r="E291" s="13"/>
      <c r="F291" s="13"/>
      <c r="G291" s="13"/>
      <c r="H291" s="13"/>
      <c r="I291" s="13"/>
      <c r="J291" s="14"/>
    </row>
    <row r="292" spans="2:10">
      <c r="B292" s="88"/>
      <c r="D292" s="17"/>
      <c r="E292" s="13"/>
      <c r="F292" s="13"/>
      <c r="G292" s="13"/>
      <c r="H292" s="13"/>
      <c r="I292" s="13"/>
      <c r="J292" s="14"/>
    </row>
    <row r="293" spans="2:10">
      <c r="B293" s="88"/>
      <c r="D293" s="17"/>
      <c r="E293" s="13"/>
      <c r="F293" s="13"/>
      <c r="G293" s="13"/>
      <c r="H293" s="13"/>
      <c r="I293" s="13"/>
      <c r="J293" s="14"/>
    </row>
    <row r="294" spans="2:10">
      <c r="B294" s="88"/>
      <c r="D294" s="17"/>
      <c r="E294" s="13"/>
      <c r="F294" s="13"/>
      <c r="G294" s="13"/>
      <c r="H294" s="13"/>
      <c r="I294" s="13"/>
      <c r="J294" s="14"/>
    </row>
    <row r="295" spans="2:10">
      <c r="B295" s="88"/>
      <c r="D295" s="17"/>
      <c r="E295" s="13"/>
      <c r="F295" s="13"/>
      <c r="G295" s="13"/>
      <c r="H295" s="13"/>
      <c r="I295" s="13"/>
      <c r="J295" s="14"/>
    </row>
    <row r="296" spans="2:10">
      <c r="B296" s="88"/>
      <c r="D296" s="17"/>
      <c r="E296" s="13"/>
      <c r="F296" s="13"/>
      <c r="G296" s="13"/>
      <c r="H296" s="13"/>
      <c r="I296" s="13"/>
      <c r="J296" s="14"/>
    </row>
    <row r="297" spans="2:10">
      <c r="B297" s="88"/>
      <c r="D297" s="17"/>
      <c r="E297" s="13"/>
      <c r="F297" s="13"/>
      <c r="G297" s="13"/>
      <c r="H297" s="13"/>
      <c r="I297" s="13"/>
      <c r="J297" s="14"/>
    </row>
    <row r="298" spans="2:10">
      <c r="B298" s="88"/>
      <c r="D298" s="17"/>
      <c r="E298" s="13"/>
      <c r="F298" s="13"/>
      <c r="G298" s="13"/>
      <c r="H298" s="13"/>
      <c r="I298" s="13"/>
      <c r="J298" s="14"/>
    </row>
    <row r="299" spans="2:10">
      <c r="B299" s="88"/>
      <c r="D299" s="17"/>
      <c r="E299" s="13"/>
      <c r="F299" s="13"/>
      <c r="G299" s="13"/>
      <c r="H299" s="13"/>
      <c r="I299" s="13"/>
      <c r="J299" s="14"/>
    </row>
    <row r="300" spans="2:10">
      <c r="B300" s="88"/>
      <c r="D300" s="17"/>
      <c r="E300" s="13"/>
      <c r="F300" s="13"/>
      <c r="G300" s="13"/>
      <c r="H300" s="13"/>
      <c r="I300" s="13"/>
      <c r="J300" s="14"/>
    </row>
    <row r="301" spans="2:10">
      <c r="B301" s="88"/>
      <c r="D301" s="17"/>
      <c r="E301" s="13"/>
      <c r="F301" s="13"/>
      <c r="G301" s="13"/>
      <c r="H301" s="13"/>
      <c r="I301" s="13"/>
      <c r="J301" s="14"/>
    </row>
    <row r="302" spans="2:10">
      <c r="B302" s="88"/>
      <c r="D302" s="17"/>
      <c r="E302" s="13"/>
      <c r="F302" s="13"/>
      <c r="G302" s="13"/>
      <c r="H302" s="13"/>
      <c r="I302" s="13"/>
      <c r="J302" s="14"/>
    </row>
    <row r="303" spans="2:10">
      <c r="B303" s="88"/>
      <c r="D303" s="17"/>
      <c r="E303" s="13"/>
      <c r="F303" s="13"/>
      <c r="G303" s="13"/>
      <c r="H303" s="13"/>
      <c r="I303" s="13"/>
      <c r="J303" s="14"/>
    </row>
    <row r="304" spans="2:10">
      <c r="B304" s="88"/>
      <c r="D304" s="17"/>
      <c r="E304" s="13"/>
      <c r="F304" s="13"/>
      <c r="G304" s="13"/>
      <c r="H304" s="13"/>
      <c r="I304" s="13"/>
      <c r="J304" s="14"/>
    </row>
    <row r="305" spans="2:10">
      <c r="B305" s="88"/>
      <c r="D305" s="17"/>
      <c r="E305" s="13"/>
      <c r="F305" s="13"/>
      <c r="G305" s="13"/>
      <c r="H305" s="13"/>
      <c r="I305" s="13"/>
      <c r="J305" s="14"/>
    </row>
    <row r="306" spans="2:10">
      <c r="B306" s="88"/>
      <c r="D306" s="17"/>
      <c r="E306" s="13"/>
      <c r="F306" s="13"/>
      <c r="G306" s="13"/>
      <c r="H306" s="13"/>
      <c r="I306" s="13"/>
      <c r="J306" s="14"/>
    </row>
    <row r="307" spans="2:10">
      <c r="B307" s="88"/>
      <c r="D307" s="17"/>
      <c r="E307" s="13"/>
      <c r="F307" s="13"/>
      <c r="G307" s="13"/>
      <c r="H307" s="13"/>
      <c r="I307" s="13"/>
      <c r="J307" s="14"/>
    </row>
    <row r="308" spans="2:10">
      <c r="B308" s="88"/>
      <c r="D308" s="17"/>
      <c r="E308" s="13"/>
      <c r="F308" s="13"/>
      <c r="G308" s="13"/>
      <c r="H308" s="13"/>
      <c r="I308" s="13"/>
      <c r="J308" s="14"/>
    </row>
    <row r="309" spans="2:10">
      <c r="B309" s="88"/>
      <c r="D309" s="17"/>
      <c r="E309" s="13"/>
      <c r="F309" s="13"/>
      <c r="G309" s="13"/>
      <c r="H309" s="13"/>
      <c r="I309" s="13"/>
      <c r="J309" s="14"/>
    </row>
    <row r="310" spans="2:10">
      <c r="B310" s="88"/>
      <c r="D310" s="17"/>
      <c r="E310" s="13"/>
      <c r="F310" s="13"/>
      <c r="G310" s="13"/>
      <c r="H310" s="13"/>
      <c r="I310" s="13"/>
      <c r="J310" s="14"/>
    </row>
    <row r="311" spans="2:10">
      <c r="B311" s="88"/>
      <c r="D311" s="17"/>
      <c r="E311" s="13"/>
      <c r="F311" s="13"/>
      <c r="G311" s="13"/>
      <c r="H311" s="13"/>
      <c r="I311" s="13"/>
      <c r="J311" s="14"/>
    </row>
    <row r="312" spans="2:10">
      <c r="B312" s="88"/>
      <c r="D312" s="17"/>
      <c r="E312" s="13"/>
      <c r="F312" s="13"/>
      <c r="G312" s="13"/>
      <c r="H312" s="13"/>
      <c r="I312" s="13"/>
      <c r="J312" s="14"/>
    </row>
    <row r="313" spans="2:10">
      <c r="B313" s="88"/>
      <c r="D313" s="17"/>
      <c r="E313" s="13"/>
      <c r="F313" s="13"/>
      <c r="G313" s="13"/>
      <c r="H313" s="13"/>
      <c r="I313" s="13"/>
      <c r="J313" s="14"/>
    </row>
    <row r="314" spans="2:10">
      <c r="B314" s="88"/>
      <c r="D314" s="17"/>
      <c r="E314" s="13"/>
      <c r="F314" s="13"/>
      <c r="G314" s="13"/>
      <c r="H314" s="13"/>
      <c r="I314" s="13"/>
      <c r="J314" s="14"/>
    </row>
    <row r="315" spans="2:10">
      <c r="B315" s="88"/>
      <c r="D315" s="17"/>
      <c r="E315" s="13"/>
      <c r="F315" s="13"/>
      <c r="G315" s="13"/>
      <c r="H315" s="13"/>
      <c r="I315" s="13"/>
      <c r="J315" s="14"/>
    </row>
    <row r="316" spans="2:10">
      <c r="B316" s="88"/>
      <c r="D316" s="17"/>
      <c r="E316" s="13"/>
      <c r="F316" s="13"/>
      <c r="G316" s="13"/>
      <c r="H316" s="13"/>
      <c r="I316" s="13"/>
      <c r="J316" s="14"/>
    </row>
    <row r="317" spans="2:10">
      <c r="B317" s="88"/>
      <c r="D317" s="17"/>
      <c r="E317" s="13"/>
      <c r="F317" s="13"/>
      <c r="G317" s="13"/>
      <c r="H317" s="13"/>
      <c r="I317" s="13"/>
      <c r="J317" s="14"/>
    </row>
    <row r="318" spans="2:10">
      <c r="B318" s="88"/>
      <c r="D318" s="17"/>
      <c r="E318" s="13"/>
      <c r="F318" s="13"/>
      <c r="G318" s="13"/>
      <c r="H318" s="13"/>
      <c r="I318" s="13"/>
      <c r="J318" s="14"/>
    </row>
    <row r="319" spans="2:10">
      <c r="B319" s="88"/>
      <c r="D319" s="17"/>
      <c r="E319" s="13"/>
      <c r="F319" s="13"/>
      <c r="G319" s="13"/>
      <c r="H319" s="13"/>
      <c r="I319" s="13"/>
      <c r="J319" s="14"/>
    </row>
    <row r="320" spans="2:10">
      <c r="B320" s="88"/>
      <c r="D320" s="17"/>
      <c r="E320" s="13"/>
      <c r="F320" s="13"/>
      <c r="G320" s="13"/>
      <c r="H320" s="13"/>
      <c r="I320" s="13"/>
      <c r="J320" s="14"/>
    </row>
    <row r="321" spans="2:10">
      <c r="B321" s="88"/>
      <c r="D321" s="17"/>
      <c r="E321" s="13"/>
      <c r="F321" s="13"/>
      <c r="G321" s="13"/>
      <c r="H321" s="13"/>
      <c r="I321" s="13"/>
      <c r="J321" s="14"/>
    </row>
    <row r="322" spans="2:10">
      <c r="B322" s="88"/>
      <c r="D322" s="17"/>
      <c r="E322" s="13"/>
      <c r="F322" s="13"/>
      <c r="G322" s="13"/>
      <c r="H322" s="13"/>
      <c r="I322" s="13"/>
      <c r="J322" s="14"/>
    </row>
    <row r="323" spans="2:10">
      <c r="B323" s="88"/>
      <c r="D323" s="17"/>
      <c r="E323" s="13"/>
      <c r="F323" s="13"/>
      <c r="G323" s="13"/>
      <c r="H323" s="13"/>
      <c r="I323" s="13"/>
      <c r="J323" s="14"/>
    </row>
    <row r="324" spans="2:10">
      <c r="B324" s="88"/>
      <c r="D324" s="17"/>
      <c r="E324" s="13"/>
      <c r="F324" s="13"/>
      <c r="G324" s="13"/>
      <c r="H324" s="13"/>
      <c r="I324" s="13"/>
      <c r="J324" s="14"/>
    </row>
    <row r="325" spans="2:10">
      <c r="B325" s="88"/>
      <c r="D325" s="17"/>
      <c r="E325" s="13"/>
      <c r="F325" s="13"/>
      <c r="G325" s="13"/>
      <c r="H325" s="13"/>
      <c r="I325" s="13"/>
      <c r="J325" s="14"/>
    </row>
    <row r="326" spans="2:10">
      <c r="B326" s="88"/>
      <c r="D326" s="17"/>
      <c r="E326" s="13"/>
      <c r="F326" s="13"/>
      <c r="G326" s="13"/>
      <c r="H326" s="13"/>
      <c r="I326" s="13"/>
      <c r="J326" s="14"/>
    </row>
    <row r="327" spans="2:10">
      <c r="B327" s="88"/>
      <c r="D327" s="17"/>
      <c r="E327" s="13"/>
      <c r="F327" s="13"/>
      <c r="G327" s="13"/>
      <c r="H327" s="13"/>
      <c r="I327" s="13"/>
      <c r="J327" s="14"/>
    </row>
    <row r="328" spans="2:10">
      <c r="B328" s="88"/>
      <c r="D328" s="17"/>
      <c r="E328" s="13"/>
      <c r="F328" s="13"/>
      <c r="G328" s="13"/>
      <c r="H328" s="13"/>
      <c r="I328" s="13"/>
      <c r="J328" s="14"/>
    </row>
    <row r="329" spans="2:10">
      <c r="B329" s="88"/>
      <c r="D329" s="17"/>
      <c r="E329" s="13"/>
      <c r="F329" s="13"/>
      <c r="G329" s="13"/>
      <c r="H329" s="13"/>
      <c r="I329" s="13"/>
      <c r="J329" s="14"/>
    </row>
    <row r="330" spans="2:10">
      <c r="B330" s="88"/>
      <c r="D330" s="17"/>
      <c r="E330" s="13"/>
      <c r="F330" s="13"/>
      <c r="G330" s="13"/>
      <c r="H330" s="13"/>
      <c r="I330" s="13"/>
      <c r="J330" s="14"/>
    </row>
    <row r="331" spans="2:10">
      <c r="B331" s="88"/>
      <c r="D331" s="17"/>
      <c r="E331" s="13"/>
      <c r="F331" s="13"/>
      <c r="G331" s="13"/>
      <c r="H331" s="13"/>
      <c r="I331" s="13"/>
      <c r="J331" s="14"/>
    </row>
    <row r="332" spans="2:10">
      <c r="B332" s="88"/>
      <c r="D332" s="17"/>
      <c r="E332" s="13"/>
      <c r="F332" s="13"/>
      <c r="G332" s="13"/>
      <c r="H332" s="13"/>
      <c r="I332" s="13"/>
      <c r="J332" s="14"/>
    </row>
    <row r="333" spans="2:10">
      <c r="B333" s="88"/>
      <c r="D333" s="17"/>
      <c r="E333" s="13"/>
      <c r="F333" s="13"/>
      <c r="G333" s="13"/>
      <c r="H333" s="13"/>
      <c r="I333" s="13"/>
      <c r="J333" s="14"/>
    </row>
    <row r="334" spans="2:10">
      <c r="B334" s="88"/>
      <c r="D334" s="17"/>
      <c r="E334" s="13"/>
      <c r="F334" s="13"/>
      <c r="G334" s="13"/>
      <c r="H334" s="13"/>
      <c r="I334" s="13"/>
      <c r="J334" s="14"/>
    </row>
    <row r="335" spans="2:10">
      <c r="B335" s="88"/>
      <c r="D335" s="17"/>
      <c r="E335" s="13"/>
      <c r="F335" s="13"/>
      <c r="G335" s="13"/>
      <c r="H335" s="13"/>
      <c r="I335" s="13"/>
      <c r="J335" s="14"/>
    </row>
    <row r="336" spans="2:10">
      <c r="B336" s="88"/>
      <c r="D336" s="17"/>
      <c r="E336" s="13"/>
      <c r="F336" s="13"/>
      <c r="G336" s="13"/>
      <c r="H336" s="13"/>
      <c r="I336" s="13"/>
      <c r="J336" s="14"/>
    </row>
    <row r="337" spans="2:10">
      <c r="B337" s="88"/>
      <c r="D337" s="17"/>
      <c r="E337" s="13"/>
      <c r="F337" s="13"/>
      <c r="G337" s="13"/>
      <c r="H337" s="13"/>
      <c r="I337" s="13"/>
      <c r="J337" s="14"/>
    </row>
    <row r="338" spans="2:10">
      <c r="B338" s="88"/>
      <c r="D338" s="17"/>
      <c r="E338" s="13"/>
      <c r="F338" s="13"/>
      <c r="G338" s="13"/>
      <c r="H338" s="13"/>
      <c r="I338" s="13"/>
      <c r="J338" s="14"/>
    </row>
    <row r="339" spans="2:10">
      <c r="B339" s="88"/>
      <c r="D339" s="17"/>
      <c r="E339" s="13"/>
      <c r="F339" s="13"/>
      <c r="G339" s="13"/>
      <c r="H339" s="13"/>
      <c r="I339" s="13"/>
      <c r="J339" s="14"/>
    </row>
    <row r="340" spans="2:10">
      <c r="B340" s="88"/>
      <c r="D340" s="17"/>
      <c r="E340" s="13"/>
      <c r="F340" s="13"/>
      <c r="G340" s="13"/>
      <c r="H340" s="13"/>
      <c r="I340" s="13"/>
      <c r="J340" s="14"/>
    </row>
    <row r="341" spans="2:10">
      <c r="B341" s="88"/>
      <c r="D341" s="17"/>
      <c r="E341" s="13"/>
      <c r="F341" s="13"/>
      <c r="G341" s="13"/>
      <c r="H341" s="13"/>
      <c r="I341" s="13"/>
      <c r="J341" s="14"/>
    </row>
    <row r="342" spans="2:10">
      <c r="B342" s="88"/>
      <c r="D342" s="17"/>
      <c r="E342" s="13"/>
      <c r="F342" s="13"/>
      <c r="G342" s="13"/>
      <c r="H342" s="13"/>
      <c r="I342" s="13"/>
      <c r="J342" s="14"/>
    </row>
    <row r="343" spans="2:10">
      <c r="B343" s="88"/>
      <c r="D343" s="17"/>
      <c r="E343" s="13"/>
      <c r="F343" s="13"/>
      <c r="G343" s="13"/>
      <c r="H343" s="13"/>
      <c r="I343" s="13"/>
      <c r="J343" s="14"/>
    </row>
    <row r="344" spans="2:10">
      <c r="B344" s="88"/>
      <c r="D344" s="17"/>
      <c r="E344" s="13"/>
      <c r="F344" s="13"/>
      <c r="G344" s="13"/>
      <c r="H344" s="13"/>
      <c r="I344" s="13"/>
      <c r="J344" s="14"/>
    </row>
    <row r="345" spans="2:10">
      <c r="B345" s="88"/>
      <c r="D345" s="17"/>
      <c r="E345" s="13"/>
      <c r="F345" s="13"/>
      <c r="G345" s="13"/>
      <c r="H345" s="13"/>
      <c r="I345" s="13"/>
      <c r="J345" s="14"/>
    </row>
    <row r="346" spans="2:10">
      <c r="B346" s="88"/>
      <c r="D346" s="17"/>
      <c r="E346" s="13"/>
      <c r="F346" s="13"/>
      <c r="G346" s="13"/>
      <c r="H346" s="13"/>
      <c r="I346" s="13"/>
      <c r="J346" s="14"/>
    </row>
    <row r="347" spans="2:10">
      <c r="B347" s="88"/>
      <c r="D347" s="17"/>
      <c r="E347" s="13"/>
      <c r="F347" s="13"/>
      <c r="G347" s="13"/>
      <c r="H347" s="13"/>
      <c r="I347" s="13"/>
      <c r="J347" s="14"/>
    </row>
    <row r="348" spans="2:10">
      <c r="B348" s="88"/>
      <c r="D348" s="17"/>
      <c r="E348" s="13"/>
      <c r="F348" s="13"/>
      <c r="G348" s="13"/>
      <c r="H348" s="13"/>
      <c r="I348" s="13"/>
      <c r="J348" s="14"/>
    </row>
    <row r="349" spans="2:10">
      <c r="B349" s="88"/>
      <c r="D349" s="17"/>
      <c r="E349" s="13"/>
      <c r="F349" s="13"/>
      <c r="G349" s="13"/>
      <c r="H349" s="13"/>
      <c r="I349" s="13"/>
      <c r="J349" s="14"/>
    </row>
    <row r="350" spans="2:10">
      <c r="B350" s="88"/>
      <c r="D350" s="17"/>
      <c r="E350" s="13"/>
      <c r="F350" s="13"/>
      <c r="G350" s="13"/>
      <c r="H350" s="13"/>
      <c r="I350" s="13"/>
      <c r="J350" s="14"/>
    </row>
    <row r="351" spans="2:10">
      <c r="B351" s="88"/>
      <c r="D351" s="17"/>
      <c r="E351" s="13"/>
      <c r="F351" s="13"/>
      <c r="G351" s="13"/>
      <c r="H351" s="13"/>
      <c r="I351" s="13"/>
      <c r="J351" s="14"/>
    </row>
    <row r="352" spans="2:10">
      <c r="B352" s="88"/>
      <c r="D352" s="17"/>
      <c r="E352" s="13"/>
      <c r="F352" s="13"/>
      <c r="G352" s="13"/>
      <c r="H352" s="13"/>
      <c r="I352" s="13"/>
      <c r="J352" s="14"/>
    </row>
    <row r="353" spans="2:10">
      <c r="B353" s="88"/>
      <c r="D353" s="17"/>
      <c r="E353" s="13"/>
      <c r="F353" s="13"/>
      <c r="G353" s="13"/>
      <c r="H353" s="13"/>
      <c r="I353" s="13"/>
      <c r="J353" s="14"/>
    </row>
    <row r="354" spans="2:10">
      <c r="B354" s="88"/>
      <c r="D354" s="17"/>
      <c r="E354" s="13"/>
      <c r="F354" s="13"/>
      <c r="G354" s="13"/>
      <c r="H354" s="13"/>
      <c r="I354" s="13"/>
      <c r="J354" s="14"/>
    </row>
    <row r="355" spans="2:10">
      <c r="B355" s="88"/>
      <c r="D355" s="17"/>
      <c r="E355" s="13"/>
      <c r="F355" s="13"/>
      <c r="G355" s="13"/>
      <c r="H355" s="13"/>
      <c r="I355" s="13"/>
      <c r="J355" s="14"/>
    </row>
    <row r="356" spans="2:10">
      <c r="B356" s="88"/>
      <c r="D356" s="17"/>
      <c r="E356" s="13"/>
      <c r="F356" s="13"/>
      <c r="G356" s="13"/>
      <c r="H356" s="13"/>
      <c r="I356" s="13"/>
      <c r="J356" s="14"/>
    </row>
    <row r="357" spans="2:10">
      <c r="B357" s="88"/>
      <c r="D357" s="17"/>
      <c r="E357" s="13"/>
      <c r="F357" s="13"/>
      <c r="G357" s="13"/>
      <c r="H357" s="13"/>
      <c r="I357" s="13"/>
      <c r="J357" s="14"/>
    </row>
    <row r="358" spans="2:10">
      <c r="B358" s="88"/>
      <c r="D358" s="17"/>
      <c r="E358" s="13"/>
      <c r="F358" s="13"/>
      <c r="G358" s="13"/>
      <c r="H358" s="13"/>
      <c r="I358" s="13"/>
      <c r="J358" s="14"/>
    </row>
    <row r="359" spans="2:10">
      <c r="B359" s="88"/>
      <c r="D359" s="17"/>
      <c r="E359" s="13"/>
      <c r="F359" s="13"/>
      <c r="G359" s="13"/>
      <c r="H359" s="13"/>
      <c r="I359" s="13"/>
      <c r="J359" s="14"/>
    </row>
    <row r="360" spans="2:10">
      <c r="B360" s="88"/>
      <c r="D360" s="17"/>
      <c r="E360" s="13"/>
      <c r="F360" s="13"/>
      <c r="G360" s="13"/>
      <c r="H360" s="13"/>
      <c r="I360" s="13"/>
      <c r="J360" s="14"/>
    </row>
    <row r="361" spans="2:10">
      <c r="B361" s="88"/>
      <c r="D361" s="17"/>
      <c r="E361" s="13"/>
      <c r="F361" s="13"/>
      <c r="G361" s="13"/>
      <c r="H361" s="13"/>
      <c r="I361" s="13"/>
      <c r="J361" s="14"/>
    </row>
    <row r="362" spans="2:10">
      <c r="B362" s="88"/>
      <c r="D362" s="17"/>
      <c r="E362" s="13"/>
      <c r="F362" s="13"/>
      <c r="G362" s="13"/>
      <c r="H362" s="13"/>
      <c r="I362" s="13"/>
      <c r="J362" s="14"/>
    </row>
    <row r="363" spans="2:10">
      <c r="B363" s="88"/>
      <c r="D363" s="17"/>
      <c r="E363" s="13"/>
      <c r="F363" s="13"/>
      <c r="G363" s="13"/>
      <c r="H363" s="13"/>
      <c r="I363" s="13"/>
      <c r="J363" s="14"/>
    </row>
    <row r="364" spans="2:10">
      <c r="B364" s="88"/>
      <c r="D364" s="17"/>
      <c r="E364" s="13"/>
      <c r="F364" s="13"/>
      <c r="G364" s="13"/>
      <c r="H364" s="13"/>
      <c r="I364" s="13"/>
      <c r="J364" s="14"/>
    </row>
    <row r="365" spans="2:10">
      <c r="B365" s="88"/>
      <c r="D365" s="17"/>
      <c r="E365" s="13"/>
      <c r="F365" s="13"/>
      <c r="G365" s="13"/>
      <c r="H365" s="13"/>
      <c r="I365" s="13"/>
      <c r="J365" s="14"/>
    </row>
    <row r="366" spans="2:10">
      <c r="B366" s="88"/>
      <c r="D366" s="17"/>
      <c r="E366" s="13"/>
      <c r="F366" s="13"/>
      <c r="G366" s="13"/>
      <c r="H366" s="13"/>
      <c r="I366" s="13"/>
      <c r="J366" s="14"/>
    </row>
    <row r="367" spans="2:10">
      <c r="B367" s="88"/>
      <c r="D367" s="17"/>
      <c r="E367" s="13"/>
      <c r="F367" s="13"/>
      <c r="G367" s="13"/>
      <c r="H367" s="13"/>
      <c r="I367" s="13"/>
      <c r="J367" s="14"/>
    </row>
    <row r="368" spans="2:10">
      <c r="B368" s="88"/>
      <c r="D368" s="17"/>
      <c r="E368" s="13"/>
      <c r="F368" s="13"/>
      <c r="G368" s="13"/>
      <c r="H368" s="13"/>
      <c r="I368" s="13"/>
      <c r="J368" s="14"/>
    </row>
    <row r="369" spans="2:10">
      <c r="B369" s="88"/>
      <c r="D369" s="17"/>
      <c r="E369" s="13"/>
      <c r="F369" s="13"/>
      <c r="G369" s="13"/>
      <c r="H369" s="13"/>
      <c r="I369" s="13"/>
      <c r="J369" s="14"/>
    </row>
    <row r="370" spans="2:10">
      <c r="B370" s="88"/>
      <c r="D370" s="17"/>
      <c r="E370" s="13"/>
      <c r="F370" s="13"/>
      <c r="G370" s="13"/>
      <c r="H370" s="13"/>
      <c r="I370" s="13"/>
      <c r="J370" s="14"/>
    </row>
    <row r="371" spans="2:10">
      <c r="B371" s="88"/>
      <c r="D371" s="17"/>
      <c r="E371" s="13"/>
      <c r="F371" s="13"/>
      <c r="G371" s="13"/>
      <c r="H371" s="13"/>
      <c r="I371" s="13"/>
      <c r="J371" s="14"/>
    </row>
    <row r="372" spans="2:10">
      <c r="B372" s="88"/>
      <c r="D372" s="17"/>
      <c r="E372" s="13"/>
      <c r="F372" s="13"/>
      <c r="G372" s="13"/>
      <c r="H372" s="13"/>
      <c r="I372" s="13"/>
      <c r="J372" s="14"/>
    </row>
    <row r="373" spans="2:10">
      <c r="B373" s="88"/>
      <c r="D373" s="17"/>
      <c r="E373" s="13"/>
      <c r="F373" s="13"/>
      <c r="G373" s="13"/>
      <c r="H373" s="13"/>
      <c r="I373" s="13"/>
      <c r="J373" s="14"/>
    </row>
    <row r="374" spans="2:10">
      <c r="B374" s="88"/>
      <c r="D374" s="17"/>
      <c r="E374" s="13"/>
      <c r="F374" s="13"/>
      <c r="G374" s="13"/>
      <c r="H374" s="13"/>
      <c r="I374" s="13"/>
      <c r="J374" s="14"/>
    </row>
    <row r="375" spans="2:10">
      <c r="B375" s="88"/>
      <c r="D375" s="17"/>
      <c r="E375" s="13"/>
      <c r="F375" s="13"/>
      <c r="G375" s="13"/>
      <c r="H375" s="13"/>
      <c r="I375" s="13"/>
      <c r="J375" s="14"/>
    </row>
    <row r="376" spans="2:10">
      <c r="B376" s="88"/>
      <c r="D376" s="17"/>
      <c r="E376" s="13"/>
      <c r="F376" s="13"/>
      <c r="G376" s="13"/>
      <c r="H376" s="13"/>
      <c r="I376" s="13"/>
      <c r="J376" s="14"/>
    </row>
    <row r="377" spans="2:10">
      <c r="B377" s="88"/>
      <c r="D377" s="17"/>
      <c r="E377" s="13"/>
      <c r="F377" s="13"/>
      <c r="G377" s="13"/>
      <c r="H377" s="13"/>
      <c r="I377" s="13"/>
      <c r="J377" s="14"/>
    </row>
    <row r="378" spans="2:10">
      <c r="B378" s="88"/>
      <c r="D378" s="17"/>
      <c r="E378" s="13"/>
      <c r="F378" s="13"/>
      <c r="G378" s="13"/>
      <c r="H378" s="13"/>
      <c r="I378" s="13"/>
      <c r="J378" s="14"/>
    </row>
    <row r="379" spans="2:10">
      <c r="B379" s="88"/>
      <c r="D379" s="17"/>
      <c r="E379" s="13"/>
      <c r="F379" s="13"/>
      <c r="G379" s="13"/>
      <c r="H379" s="13"/>
      <c r="I379" s="13"/>
      <c r="J379" s="14"/>
    </row>
    <row r="380" spans="2:10">
      <c r="B380" s="88"/>
      <c r="D380" s="17"/>
      <c r="E380" s="13"/>
      <c r="F380" s="13"/>
      <c r="G380" s="13"/>
      <c r="H380" s="13"/>
      <c r="I380" s="13"/>
      <c r="J380" s="14"/>
    </row>
    <row r="381" spans="2:10">
      <c r="B381" s="88"/>
      <c r="D381" s="17"/>
      <c r="E381" s="13"/>
      <c r="F381" s="13"/>
      <c r="G381" s="13"/>
      <c r="H381" s="13"/>
      <c r="I381" s="13"/>
      <c r="J381" s="14"/>
    </row>
    <row r="382" spans="2:10">
      <c r="B382" s="88"/>
      <c r="D382" s="17"/>
      <c r="E382" s="13"/>
      <c r="F382" s="13"/>
      <c r="G382" s="13"/>
      <c r="H382" s="13"/>
      <c r="I382" s="13"/>
      <c r="J382" s="14"/>
    </row>
    <row r="383" spans="2:10">
      <c r="B383" s="88"/>
      <c r="D383" s="17"/>
      <c r="E383" s="13"/>
      <c r="F383" s="13"/>
      <c r="G383" s="13"/>
      <c r="H383" s="13"/>
      <c r="I383" s="13"/>
      <c r="J383" s="14"/>
    </row>
    <row r="384" spans="2:10">
      <c r="B384" s="88"/>
      <c r="D384" s="17"/>
      <c r="E384" s="13"/>
      <c r="F384" s="13"/>
      <c r="G384" s="13"/>
      <c r="H384" s="13"/>
      <c r="I384" s="13"/>
      <c r="J384" s="14"/>
    </row>
    <row r="385" spans="2:10">
      <c r="B385" s="88"/>
      <c r="D385" s="17"/>
      <c r="E385" s="13"/>
      <c r="F385" s="13"/>
      <c r="G385" s="13"/>
      <c r="H385" s="13"/>
      <c r="I385" s="13"/>
      <c r="J385" s="14"/>
    </row>
    <row r="386" spans="2:10">
      <c r="B386" s="88"/>
      <c r="D386" s="17"/>
      <c r="E386" s="13"/>
      <c r="F386" s="13"/>
      <c r="G386" s="13"/>
      <c r="H386" s="13"/>
      <c r="I386" s="13"/>
      <c r="J386" s="14"/>
    </row>
    <row r="387" spans="2:10">
      <c r="B387" s="88"/>
      <c r="D387" s="17"/>
      <c r="E387" s="13"/>
      <c r="F387" s="13"/>
      <c r="G387" s="13"/>
      <c r="H387" s="13"/>
      <c r="I387" s="13"/>
      <c r="J387" s="14"/>
    </row>
    <row r="388" spans="2:10">
      <c r="B388" s="88"/>
      <c r="D388" s="17"/>
      <c r="E388" s="13"/>
      <c r="F388" s="13"/>
      <c r="G388" s="13"/>
      <c r="H388" s="13"/>
      <c r="I388" s="13"/>
      <c r="J388" s="14"/>
    </row>
    <row r="389" spans="2:10">
      <c r="B389" s="88"/>
      <c r="D389" s="17"/>
      <c r="E389" s="13"/>
      <c r="F389" s="13"/>
      <c r="G389" s="13"/>
      <c r="H389" s="13"/>
      <c r="I389" s="13"/>
      <c r="J389" s="14"/>
    </row>
    <row r="390" spans="2:10">
      <c r="B390" s="88"/>
      <c r="D390" s="17"/>
      <c r="E390" s="13"/>
      <c r="F390" s="13"/>
      <c r="G390" s="13"/>
      <c r="H390" s="13"/>
      <c r="I390" s="13"/>
      <c r="J390" s="14"/>
    </row>
    <row r="391" spans="2:10">
      <c r="B391" s="88"/>
      <c r="D391" s="17"/>
      <c r="E391" s="13"/>
      <c r="F391" s="13"/>
      <c r="G391" s="13"/>
      <c r="H391" s="13"/>
      <c r="I391" s="13"/>
      <c r="J391" s="14"/>
    </row>
    <row r="392" spans="2:10">
      <c r="B392" s="88"/>
      <c r="D392" s="17"/>
      <c r="E392" s="13"/>
      <c r="F392" s="13"/>
      <c r="G392" s="13"/>
      <c r="H392" s="13"/>
      <c r="I392" s="13"/>
      <c r="J392" s="14"/>
    </row>
    <row r="393" spans="2:10">
      <c r="B393" s="88"/>
      <c r="D393" s="17"/>
      <c r="E393" s="13"/>
      <c r="F393" s="13"/>
      <c r="G393" s="13"/>
      <c r="H393" s="13"/>
      <c r="I393" s="13"/>
      <c r="J393" s="14"/>
    </row>
    <row r="394" spans="2:10">
      <c r="B394" s="88"/>
      <c r="D394" s="17"/>
      <c r="E394" s="13"/>
      <c r="F394" s="13"/>
      <c r="G394" s="13"/>
      <c r="H394" s="13"/>
      <c r="I394" s="13"/>
      <c r="J394" s="14"/>
    </row>
    <row r="395" spans="2:10">
      <c r="B395" s="88"/>
      <c r="D395" s="17"/>
      <c r="E395" s="13"/>
      <c r="F395" s="13"/>
      <c r="G395" s="13"/>
      <c r="H395" s="13"/>
      <c r="I395" s="13"/>
      <c r="J395" s="14"/>
    </row>
    <row r="396" spans="2:10">
      <c r="B396" s="88"/>
      <c r="D396" s="17"/>
      <c r="E396" s="13"/>
      <c r="F396" s="13"/>
      <c r="G396" s="13"/>
      <c r="H396" s="13"/>
      <c r="I396" s="13"/>
      <c r="J396" s="14"/>
    </row>
    <row r="397" spans="2:10">
      <c r="B397" s="88"/>
      <c r="D397" s="17"/>
      <c r="E397" s="13"/>
      <c r="F397" s="13"/>
      <c r="G397" s="13"/>
      <c r="H397" s="13"/>
      <c r="I397" s="13"/>
      <c r="J397" s="14"/>
    </row>
    <row r="398" spans="2:10">
      <c r="B398" s="88"/>
      <c r="D398" s="17"/>
      <c r="E398" s="13"/>
      <c r="F398" s="13"/>
      <c r="G398" s="13"/>
      <c r="H398" s="13"/>
      <c r="I398" s="13"/>
      <c r="J398" s="14"/>
    </row>
    <row r="399" spans="2:10">
      <c r="B399" s="88"/>
      <c r="D399" s="17"/>
      <c r="E399" s="13"/>
      <c r="F399" s="13"/>
      <c r="G399" s="13"/>
      <c r="H399" s="13"/>
      <c r="I399" s="13"/>
      <c r="J399" s="14"/>
    </row>
    <row r="400" spans="2:10">
      <c r="B400" s="88"/>
      <c r="D400" s="17"/>
      <c r="E400" s="13"/>
      <c r="F400" s="13"/>
      <c r="G400" s="13"/>
      <c r="H400" s="13"/>
      <c r="I400" s="13"/>
      <c r="J400" s="14"/>
    </row>
    <row r="401" spans="2:10">
      <c r="B401" s="88"/>
      <c r="D401" s="17"/>
      <c r="E401" s="13"/>
      <c r="F401" s="13"/>
      <c r="G401" s="13"/>
      <c r="H401" s="13"/>
      <c r="I401" s="13"/>
      <c r="J401" s="14"/>
    </row>
    <row r="402" spans="2:10">
      <c r="B402" s="88"/>
      <c r="D402" s="17"/>
      <c r="E402" s="13"/>
      <c r="F402" s="13"/>
      <c r="G402" s="13"/>
      <c r="H402" s="13"/>
      <c r="I402" s="13"/>
      <c r="J402" s="14"/>
    </row>
    <row r="403" spans="2:10">
      <c r="B403" s="88"/>
      <c r="D403" s="17"/>
      <c r="E403" s="13"/>
      <c r="F403" s="13"/>
      <c r="G403" s="13"/>
      <c r="H403" s="13"/>
      <c r="I403" s="13"/>
      <c r="J403" s="14"/>
    </row>
    <row r="404" spans="2:10">
      <c r="B404" s="88"/>
      <c r="D404" s="17"/>
      <c r="E404" s="13"/>
      <c r="F404" s="13"/>
      <c r="G404" s="13"/>
      <c r="H404" s="13"/>
      <c r="I404" s="13"/>
      <c r="J404" s="14"/>
    </row>
    <row r="405" spans="2:10">
      <c r="B405" s="88"/>
      <c r="D405" s="17"/>
      <c r="E405" s="13"/>
      <c r="F405" s="13"/>
      <c r="G405" s="13"/>
      <c r="H405" s="13"/>
      <c r="I405" s="13"/>
      <c r="J405" s="14"/>
    </row>
    <row r="406" spans="2:10">
      <c r="B406" s="88"/>
      <c r="D406" s="17"/>
      <c r="E406" s="13"/>
      <c r="F406" s="13"/>
      <c r="G406" s="13"/>
      <c r="H406" s="13"/>
      <c r="I406" s="13"/>
      <c r="J406" s="14"/>
    </row>
    <row r="407" spans="2:10">
      <c r="B407" s="88"/>
      <c r="D407" s="17"/>
      <c r="E407" s="13"/>
      <c r="F407" s="13"/>
      <c r="G407" s="13"/>
      <c r="H407" s="13"/>
      <c r="I407" s="13"/>
      <c r="J407" s="14"/>
    </row>
    <row r="408" spans="2:10">
      <c r="B408" s="88"/>
      <c r="D408" s="17"/>
      <c r="E408" s="13"/>
      <c r="F408" s="13"/>
      <c r="G408" s="13"/>
      <c r="H408" s="13"/>
      <c r="I408" s="13"/>
      <c r="J408" s="14"/>
    </row>
    <row r="409" spans="2:10">
      <c r="B409" s="88"/>
      <c r="D409" s="17"/>
      <c r="E409" s="13"/>
      <c r="F409" s="13"/>
      <c r="G409" s="13"/>
      <c r="H409" s="13"/>
      <c r="I409" s="13"/>
      <c r="J409" s="14"/>
    </row>
    <row r="410" spans="2:10">
      <c r="B410" s="88"/>
      <c r="D410" s="17"/>
      <c r="E410" s="13"/>
      <c r="F410" s="13"/>
      <c r="G410" s="13"/>
      <c r="H410" s="13"/>
      <c r="I410" s="13"/>
      <c r="J410" s="14"/>
    </row>
    <row r="411" spans="2:10">
      <c r="B411" s="88"/>
      <c r="D411" s="17"/>
      <c r="E411" s="13"/>
      <c r="F411" s="13"/>
      <c r="G411" s="13"/>
      <c r="H411" s="13"/>
      <c r="I411" s="13"/>
      <c r="J411" s="14"/>
    </row>
    <row r="412" spans="2:10">
      <c r="B412" s="88"/>
      <c r="D412" s="17"/>
      <c r="E412" s="13"/>
      <c r="F412" s="13"/>
      <c r="G412" s="13"/>
      <c r="H412" s="13"/>
      <c r="I412" s="13"/>
      <c r="J412" s="14"/>
    </row>
    <row r="413" spans="2:10">
      <c r="B413" s="88"/>
      <c r="D413" s="17"/>
      <c r="E413" s="13"/>
      <c r="F413" s="13"/>
      <c r="G413" s="13"/>
      <c r="H413" s="13"/>
      <c r="I413" s="13"/>
      <c r="J413" s="14"/>
    </row>
    <row r="414" spans="2:10">
      <c r="B414" s="88"/>
      <c r="D414" s="17"/>
      <c r="E414" s="13"/>
      <c r="F414" s="13"/>
      <c r="G414" s="13"/>
      <c r="H414" s="13"/>
      <c r="I414" s="13"/>
      <c r="J414" s="14"/>
    </row>
    <row r="415" spans="2:10">
      <c r="B415" s="88"/>
      <c r="D415" s="17"/>
      <c r="E415" s="13"/>
      <c r="F415" s="13"/>
      <c r="G415" s="13"/>
      <c r="H415" s="13"/>
      <c r="I415" s="13"/>
      <c r="J415" s="14"/>
    </row>
    <row r="416" spans="2:10">
      <c r="B416" s="88"/>
      <c r="D416" s="17"/>
      <c r="E416" s="13"/>
      <c r="F416" s="13"/>
      <c r="G416" s="13"/>
      <c r="H416" s="13"/>
      <c r="I416" s="13"/>
      <c r="J416" s="14"/>
    </row>
    <row r="417" spans="2:10">
      <c r="B417" s="88"/>
      <c r="D417" s="17"/>
      <c r="E417" s="13"/>
      <c r="F417" s="13"/>
      <c r="G417" s="13"/>
      <c r="H417" s="13"/>
      <c r="I417" s="13"/>
      <c r="J417" s="14"/>
    </row>
    <row r="418" spans="2:10">
      <c r="B418" s="88"/>
      <c r="D418" s="17"/>
      <c r="E418" s="13"/>
      <c r="F418" s="13"/>
      <c r="G418" s="13"/>
      <c r="H418" s="13"/>
      <c r="I418" s="13"/>
      <c r="J418" s="14"/>
    </row>
    <row r="419" spans="2:10">
      <c r="B419" s="88"/>
      <c r="D419" s="17"/>
      <c r="E419" s="13"/>
      <c r="F419" s="13"/>
      <c r="G419" s="13"/>
      <c r="H419" s="13"/>
      <c r="I419" s="13"/>
      <c r="J419" s="14"/>
    </row>
    <row r="420" spans="2:10">
      <c r="B420" s="88"/>
      <c r="D420" s="17"/>
      <c r="E420" s="13"/>
      <c r="F420" s="13"/>
      <c r="G420" s="13"/>
      <c r="H420" s="13"/>
      <c r="I420" s="13"/>
      <c r="J420" s="14"/>
    </row>
    <row r="421" spans="2:10">
      <c r="B421" s="88"/>
      <c r="D421" s="17"/>
      <c r="E421" s="13"/>
      <c r="F421" s="13"/>
      <c r="G421" s="13"/>
      <c r="H421" s="13"/>
      <c r="I421" s="13"/>
      <c r="J421" s="14"/>
    </row>
    <row r="422" spans="2:10">
      <c r="B422" s="88"/>
      <c r="D422" s="17"/>
      <c r="E422" s="13"/>
      <c r="F422" s="13"/>
      <c r="G422" s="13"/>
      <c r="H422" s="13"/>
      <c r="I422" s="13"/>
      <c r="J422" s="14"/>
    </row>
    <row r="423" spans="2:10">
      <c r="B423" s="88"/>
      <c r="D423" s="17"/>
      <c r="E423" s="13"/>
      <c r="F423" s="13"/>
      <c r="G423" s="13"/>
      <c r="H423" s="13"/>
      <c r="I423" s="13"/>
      <c r="J423" s="14"/>
    </row>
    <row r="424" spans="2:10">
      <c r="B424" s="88"/>
      <c r="D424" s="17"/>
      <c r="E424" s="13"/>
      <c r="F424" s="13"/>
      <c r="G424" s="13"/>
      <c r="H424" s="13"/>
      <c r="I424" s="13"/>
      <c r="J424" s="14"/>
    </row>
    <row r="425" spans="2:10">
      <c r="B425" s="88"/>
      <c r="D425" s="17"/>
      <c r="E425" s="13"/>
      <c r="F425" s="13"/>
      <c r="G425" s="13"/>
      <c r="H425" s="13"/>
      <c r="I425" s="13"/>
      <c r="J425" s="14"/>
    </row>
    <row r="426" spans="2:10">
      <c r="B426" s="88"/>
      <c r="D426" s="17"/>
      <c r="E426" s="13"/>
      <c r="F426" s="13"/>
      <c r="G426" s="13"/>
      <c r="H426" s="13"/>
      <c r="I426" s="13"/>
      <c r="J426" s="14"/>
    </row>
    <row r="427" spans="2:10">
      <c r="B427" s="88"/>
      <c r="D427" s="17"/>
      <c r="E427" s="13"/>
      <c r="F427" s="13"/>
      <c r="G427" s="13"/>
      <c r="H427" s="13"/>
      <c r="I427" s="13"/>
      <c r="J427" s="14"/>
    </row>
    <row r="428" spans="2:10">
      <c r="B428" s="88"/>
      <c r="D428" s="17"/>
      <c r="E428" s="13"/>
      <c r="F428" s="13"/>
      <c r="G428" s="13"/>
      <c r="H428" s="13"/>
      <c r="I428" s="13"/>
      <c r="J428" s="14"/>
    </row>
    <row r="429" spans="2:10">
      <c r="B429" s="88"/>
      <c r="D429" s="17"/>
      <c r="E429" s="13"/>
      <c r="F429" s="13"/>
      <c r="G429" s="13"/>
      <c r="H429" s="13"/>
      <c r="I429" s="13"/>
      <c r="J429" s="14"/>
    </row>
    <row r="430" spans="2:10">
      <c r="B430" s="88"/>
      <c r="D430" s="17"/>
      <c r="E430" s="13"/>
      <c r="F430" s="13"/>
      <c r="G430" s="13"/>
      <c r="H430" s="13"/>
      <c r="I430" s="13"/>
      <c r="J430" s="14"/>
    </row>
    <row r="431" spans="2:10">
      <c r="B431" s="88"/>
      <c r="D431" s="17"/>
      <c r="E431" s="13"/>
      <c r="F431" s="13"/>
      <c r="G431" s="13"/>
      <c r="H431" s="13"/>
      <c r="I431" s="13"/>
      <c r="J431" s="14"/>
    </row>
    <row r="432" spans="2:10">
      <c r="B432" s="88"/>
      <c r="D432" s="17"/>
      <c r="E432" s="13"/>
      <c r="F432" s="13"/>
      <c r="G432" s="13"/>
      <c r="H432" s="13"/>
      <c r="I432" s="13"/>
      <c r="J432" s="14"/>
    </row>
    <row r="433" spans="2:10">
      <c r="B433" s="88"/>
      <c r="D433" s="17"/>
      <c r="E433" s="13"/>
      <c r="F433" s="13"/>
      <c r="G433" s="13"/>
      <c r="H433" s="13"/>
      <c r="I433" s="13"/>
      <c r="J433" s="14"/>
    </row>
    <row r="434" spans="2:10">
      <c r="B434" s="88"/>
      <c r="D434" s="17"/>
      <c r="E434" s="13"/>
      <c r="F434" s="13"/>
      <c r="G434" s="13"/>
      <c r="H434" s="13"/>
      <c r="I434" s="13"/>
      <c r="J434" s="14"/>
    </row>
    <row r="435" spans="2:10">
      <c r="B435" s="88"/>
      <c r="D435" s="17"/>
      <c r="E435" s="13"/>
      <c r="F435" s="13"/>
      <c r="G435" s="13"/>
      <c r="H435" s="13"/>
      <c r="I435" s="13"/>
      <c r="J435" s="14"/>
    </row>
    <row r="436" spans="2:10">
      <c r="B436" s="88"/>
      <c r="D436" s="17"/>
      <c r="E436" s="13"/>
      <c r="F436" s="13"/>
      <c r="G436" s="13"/>
      <c r="H436" s="13"/>
      <c r="I436" s="13"/>
      <c r="J436" s="14"/>
    </row>
    <row r="437" spans="2:10">
      <c r="B437" s="88"/>
      <c r="D437" s="17"/>
      <c r="E437" s="13"/>
      <c r="F437" s="13"/>
      <c r="G437" s="13"/>
      <c r="H437" s="13"/>
      <c r="I437" s="13"/>
      <c r="J437" s="14"/>
    </row>
    <row r="438" spans="2:10">
      <c r="B438" s="88"/>
      <c r="D438" s="17"/>
      <c r="E438" s="13"/>
      <c r="F438" s="13"/>
      <c r="G438" s="13"/>
      <c r="H438" s="13"/>
      <c r="I438" s="13"/>
      <c r="J438" s="14"/>
    </row>
    <row r="439" spans="2:10">
      <c r="B439" s="88"/>
      <c r="D439" s="17"/>
      <c r="E439" s="13"/>
      <c r="F439" s="13"/>
      <c r="G439" s="13"/>
      <c r="H439" s="13"/>
      <c r="I439" s="13"/>
      <c r="J439" s="14"/>
    </row>
    <row r="440" spans="2:10">
      <c r="B440" s="88"/>
      <c r="D440" s="17"/>
      <c r="E440" s="13"/>
      <c r="F440" s="13"/>
      <c r="G440" s="13"/>
      <c r="H440" s="13"/>
      <c r="I440" s="13"/>
      <c r="J440" s="14"/>
    </row>
    <row r="441" spans="2:10">
      <c r="B441" s="88"/>
      <c r="D441" s="17"/>
      <c r="E441" s="13"/>
      <c r="F441" s="13"/>
      <c r="G441" s="13"/>
      <c r="H441" s="13"/>
      <c r="I441" s="13"/>
      <c r="J441" s="14"/>
    </row>
    <row r="442" spans="2:10">
      <c r="B442" s="88"/>
      <c r="D442" s="17"/>
      <c r="E442" s="13"/>
      <c r="F442" s="13"/>
      <c r="G442" s="13"/>
      <c r="H442" s="13"/>
      <c r="I442" s="13"/>
      <c r="J442" s="14"/>
    </row>
    <row r="443" spans="2:10">
      <c r="B443" s="88"/>
      <c r="D443" s="17"/>
      <c r="E443" s="13"/>
      <c r="F443" s="13"/>
      <c r="G443" s="13"/>
      <c r="H443" s="13"/>
      <c r="I443" s="13"/>
      <c r="J443" s="14"/>
    </row>
    <row r="444" spans="2:10">
      <c r="B444" s="88"/>
      <c r="D444" s="17"/>
      <c r="E444" s="13"/>
      <c r="F444" s="13"/>
      <c r="G444" s="13"/>
      <c r="H444" s="13"/>
      <c r="I444" s="13"/>
      <c r="J444" s="14"/>
    </row>
    <row r="445" spans="2:10">
      <c r="B445" s="88"/>
      <c r="D445" s="17"/>
      <c r="E445" s="13"/>
      <c r="F445" s="13"/>
      <c r="G445" s="13"/>
      <c r="H445" s="13"/>
      <c r="I445" s="13"/>
      <c r="J445" s="14"/>
    </row>
    <row r="446" spans="2:10">
      <c r="B446" s="88"/>
      <c r="D446" s="17"/>
      <c r="E446" s="13"/>
      <c r="F446" s="13"/>
      <c r="G446" s="13"/>
      <c r="H446" s="13"/>
      <c r="I446" s="13"/>
      <c r="J446" s="14"/>
    </row>
    <row r="447" spans="2:10">
      <c r="B447" s="88"/>
      <c r="D447" s="17"/>
      <c r="E447" s="13"/>
      <c r="F447" s="13"/>
      <c r="G447" s="13"/>
      <c r="H447" s="13"/>
      <c r="I447" s="13"/>
      <c r="J447" s="14"/>
    </row>
    <row r="448" spans="2:10">
      <c r="B448" s="88"/>
      <c r="D448" s="17"/>
      <c r="E448" s="13"/>
      <c r="F448" s="13"/>
      <c r="G448" s="13"/>
      <c r="H448" s="13"/>
      <c r="I448" s="13"/>
      <c r="J448" s="14"/>
    </row>
    <row r="449" spans="2:10">
      <c r="B449" s="88"/>
      <c r="D449" s="17"/>
      <c r="E449" s="13"/>
      <c r="F449" s="13"/>
      <c r="G449" s="13"/>
      <c r="H449" s="13"/>
      <c r="I449" s="13"/>
      <c r="J449" s="14"/>
    </row>
    <row r="450" spans="2:10">
      <c r="B450" s="88"/>
      <c r="D450" s="17"/>
      <c r="E450" s="13"/>
      <c r="F450" s="13"/>
      <c r="G450" s="13"/>
      <c r="H450" s="13"/>
      <c r="I450" s="13"/>
      <c r="J450" s="14"/>
    </row>
    <row r="451" spans="2:10">
      <c r="B451" s="88"/>
      <c r="D451" s="17"/>
      <c r="E451" s="13"/>
      <c r="F451" s="13"/>
      <c r="G451" s="13"/>
      <c r="H451" s="13"/>
      <c r="I451" s="13"/>
      <c r="J451" s="14"/>
    </row>
    <row r="452" spans="2:10">
      <c r="B452" s="88"/>
      <c r="D452" s="17"/>
      <c r="E452" s="13"/>
      <c r="F452" s="13"/>
      <c r="G452" s="13"/>
      <c r="H452" s="13"/>
      <c r="I452" s="13"/>
      <c r="J452" s="14"/>
    </row>
    <row r="453" spans="2:10">
      <c r="B453" s="88"/>
      <c r="D453" s="17"/>
      <c r="E453" s="13"/>
      <c r="F453" s="13"/>
      <c r="G453" s="13"/>
      <c r="H453" s="13"/>
      <c r="I453" s="13"/>
      <c r="J453" s="14"/>
    </row>
    <row r="454" spans="2:10">
      <c r="B454" s="88"/>
      <c r="D454" s="17"/>
      <c r="E454" s="13"/>
      <c r="F454" s="13"/>
      <c r="G454" s="13"/>
      <c r="H454" s="13"/>
      <c r="I454" s="13"/>
      <c r="J454" s="14"/>
    </row>
    <row r="455" spans="2:10">
      <c r="B455" s="88"/>
      <c r="D455" s="17"/>
      <c r="E455" s="13"/>
      <c r="F455" s="13"/>
      <c r="G455" s="13"/>
      <c r="H455" s="13"/>
      <c r="I455" s="13"/>
      <c r="J455" s="14"/>
    </row>
    <row r="456" spans="2:10">
      <c r="B456" s="88"/>
      <c r="D456" s="17"/>
      <c r="E456" s="13"/>
      <c r="F456" s="13"/>
      <c r="G456" s="13"/>
      <c r="H456" s="13"/>
      <c r="I456" s="13"/>
      <c r="J456" s="14"/>
    </row>
    <row r="457" spans="2:10">
      <c r="B457" s="88"/>
      <c r="D457" s="17"/>
      <c r="E457" s="13"/>
      <c r="F457" s="13"/>
      <c r="G457" s="13"/>
      <c r="H457" s="13"/>
      <c r="I457" s="13"/>
      <c r="J457" s="14"/>
    </row>
    <row r="458" spans="2:10">
      <c r="B458" s="88"/>
      <c r="D458" s="17"/>
      <c r="E458" s="13"/>
      <c r="F458" s="13"/>
      <c r="G458" s="13"/>
      <c r="H458" s="13"/>
      <c r="I458" s="13"/>
      <c r="J458" s="14"/>
    </row>
    <row r="459" spans="2:10">
      <c r="B459" s="88"/>
      <c r="D459" s="17"/>
      <c r="E459" s="13"/>
      <c r="F459" s="13"/>
      <c r="G459" s="13"/>
      <c r="H459" s="13"/>
      <c r="I459" s="13"/>
      <c r="J459" s="14"/>
    </row>
    <row r="460" spans="2:10">
      <c r="B460" s="88"/>
      <c r="D460" s="17"/>
      <c r="E460" s="13"/>
      <c r="F460" s="13"/>
      <c r="G460" s="13"/>
      <c r="H460" s="13"/>
      <c r="I460" s="13"/>
      <c r="J460" s="14"/>
    </row>
    <row r="461" spans="2:10">
      <c r="B461" s="88"/>
      <c r="D461" s="17"/>
      <c r="E461" s="13"/>
      <c r="F461" s="13"/>
      <c r="G461" s="13"/>
      <c r="H461" s="13"/>
      <c r="I461" s="13"/>
      <c r="J461" s="14"/>
    </row>
    <row r="462" spans="2:10">
      <c r="B462" s="88"/>
      <c r="D462" s="17"/>
      <c r="E462" s="13"/>
      <c r="F462" s="13"/>
      <c r="G462" s="13"/>
      <c r="H462" s="13"/>
      <c r="I462" s="13"/>
      <c r="J462" s="14"/>
    </row>
    <row r="463" spans="2:10">
      <c r="B463" s="88"/>
      <c r="D463" s="17"/>
      <c r="E463" s="13"/>
      <c r="F463" s="13"/>
      <c r="G463" s="13"/>
      <c r="H463" s="13"/>
      <c r="I463" s="13"/>
      <c r="J463" s="14"/>
    </row>
    <row r="464" spans="2:10">
      <c r="B464" s="88"/>
      <c r="D464" s="17"/>
      <c r="E464" s="13"/>
      <c r="F464" s="13"/>
      <c r="G464" s="13"/>
      <c r="H464" s="13"/>
      <c r="I464" s="13"/>
      <c r="J464" s="14"/>
    </row>
    <row r="465" spans="2:10">
      <c r="B465" s="88"/>
      <c r="D465" s="17"/>
      <c r="E465" s="13"/>
      <c r="F465" s="13"/>
      <c r="G465" s="13"/>
      <c r="H465" s="13"/>
      <c r="I465" s="13"/>
      <c r="J465" s="14"/>
    </row>
    <row r="466" spans="2:10">
      <c r="B466" s="88"/>
      <c r="D466" s="17"/>
      <c r="E466" s="13"/>
      <c r="F466" s="13"/>
      <c r="G466" s="13"/>
      <c r="H466" s="13"/>
      <c r="I466" s="13"/>
      <c r="J466" s="14"/>
    </row>
    <row r="467" spans="2:10">
      <c r="B467" s="88"/>
      <c r="D467" s="17"/>
      <c r="E467" s="13"/>
      <c r="F467" s="13"/>
      <c r="G467" s="13"/>
      <c r="H467" s="13"/>
      <c r="I467" s="13"/>
      <c r="J467" s="14"/>
    </row>
    <row r="468" spans="2:10">
      <c r="B468" s="88"/>
      <c r="D468" s="17"/>
      <c r="E468" s="13"/>
      <c r="F468" s="13"/>
      <c r="G468" s="13"/>
      <c r="H468" s="13"/>
      <c r="I468" s="13"/>
      <c r="J468" s="14"/>
    </row>
    <row r="469" spans="2:10">
      <c r="B469" s="88"/>
      <c r="D469" s="17"/>
      <c r="E469" s="13"/>
      <c r="F469" s="13"/>
      <c r="G469" s="13"/>
      <c r="H469" s="13"/>
      <c r="I469" s="13"/>
      <c r="J469" s="14"/>
    </row>
    <row r="470" spans="2:10">
      <c r="B470" s="88"/>
      <c r="D470" s="17"/>
      <c r="E470" s="13"/>
      <c r="F470" s="13"/>
      <c r="G470" s="13"/>
      <c r="H470" s="13"/>
      <c r="I470" s="13"/>
      <c r="J470" s="14"/>
    </row>
    <row r="471" spans="2:10">
      <c r="B471" s="88"/>
      <c r="D471" s="17"/>
      <c r="E471" s="13"/>
      <c r="F471" s="13"/>
      <c r="G471" s="13"/>
      <c r="H471" s="13"/>
      <c r="I471" s="13"/>
      <c r="J471" s="14"/>
    </row>
    <row r="472" spans="2:10">
      <c r="B472" s="88"/>
      <c r="D472" s="17"/>
      <c r="E472" s="13"/>
      <c r="F472" s="13"/>
      <c r="G472" s="13"/>
      <c r="H472" s="13"/>
      <c r="I472" s="13"/>
      <c r="J472" s="14"/>
    </row>
    <row r="473" spans="2:10">
      <c r="B473" s="88"/>
      <c r="D473" s="17"/>
      <c r="E473" s="13"/>
      <c r="F473" s="13"/>
      <c r="G473" s="13"/>
      <c r="H473" s="13"/>
      <c r="I473" s="13"/>
      <c r="J473" s="14"/>
    </row>
    <row r="474" spans="2:10">
      <c r="B474" s="88"/>
      <c r="D474" s="17"/>
      <c r="E474" s="13"/>
      <c r="F474" s="13"/>
      <c r="G474" s="13"/>
      <c r="H474" s="13"/>
      <c r="I474" s="13"/>
      <c r="J474" s="14"/>
    </row>
    <row r="475" spans="2:10">
      <c r="B475" s="88"/>
      <c r="D475" s="17"/>
      <c r="E475" s="13"/>
      <c r="F475" s="13"/>
      <c r="G475" s="13"/>
      <c r="H475" s="13"/>
      <c r="I475" s="13"/>
      <c r="J475" s="14"/>
    </row>
    <row r="476" spans="2:10">
      <c r="B476" s="88"/>
      <c r="D476" s="17"/>
      <c r="E476" s="13"/>
      <c r="F476" s="13"/>
      <c r="G476" s="13"/>
      <c r="H476" s="13"/>
      <c r="I476" s="13"/>
      <c r="J476" s="14"/>
    </row>
  </sheetData>
  <sheetProtection formatCells="0" formatColumns="0" formatRows="0" insertRows="0" deleteRows="0" autoFilter="0"/>
  <phoneticPr fontId="4" type="noConversion"/>
  <conditionalFormatting sqref="E32:G476 E1 E32:E1048576">
    <cfRule type="expression" dxfId="82" priority="2917">
      <formula>IF(OR(AND(E1="",F1="",OR(G1="Critical",G1="Major",G1="Minor"))),1,0)</formula>
    </cfRule>
  </conditionalFormatting>
  <conditionalFormatting sqref="F3 F5 F8 F18:F25 F32:F1048576 F1">
    <cfRule type="expression" dxfId="81" priority="2916">
      <formula>IF(AND(F1="",OR(E1="Accuracy",E1="Fluency",E1="Segment",E1="Other")),1,0)</formula>
    </cfRule>
  </conditionalFormatting>
  <conditionalFormatting sqref="G1 G32:G1048576">
    <cfRule type="expression" dxfId="80" priority="2915">
      <formula>IF(AND(OR(G1="",E1="Segment"),OR(E1="Accuracy",E1="Fluency",E1="Other")),1,0)</formula>
    </cfRule>
  </conditionalFormatting>
  <conditionalFormatting sqref="E19:E22 E24:E25 F3 E5:F5 E8:F8 F18:F25">
    <cfRule type="expression" dxfId="79" priority="718">
      <formula>IF(OR(AND(E3="",F3="",OR(G3="Critical",G3="Major",G3="Minor"))),1,0)</formula>
    </cfRule>
  </conditionalFormatting>
  <conditionalFormatting sqref="F3 F5 F8 F18:F25">
    <cfRule type="expression" dxfId="78" priority="717">
      <formula>IF(AND(F3="",OR(E3="Accuracy",E3="Fluency",E3="Segment",E3="Other")),1,0)</formula>
    </cfRule>
  </conditionalFormatting>
  <conditionalFormatting sqref="E28 E6:G6">
    <cfRule type="expression" dxfId="77" priority="139">
      <formula>IF(OR(AND(E6="",F6="",OR(G6="Critical",G6="Major",G6="Minor"))),1,0)</formula>
    </cfRule>
  </conditionalFormatting>
  <conditionalFormatting sqref="F28 F6">
    <cfRule type="expression" dxfId="76" priority="138">
      <formula>IF(AND(F6="",OR(E6="Accuracy",E6="Fluency",E6="Segment",E6="Other")),1,0)</formula>
    </cfRule>
  </conditionalFormatting>
  <conditionalFormatting sqref="G6">
    <cfRule type="expression" dxfId="75" priority="141">
      <formula>IF(AND(OR(G6="",#REF!="Segment"),OR(#REF!="Accuracy",#REF!="Fluency",#REF!="Other")),1,0)</formula>
    </cfRule>
  </conditionalFormatting>
  <conditionalFormatting sqref="G2">
    <cfRule type="expression" dxfId="74" priority="114">
      <formula>IF(OR(AND(G2="",H2="",OR(I2="Critical",I2="Major",I2="Minor"))),1,0)</formula>
    </cfRule>
  </conditionalFormatting>
  <conditionalFormatting sqref="G2">
    <cfRule type="expression" dxfId="73" priority="115">
      <formula>IF(AND(OR(G2="",#REF!="Segment"),OR(#REF!="Accuracy",#REF!="Fluency",#REF!="Other")),1,0)</formula>
    </cfRule>
  </conditionalFormatting>
  <conditionalFormatting sqref="E2:F2">
    <cfRule type="expression" dxfId="72" priority="113">
      <formula>IF(OR(AND(E2="",F2="",OR(G2="Critical",G2="Major",G2="Minor"))),1,0)</formula>
    </cfRule>
  </conditionalFormatting>
  <conditionalFormatting sqref="F2">
    <cfRule type="expression" dxfId="71" priority="112">
      <formula>IF(AND(F2="",OR(E2="Accuracy",E2="Fluency",E2="Segment",E2="Other")),1,0)</formula>
    </cfRule>
  </conditionalFormatting>
  <conditionalFormatting sqref="G4">
    <cfRule type="expression" dxfId="70" priority="110">
      <formula>IF(OR(AND(G4="",H4="",OR(I4="Critical",I4="Major",I4="Minor"))),1,0)</formula>
    </cfRule>
  </conditionalFormatting>
  <conditionalFormatting sqref="G4">
    <cfRule type="expression" dxfId="69" priority="111">
      <formula>IF(AND(OR(G4="",#REF!="Segment"),OR(#REF!="Accuracy",#REF!="Fluency",#REF!="Other")),1,0)</formula>
    </cfRule>
  </conditionalFormatting>
  <conditionalFormatting sqref="E4:F4">
    <cfRule type="expression" dxfId="68" priority="109">
      <formula>IF(OR(AND(E4="",F4="",OR(G4="Critical",G4="Major",G4="Minor"))),1,0)</formula>
    </cfRule>
  </conditionalFormatting>
  <conditionalFormatting sqref="F4">
    <cfRule type="expression" dxfId="67" priority="108">
      <formula>IF(AND(F4="",OR(E4="Accuracy",E4="Fluency",E4="Segment",E4="Other")),1,0)</formula>
    </cfRule>
  </conditionalFormatting>
  <conditionalFormatting sqref="E3 G3">
    <cfRule type="expression" dxfId="66" priority="106">
      <formula>IF(OR(AND(E3="",F3="",OR(G3="Critical",G3="Major",G3="Minor"))),1,0)</formula>
    </cfRule>
  </conditionalFormatting>
  <conditionalFormatting sqref="G3">
    <cfRule type="expression" dxfId="65" priority="107">
      <formula>IF(AND(OR(G3="",#REF!="Segment"),OR(#REF!="Accuracy",#REF!="Fluency",#REF!="Other")),1,0)</formula>
    </cfRule>
  </conditionalFormatting>
  <conditionalFormatting sqref="G5">
    <cfRule type="expression" dxfId="64" priority="103">
      <formula>IF(OR(AND(G5="",H5="",OR(I5="Critical",I5="Major",I5="Minor"))),1,0)</formula>
    </cfRule>
  </conditionalFormatting>
  <conditionalFormatting sqref="G5">
    <cfRule type="expression" dxfId="63" priority="104">
      <formula>IF(AND(OR(G5="",#REF!="Segment"),OR(#REF!="Accuracy",#REF!="Fluency",#REF!="Other")),1,0)</formula>
    </cfRule>
  </conditionalFormatting>
  <conditionalFormatting sqref="E7">
    <cfRule type="expression" dxfId="62" priority="99">
      <formula>IF(OR(AND(E7="",F7="",OR(G7="Critical",G7="Major",G7="Minor"))),1,0)</formula>
    </cfRule>
  </conditionalFormatting>
  <conditionalFormatting sqref="F7">
    <cfRule type="expression" dxfId="61" priority="97">
      <formula>IF(AND(F7="",OR(E7="Accuracy",E7="Fluency",E7="Segment",E7="Other")),1,0)</formula>
    </cfRule>
  </conditionalFormatting>
  <conditionalFormatting sqref="G7">
    <cfRule type="expression" dxfId="60" priority="98">
      <formula>IF(AND(OR(G7="",#REF!="Segment"),OR(#REF!="Accuracy",#REF!="Fluency",#REF!="Other")),1,0)</formula>
    </cfRule>
  </conditionalFormatting>
  <conditionalFormatting sqref="G7">
    <cfRule type="expression" dxfId="59" priority="100">
      <formula>IF(OR(AND(G7="",#REF!="",OR(I7="Critical",I7="Major",I7="Minor"))),1,0)</formula>
    </cfRule>
  </conditionalFormatting>
  <conditionalFormatting sqref="F7">
    <cfRule type="expression" dxfId="58" priority="101">
      <formula>IF(OR(AND(F7="",G7="",OR(#REF!="Critical",#REF!="Major",#REF!="Minor"))),1,0)</formula>
    </cfRule>
  </conditionalFormatting>
  <conditionalFormatting sqref="G8">
    <cfRule type="expression" dxfId="57" priority="95">
      <formula>IF(OR(AND(G8="",H8="",OR(I8="Critical",I8="Major",I8="Minor"))),1,0)</formula>
    </cfRule>
  </conditionalFormatting>
  <conditionalFormatting sqref="G8">
    <cfRule type="expression" dxfId="56" priority="96">
      <formula>IF(AND(OR(G8="",#REF!="Segment"),OR(#REF!="Accuracy",#REF!="Fluency",#REF!="Other")),1,0)</formula>
    </cfRule>
  </conditionalFormatting>
  <conditionalFormatting sqref="E9:G10">
    <cfRule type="expression" dxfId="55" priority="92">
      <formula>IF(OR(AND(E9="",F9="",OR(G9="Critical",G9="Major",G9="Minor"))),1,0)</formula>
    </cfRule>
  </conditionalFormatting>
  <conditionalFormatting sqref="F9:F10">
    <cfRule type="expression" dxfId="54" priority="91">
      <formula>IF(AND(F9="",OR(E9="Accuracy",E9="Fluency",E9="Segment",E9="Other")),1,0)</formula>
    </cfRule>
  </conditionalFormatting>
  <conditionalFormatting sqref="G9:G10">
    <cfRule type="expression" dxfId="53" priority="93">
      <formula>IF(AND(OR(G9="",#REF!="Segment"),OR(#REF!="Accuracy",#REF!="Fluency",#REF!="Other")),1,0)</formula>
    </cfRule>
  </conditionalFormatting>
  <conditionalFormatting sqref="E11:G11">
    <cfRule type="expression" dxfId="52" priority="89">
      <formula>IF(OR(AND(E11="",F11="",OR(G11="Critical",G11="Major",G11="Minor"))),1,0)</formula>
    </cfRule>
  </conditionalFormatting>
  <conditionalFormatting sqref="F11">
    <cfRule type="expression" dxfId="51" priority="88">
      <formula>IF(AND(F11="",OR(E11="Accuracy",E11="Fluency",E11="Segment",E11="Other")),1,0)</formula>
    </cfRule>
  </conditionalFormatting>
  <conditionalFormatting sqref="G11">
    <cfRule type="expression" dxfId="50" priority="90">
      <formula>IF(AND(OR(G11="",#REF!="Segment"),OR(#REF!="Accuracy",#REF!="Fluency",#REF!="Other")),1,0)</formula>
    </cfRule>
  </conditionalFormatting>
  <conditionalFormatting sqref="E12:G12">
    <cfRule type="expression" dxfId="49" priority="86">
      <formula>IF(OR(AND(E12="",F12="",OR(G12="Critical",G12="Major",G12="Minor"))),1,0)</formula>
    </cfRule>
  </conditionalFormatting>
  <conditionalFormatting sqref="F12">
    <cfRule type="expression" dxfId="48" priority="85">
      <formula>IF(AND(F12="",OR(E12="Accuracy",E12="Fluency",E12="Segment",E12="Other")),1,0)</formula>
    </cfRule>
  </conditionalFormatting>
  <conditionalFormatting sqref="G12">
    <cfRule type="expression" dxfId="47" priority="87">
      <formula>IF(AND(OR(G12="",#REF!="Segment"),OR(#REF!="Accuracy",#REF!="Fluency",#REF!="Other")),1,0)</formula>
    </cfRule>
  </conditionalFormatting>
  <conditionalFormatting sqref="E13:G13">
    <cfRule type="expression" dxfId="46" priority="83">
      <formula>IF(OR(AND(E13="",F13="",OR(G13="Critical",G13="Major",G13="Minor"))),1,0)</formula>
    </cfRule>
  </conditionalFormatting>
  <conditionalFormatting sqref="F13">
    <cfRule type="expression" dxfId="45" priority="82">
      <formula>IF(AND(F13="",OR(E13="Accuracy",E13="Fluency",E13="Segment",E13="Other")),1,0)</formula>
    </cfRule>
  </conditionalFormatting>
  <conditionalFormatting sqref="G13">
    <cfRule type="expression" dxfId="44" priority="84">
      <formula>IF(AND(OR(G13="",#REF!="Segment"),OR(#REF!="Accuracy",#REF!="Fluency",#REF!="Other")),1,0)</formula>
    </cfRule>
  </conditionalFormatting>
  <conditionalFormatting sqref="E14:G14">
    <cfRule type="expression" dxfId="43" priority="80">
      <formula>IF(OR(AND(E14="",F14="",OR(G14="Critical",G14="Major",G14="Minor"))),1,0)</formula>
    </cfRule>
  </conditionalFormatting>
  <conditionalFormatting sqref="F14">
    <cfRule type="expression" dxfId="42" priority="79">
      <formula>IF(AND(F14="",OR(E14="Accuracy",E14="Fluency",E14="Segment",E14="Other")),1,0)</formula>
    </cfRule>
  </conditionalFormatting>
  <conditionalFormatting sqref="G14">
    <cfRule type="expression" dxfId="41" priority="81">
      <formula>IF(AND(OR(G14="",#REF!="Segment"),OR(#REF!="Accuracy",#REF!="Fluency",#REF!="Other")),1,0)</formula>
    </cfRule>
  </conditionalFormatting>
  <conditionalFormatting sqref="E15:G15">
    <cfRule type="expression" dxfId="40" priority="77">
      <formula>IF(OR(AND(E15="",F15="",OR(G15="Critical",G15="Major",G15="Minor"))),1,0)</formula>
    </cfRule>
  </conditionalFormatting>
  <conditionalFormatting sqref="F15">
    <cfRule type="expression" dxfId="39" priority="76">
      <formula>IF(AND(F15="",OR(E15="Accuracy",E15="Fluency",E15="Segment",E15="Other")),1,0)</formula>
    </cfRule>
  </conditionalFormatting>
  <conditionalFormatting sqref="G15">
    <cfRule type="expression" dxfId="38" priority="78">
      <formula>IF(AND(OR(G15="",#REF!="Segment"),OR(#REF!="Accuracy",#REF!="Fluency",#REF!="Other")),1,0)</formula>
    </cfRule>
  </conditionalFormatting>
  <conditionalFormatting sqref="E16:G16">
    <cfRule type="expression" dxfId="37" priority="74">
      <formula>IF(OR(AND(E16="",F16="",OR(G16="Critical",G16="Major",G16="Minor"))),1,0)</formula>
    </cfRule>
  </conditionalFormatting>
  <conditionalFormatting sqref="F16">
    <cfRule type="expression" dxfId="36" priority="73">
      <formula>IF(AND(F16="",OR(E16="Accuracy",E16="Fluency",E16="Segment",E16="Other")),1,0)</formula>
    </cfRule>
  </conditionalFormatting>
  <conditionalFormatting sqref="G16">
    <cfRule type="expression" dxfId="35" priority="75">
      <formula>IF(AND(OR(G16="",#REF!="Segment"),OR(#REF!="Accuracy",#REF!="Fluency",#REF!="Other")),1,0)</formula>
    </cfRule>
  </conditionalFormatting>
  <conditionalFormatting sqref="E17:G17">
    <cfRule type="expression" dxfId="34" priority="71">
      <formula>IF(OR(AND(E17="",F17="",OR(G17="Critical",G17="Major",G17="Minor"))),1,0)</formula>
    </cfRule>
  </conditionalFormatting>
  <conditionalFormatting sqref="F17">
    <cfRule type="expression" dxfId="33" priority="70">
      <formula>IF(AND(F17="",OR(E17="Accuracy",E17="Fluency",E17="Segment",E17="Other")),1,0)</formula>
    </cfRule>
  </conditionalFormatting>
  <conditionalFormatting sqref="G17">
    <cfRule type="expression" dxfId="32" priority="72">
      <formula>IF(AND(OR(G17="",#REF!="Segment"),OR(#REF!="Accuracy",#REF!="Fluency",#REF!="Other")),1,0)</formula>
    </cfRule>
  </conditionalFormatting>
  <conditionalFormatting sqref="E23 G23">
    <cfRule type="expression" dxfId="31" priority="68">
      <formula>IF(OR(AND(E23="",F23="",OR(G23="Critical",G23="Major",G23="Minor"))),1,0)</formula>
    </cfRule>
  </conditionalFormatting>
  <conditionalFormatting sqref="G23">
    <cfRule type="expression" dxfId="30" priority="69">
      <formula>IF(AND(OR(G23="",#REF!="Segment"),OR(#REF!="Accuracy",#REF!="Fluency",#REF!="Other")),1,0)</formula>
    </cfRule>
  </conditionalFormatting>
  <conditionalFormatting sqref="G24">
    <cfRule type="expression" dxfId="29" priority="65">
      <formula>IF(OR(AND(G24="",H24="",OR(I24="Critical",I24="Major",I24="Minor"))),1,0)</formula>
    </cfRule>
  </conditionalFormatting>
  <conditionalFormatting sqref="G24">
    <cfRule type="expression" dxfId="28" priority="66">
      <formula>IF(AND(OR(G24="",#REF!="Segment"),OR(#REF!="Accuracy",#REF!="Fluency",#REF!="Other")),1,0)</formula>
    </cfRule>
  </conditionalFormatting>
  <conditionalFormatting sqref="G25">
    <cfRule type="expression" dxfId="27" priority="62">
      <formula>IF(OR(AND(G25="",H25="",OR(I25="Critical",I25="Major",I25="Minor"))),1,0)</formula>
    </cfRule>
  </conditionalFormatting>
  <conditionalFormatting sqref="G25">
    <cfRule type="expression" dxfId="26" priority="63">
      <formula>IF(AND(OR(G25="",#REF!="Segment"),OR(#REF!="Accuracy",#REF!="Fluency",#REF!="Other")),1,0)</formula>
    </cfRule>
  </conditionalFormatting>
  <conditionalFormatting sqref="E26:G27">
    <cfRule type="expression" dxfId="25" priority="59">
      <formula>IF(OR(AND(E26="",F26="",OR(G26="Critical",G26="Major",G26="Minor"))),1,0)</formula>
    </cfRule>
  </conditionalFormatting>
  <conditionalFormatting sqref="F26:F27">
    <cfRule type="expression" dxfId="24" priority="58">
      <formula>IF(AND(F26="",OR(E26="Accuracy",E26="Fluency",E26="Segment",E26="Other")),1,0)</formula>
    </cfRule>
  </conditionalFormatting>
  <conditionalFormatting sqref="G26:G27">
    <cfRule type="expression" dxfId="23" priority="60">
      <formula>IF(AND(OR(G26="",#REF!="Segment"),OR(#REF!="Accuracy",#REF!="Fluency",#REF!="Other")),1,0)</formula>
    </cfRule>
  </conditionalFormatting>
  <conditionalFormatting sqref="F28">
    <cfRule type="expression" dxfId="22" priority="57">
      <formula>IF(OR(AND(F28="",G28="",OR(H27="Critical",H27="Major",H27="Minor"))),1,0)</formula>
    </cfRule>
  </conditionalFormatting>
  <conditionalFormatting sqref="G28">
    <cfRule type="expression" dxfId="21" priority="55">
      <formula>IF(AND(OR(G28="",#REF!="Segment"),OR(#REF!="Accuracy",#REF!="Fluency",#REF!="Other")),1,0)</formula>
    </cfRule>
  </conditionalFormatting>
  <conditionalFormatting sqref="G28">
    <cfRule type="expression" dxfId="20" priority="56">
      <formula>IF(OR(AND(G28="",H27="",OR(I28="Critical",I28="Major",I28="Minor"))),1,0)</formula>
    </cfRule>
  </conditionalFormatting>
  <conditionalFormatting sqref="E29:E30">
    <cfRule type="expression" dxfId="19" priority="54">
      <formula>IF(OR(AND(E29="",F29="",OR(G29="Critical",G29="Major",G29="Minor"))),1,0)</formula>
    </cfRule>
  </conditionalFormatting>
  <conditionalFormatting sqref="F29:F30">
    <cfRule type="expression" dxfId="18" priority="52">
      <formula>IF(OR(AND(F29="",G29="",OR(H27="Critical",H27="Major",H27="Minor"))),1,0)</formula>
    </cfRule>
  </conditionalFormatting>
  <conditionalFormatting sqref="G29:G30">
    <cfRule type="expression" dxfId="17" priority="53">
      <formula>IF(OR(AND(G29="",H27="",OR(I27="Critical",I27="Major",I27="Minor"))),1,0)</formula>
    </cfRule>
  </conditionalFormatting>
  <conditionalFormatting sqref="F29:F30">
    <cfRule type="expression" dxfId="16" priority="50">
      <formula>IF(AND(F29="",OR(E29="Accuracy",E29="Fluency",E29="Segment",E29="Other")),1,0)</formula>
    </cfRule>
  </conditionalFormatting>
  <conditionalFormatting sqref="G29:G30">
    <cfRule type="expression" dxfId="15" priority="51">
      <formula>IF(AND(OR(G29="",#REF!="Segment"),OR(#REF!="Accuracy",#REF!="Fluency",#REF!="Other")),1,0)</formula>
    </cfRule>
  </conditionalFormatting>
  <conditionalFormatting sqref="E31">
    <cfRule type="expression" dxfId="14" priority="49">
      <formula>IF(OR(AND(E31="",F31="",OR(G31="Critical",G31="Major",G31="Minor"))),1,0)</formula>
    </cfRule>
  </conditionalFormatting>
  <conditionalFormatting sqref="F31">
    <cfRule type="expression" dxfId="13" priority="47">
      <formula>IF(OR(AND(F31="",G31="",OR(H29="Critical",H29="Major",H29="Minor"))),1,0)</formula>
    </cfRule>
  </conditionalFormatting>
  <conditionalFormatting sqref="G31">
    <cfRule type="expression" dxfId="12" priority="48">
      <formula>IF(OR(AND(G31="",H29="",OR(I29="Critical",I29="Major",I29="Minor"))),1,0)</formula>
    </cfRule>
  </conditionalFormatting>
  <conditionalFormatting sqref="F31">
    <cfRule type="expression" dxfId="11" priority="45">
      <formula>IF(AND(F31="",OR(E31="Accuracy",E31="Fluency",E31="Segment",E31="Other")),1,0)</formula>
    </cfRule>
  </conditionalFormatting>
  <conditionalFormatting sqref="G31">
    <cfRule type="expression" dxfId="10" priority="46">
      <formula>IF(AND(OR(G31="",#REF!="Segment"),OR(#REF!="Accuracy",#REF!="Fluency",#REF!="Other")),1,0)</formula>
    </cfRule>
  </conditionalFormatting>
  <conditionalFormatting sqref="E18 G18">
    <cfRule type="expression" dxfId="9" priority="25">
      <formula>IF(OR(AND(E18="",F18="",OR(G18="Critical",G18="Major",G18="Minor"))),1,0)</formula>
    </cfRule>
  </conditionalFormatting>
  <conditionalFormatting sqref="G18">
    <cfRule type="expression" dxfId="8" priority="26">
      <formula>IF(AND(OR(G18="",#REF!="Segment"),OR(#REF!="Accuracy",#REF!="Fluency",#REF!="Other")),1,0)</formula>
    </cfRule>
  </conditionalFormatting>
  <conditionalFormatting sqref="G22">
    <cfRule type="expression" dxfId="7" priority="22">
      <formula>IF(OR(AND(G22="",H22="",OR(I22="Critical",I22="Major",I22="Minor"))),1,0)</formula>
    </cfRule>
  </conditionalFormatting>
  <conditionalFormatting sqref="G22">
    <cfRule type="expression" dxfId="6" priority="23">
      <formula>IF(AND(OR(G22="",#REF!="Segment"),OR(#REF!="Accuracy",#REF!="Fluency",#REF!="Other")),1,0)</formula>
    </cfRule>
  </conditionalFormatting>
  <conditionalFormatting sqref="G19">
    <cfRule type="expression" dxfId="5" priority="13">
      <formula>IF(OR(AND(G19="",H19="",OR(I19="Critical",I19="Major",I19="Minor"))),1,0)</formula>
    </cfRule>
  </conditionalFormatting>
  <conditionalFormatting sqref="G19">
    <cfRule type="expression" dxfId="4" priority="14">
      <formula>IF(AND(OR(G19="",#REF!="Segment"),OR(#REF!="Accuracy",#REF!="Fluency",#REF!="Other")),1,0)</formula>
    </cfRule>
  </conditionalFormatting>
  <conditionalFormatting sqref="G20">
    <cfRule type="expression" dxfId="3" priority="11">
      <formula>IF(OR(AND(G20="",H20="",OR(I20="Critical",I20="Major",I20="Minor"))),1,0)</formula>
    </cfRule>
  </conditionalFormatting>
  <conditionalFormatting sqref="G20">
    <cfRule type="expression" dxfId="2" priority="12">
      <formula>IF(AND(OR(G20="",#REF!="Segment"),OR(#REF!="Accuracy",#REF!="Fluency",#REF!="Other")),1,0)</formula>
    </cfRule>
  </conditionalFormatting>
  <conditionalFormatting sqref="G21">
    <cfRule type="expression" dxfId="1" priority="9">
      <formula>IF(OR(AND(G21="",H21="",OR(I21="Critical",I21="Major",I21="Minor"))),1,0)</formula>
    </cfRule>
  </conditionalFormatting>
  <conditionalFormatting sqref="G21">
    <cfRule type="expression" dxfId="0" priority="10">
      <formula>IF(AND(OR(G21="",#REF!="Segment"),OR(#REF!="Accuracy",#REF!="Fluency",#REF!="Other")),1,0)</formula>
    </cfRule>
  </conditionalFormatting>
  <dataValidations count="3">
    <dataValidation allowBlank="1" showDropDown="1" showInputMessage="1" showErrorMessage="1" sqref="E1:G1 H30:H476 I1:I476 H1:H28" xr:uid="{00000000-0002-0000-0100-000000000000}"/>
    <dataValidation type="list" allowBlank="1" showInputMessage="1" showErrorMessage="1" sqref="E2:E476" xr:uid="{00000000-0002-0000-0100-000001000000}">
      <formula1>Issue_Type</formula1>
    </dataValidation>
    <dataValidation type="list" allowBlank="1" showInputMessage="1" showErrorMessage="1" sqref="F2:G476" xr:uid="{00000000-0002-0000-0100-000002000000}">
      <formula1>INDIRECT(E2)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uplicateRows">
                <anchor moveWithCells="1" sizeWithCells="1">
                  <from>
                    <xdr:col>10</xdr:col>
                    <xdr:colOff>152400</xdr:colOff>
                    <xdr:row>0</xdr:row>
                    <xdr:rowOff>22860</xdr:rowOff>
                  </from>
                  <to>
                    <xdr:col>10</xdr:col>
                    <xdr:colOff>1013460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J203"/>
  <sheetViews>
    <sheetView zoomScale="90" zoomScaleNormal="90" zoomScalePageLayoutView="90" workbookViewId="0">
      <pane ySplit="1" topLeftCell="A2" activePane="bottomLeft" state="frozen"/>
      <selection pane="bottomLeft" activeCell="C20" sqref="C20"/>
    </sheetView>
  </sheetViews>
  <sheetFormatPr defaultColWidth="9" defaultRowHeight="15"/>
  <cols>
    <col min="1" max="1" width="8.796875" style="75" customWidth="1"/>
    <col min="2" max="2" width="31.296875" style="28" customWidth="1"/>
    <col min="3" max="3" width="44.69921875" style="28" customWidth="1"/>
    <col min="4" max="4" width="12.296875" style="28" customWidth="1"/>
    <col min="5" max="7" width="8.5" style="28" customWidth="1"/>
    <col min="8" max="9" width="14.59765625" style="28" customWidth="1"/>
    <col min="10" max="10" width="12" style="28" customWidth="1"/>
    <col min="11" max="16384" width="9" style="28"/>
  </cols>
  <sheetData>
    <row r="1" spans="1:10">
      <c r="A1" s="74" t="s">
        <v>17</v>
      </c>
      <c r="B1" s="12" t="s">
        <v>4</v>
      </c>
      <c r="C1" s="12" t="s">
        <v>5</v>
      </c>
      <c r="D1" s="15" t="s">
        <v>38</v>
      </c>
      <c r="E1" s="11" t="s">
        <v>22</v>
      </c>
      <c r="F1" s="11" t="s">
        <v>20</v>
      </c>
      <c r="G1" s="11" t="s">
        <v>1</v>
      </c>
      <c r="H1" s="11" t="s">
        <v>40</v>
      </c>
      <c r="I1" s="11" t="s">
        <v>41</v>
      </c>
      <c r="J1" s="11" t="s">
        <v>44</v>
      </c>
    </row>
    <row r="2" spans="1:10">
      <c r="A2" s="76"/>
      <c r="B2" s="49" t="str">
        <f>IF(ISBLANK(A2),"",INDEX('Error Log'!$A:$J,MATCH('Scores per segment'!$A2,'Error Log'!$A:$A,0),MATCH('Scores per segment'!B$1,'Error Log'!$A$1:$J$1,0)))</f>
        <v/>
      </c>
      <c r="C2" s="49" t="str">
        <f>IF(ISBLANK(A2),"",INDEX('Error Log'!$A:$J,MATCH('Scores per segment'!$A2,'Error Log'!$A:$A,0),MATCH('Scores per segment'!C$1,'Error Log'!$A$1:$J$1,0)))</f>
        <v/>
      </c>
      <c r="D2" s="49">
        <f>IF(H2=0,wdct(TRIM(C2)),0)</f>
        <v>0</v>
      </c>
      <c r="E2" s="49">
        <f>COUNTIFS('Error Log'!$A:$A,$A2,'Error Log'!$J:$J,E$1)</f>
        <v>0</v>
      </c>
      <c r="F2" s="49">
        <f>COUNTIFS('Error Log'!$A:$A,$A2,'Error Log'!$J:$J,F$1)</f>
        <v>0</v>
      </c>
      <c r="G2" s="49">
        <f>COUNTIFS('Error Log'!$A:$A,$A2,'Error Log'!$J:$J,G$1)</f>
        <v>0</v>
      </c>
      <c r="H2" s="49">
        <f>COUNTIFS('Error Log'!$A:$A,$A2,'Error Log'!$F:$F,"Source")</f>
        <v>0</v>
      </c>
      <c r="I2" s="49">
        <f>COUNTIFS('Error Log'!$A:$A,$A2,'Error Log'!$F:$F,"Target")</f>
        <v>0</v>
      </c>
      <c r="J2" s="50">
        <f t="shared" ref="J2" si="0">IF(I2=0,IFERROR((((1-((E2*10+F2*5+G2*1)/D2))*100)+100)/2,0),-150)</f>
        <v>0</v>
      </c>
    </row>
    <row r="3" spans="1:10">
      <c r="A3" s="14"/>
      <c r="B3" s="49"/>
      <c r="C3" s="49"/>
      <c r="D3" s="49">
        <f>IF(H3=0,wdct(TRIM(C3)),0)</f>
        <v>0</v>
      </c>
      <c r="E3" s="49">
        <f>COUNTIFS('Error Log'!$A:$A,$A3,'Error Log'!$J:$J,E$1)</f>
        <v>0</v>
      </c>
      <c r="F3" s="49">
        <f>COUNTIFS('Error Log'!$A:$A,$A3,'Error Log'!$J:$J,F$1)</f>
        <v>0</v>
      </c>
      <c r="G3" s="49">
        <f>COUNTIFS('Error Log'!$A:$A,$A3,'Error Log'!$J:$J,G$1)</f>
        <v>0</v>
      </c>
      <c r="H3" s="49">
        <f>COUNTIFS('Error Log'!$A:$A,$A3,'Error Log'!$F:$F,"Source")</f>
        <v>0</v>
      </c>
      <c r="I3" s="49">
        <f>COUNTIFS('Error Log'!$A:$A,$A3,'Error Log'!$F:$F,"Target")</f>
        <v>0</v>
      </c>
      <c r="J3" s="50">
        <f t="shared" ref="J3:J32" si="1">IF(I3=0,IFERROR((((1-((E3*10+F3*5+G3*1)/D3))*100)+100)/2,0),-150)</f>
        <v>0</v>
      </c>
    </row>
    <row r="4" spans="1:10">
      <c r="A4" s="14"/>
      <c r="B4" s="49"/>
      <c r="C4" s="49"/>
      <c r="D4" s="49">
        <f>IF(H4=0,wdct(TRIM(C4)),0)</f>
        <v>0</v>
      </c>
      <c r="E4" s="49">
        <f>COUNTIFS('Error Log'!$A:$A,$A4,'Error Log'!$J:$J,E$1)</f>
        <v>0</v>
      </c>
      <c r="F4" s="49">
        <f>COUNTIFS('Error Log'!$A:$A,$A4,'Error Log'!$J:$J,F$1)</f>
        <v>0</v>
      </c>
      <c r="G4" s="49">
        <f>COUNTIFS('Error Log'!$A:$A,$A4,'Error Log'!$J:$J,G$1)</f>
        <v>0</v>
      </c>
      <c r="H4" s="49">
        <f>COUNTIFS('Error Log'!$A:$A,$A4,'Error Log'!$F:$F,"Source")</f>
        <v>0</v>
      </c>
      <c r="I4" s="49">
        <f>COUNTIFS('Error Log'!$A:$A,$A4,'Error Log'!$F:$F,"Target")</f>
        <v>0</v>
      </c>
      <c r="J4" s="50">
        <f t="shared" si="1"/>
        <v>0</v>
      </c>
    </row>
    <row r="5" spans="1:10">
      <c r="A5" s="14"/>
      <c r="B5" s="49"/>
      <c r="C5" s="49"/>
      <c r="D5" s="49">
        <f>IF(H5=0,wdct(TRIM(C5)),0)</f>
        <v>0</v>
      </c>
      <c r="E5" s="49">
        <f>COUNTIFS('Error Log'!$A:$A,$A5,'Error Log'!$J:$J,E$1)</f>
        <v>0</v>
      </c>
      <c r="F5" s="49">
        <f>COUNTIFS('Error Log'!$A:$A,$A5,'Error Log'!$J:$J,F$1)</f>
        <v>0</v>
      </c>
      <c r="G5" s="49">
        <f>COUNTIFS('Error Log'!$A:$A,$A5,'Error Log'!$J:$J,G$1)</f>
        <v>0</v>
      </c>
      <c r="H5" s="49">
        <f>COUNTIFS('Error Log'!$A:$A,$A5,'Error Log'!$F:$F,"Source")</f>
        <v>0</v>
      </c>
      <c r="I5" s="49">
        <f>COUNTIFS('Error Log'!$A:$A,$A5,'Error Log'!$F:$F,"Target")</f>
        <v>0</v>
      </c>
      <c r="J5" s="50">
        <f t="shared" si="1"/>
        <v>0</v>
      </c>
    </row>
    <row r="6" spans="1:10">
      <c r="A6" s="14"/>
      <c r="B6" s="49"/>
      <c r="C6" s="49"/>
      <c r="D6" s="49">
        <f>IF(H6=0,wdct(TRIM(C6)),0)</f>
        <v>0</v>
      </c>
      <c r="E6" s="49">
        <f>COUNTIFS('Error Log'!$A:$A,$A6,'Error Log'!$J:$J,E$1)</f>
        <v>0</v>
      </c>
      <c r="F6" s="49">
        <f>COUNTIFS('Error Log'!$A:$A,$A6,'Error Log'!$J:$J,F$1)</f>
        <v>0</v>
      </c>
      <c r="G6" s="49">
        <f>COUNTIFS('Error Log'!$A:$A,$A6,'Error Log'!$J:$J,G$1)</f>
        <v>0</v>
      </c>
      <c r="H6" s="49">
        <f>COUNTIFS('Error Log'!$A:$A,$A6,'Error Log'!$F:$F,"Source")</f>
        <v>0</v>
      </c>
      <c r="I6" s="49">
        <f>COUNTIFS('Error Log'!$A:$A,$A6,'Error Log'!$F:$F,"Target")</f>
        <v>0</v>
      </c>
      <c r="J6" s="50">
        <f t="shared" si="1"/>
        <v>0</v>
      </c>
    </row>
    <row r="7" spans="1:10">
      <c r="A7" s="14"/>
      <c r="B7" s="49"/>
      <c r="C7" s="49"/>
      <c r="D7" s="49">
        <f>IF(H7=0,wdct(TRIM(C7)),0)</f>
        <v>0</v>
      </c>
      <c r="E7" s="49">
        <f>COUNTIFS('Error Log'!$A:$A,$A7,'Error Log'!$J:$J,E$1)</f>
        <v>0</v>
      </c>
      <c r="F7" s="49">
        <f>COUNTIFS('Error Log'!$A:$A,$A7,'Error Log'!$J:$J,F$1)</f>
        <v>0</v>
      </c>
      <c r="G7" s="49">
        <f>COUNTIFS('Error Log'!$A:$A,$A7,'Error Log'!$J:$J,G$1)</f>
        <v>0</v>
      </c>
      <c r="H7" s="49">
        <f>COUNTIFS('Error Log'!$A:$A,$A7,'Error Log'!$F:$F,"Source")</f>
        <v>0</v>
      </c>
      <c r="I7" s="49">
        <f>COUNTIFS('Error Log'!$A:$A,$A7,'Error Log'!$F:$F,"Target")</f>
        <v>0</v>
      </c>
      <c r="J7" s="50">
        <f t="shared" si="1"/>
        <v>0</v>
      </c>
    </row>
    <row r="8" spans="1:10">
      <c r="A8" s="14"/>
      <c r="B8" s="49"/>
      <c r="C8" s="49"/>
      <c r="D8" s="49">
        <f>IF(H8=0,wdct(TRIM(C8)),0)</f>
        <v>0</v>
      </c>
      <c r="E8" s="49">
        <f>COUNTIFS('Error Log'!$A:$A,$A8,'Error Log'!$J:$J,E$1)</f>
        <v>0</v>
      </c>
      <c r="F8" s="49">
        <f>COUNTIFS('Error Log'!$A:$A,$A8,'Error Log'!$J:$J,F$1)</f>
        <v>0</v>
      </c>
      <c r="G8" s="49">
        <f>COUNTIFS('Error Log'!$A:$A,$A8,'Error Log'!$J:$J,G$1)</f>
        <v>0</v>
      </c>
      <c r="H8" s="49">
        <f>COUNTIFS('Error Log'!$A:$A,$A8,'Error Log'!$F:$F,"Source")</f>
        <v>0</v>
      </c>
      <c r="I8" s="49">
        <f>COUNTIFS('Error Log'!$A:$A,$A8,'Error Log'!$F:$F,"Target")</f>
        <v>0</v>
      </c>
      <c r="J8" s="50">
        <f t="shared" si="1"/>
        <v>0</v>
      </c>
    </row>
    <row r="9" spans="1:10">
      <c r="A9" s="14"/>
      <c r="B9" s="49"/>
      <c r="C9" s="49"/>
      <c r="D9" s="49">
        <f>IF(H9=0,wdct(TRIM(C9)),0)</f>
        <v>0</v>
      </c>
      <c r="E9" s="49">
        <f>COUNTIFS('Error Log'!$A:$A,$A9,'Error Log'!$J:$J,E$1)</f>
        <v>0</v>
      </c>
      <c r="F9" s="49">
        <f>COUNTIFS('Error Log'!$A:$A,$A9,'Error Log'!$J:$J,F$1)</f>
        <v>0</v>
      </c>
      <c r="G9" s="49">
        <f>COUNTIFS('Error Log'!$A:$A,$A9,'Error Log'!$J:$J,G$1)</f>
        <v>0</v>
      </c>
      <c r="H9" s="49">
        <f>COUNTIFS('Error Log'!$A:$A,$A9,'Error Log'!$F:$F,"Source")</f>
        <v>0</v>
      </c>
      <c r="I9" s="49">
        <f>COUNTIFS('Error Log'!$A:$A,$A9,'Error Log'!$F:$F,"Target")</f>
        <v>0</v>
      </c>
      <c r="J9" s="50">
        <f t="shared" si="1"/>
        <v>0</v>
      </c>
    </row>
    <row r="10" spans="1:10">
      <c r="A10" s="14"/>
      <c r="B10" s="49"/>
      <c r="C10" s="49"/>
      <c r="D10" s="49">
        <f>IF(H10=0,wdct(TRIM(C10)),0)</f>
        <v>0</v>
      </c>
      <c r="E10" s="49">
        <f>COUNTIFS('Error Log'!$A:$A,$A10,'Error Log'!$J:$J,E$1)</f>
        <v>0</v>
      </c>
      <c r="F10" s="49">
        <f>COUNTIFS('Error Log'!$A:$A,$A10,'Error Log'!$J:$J,F$1)</f>
        <v>0</v>
      </c>
      <c r="G10" s="49">
        <f>COUNTIFS('Error Log'!$A:$A,$A10,'Error Log'!$J:$J,G$1)</f>
        <v>0</v>
      </c>
      <c r="H10" s="49">
        <f>COUNTIFS('Error Log'!$A:$A,$A10,'Error Log'!$F:$F,"Source")</f>
        <v>0</v>
      </c>
      <c r="I10" s="49">
        <f>COUNTIFS('Error Log'!$A:$A,$A10,'Error Log'!$F:$F,"Target")</f>
        <v>0</v>
      </c>
      <c r="J10" s="50">
        <f t="shared" si="1"/>
        <v>0</v>
      </c>
    </row>
    <row r="11" spans="1:10">
      <c r="A11" s="14"/>
      <c r="B11" s="49"/>
      <c r="C11" s="49"/>
      <c r="D11" s="49">
        <f>IF(H11=0,wdct(TRIM(C11)),0)</f>
        <v>0</v>
      </c>
      <c r="E11" s="49">
        <f>COUNTIFS('Error Log'!$A:$A,$A11,'Error Log'!$J:$J,E$1)</f>
        <v>0</v>
      </c>
      <c r="F11" s="49">
        <f>COUNTIFS('Error Log'!$A:$A,$A11,'Error Log'!$J:$J,F$1)</f>
        <v>0</v>
      </c>
      <c r="G11" s="49">
        <f>COUNTIFS('Error Log'!$A:$A,$A11,'Error Log'!$J:$J,G$1)</f>
        <v>0</v>
      </c>
      <c r="H11" s="49">
        <f>COUNTIFS('Error Log'!$A:$A,$A11,'Error Log'!$F:$F,"Source")</f>
        <v>0</v>
      </c>
      <c r="I11" s="49">
        <f>COUNTIFS('Error Log'!$A:$A,$A11,'Error Log'!$F:$F,"Target")</f>
        <v>0</v>
      </c>
      <c r="J11" s="50">
        <f t="shared" si="1"/>
        <v>0</v>
      </c>
    </row>
    <row r="12" spans="1:10">
      <c r="A12" s="14"/>
      <c r="B12" s="49"/>
      <c r="C12" s="49"/>
      <c r="D12" s="49">
        <f>IF(H12=0,wdct(TRIM(C12)),0)</f>
        <v>0</v>
      </c>
      <c r="E12" s="49">
        <f>COUNTIFS('Error Log'!$A:$A,$A12,'Error Log'!$J:$J,E$1)</f>
        <v>0</v>
      </c>
      <c r="F12" s="49">
        <f>COUNTIFS('Error Log'!$A:$A,$A12,'Error Log'!$J:$J,F$1)</f>
        <v>0</v>
      </c>
      <c r="G12" s="49">
        <f>COUNTIFS('Error Log'!$A:$A,$A12,'Error Log'!$J:$J,G$1)</f>
        <v>0</v>
      </c>
      <c r="H12" s="49">
        <f>COUNTIFS('Error Log'!$A:$A,$A12,'Error Log'!$F:$F,"Source")</f>
        <v>0</v>
      </c>
      <c r="I12" s="49">
        <f>COUNTIFS('Error Log'!$A:$A,$A12,'Error Log'!$F:$F,"Target")</f>
        <v>0</v>
      </c>
      <c r="J12" s="50">
        <f t="shared" si="1"/>
        <v>0</v>
      </c>
    </row>
    <row r="13" spans="1:10">
      <c r="A13" s="14"/>
      <c r="B13" s="49"/>
      <c r="C13" s="49"/>
      <c r="D13" s="49">
        <f>IF(H13=0,wdct(TRIM(C13)),0)</f>
        <v>0</v>
      </c>
      <c r="E13" s="49">
        <f>COUNTIFS('Error Log'!$A:$A,$A13,'Error Log'!$J:$J,E$1)</f>
        <v>0</v>
      </c>
      <c r="F13" s="49">
        <f>COUNTIFS('Error Log'!$A:$A,$A13,'Error Log'!$J:$J,F$1)</f>
        <v>0</v>
      </c>
      <c r="G13" s="49">
        <f>COUNTIFS('Error Log'!$A:$A,$A13,'Error Log'!$J:$J,G$1)</f>
        <v>0</v>
      </c>
      <c r="H13" s="49">
        <f>COUNTIFS('Error Log'!$A:$A,$A13,'Error Log'!$F:$F,"Source")</f>
        <v>0</v>
      </c>
      <c r="I13" s="49">
        <f>COUNTIFS('Error Log'!$A:$A,$A13,'Error Log'!$F:$F,"Target")</f>
        <v>0</v>
      </c>
      <c r="J13" s="50">
        <f t="shared" si="1"/>
        <v>0</v>
      </c>
    </row>
    <row r="14" spans="1:10">
      <c r="A14" s="14"/>
      <c r="B14" s="49"/>
      <c r="C14" s="49"/>
      <c r="D14" s="49">
        <f>IF(H14=0,wdct(TRIM(C14)),0)</f>
        <v>0</v>
      </c>
      <c r="E14" s="49">
        <f>COUNTIFS('Error Log'!$A:$A,$A14,'Error Log'!$J:$J,E$1)</f>
        <v>0</v>
      </c>
      <c r="F14" s="49">
        <f>COUNTIFS('Error Log'!$A:$A,$A14,'Error Log'!$J:$J,F$1)</f>
        <v>0</v>
      </c>
      <c r="G14" s="49">
        <f>COUNTIFS('Error Log'!$A:$A,$A14,'Error Log'!$J:$J,G$1)</f>
        <v>0</v>
      </c>
      <c r="H14" s="49">
        <f>COUNTIFS('Error Log'!$A:$A,$A14,'Error Log'!$F:$F,"Source")</f>
        <v>0</v>
      </c>
      <c r="I14" s="49">
        <f>COUNTIFS('Error Log'!$A:$A,$A14,'Error Log'!$F:$F,"Target")</f>
        <v>0</v>
      </c>
      <c r="J14" s="50">
        <f t="shared" si="1"/>
        <v>0</v>
      </c>
    </row>
    <row r="15" spans="1:10">
      <c r="A15" s="14"/>
      <c r="B15" s="49"/>
      <c r="C15" s="49"/>
      <c r="D15" s="49">
        <f>IF(H15=0,wdct(TRIM(C15)),0)</f>
        <v>0</v>
      </c>
      <c r="E15" s="49">
        <f>COUNTIFS('Error Log'!$A:$A,$A15,'Error Log'!$J:$J,E$1)</f>
        <v>0</v>
      </c>
      <c r="F15" s="49">
        <f>COUNTIFS('Error Log'!$A:$A,$A15,'Error Log'!$J:$J,F$1)</f>
        <v>0</v>
      </c>
      <c r="G15" s="49">
        <f>COUNTIFS('Error Log'!$A:$A,$A15,'Error Log'!$J:$J,G$1)</f>
        <v>0</v>
      </c>
      <c r="H15" s="49">
        <f>COUNTIFS('Error Log'!$A:$A,$A15,'Error Log'!$F:$F,"Source")</f>
        <v>0</v>
      </c>
      <c r="I15" s="49">
        <f>COUNTIFS('Error Log'!$A:$A,$A15,'Error Log'!$F:$F,"Target")</f>
        <v>0</v>
      </c>
      <c r="J15" s="50">
        <f t="shared" si="1"/>
        <v>0</v>
      </c>
    </row>
    <row r="16" spans="1:10">
      <c r="A16" s="14"/>
      <c r="B16" s="49"/>
      <c r="C16" s="49"/>
      <c r="D16" s="49">
        <f>IF(H16=0,wdct(TRIM(C16)),0)</f>
        <v>0</v>
      </c>
      <c r="E16" s="49">
        <f>COUNTIFS('Error Log'!$A:$A,$A16,'Error Log'!$J:$J,E$1)</f>
        <v>0</v>
      </c>
      <c r="F16" s="49">
        <f>COUNTIFS('Error Log'!$A:$A,$A16,'Error Log'!$J:$J,F$1)</f>
        <v>0</v>
      </c>
      <c r="G16" s="49">
        <f>COUNTIFS('Error Log'!$A:$A,$A16,'Error Log'!$J:$J,G$1)</f>
        <v>0</v>
      </c>
      <c r="H16" s="49">
        <f>COUNTIFS('Error Log'!$A:$A,$A16,'Error Log'!$F:$F,"Source")</f>
        <v>0</v>
      </c>
      <c r="I16" s="49">
        <f>COUNTIFS('Error Log'!$A:$A,$A16,'Error Log'!$F:$F,"Target")</f>
        <v>0</v>
      </c>
      <c r="J16" s="50">
        <f t="shared" si="1"/>
        <v>0</v>
      </c>
    </row>
    <row r="17" spans="1:10">
      <c r="A17" s="14"/>
      <c r="B17" s="49"/>
      <c r="C17" s="49"/>
      <c r="D17" s="49">
        <f>IF(H17=0,wdct(TRIM(C17)),0)</f>
        <v>0</v>
      </c>
      <c r="E17" s="49">
        <f>COUNTIFS('Error Log'!$A:$A,$A17,'Error Log'!$J:$J,E$1)</f>
        <v>0</v>
      </c>
      <c r="F17" s="49">
        <f>COUNTIFS('Error Log'!$A:$A,$A17,'Error Log'!$J:$J,F$1)</f>
        <v>0</v>
      </c>
      <c r="G17" s="49">
        <f>COUNTIFS('Error Log'!$A:$A,$A17,'Error Log'!$J:$J,G$1)</f>
        <v>0</v>
      </c>
      <c r="H17" s="49">
        <f>COUNTIFS('Error Log'!$A:$A,$A17,'Error Log'!$F:$F,"Source")</f>
        <v>0</v>
      </c>
      <c r="I17" s="49">
        <f>COUNTIFS('Error Log'!$A:$A,$A17,'Error Log'!$F:$F,"Target")</f>
        <v>0</v>
      </c>
      <c r="J17" s="50">
        <f t="shared" si="1"/>
        <v>0</v>
      </c>
    </row>
    <row r="18" spans="1:10">
      <c r="A18" s="14"/>
      <c r="B18" s="49"/>
      <c r="C18" s="49"/>
      <c r="D18" s="49">
        <f>IF(H18=0,wdct(TRIM(C18)),0)</f>
        <v>0</v>
      </c>
      <c r="E18" s="49">
        <f>COUNTIFS('Error Log'!$A:$A,$A18,'Error Log'!$J:$J,E$1)</f>
        <v>0</v>
      </c>
      <c r="F18" s="49">
        <f>COUNTIFS('Error Log'!$A:$A,$A18,'Error Log'!$J:$J,F$1)</f>
        <v>0</v>
      </c>
      <c r="G18" s="49">
        <f>COUNTIFS('Error Log'!$A:$A,$A18,'Error Log'!$J:$J,G$1)</f>
        <v>0</v>
      </c>
      <c r="H18" s="49">
        <f>COUNTIFS('Error Log'!$A:$A,$A18,'Error Log'!$F:$F,"Source")</f>
        <v>0</v>
      </c>
      <c r="I18" s="49">
        <f>COUNTIFS('Error Log'!$A:$A,$A18,'Error Log'!$F:$F,"Target")</f>
        <v>0</v>
      </c>
      <c r="J18" s="50">
        <f t="shared" si="1"/>
        <v>0</v>
      </c>
    </row>
    <row r="19" spans="1:10">
      <c r="A19" s="14"/>
      <c r="B19" s="49"/>
      <c r="C19" s="49"/>
      <c r="D19" s="49">
        <f>IF(H19=0,wdct(TRIM(C19)),0)</f>
        <v>0</v>
      </c>
      <c r="E19" s="49">
        <f>COUNTIFS('Error Log'!$A:$A,$A19,'Error Log'!$J:$J,E$1)</f>
        <v>0</v>
      </c>
      <c r="F19" s="49">
        <f>COUNTIFS('Error Log'!$A:$A,$A19,'Error Log'!$J:$J,F$1)</f>
        <v>0</v>
      </c>
      <c r="G19" s="49">
        <f>COUNTIFS('Error Log'!$A:$A,$A19,'Error Log'!$J:$J,G$1)</f>
        <v>0</v>
      </c>
      <c r="H19" s="49">
        <f>COUNTIFS('Error Log'!$A:$A,$A19,'Error Log'!$F:$F,"Source")</f>
        <v>0</v>
      </c>
      <c r="I19" s="49">
        <f>COUNTIFS('Error Log'!$A:$A,$A19,'Error Log'!$F:$F,"Target")</f>
        <v>0</v>
      </c>
      <c r="J19" s="50">
        <f t="shared" si="1"/>
        <v>0</v>
      </c>
    </row>
    <row r="20" spans="1:10">
      <c r="A20" s="14"/>
      <c r="B20" s="49"/>
      <c r="C20" s="49"/>
      <c r="D20" s="49">
        <f>IF(H20=0,wdct(TRIM(C20)),0)</f>
        <v>0</v>
      </c>
      <c r="E20" s="49">
        <f>COUNTIFS('Error Log'!$A:$A,$A20,'Error Log'!$J:$J,E$1)</f>
        <v>0</v>
      </c>
      <c r="F20" s="49">
        <f>COUNTIFS('Error Log'!$A:$A,$A20,'Error Log'!$J:$J,F$1)</f>
        <v>0</v>
      </c>
      <c r="G20" s="49">
        <f>COUNTIFS('Error Log'!$A:$A,$A20,'Error Log'!$J:$J,G$1)</f>
        <v>0</v>
      </c>
      <c r="H20" s="49">
        <f>COUNTIFS('Error Log'!$A:$A,$A20,'Error Log'!$F:$F,"Source")</f>
        <v>0</v>
      </c>
      <c r="I20" s="49">
        <f>COUNTIFS('Error Log'!$A:$A,$A20,'Error Log'!$F:$F,"Target")</f>
        <v>0</v>
      </c>
      <c r="J20" s="50">
        <f t="shared" si="1"/>
        <v>0</v>
      </c>
    </row>
    <row r="21" spans="1:10">
      <c r="A21" s="14"/>
      <c r="B21" s="49"/>
      <c r="C21" s="49"/>
      <c r="D21" s="49">
        <f>IF(H21=0,wdct(TRIM(C21)),0)</f>
        <v>0</v>
      </c>
      <c r="E21" s="49">
        <f>COUNTIFS('Error Log'!$A:$A,$A21,'Error Log'!$J:$J,E$1)</f>
        <v>0</v>
      </c>
      <c r="F21" s="49">
        <f>COUNTIFS('Error Log'!$A:$A,$A21,'Error Log'!$J:$J,F$1)</f>
        <v>0</v>
      </c>
      <c r="G21" s="49">
        <f>COUNTIFS('Error Log'!$A:$A,$A21,'Error Log'!$J:$J,G$1)</f>
        <v>0</v>
      </c>
      <c r="H21" s="49">
        <f>COUNTIFS('Error Log'!$A:$A,$A21,'Error Log'!$F:$F,"Source")</f>
        <v>0</v>
      </c>
      <c r="I21" s="49">
        <f>COUNTIFS('Error Log'!$A:$A,$A21,'Error Log'!$F:$F,"Target")</f>
        <v>0</v>
      </c>
      <c r="J21" s="50">
        <f t="shared" si="1"/>
        <v>0</v>
      </c>
    </row>
    <row r="22" spans="1:10">
      <c r="A22" s="14"/>
      <c r="B22" s="49"/>
      <c r="C22" s="49"/>
      <c r="D22" s="49">
        <f>IF(H22=0,wdct(TRIM(C22)),0)</f>
        <v>0</v>
      </c>
      <c r="E22" s="49">
        <f>COUNTIFS('Error Log'!$A:$A,$A22,'Error Log'!$J:$J,E$1)</f>
        <v>0</v>
      </c>
      <c r="F22" s="49">
        <f>COUNTIFS('Error Log'!$A:$A,$A22,'Error Log'!$J:$J,F$1)</f>
        <v>0</v>
      </c>
      <c r="G22" s="49">
        <f>COUNTIFS('Error Log'!$A:$A,$A22,'Error Log'!$J:$J,G$1)</f>
        <v>0</v>
      </c>
      <c r="H22" s="49">
        <f>COUNTIFS('Error Log'!$A:$A,$A22,'Error Log'!$F:$F,"Source")</f>
        <v>0</v>
      </c>
      <c r="I22" s="49">
        <f>COUNTIFS('Error Log'!$A:$A,$A22,'Error Log'!$F:$F,"Target")</f>
        <v>0</v>
      </c>
      <c r="J22" s="50">
        <f t="shared" si="1"/>
        <v>0</v>
      </c>
    </row>
    <row r="23" spans="1:10">
      <c r="A23" s="14"/>
      <c r="B23" s="49"/>
      <c r="C23" s="49"/>
      <c r="D23" s="49">
        <f>IF(H23=0,wdct(TRIM(C23)),0)</f>
        <v>0</v>
      </c>
      <c r="E23" s="49">
        <f>COUNTIFS('Error Log'!$A:$A,$A23,'Error Log'!$J:$J,E$1)</f>
        <v>0</v>
      </c>
      <c r="F23" s="49">
        <f>COUNTIFS('Error Log'!$A:$A,$A23,'Error Log'!$J:$J,F$1)</f>
        <v>0</v>
      </c>
      <c r="G23" s="49">
        <f>COUNTIFS('Error Log'!$A:$A,$A23,'Error Log'!$J:$J,G$1)</f>
        <v>0</v>
      </c>
      <c r="H23" s="49">
        <f>COUNTIFS('Error Log'!$A:$A,$A23,'Error Log'!$F:$F,"Source")</f>
        <v>0</v>
      </c>
      <c r="I23" s="49">
        <f>COUNTIFS('Error Log'!$A:$A,$A23,'Error Log'!$F:$F,"Target")</f>
        <v>0</v>
      </c>
      <c r="J23" s="50">
        <f t="shared" si="1"/>
        <v>0</v>
      </c>
    </row>
    <row r="24" spans="1:10">
      <c r="A24" s="14"/>
      <c r="B24" s="49"/>
      <c r="C24" s="49"/>
      <c r="D24" s="49">
        <f>IF(H24=0,wdct(TRIM(C24)),0)</f>
        <v>0</v>
      </c>
      <c r="E24" s="49">
        <f>COUNTIFS('Error Log'!$A:$A,$A24,'Error Log'!$J:$J,E$1)</f>
        <v>0</v>
      </c>
      <c r="F24" s="49">
        <f>COUNTIFS('Error Log'!$A:$A,$A24,'Error Log'!$J:$J,F$1)</f>
        <v>0</v>
      </c>
      <c r="G24" s="49">
        <f>COUNTIFS('Error Log'!$A:$A,$A24,'Error Log'!$J:$J,G$1)</f>
        <v>0</v>
      </c>
      <c r="H24" s="49">
        <f>COUNTIFS('Error Log'!$A:$A,$A24,'Error Log'!$F:$F,"Source")</f>
        <v>0</v>
      </c>
      <c r="I24" s="49">
        <f>COUNTIFS('Error Log'!$A:$A,$A24,'Error Log'!$F:$F,"Target")</f>
        <v>0</v>
      </c>
      <c r="J24" s="50">
        <f t="shared" si="1"/>
        <v>0</v>
      </c>
    </row>
    <row r="25" spans="1:10">
      <c r="A25" s="14"/>
      <c r="B25" s="49"/>
      <c r="C25" s="49"/>
      <c r="D25" s="49">
        <f>IF(H25=0,wdct(TRIM(C25)),0)</f>
        <v>0</v>
      </c>
      <c r="E25" s="49">
        <f>COUNTIFS('Error Log'!$A:$A,$A25,'Error Log'!$J:$J,E$1)</f>
        <v>0</v>
      </c>
      <c r="F25" s="49">
        <f>COUNTIFS('Error Log'!$A:$A,$A25,'Error Log'!$J:$J,F$1)</f>
        <v>0</v>
      </c>
      <c r="G25" s="49">
        <f>COUNTIFS('Error Log'!$A:$A,$A25,'Error Log'!$J:$J,G$1)</f>
        <v>0</v>
      </c>
      <c r="H25" s="49">
        <f>COUNTIFS('Error Log'!$A:$A,$A25,'Error Log'!$F:$F,"Source")</f>
        <v>0</v>
      </c>
      <c r="I25" s="49">
        <f>COUNTIFS('Error Log'!$A:$A,$A25,'Error Log'!$F:$F,"Target")</f>
        <v>0</v>
      </c>
      <c r="J25" s="50">
        <f t="shared" si="1"/>
        <v>0</v>
      </c>
    </row>
    <row r="26" spans="1:10">
      <c r="A26" s="14"/>
      <c r="B26" s="49"/>
      <c r="C26" s="49"/>
      <c r="D26" s="49">
        <f>IF(H26=0,wdct(TRIM(C26)),0)</f>
        <v>0</v>
      </c>
      <c r="E26" s="49">
        <f>COUNTIFS('Error Log'!$A:$A,$A26,'Error Log'!$J:$J,E$1)</f>
        <v>0</v>
      </c>
      <c r="F26" s="49">
        <f>COUNTIFS('Error Log'!$A:$A,$A26,'Error Log'!$J:$J,F$1)</f>
        <v>0</v>
      </c>
      <c r="G26" s="49">
        <f>COUNTIFS('Error Log'!$A:$A,$A26,'Error Log'!$J:$J,G$1)</f>
        <v>0</v>
      </c>
      <c r="H26" s="49">
        <f>COUNTIFS('Error Log'!$A:$A,$A26,'Error Log'!$F:$F,"Source")</f>
        <v>0</v>
      </c>
      <c r="I26" s="49">
        <f>COUNTIFS('Error Log'!$A:$A,$A26,'Error Log'!$F:$F,"Target")</f>
        <v>0</v>
      </c>
      <c r="J26" s="50">
        <f t="shared" si="1"/>
        <v>0</v>
      </c>
    </row>
    <row r="27" spans="1:10">
      <c r="A27" s="14"/>
      <c r="B27" s="49"/>
      <c r="C27" s="49"/>
      <c r="D27" s="49">
        <f>IF(H27=0,wdct(TRIM(C27)),0)</f>
        <v>0</v>
      </c>
      <c r="E27" s="49">
        <f>COUNTIFS('Error Log'!$A:$A,$A27,'Error Log'!$J:$J,E$1)</f>
        <v>0</v>
      </c>
      <c r="F27" s="49">
        <f>COUNTIFS('Error Log'!$A:$A,$A27,'Error Log'!$J:$J,F$1)</f>
        <v>0</v>
      </c>
      <c r="G27" s="49">
        <f>COUNTIFS('Error Log'!$A:$A,$A27,'Error Log'!$J:$J,G$1)</f>
        <v>0</v>
      </c>
      <c r="H27" s="49">
        <f>COUNTIFS('Error Log'!$A:$A,$A27,'Error Log'!$F:$F,"Source")</f>
        <v>0</v>
      </c>
      <c r="I27" s="49">
        <f>COUNTIFS('Error Log'!$A:$A,$A27,'Error Log'!$F:$F,"Target")</f>
        <v>0</v>
      </c>
      <c r="J27" s="50">
        <f t="shared" si="1"/>
        <v>0</v>
      </c>
    </row>
    <row r="28" spans="1:10">
      <c r="A28" s="14"/>
      <c r="B28" s="49"/>
      <c r="C28" s="49"/>
      <c r="D28" s="49">
        <f>IF(H28=0,wdct(TRIM(C28)),0)</f>
        <v>0</v>
      </c>
      <c r="E28" s="49">
        <f>COUNTIFS('Error Log'!$A:$A,$A28,'Error Log'!$J:$J,E$1)</f>
        <v>0</v>
      </c>
      <c r="F28" s="49">
        <f>COUNTIFS('Error Log'!$A:$A,$A28,'Error Log'!$J:$J,F$1)</f>
        <v>0</v>
      </c>
      <c r="G28" s="49">
        <f>COUNTIFS('Error Log'!$A:$A,$A28,'Error Log'!$J:$J,G$1)</f>
        <v>0</v>
      </c>
      <c r="H28" s="49">
        <f>COUNTIFS('Error Log'!$A:$A,$A28,'Error Log'!$F:$F,"Source")</f>
        <v>0</v>
      </c>
      <c r="I28" s="49">
        <f>COUNTIFS('Error Log'!$A:$A,$A28,'Error Log'!$F:$F,"Target")</f>
        <v>0</v>
      </c>
      <c r="J28" s="50">
        <f t="shared" si="1"/>
        <v>0</v>
      </c>
    </row>
    <row r="29" spans="1:10">
      <c r="A29" s="14"/>
      <c r="B29" s="49"/>
      <c r="C29" s="49"/>
      <c r="D29" s="49">
        <f>IF(H29=0,wdct(TRIM(C29)),0)</f>
        <v>0</v>
      </c>
      <c r="E29" s="49">
        <f>COUNTIFS('Error Log'!$A:$A,$A29,'Error Log'!$J:$J,E$1)</f>
        <v>0</v>
      </c>
      <c r="F29" s="49">
        <f>COUNTIFS('Error Log'!$A:$A,$A29,'Error Log'!$J:$J,F$1)</f>
        <v>0</v>
      </c>
      <c r="G29" s="49">
        <f>COUNTIFS('Error Log'!$A:$A,$A29,'Error Log'!$J:$J,G$1)</f>
        <v>0</v>
      </c>
      <c r="H29" s="49">
        <f>COUNTIFS('Error Log'!$A:$A,$A29,'Error Log'!$F:$F,"Source")</f>
        <v>0</v>
      </c>
      <c r="I29" s="49">
        <f>COUNTIFS('Error Log'!$A:$A,$A29,'Error Log'!$F:$F,"Target")</f>
        <v>0</v>
      </c>
      <c r="J29" s="50">
        <f t="shared" si="1"/>
        <v>0</v>
      </c>
    </row>
    <row r="30" spans="1:10">
      <c r="A30" s="14"/>
      <c r="B30" s="49"/>
      <c r="C30" s="49"/>
      <c r="D30" s="49">
        <f>IF(H30=0,wdct(TRIM(C30)),0)</f>
        <v>0</v>
      </c>
      <c r="E30" s="49">
        <f>COUNTIFS('Error Log'!$A:$A,$A30,'Error Log'!$J:$J,E$1)</f>
        <v>0</v>
      </c>
      <c r="F30" s="49">
        <f>COUNTIFS('Error Log'!$A:$A,$A30,'Error Log'!$J:$J,F$1)</f>
        <v>0</v>
      </c>
      <c r="G30" s="49">
        <f>COUNTIFS('Error Log'!$A:$A,$A30,'Error Log'!$J:$J,G$1)</f>
        <v>0</v>
      </c>
      <c r="H30" s="49">
        <f>COUNTIFS('Error Log'!$A:$A,$A30,'Error Log'!$F:$F,"Source")</f>
        <v>0</v>
      </c>
      <c r="I30" s="49">
        <f>COUNTIFS('Error Log'!$A:$A,$A30,'Error Log'!$F:$F,"Target")</f>
        <v>0</v>
      </c>
      <c r="J30" s="50">
        <f t="shared" si="1"/>
        <v>0</v>
      </c>
    </row>
    <row r="31" spans="1:10">
      <c r="A31" s="14"/>
      <c r="B31" s="49"/>
      <c r="C31" s="49"/>
      <c r="D31" s="49">
        <f>IF(H31=0,wdct(TRIM(C31)),0)</f>
        <v>0</v>
      </c>
      <c r="E31" s="49">
        <f>COUNTIFS('Error Log'!$A:$A,$A31,'Error Log'!$J:$J,E$1)</f>
        <v>0</v>
      </c>
      <c r="F31" s="49">
        <f>COUNTIFS('Error Log'!$A:$A,$A31,'Error Log'!$J:$J,F$1)</f>
        <v>0</v>
      </c>
      <c r="G31" s="49">
        <f>COUNTIFS('Error Log'!$A:$A,$A31,'Error Log'!$J:$J,G$1)</f>
        <v>0</v>
      </c>
      <c r="H31" s="49">
        <f>COUNTIFS('Error Log'!$A:$A,$A31,'Error Log'!$F:$F,"Source")</f>
        <v>0</v>
      </c>
      <c r="I31" s="49">
        <f>COUNTIFS('Error Log'!$A:$A,$A31,'Error Log'!$F:$F,"Target")</f>
        <v>0</v>
      </c>
      <c r="J31" s="50">
        <f t="shared" si="1"/>
        <v>0</v>
      </c>
    </row>
    <row r="32" spans="1:10">
      <c r="A32" s="14"/>
      <c r="B32" s="49"/>
      <c r="C32" s="49"/>
      <c r="D32" s="49">
        <f>IF(H32=0,wdct(TRIM(C32)),0)</f>
        <v>0</v>
      </c>
      <c r="E32" s="49">
        <f>COUNTIFS('Error Log'!$A:$A,$A32,'Error Log'!$J:$J,E$1)</f>
        <v>0</v>
      </c>
      <c r="F32" s="49">
        <f>COUNTIFS('Error Log'!$A:$A,$A32,'Error Log'!$J:$J,F$1)</f>
        <v>0</v>
      </c>
      <c r="G32" s="49">
        <f>COUNTIFS('Error Log'!$A:$A,$A32,'Error Log'!$J:$J,G$1)</f>
        <v>0</v>
      </c>
      <c r="H32" s="49">
        <f>COUNTIFS('Error Log'!$A:$A,$A32,'Error Log'!$F:$F,"Source")</f>
        <v>0</v>
      </c>
      <c r="I32" s="49">
        <f>COUNTIFS('Error Log'!$A:$A,$A32,'Error Log'!$F:$F,"Target")</f>
        <v>0</v>
      </c>
      <c r="J32" s="50">
        <f t="shared" si="1"/>
        <v>0</v>
      </c>
    </row>
    <row r="33" spans="1:10">
      <c r="A33" s="14"/>
      <c r="B33" s="49"/>
      <c r="C33" s="49"/>
      <c r="D33" s="49"/>
      <c r="E33" s="49"/>
      <c r="F33" s="49"/>
      <c r="G33" s="49"/>
      <c r="H33" s="49"/>
      <c r="I33" s="49"/>
      <c r="J33" s="50"/>
    </row>
    <row r="34" spans="1:10">
      <c r="A34" s="14"/>
      <c r="B34" s="49"/>
      <c r="C34" s="49"/>
      <c r="D34" s="49"/>
      <c r="E34" s="49"/>
      <c r="F34" s="49"/>
      <c r="G34" s="49"/>
      <c r="H34" s="49"/>
      <c r="I34" s="49"/>
      <c r="J34" s="50"/>
    </row>
    <row r="35" spans="1:10">
      <c r="A35" s="14"/>
      <c r="B35" s="49"/>
      <c r="C35" s="49"/>
      <c r="D35" s="49"/>
      <c r="E35" s="49"/>
      <c r="F35" s="49"/>
      <c r="G35" s="49"/>
      <c r="H35" s="49"/>
      <c r="I35" s="49"/>
      <c r="J35" s="50"/>
    </row>
    <row r="36" spans="1:10">
      <c r="A36" s="14"/>
      <c r="B36" s="49"/>
      <c r="C36" s="49"/>
      <c r="D36" s="49"/>
      <c r="E36" s="49"/>
      <c r="F36" s="49"/>
      <c r="G36" s="49"/>
      <c r="H36" s="49"/>
      <c r="I36" s="49"/>
      <c r="J36" s="50"/>
    </row>
    <row r="37" spans="1:10">
      <c r="A37" s="14"/>
      <c r="B37" s="49"/>
      <c r="C37" s="49"/>
      <c r="D37" s="49"/>
      <c r="E37" s="49"/>
      <c r="F37" s="49"/>
      <c r="G37" s="49"/>
      <c r="H37" s="49"/>
      <c r="I37" s="49"/>
      <c r="J37" s="50"/>
    </row>
    <row r="38" spans="1:10">
      <c r="A38" s="14"/>
      <c r="B38" s="49"/>
      <c r="C38" s="49"/>
      <c r="D38" s="49"/>
      <c r="E38" s="49"/>
      <c r="F38" s="49"/>
      <c r="G38" s="49"/>
      <c r="H38" s="49"/>
      <c r="I38" s="49"/>
      <c r="J38" s="50"/>
    </row>
    <row r="39" spans="1:10">
      <c r="A39" s="14"/>
      <c r="B39" s="49"/>
      <c r="C39" s="49"/>
      <c r="D39" s="49"/>
      <c r="E39" s="49"/>
      <c r="F39" s="49"/>
      <c r="G39" s="49"/>
      <c r="H39" s="49"/>
      <c r="I39" s="49"/>
      <c r="J39" s="50"/>
    </row>
    <row r="40" spans="1:10">
      <c r="A40" s="14"/>
      <c r="B40" s="49"/>
      <c r="C40" s="49"/>
      <c r="D40" s="49"/>
      <c r="E40" s="49"/>
      <c r="F40" s="49"/>
      <c r="G40" s="49"/>
      <c r="H40" s="49"/>
      <c r="I40" s="49"/>
      <c r="J40" s="50"/>
    </row>
    <row r="41" spans="1:10">
      <c r="A41" s="14"/>
      <c r="B41" s="49"/>
      <c r="C41" s="49"/>
      <c r="D41" s="49"/>
      <c r="E41" s="49"/>
      <c r="F41" s="49"/>
      <c r="G41" s="49"/>
      <c r="H41" s="49"/>
      <c r="I41" s="49"/>
      <c r="J41" s="50"/>
    </row>
    <row r="42" spans="1:10">
      <c r="A42" s="14"/>
      <c r="B42" s="49"/>
      <c r="C42" s="49"/>
      <c r="D42" s="49"/>
      <c r="E42" s="49"/>
      <c r="F42" s="49"/>
      <c r="G42" s="49"/>
      <c r="H42" s="49"/>
      <c r="I42" s="49"/>
      <c r="J42" s="50"/>
    </row>
    <row r="43" spans="1:10">
      <c r="A43" s="14"/>
      <c r="B43" s="49"/>
      <c r="C43" s="49"/>
      <c r="D43" s="49"/>
      <c r="E43" s="49"/>
      <c r="F43" s="49"/>
      <c r="G43" s="49"/>
      <c r="H43" s="49"/>
      <c r="I43" s="49"/>
      <c r="J43" s="50"/>
    </row>
    <row r="44" spans="1:10">
      <c r="A44" s="14"/>
      <c r="B44" s="49"/>
      <c r="C44" s="49"/>
      <c r="D44" s="49"/>
      <c r="E44" s="49"/>
      <c r="F44" s="49"/>
      <c r="G44" s="49"/>
      <c r="H44" s="49"/>
      <c r="I44" s="49"/>
      <c r="J44" s="50"/>
    </row>
    <row r="45" spans="1:10">
      <c r="A45" s="14"/>
      <c r="B45" s="49"/>
      <c r="C45" s="49"/>
      <c r="D45" s="49"/>
      <c r="E45" s="49"/>
      <c r="F45" s="49"/>
      <c r="G45" s="49"/>
      <c r="H45" s="49"/>
      <c r="I45" s="49"/>
      <c r="J45" s="50"/>
    </row>
    <row r="46" spans="1:10">
      <c r="A46" s="14"/>
      <c r="B46" s="49"/>
      <c r="C46" s="49"/>
      <c r="D46" s="49">
        <f>IF(H46=0,wdct(TRIM(C46)),0)</f>
        <v>0</v>
      </c>
      <c r="E46" s="49">
        <f>COUNTIFS('Error Log'!$A:$A,$A46,'Error Log'!$J:$J,E$1)</f>
        <v>0</v>
      </c>
      <c r="F46" s="49">
        <f>COUNTIFS('Error Log'!$A:$A,$A46,'Error Log'!$J:$J,F$1)</f>
        <v>0</v>
      </c>
      <c r="G46" s="49">
        <f>COUNTIFS('Error Log'!$A:$A,$A46,'Error Log'!$J:$J,G$1)</f>
        <v>0</v>
      </c>
      <c r="H46" s="49">
        <f>COUNTIFS('Error Log'!$A:$A,$A46,'Error Log'!$F:$F,"Source")</f>
        <v>0</v>
      </c>
      <c r="I46" s="49">
        <f>COUNTIFS('Error Log'!$A:$A,$A46,'Error Log'!$F:$F,"Target")</f>
        <v>0</v>
      </c>
      <c r="J46" s="50">
        <f t="shared" ref="J46:J85" si="2">IF(I46=0,IFERROR((((1-((E46*10+F46*5+G46*1)/D46))*100)+100)/2,0),-150)</f>
        <v>0</v>
      </c>
    </row>
    <row r="47" spans="1:10">
      <c r="A47" s="14"/>
      <c r="B47" s="49"/>
      <c r="C47" s="49"/>
      <c r="D47" s="49">
        <f>IF(H47=0,wdct(TRIM(C47)),0)</f>
        <v>0</v>
      </c>
      <c r="E47" s="49">
        <f>COUNTIFS('Error Log'!$A:$A,$A47,'Error Log'!$J:$J,E$1)</f>
        <v>0</v>
      </c>
      <c r="F47" s="49">
        <f>COUNTIFS('Error Log'!$A:$A,$A47,'Error Log'!$J:$J,F$1)</f>
        <v>0</v>
      </c>
      <c r="G47" s="49">
        <f>COUNTIFS('Error Log'!$A:$A,$A47,'Error Log'!$J:$J,G$1)</f>
        <v>0</v>
      </c>
      <c r="H47" s="49">
        <f>COUNTIFS('Error Log'!$A:$A,$A47,'Error Log'!$F:$F,"Source")</f>
        <v>0</v>
      </c>
      <c r="I47" s="49">
        <f>COUNTIFS('Error Log'!$A:$A,$A47,'Error Log'!$F:$F,"Target")</f>
        <v>0</v>
      </c>
      <c r="J47" s="50">
        <f t="shared" si="2"/>
        <v>0</v>
      </c>
    </row>
    <row r="48" spans="1:10">
      <c r="A48" s="14"/>
      <c r="B48" s="49"/>
      <c r="C48" s="49"/>
      <c r="D48" s="49">
        <f>IF(H48=0,wdct(TRIM(C48)),0)</f>
        <v>0</v>
      </c>
      <c r="E48" s="49">
        <f>COUNTIFS('Error Log'!$A:$A,$A48,'Error Log'!$J:$J,E$1)</f>
        <v>0</v>
      </c>
      <c r="F48" s="49">
        <f>COUNTIFS('Error Log'!$A:$A,$A48,'Error Log'!$J:$J,F$1)</f>
        <v>0</v>
      </c>
      <c r="G48" s="49">
        <f>COUNTIFS('Error Log'!$A:$A,$A48,'Error Log'!$J:$J,G$1)</f>
        <v>0</v>
      </c>
      <c r="H48" s="49">
        <f>COUNTIFS('Error Log'!$A:$A,$A48,'Error Log'!$F:$F,"Source")</f>
        <v>0</v>
      </c>
      <c r="I48" s="49">
        <f>COUNTIFS('Error Log'!$A:$A,$A48,'Error Log'!$F:$F,"Target")</f>
        <v>0</v>
      </c>
      <c r="J48" s="50">
        <f t="shared" si="2"/>
        <v>0</v>
      </c>
    </row>
    <row r="49" spans="1:10">
      <c r="A49" s="14"/>
      <c r="B49" s="49"/>
      <c r="C49" s="49"/>
      <c r="D49" s="49">
        <f>IF(H49=0,wdct(TRIM(C49)),0)</f>
        <v>0</v>
      </c>
      <c r="E49" s="49">
        <f>COUNTIFS('Error Log'!$A:$A,$A49,'Error Log'!$J:$J,E$1)</f>
        <v>0</v>
      </c>
      <c r="F49" s="49">
        <f>COUNTIFS('Error Log'!$A:$A,$A49,'Error Log'!$J:$J,F$1)</f>
        <v>0</v>
      </c>
      <c r="G49" s="49">
        <f>COUNTIFS('Error Log'!$A:$A,$A49,'Error Log'!$J:$J,G$1)</f>
        <v>0</v>
      </c>
      <c r="H49" s="49">
        <f>COUNTIFS('Error Log'!$A:$A,$A49,'Error Log'!$F:$F,"Source")</f>
        <v>0</v>
      </c>
      <c r="I49" s="49">
        <f>COUNTIFS('Error Log'!$A:$A,$A49,'Error Log'!$F:$F,"Target")</f>
        <v>0</v>
      </c>
      <c r="J49" s="50">
        <f t="shared" si="2"/>
        <v>0</v>
      </c>
    </row>
    <row r="50" spans="1:10">
      <c r="A50" s="14"/>
      <c r="B50" s="49"/>
      <c r="C50" s="49"/>
      <c r="D50" s="49">
        <f>IF(H50=0,wdct(TRIM(C50)),0)</f>
        <v>0</v>
      </c>
      <c r="E50" s="49">
        <f>COUNTIFS('Error Log'!$A:$A,$A50,'Error Log'!$J:$J,E$1)</f>
        <v>0</v>
      </c>
      <c r="F50" s="49">
        <f>COUNTIFS('Error Log'!$A:$A,$A50,'Error Log'!$J:$J,F$1)</f>
        <v>0</v>
      </c>
      <c r="G50" s="49">
        <f>COUNTIFS('Error Log'!$A:$A,$A50,'Error Log'!$J:$J,G$1)</f>
        <v>0</v>
      </c>
      <c r="H50" s="49">
        <f>COUNTIFS('Error Log'!$A:$A,$A50,'Error Log'!$F:$F,"Source")</f>
        <v>0</v>
      </c>
      <c r="I50" s="49">
        <f>COUNTIFS('Error Log'!$A:$A,$A50,'Error Log'!$F:$F,"Target")</f>
        <v>0</v>
      </c>
      <c r="J50" s="50">
        <f t="shared" si="2"/>
        <v>0</v>
      </c>
    </row>
    <row r="51" spans="1:10">
      <c r="A51" s="14"/>
      <c r="B51" s="49"/>
      <c r="C51" s="49"/>
      <c r="D51" s="49">
        <f>IF(H51=0,wdct(TRIM(C51)),0)</f>
        <v>0</v>
      </c>
      <c r="E51" s="49">
        <f>COUNTIFS('Error Log'!$A:$A,$A51,'Error Log'!$J:$J,E$1)</f>
        <v>0</v>
      </c>
      <c r="F51" s="49">
        <f>COUNTIFS('Error Log'!$A:$A,$A51,'Error Log'!$J:$J,F$1)</f>
        <v>0</v>
      </c>
      <c r="G51" s="49">
        <f>COUNTIFS('Error Log'!$A:$A,$A51,'Error Log'!$J:$J,G$1)</f>
        <v>0</v>
      </c>
      <c r="H51" s="49">
        <f>COUNTIFS('Error Log'!$A:$A,$A51,'Error Log'!$F:$F,"Source")</f>
        <v>0</v>
      </c>
      <c r="I51" s="49">
        <f>COUNTIFS('Error Log'!$A:$A,$A51,'Error Log'!$F:$F,"Target")</f>
        <v>0</v>
      </c>
      <c r="J51" s="50">
        <f t="shared" si="2"/>
        <v>0</v>
      </c>
    </row>
    <row r="52" spans="1:10">
      <c r="A52" s="14"/>
      <c r="B52" s="49"/>
      <c r="C52" s="49"/>
      <c r="D52" s="49">
        <f>IF(H52=0,wdct(TRIM(C52)),0)</f>
        <v>0</v>
      </c>
      <c r="E52" s="49">
        <f>COUNTIFS('Error Log'!$A:$A,$A52,'Error Log'!$J:$J,E$1)</f>
        <v>0</v>
      </c>
      <c r="F52" s="49">
        <f>COUNTIFS('Error Log'!$A:$A,$A52,'Error Log'!$J:$J,F$1)</f>
        <v>0</v>
      </c>
      <c r="G52" s="49">
        <f>COUNTIFS('Error Log'!$A:$A,$A52,'Error Log'!$J:$J,G$1)</f>
        <v>0</v>
      </c>
      <c r="H52" s="49">
        <f>COUNTIFS('Error Log'!$A:$A,$A52,'Error Log'!$F:$F,"Source")</f>
        <v>0</v>
      </c>
      <c r="I52" s="49">
        <f>COUNTIFS('Error Log'!$A:$A,$A52,'Error Log'!$F:$F,"Target")</f>
        <v>0</v>
      </c>
      <c r="J52" s="50">
        <f t="shared" si="2"/>
        <v>0</v>
      </c>
    </row>
    <row r="53" spans="1:10">
      <c r="A53" s="14"/>
      <c r="B53" s="49"/>
      <c r="C53" s="49"/>
      <c r="D53" s="49">
        <f>IF(H53=0,wdct(TRIM(C53)),0)</f>
        <v>0</v>
      </c>
      <c r="E53" s="49">
        <f>COUNTIFS('Error Log'!$A:$A,$A53,'Error Log'!$J:$J,E$1)</f>
        <v>0</v>
      </c>
      <c r="F53" s="49">
        <f>COUNTIFS('Error Log'!$A:$A,$A53,'Error Log'!$J:$J,F$1)</f>
        <v>0</v>
      </c>
      <c r="G53" s="49">
        <f>COUNTIFS('Error Log'!$A:$A,$A53,'Error Log'!$J:$J,G$1)</f>
        <v>0</v>
      </c>
      <c r="H53" s="49">
        <f>COUNTIFS('Error Log'!$A:$A,$A53,'Error Log'!$F:$F,"Source")</f>
        <v>0</v>
      </c>
      <c r="I53" s="49">
        <f>COUNTIFS('Error Log'!$A:$A,$A53,'Error Log'!$F:$F,"Target")</f>
        <v>0</v>
      </c>
      <c r="J53" s="50">
        <f t="shared" si="2"/>
        <v>0</v>
      </c>
    </row>
    <row r="54" spans="1:10">
      <c r="A54" s="14"/>
      <c r="B54" s="49"/>
      <c r="C54" s="49"/>
      <c r="D54" s="49">
        <f>IF(H54=0,wdct(TRIM(C54)),0)</f>
        <v>0</v>
      </c>
      <c r="E54" s="49">
        <f>COUNTIFS('Error Log'!$A:$A,$A54,'Error Log'!$J:$J,E$1)</f>
        <v>0</v>
      </c>
      <c r="F54" s="49">
        <f>COUNTIFS('Error Log'!$A:$A,$A54,'Error Log'!$J:$J,F$1)</f>
        <v>0</v>
      </c>
      <c r="G54" s="49">
        <f>COUNTIFS('Error Log'!$A:$A,$A54,'Error Log'!$J:$J,G$1)</f>
        <v>0</v>
      </c>
      <c r="H54" s="49">
        <f>COUNTIFS('Error Log'!$A:$A,$A54,'Error Log'!$F:$F,"Source")</f>
        <v>0</v>
      </c>
      <c r="I54" s="49">
        <f>COUNTIFS('Error Log'!$A:$A,$A54,'Error Log'!$F:$F,"Target")</f>
        <v>0</v>
      </c>
      <c r="J54" s="50">
        <f t="shared" si="2"/>
        <v>0</v>
      </c>
    </row>
    <row r="55" spans="1:10">
      <c r="A55" s="14"/>
      <c r="B55" s="49"/>
      <c r="C55" s="49"/>
      <c r="D55" s="49">
        <f>IF(H55=0,wdct(TRIM(C55)),0)</f>
        <v>0</v>
      </c>
      <c r="E55" s="49">
        <f>COUNTIFS('Error Log'!$A:$A,$A55,'Error Log'!$J:$J,E$1)</f>
        <v>0</v>
      </c>
      <c r="F55" s="49">
        <f>COUNTIFS('Error Log'!$A:$A,$A55,'Error Log'!$J:$J,F$1)</f>
        <v>0</v>
      </c>
      <c r="G55" s="49">
        <f>COUNTIFS('Error Log'!$A:$A,$A55,'Error Log'!$J:$J,G$1)</f>
        <v>0</v>
      </c>
      <c r="H55" s="49">
        <f>COUNTIFS('Error Log'!$A:$A,$A55,'Error Log'!$F:$F,"Source")</f>
        <v>0</v>
      </c>
      <c r="I55" s="49">
        <f>COUNTIFS('Error Log'!$A:$A,$A55,'Error Log'!$F:$F,"Target")</f>
        <v>0</v>
      </c>
      <c r="J55" s="50">
        <f t="shared" si="2"/>
        <v>0</v>
      </c>
    </row>
    <row r="56" spans="1:10">
      <c r="A56" s="14"/>
      <c r="B56" s="49"/>
      <c r="C56" s="49"/>
      <c r="D56" s="49">
        <f>IF(H56=0,wdct(TRIM(C56)),0)</f>
        <v>0</v>
      </c>
      <c r="E56" s="49">
        <f>COUNTIFS('Error Log'!$A:$A,$A56,'Error Log'!$J:$J,E$1)</f>
        <v>0</v>
      </c>
      <c r="F56" s="49">
        <f>COUNTIFS('Error Log'!$A:$A,$A56,'Error Log'!$J:$J,F$1)</f>
        <v>0</v>
      </c>
      <c r="G56" s="49">
        <f>COUNTIFS('Error Log'!$A:$A,$A56,'Error Log'!$J:$J,G$1)</f>
        <v>0</v>
      </c>
      <c r="H56" s="49">
        <f>COUNTIFS('Error Log'!$A:$A,$A56,'Error Log'!$F:$F,"Source")</f>
        <v>0</v>
      </c>
      <c r="I56" s="49">
        <f>COUNTIFS('Error Log'!$A:$A,$A56,'Error Log'!$F:$F,"Target")</f>
        <v>0</v>
      </c>
      <c r="J56" s="50">
        <f t="shared" si="2"/>
        <v>0</v>
      </c>
    </row>
    <row r="57" spans="1:10">
      <c r="A57" s="14"/>
      <c r="B57" s="49"/>
      <c r="C57" s="49"/>
      <c r="D57" s="49">
        <f>IF(H57=0,wdct(TRIM(C57)),0)</f>
        <v>0</v>
      </c>
      <c r="E57" s="49">
        <f>COUNTIFS('Error Log'!$A:$A,$A57,'Error Log'!$J:$J,E$1)</f>
        <v>0</v>
      </c>
      <c r="F57" s="49">
        <f>COUNTIFS('Error Log'!$A:$A,$A57,'Error Log'!$J:$J,F$1)</f>
        <v>0</v>
      </c>
      <c r="G57" s="49">
        <f>COUNTIFS('Error Log'!$A:$A,$A57,'Error Log'!$J:$J,G$1)</f>
        <v>0</v>
      </c>
      <c r="H57" s="49">
        <f>COUNTIFS('Error Log'!$A:$A,$A57,'Error Log'!$F:$F,"Source")</f>
        <v>0</v>
      </c>
      <c r="I57" s="49">
        <f>COUNTIFS('Error Log'!$A:$A,$A57,'Error Log'!$F:$F,"Target")</f>
        <v>0</v>
      </c>
      <c r="J57" s="50">
        <f t="shared" si="2"/>
        <v>0</v>
      </c>
    </row>
    <row r="58" spans="1:10">
      <c r="A58" s="14"/>
      <c r="B58" s="49"/>
      <c r="C58" s="49"/>
      <c r="D58" s="49">
        <f>IF(H58=0,wdct(TRIM(C58)),0)</f>
        <v>0</v>
      </c>
      <c r="E58" s="49">
        <f>COUNTIFS('Error Log'!$A:$A,$A58,'Error Log'!$J:$J,E$1)</f>
        <v>0</v>
      </c>
      <c r="F58" s="49">
        <f>COUNTIFS('Error Log'!$A:$A,$A58,'Error Log'!$J:$J,F$1)</f>
        <v>0</v>
      </c>
      <c r="G58" s="49">
        <f>COUNTIFS('Error Log'!$A:$A,$A58,'Error Log'!$J:$J,G$1)</f>
        <v>0</v>
      </c>
      <c r="H58" s="49">
        <f>COUNTIFS('Error Log'!$A:$A,$A58,'Error Log'!$F:$F,"Source")</f>
        <v>0</v>
      </c>
      <c r="I58" s="49">
        <f>COUNTIFS('Error Log'!$A:$A,$A58,'Error Log'!$F:$F,"Target")</f>
        <v>0</v>
      </c>
      <c r="J58" s="50">
        <f t="shared" si="2"/>
        <v>0</v>
      </c>
    </row>
    <row r="59" spans="1:10">
      <c r="A59" s="14"/>
      <c r="B59" s="49"/>
      <c r="C59" s="49"/>
      <c r="D59" s="49">
        <f>IF(H59=0,wdct(TRIM(C59)),0)</f>
        <v>0</v>
      </c>
      <c r="E59" s="49">
        <f>COUNTIFS('Error Log'!$A:$A,$A59,'Error Log'!$J:$J,E$1)</f>
        <v>0</v>
      </c>
      <c r="F59" s="49">
        <f>COUNTIFS('Error Log'!$A:$A,$A59,'Error Log'!$J:$J,F$1)</f>
        <v>0</v>
      </c>
      <c r="G59" s="49">
        <f>COUNTIFS('Error Log'!$A:$A,$A59,'Error Log'!$J:$J,G$1)</f>
        <v>0</v>
      </c>
      <c r="H59" s="49">
        <f>COUNTIFS('Error Log'!$A:$A,$A59,'Error Log'!$F:$F,"Source")</f>
        <v>0</v>
      </c>
      <c r="I59" s="49">
        <f>COUNTIFS('Error Log'!$A:$A,$A59,'Error Log'!$F:$F,"Target")</f>
        <v>0</v>
      </c>
      <c r="J59" s="50">
        <f t="shared" si="2"/>
        <v>0</v>
      </c>
    </row>
    <row r="60" spans="1:10">
      <c r="A60" s="14"/>
      <c r="B60" s="49"/>
      <c r="C60" s="49"/>
      <c r="D60" s="49">
        <f>IF(H60=0,wdct(TRIM(C60)),0)</f>
        <v>0</v>
      </c>
      <c r="E60" s="49">
        <f>COUNTIFS('Error Log'!$A:$A,$A60,'Error Log'!$J:$J,E$1)</f>
        <v>0</v>
      </c>
      <c r="F60" s="49">
        <f>COUNTIFS('Error Log'!$A:$A,$A60,'Error Log'!$J:$J,F$1)</f>
        <v>0</v>
      </c>
      <c r="G60" s="49">
        <f>COUNTIFS('Error Log'!$A:$A,$A60,'Error Log'!$J:$J,G$1)</f>
        <v>0</v>
      </c>
      <c r="H60" s="49">
        <f>COUNTIFS('Error Log'!$A:$A,$A60,'Error Log'!$F:$F,"Source")</f>
        <v>0</v>
      </c>
      <c r="I60" s="49">
        <f>COUNTIFS('Error Log'!$A:$A,$A60,'Error Log'!$F:$F,"Target")</f>
        <v>0</v>
      </c>
      <c r="J60" s="50">
        <f t="shared" si="2"/>
        <v>0</v>
      </c>
    </row>
    <row r="61" spans="1:10">
      <c r="A61" s="14"/>
      <c r="B61" s="49"/>
      <c r="C61" s="49"/>
      <c r="D61" s="49">
        <f>IF(H61=0,wdct(TRIM(C61)),0)</f>
        <v>0</v>
      </c>
      <c r="E61" s="49">
        <f>COUNTIFS('Error Log'!$A:$A,$A61,'Error Log'!$J:$J,E$1)</f>
        <v>0</v>
      </c>
      <c r="F61" s="49">
        <f>COUNTIFS('Error Log'!$A:$A,$A61,'Error Log'!$J:$J,F$1)</f>
        <v>0</v>
      </c>
      <c r="G61" s="49">
        <f>COUNTIFS('Error Log'!$A:$A,$A61,'Error Log'!$J:$J,G$1)</f>
        <v>0</v>
      </c>
      <c r="H61" s="49">
        <f>COUNTIFS('Error Log'!$A:$A,$A61,'Error Log'!$F:$F,"Source")</f>
        <v>0</v>
      </c>
      <c r="I61" s="49">
        <f>COUNTIFS('Error Log'!$A:$A,$A61,'Error Log'!$F:$F,"Target")</f>
        <v>0</v>
      </c>
      <c r="J61" s="50">
        <f t="shared" si="2"/>
        <v>0</v>
      </c>
    </row>
    <row r="62" spans="1:10">
      <c r="A62" s="14"/>
      <c r="B62" s="49"/>
      <c r="C62" s="49"/>
      <c r="D62" s="49">
        <f>IF(H62=0,wdct(TRIM(C62)),0)</f>
        <v>0</v>
      </c>
      <c r="E62" s="49">
        <f>COUNTIFS('Error Log'!$A:$A,$A62,'Error Log'!$J:$J,E$1)</f>
        <v>0</v>
      </c>
      <c r="F62" s="49">
        <f>COUNTIFS('Error Log'!$A:$A,$A62,'Error Log'!$J:$J,F$1)</f>
        <v>0</v>
      </c>
      <c r="G62" s="49">
        <f>COUNTIFS('Error Log'!$A:$A,$A62,'Error Log'!$J:$J,G$1)</f>
        <v>0</v>
      </c>
      <c r="H62" s="49">
        <f>COUNTIFS('Error Log'!$A:$A,$A62,'Error Log'!$F:$F,"Source")</f>
        <v>0</v>
      </c>
      <c r="I62" s="49">
        <f>COUNTIFS('Error Log'!$A:$A,$A62,'Error Log'!$F:$F,"Target")</f>
        <v>0</v>
      </c>
      <c r="J62" s="50">
        <f t="shared" si="2"/>
        <v>0</v>
      </c>
    </row>
    <row r="63" spans="1:10">
      <c r="A63" s="14"/>
      <c r="B63" s="49"/>
      <c r="C63" s="49"/>
      <c r="D63" s="49">
        <f>IF(H63=0,wdct(TRIM(C63)),0)</f>
        <v>0</v>
      </c>
      <c r="E63" s="49">
        <f>COUNTIFS('Error Log'!$A:$A,$A63,'Error Log'!$J:$J,E$1)</f>
        <v>0</v>
      </c>
      <c r="F63" s="49">
        <f>COUNTIFS('Error Log'!$A:$A,$A63,'Error Log'!$J:$J,F$1)</f>
        <v>0</v>
      </c>
      <c r="G63" s="49">
        <f>COUNTIFS('Error Log'!$A:$A,$A63,'Error Log'!$J:$J,G$1)</f>
        <v>0</v>
      </c>
      <c r="H63" s="49">
        <f>COUNTIFS('Error Log'!$A:$A,$A63,'Error Log'!$F:$F,"Source")</f>
        <v>0</v>
      </c>
      <c r="I63" s="49">
        <f>COUNTIFS('Error Log'!$A:$A,$A63,'Error Log'!$F:$F,"Target")</f>
        <v>0</v>
      </c>
      <c r="J63" s="50">
        <f t="shared" si="2"/>
        <v>0</v>
      </c>
    </row>
    <row r="64" spans="1:10">
      <c r="A64" s="14"/>
      <c r="B64" s="49"/>
      <c r="C64" s="49"/>
      <c r="D64" s="49">
        <f>IF(H64=0,wdct(TRIM(C64)),0)</f>
        <v>0</v>
      </c>
      <c r="E64" s="49">
        <f>COUNTIFS('Error Log'!$A:$A,$A64,'Error Log'!$J:$J,E$1)</f>
        <v>0</v>
      </c>
      <c r="F64" s="49">
        <f>COUNTIFS('Error Log'!$A:$A,$A64,'Error Log'!$J:$J,F$1)</f>
        <v>0</v>
      </c>
      <c r="G64" s="49">
        <f>COUNTIFS('Error Log'!$A:$A,$A64,'Error Log'!$J:$J,G$1)</f>
        <v>0</v>
      </c>
      <c r="H64" s="49">
        <f>COUNTIFS('Error Log'!$A:$A,$A64,'Error Log'!$F:$F,"Source")</f>
        <v>0</v>
      </c>
      <c r="I64" s="49">
        <f>COUNTIFS('Error Log'!$A:$A,$A64,'Error Log'!$F:$F,"Target")</f>
        <v>0</v>
      </c>
      <c r="J64" s="50">
        <f t="shared" si="2"/>
        <v>0</v>
      </c>
    </row>
    <row r="65" spans="1:10">
      <c r="A65" s="14"/>
      <c r="B65" s="49"/>
      <c r="C65" s="49"/>
      <c r="D65" s="49">
        <f>IF(H65=0,wdct(TRIM(C65)),0)</f>
        <v>0</v>
      </c>
      <c r="E65" s="49">
        <f>COUNTIFS('Error Log'!$A:$A,$A65,'Error Log'!$J:$J,E$1)</f>
        <v>0</v>
      </c>
      <c r="F65" s="49">
        <f>COUNTIFS('Error Log'!$A:$A,$A65,'Error Log'!$J:$J,F$1)</f>
        <v>0</v>
      </c>
      <c r="G65" s="49">
        <f>COUNTIFS('Error Log'!$A:$A,$A65,'Error Log'!$J:$J,G$1)</f>
        <v>0</v>
      </c>
      <c r="H65" s="49">
        <f>COUNTIFS('Error Log'!$A:$A,$A65,'Error Log'!$F:$F,"Source")</f>
        <v>0</v>
      </c>
      <c r="I65" s="49">
        <f>COUNTIFS('Error Log'!$A:$A,$A65,'Error Log'!$F:$F,"Target")</f>
        <v>0</v>
      </c>
      <c r="J65" s="50">
        <f t="shared" si="2"/>
        <v>0</v>
      </c>
    </row>
    <row r="66" spans="1:10">
      <c r="A66" s="14"/>
      <c r="B66" s="49"/>
      <c r="C66" s="49"/>
      <c r="D66" s="49">
        <f>IF(H66=0,wdct(TRIM(C66)),0)</f>
        <v>0</v>
      </c>
      <c r="E66" s="49">
        <f>COUNTIFS('Error Log'!$A:$A,$A66,'Error Log'!$J:$J,E$1)</f>
        <v>0</v>
      </c>
      <c r="F66" s="49">
        <f>COUNTIFS('Error Log'!$A:$A,$A66,'Error Log'!$J:$J,F$1)</f>
        <v>0</v>
      </c>
      <c r="G66" s="49">
        <f>COUNTIFS('Error Log'!$A:$A,$A66,'Error Log'!$J:$J,G$1)</f>
        <v>0</v>
      </c>
      <c r="H66" s="49">
        <f>COUNTIFS('Error Log'!$A:$A,$A66,'Error Log'!$F:$F,"Source")</f>
        <v>0</v>
      </c>
      <c r="I66" s="49">
        <f>COUNTIFS('Error Log'!$A:$A,$A66,'Error Log'!$F:$F,"Target")</f>
        <v>0</v>
      </c>
      <c r="J66" s="50">
        <f t="shared" si="2"/>
        <v>0</v>
      </c>
    </row>
    <row r="67" spans="1:10">
      <c r="A67" s="14"/>
      <c r="B67" s="49"/>
      <c r="C67" s="49"/>
      <c r="D67" s="49">
        <f>IF(H67=0,wdct(TRIM(C67)),0)</f>
        <v>0</v>
      </c>
      <c r="E67" s="49">
        <f>COUNTIFS('Error Log'!$A:$A,$A67,'Error Log'!$J:$J,E$1)</f>
        <v>0</v>
      </c>
      <c r="F67" s="49">
        <f>COUNTIFS('Error Log'!$A:$A,$A67,'Error Log'!$J:$J,F$1)</f>
        <v>0</v>
      </c>
      <c r="G67" s="49">
        <f>COUNTIFS('Error Log'!$A:$A,$A67,'Error Log'!$J:$J,G$1)</f>
        <v>0</v>
      </c>
      <c r="H67" s="49">
        <f>COUNTIFS('Error Log'!$A:$A,$A67,'Error Log'!$F:$F,"Source")</f>
        <v>0</v>
      </c>
      <c r="I67" s="49">
        <f>COUNTIFS('Error Log'!$A:$A,$A67,'Error Log'!$F:$F,"Target")</f>
        <v>0</v>
      </c>
      <c r="J67" s="50">
        <f t="shared" si="2"/>
        <v>0</v>
      </c>
    </row>
    <row r="68" spans="1:10">
      <c r="A68" s="14"/>
      <c r="B68" s="49"/>
      <c r="C68" s="49"/>
      <c r="D68" s="49">
        <f>IF(H68=0,wdct(TRIM(C68)),0)</f>
        <v>0</v>
      </c>
      <c r="E68" s="49">
        <f>COUNTIFS('Error Log'!$A:$A,$A68,'Error Log'!$J:$J,E$1)</f>
        <v>0</v>
      </c>
      <c r="F68" s="49">
        <f>COUNTIFS('Error Log'!$A:$A,$A68,'Error Log'!$J:$J,F$1)</f>
        <v>0</v>
      </c>
      <c r="G68" s="49">
        <f>COUNTIFS('Error Log'!$A:$A,$A68,'Error Log'!$J:$J,G$1)</f>
        <v>0</v>
      </c>
      <c r="H68" s="49">
        <f>COUNTIFS('Error Log'!$A:$A,$A68,'Error Log'!$F:$F,"Source")</f>
        <v>0</v>
      </c>
      <c r="I68" s="49">
        <f>COUNTIFS('Error Log'!$A:$A,$A68,'Error Log'!$F:$F,"Target")</f>
        <v>0</v>
      </c>
      <c r="J68" s="50">
        <f t="shared" si="2"/>
        <v>0</v>
      </c>
    </row>
    <row r="69" spans="1:10">
      <c r="A69" s="14"/>
      <c r="B69" s="49"/>
      <c r="C69" s="49"/>
      <c r="D69" s="49">
        <f>IF(H69=0,wdct(TRIM(C69)),0)</f>
        <v>0</v>
      </c>
      <c r="E69" s="49">
        <f>COUNTIFS('Error Log'!$A:$A,$A69,'Error Log'!$J:$J,E$1)</f>
        <v>0</v>
      </c>
      <c r="F69" s="49">
        <f>COUNTIFS('Error Log'!$A:$A,$A69,'Error Log'!$J:$J,F$1)</f>
        <v>0</v>
      </c>
      <c r="G69" s="49">
        <f>COUNTIFS('Error Log'!$A:$A,$A69,'Error Log'!$J:$J,G$1)</f>
        <v>0</v>
      </c>
      <c r="H69" s="49">
        <f>COUNTIFS('Error Log'!$A:$A,$A69,'Error Log'!$F:$F,"Source")</f>
        <v>0</v>
      </c>
      <c r="I69" s="49">
        <f>COUNTIFS('Error Log'!$A:$A,$A69,'Error Log'!$F:$F,"Target")</f>
        <v>0</v>
      </c>
      <c r="J69" s="50">
        <f t="shared" si="2"/>
        <v>0</v>
      </c>
    </row>
    <row r="70" spans="1:10">
      <c r="A70" s="14"/>
      <c r="B70" s="49"/>
      <c r="C70" s="49"/>
      <c r="D70" s="49">
        <f>IF(H70=0,wdct(TRIM(C70)),0)</f>
        <v>0</v>
      </c>
      <c r="E70" s="49">
        <f>COUNTIFS('Error Log'!$A:$A,$A70,'Error Log'!$J:$J,E$1)</f>
        <v>0</v>
      </c>
      <c r="F70" s="49">
        <f>COUNTIFS('Error Log'!$A:$A,$A70,'Error Log'!$J:$J,F$1)</f>
        <v>0</v>
      </c>
      <c r="G70" s="49">
        <f>COUNTIFS('Error Log'!$A:$A,$A70,'Error Log'!$J:$J,G$1)</f>
        <v>0</v>
      </c>
      <c r="H70" s="49">
        <f>COUNTIFS('Error Log'!$A:$A,$A70,'Error Log'!$F:$F,"Source")</f>
        <v>0</v>
      </c>
      <c r="I70" s="49">
        <f>COUNTIFS('Error Log'!$A:$A,$A70,'Error Log'!$F:$F,"Target")</f>
        <v>0</v>
      </c>
      <c r="J70" s="50">
        <f t="shared" si="2"/>
        <v>0</v>
      </c>
    </row>
    <row r="71" spans="1:10">
      <c r="A71" s="14"/>
      <c r="B71" s="49"/>
      <c r="C71" s="49"/>
      <c r="D71" s="49">
        <f>IF(H71=0,wdct(TRIM(C71)),0)</f>
        <v>0</v>
      </c>
      <c r="E71" s="49">
        <f>COUNTIFS('Error Log'!$A:$A,$A71,'Error Log'!$J:$J,E$1)</f>
        <v>0</v>
      </c>
      <c r="F71" s="49">
        <f>COUNTIFS('Error Log'!$A:$A,$A71,'Error Log'!$J:$J,F$1)</f>
        <v>0</v>
      </c>
      <c r="G71" s="49">
        <f>COUNTIFS('Error Log'!$A:$A,$A71,'Error Log'!$J:$J,G$1)</f>
        <v>0</v>
      </c>
      <c r="H71" s="49">
        <f>COUNTIFS('Error Log'!$A:$A,$A71,'Error Log'!$F:$F,"Source")</f>
        <v>0</v>
      </c>
      <c r="I71" s="49">
        <f>COUNTIFS('Error Log'!$A:$A,$A71,'Error Log'!$F:$F,"Target")</f>
        <v>0</v>
      </c>
      <c r="J71" s="50">
        <f t="shared" si="2"/>
        <v>0</v>
      </c>
    </row>
    <row r="72" spans="1:10">
      <c r="A72" s="14"/>
      <c r="B72" s="49"/>
      <c r="C72" s="49"/>
      <c r="D72" s="49">
        <f>IF(H72=0,wdct(TRIM(C72)),0)</f>
        <v>0</v>
      </c>
      <c r="E72" s="49">
        <f>COUNTIFS('Error Log'!$A:$A,$A72,'Error Log'!$J:$J,E$1)</f>
        <v>0</v>
      </c>
      <c r="F72" s="49">
        <f>COUNTIFS('Error Log'!$A:$A,$A72,'Error Log'!$J:$J,F$1)</f>
        <v>0</v>
      </c>
      <c r="G72" s="49">
        <f>COUNTIFS('Error Log'!$A:$A,$A72,'Error Log'!$J:$J,G$1)</f>
        <v>0</v>
      </c>
      <c r="H72" s="49">
        <f>COUNTIFS('Error Log'!$A:$A,$A72,'Error Log'!$F:$F,"Source")</f>
        <v>0</v>
      </c>
      <c r="I72" s="49">
        <f>COUNTIFS('Error Log'!$A:$A,$A72,'Error Log'!$F:$F,"Target")</f>
        <v>0</v>
      </c>
      <c r="J72" s="50">
        <f t="shared" si="2"/>
        <v>0</v>
      </c>
    </row>
    <row r="73" spans="1:10">
      <c r="A73" s="14"/>
      <c r="B73" s="49"/>
      <c r="C73" s="49"/>
      <c r="D73" s="49">
        <f>IF(H73=0,wdct(TRIM(C73)),0)</f>
        <v>0</v>
      </c>
      <c r="E73" s="49">
        <f>COUNTIFS('Error Log'!$A:$A,$A73,'Error Log'!$J:$J,E$1)</f>
        <v>0</v>
      </c>
      <c r="F73" s="49">
        <f>COUNTIFS('Error Log'!$A:$A,$A73,'Error Log'!$J:$J,F$1)</f>
        <v>0</v>
      </c>
      <c r="G73" s="49">
        <f>COUNTIFS('Error Log'!$A:$A,$A73,'Error Log'!$J:$J,G$1)</f>
        <v>0</v>
      </c>
      <c r="H73" s="49">
        <f>COUNTIFS('Error Log'!$A:$A,$A73,'Error Log'!$F:$F,"Source")</f>
        <v>0</v>
      </c>
      <c r="I73" s="49">
        <f>COUNTIFS('Error Log'!$A:$A,$A73,'Error Log'!$F:$F,"Target")</f>
        <v>0</v>
      </c>
      <c r="J73" s="50">
        <f t="shared" si="2"/>
        <v>0</v>
      </c>
    </row>
    <row r="74" spans="1:10">
      <c r="A74" s="14"/>
      <c r="B74" s="49"/>
      <c r="C74" s="49"/>
      <c r="D74" s="49">
        <f>IF(H74=0,wdct(TRIM(C74)),0)</f>
        <v>0</v>
      </c>
      <c r="E74" s="49">
        <f>COUNTIFS('Error Log'!$A:$A,$A74,'Error Log'!$J:$J,E$1)</f>
        <v>0</v>
      </c>
      <c r="F74" s="49">
        <f>COUNTIFS('Error Log'!$A:$A,$A74,'Error Log'!$J:$J,F$1)</f>
        <v>0</v>
      </c>
      <c r="G74" s="49">
        <f>COUNTIFS('Error Log'!$A:$A,$A74,'Error Log'!$J:$J,G$1)</f>
        <v>0</v>
      </c>
      <c r="H74" s="49">
        <f>COUNTIFS('Error Log'!$A:$A,$A74,'Error Log'!$F:$F,"Source")</f>
        <v>0</v>
      </c>
      <c r="I74" s="49">
        <f>COUNTIFS('Error Log'!$A:$A,$A74,'Error Log'!$F:$F,"Target")</f>
        <v>0</v>
      </c>
      <c r="J74" s="50">
        <f t="shared" si="2"/>
        <v>0</v>
      </c>
    </row>
    <row r="75" spans="1:10">
      <c r="A75" s="14"/>
      <c r="B75" s="49"/>
      <c r="C75" s="49"/>
      <c r="D75" s="49">
        <f>IF(H75=0,wdct(TRIM(C75)),0)</f>
        <v>0</v>
      </c>
      <c r="E75" s="49">
        <f>COUNTIFS('Error Log'!$A:$A,$A75,'Error Log'!$J:$J,E$1)</f>
        <v>0</v>
      </c>
      <c r="F75" s="49">
        <f>COUNTIFS('Error Log'!$A:$A,$A75,'Error Log'!$J:$J,F$1)</f>
        <v>0</v>
      </c>
      <c r="G75" s="49">
        <f>COUNTIFS('Error Log'!$A:$A,$A75,'Error Log'!$J:$J,G$1)</f>
        <v>0</v>
      </c>
      <c r="H75" s="49">
        <f>COUNTIFS('Error Log'!$A:$A,$A75,'Error Log'!$F:$F,"Source")</f>
        <v>0</v>
      </c>
      <c r="I75" s="49">
        <f>COUNTIFS('Error Log'!$A:$A,$A75,'Error Log'!$F:$F,"Target")</f>
        <v>0</v>
      </c>
      <c r="J75" s="50">
        <f t="shared" si="2"/>
        <v>0</v>
      </c>
    </row>
    <row r="76" spans="1:10">
      <c r="A76" s="14"/>
      <c r="B76" s="49"/>
      <c r="C76" s="49"/>
      <c r="D76" s="49">
        <f>IF(H76=0,wdct(TRIM(C76)),0)</f>
        <v>0</v>
      </c>
      <c r="E76" s="49">
        <f>COUNTIFS('Error Log'!$A:$A,$A76,'Error Log'!$J:$J,E$1)</f>
        <v>0</v>
      </c>
      <c r="F76" s="49">
        <f>COUNTIFS('Error Log'!$A:$A,$A76,'Error Log'!$J:$J,F$1)</f>
        <v>0</v>
      </c>
      <c r="G76" s="49">
        <f>COUNTIFS('Error Log'!$A:$A,$A76,'Error Log'!$J:$J,G$1)</f>
        <v>0</v>
      </c>
      <c r="H76" s="49">
        <f>COUNTIFS('Error Log'!$A:$A,$A76,'Error Log'!$F:$F,"Source")</f>
        <v>0</v>
      </c>
      <c r="I76" s="49">
        <f>COUNTIFS('Error Log'!$A:$A,$A76,'Error Log'!$F:$F,"Target")</f>
        <v>0</v>
      </c>
      <c r="J76" s="50">
        <f t="shared" si="2"/>
        <v>0</v>
      </c>
    </row>
    <row r="77" spans="1:10">
      <c r="A77" s="14"/>
      <c r="B77" s="49"/>
      <c r="C77" s="49"/>
      <c r="D77" s="49">
        <f>IF(H77=0,wdct(TRIM(C77)),0)</f>
        <v>0</v>
      </c>
      <c r="E77" s="49">
        <f>COUNTIFS('Error Log'!$A:$A,$A77,'Error Log'!$J:$J,E$1)</f>
        <v>0</v>
      </c>
      <c r="F77" s="49">
        <f>COUNTIFS('Error Log'!$A:$A,$A77,'Error Log'!$J:$J,F$1)</f>
        <v>0</v>
      </c>
      <c r="G77" s="49">
        <f>COUNTIFS('Error Log'!$A:$A,$A77,'Error Log'!$J:$J,G$1)</f>
        <v>0</v>
      </c>
      <c r="H77" s="49">
        <f>COUNTIFS('Error Log'!$A:$A,$A77,'Error Log'!$F:$F,"Source")</f>
        <v>0</v>
      </c>
      <c r="I77" s="49">
        <f>COUNTIFS('Error Log'!$A:$A,$A77,'Error Log'!$F:$F,"Target")</f>
        <v>0</v>
      </c>
      <c r="J77" s="50">
        <f t="shared" si="2"/>
        <v>0</v>
      </c>
    </row>
    <row r="78" spans="1:10">
      <c r="A78" s="14"/>
      <c r="B78" s="49"/>
      <c r="C78" s="49"/>
      <c r="D78" s="49">
        <f>IF(H78=0,wdct(TRIM(C78)),0)</f>
        <v>0</v>
      </c>
      <c r="E78" s="49">
        <f>COUNTIFS('Error Log'!$A:$A,$A78,'Error Log'!$J:$J,E$1)</f>
        <v>0</v>
      </c>
      <c r="F78" s="49">
        <f>COUNTIFS('Error Log'!$A:$A,$A78,'Error Log'!$J:$J,F$1)</f>
        <v>0</v>
      </c>
      <c r="G78" s="49">
        <f>COUNTIFS('Error Log'!$A:$A,$A78,'Error Log'!$J:$J,G$1)</f>
        <v>0</v>
      </c>
      <c r="H78" s="49">
        <f>COUNTIFS('Error Log'!$A:$A,$A78,'Error Log'!$F:$F,"Source")</f>
        <v>0</v>
      </c>
      <c r="I78" s="49">
        <f>COUNTIFS('Error Log'!$A:$A,$A78,'Error Log'!$F:$F,"Target")</f>
        <v>0</v>
      </c>
      <c r="J78" s="50">
        <f t="shared" si="2"/>
        <v>0</v>
      </c>
    </row>
    <row r="79" spans="1:10">
      <c r="A79" s="14"/>
      <c r="B79" s="49"/>
      <c r="C79" s="49"/>
      <c r="D79" s="49">
        <f>IF(H79=0,wdct(TRIM(C79)),0)</f>
        <v>0</v>
      </c>
      <c r="E79" s="49">
        <f>COUNTIFS('Error Log'!$A:$A,$A79,'Error Log'!$J:$J,E$1)</f>
        <v>0</v>
      </c>
      <c r="F79" s="49">
        <f>COUNTIFS('Error Log'!$A:$A,$A79,'Error Log'!$J:$J,F$1)</f>
        <v>0</v>
      </c>
      <c r="G79" s="49">
        <f>COUNTIFS('Error Log'!$A:$A,$A79,'Error Log'!$J:$J,G$1)</f>
        <v>0</v>
      </c>
      <c r="H79" s="49">
        <f>COUNTIFS('Error Log'!$A:$A,$A79,'Error Log'!$F:$F,"Source")</f>
        <v>0</v>
      </c>
      <c r="I79" s="49">
        <f>COUNTIFS('Error Log'!$A:$A,$A79,'Error Log'!$F:$F,"Target")</f>
        <v>0</v>
      </c>
      <c r="J79" s="50">
        <f t="shared" si="2"/>
        <v>0</v>
      </c>
    </row>
    <row r="80" spans="1:10">
      <c r="A80" s="14"/>
      <c r="B80" s="49"/>
      <c r="C80" s="49"/>
      <c r="D80" s="49">
        <f>IF(H80=0,wdct(TRIM(C80)),0)</f>
        <v>0</v>
      </c>
      <c r="E80" s="49">
        <f>COUNTIFS('Error Log'!$A:$A,$A80,'Error Log'!$J:$J,E$1)</f>
        <v>0</v>
      </c>
      <c r="F80" s="49">
        <f>COUNTIFS('Error Log'!$A:$A,$A80,'Error Log'!$J:$J,F$1)</f>
        <v>0</v>
      </c>
      <c r="G80" s="49">
        <f>COUNTIFS('Error Log'!$A:$A,$A80,'Error Log'!$J:$J,G$1)</f>
        <v>0</v>
      </c>
      <c r="H80" s="49">
        <f>COUNTIFS('Error Log'!$A:$A,$A80,'Error Log'!$F:$F,"Source")</f>
        <v>0</v>
      </c>
      <c r="I80" s="49">
        <f>COUNTIFS('Error Log'!$A:$A,$A80,'Error Log'!$F:$F,"Target")</f>
        <v>0</v>
      </c>
      <c r="J80" s="50">
        <f t="shared" si="2"/>
        <v>0</v>
      </c>
    </row>
    <row r="81" spans="1:10">
      <c r="A81" s="14"/>
      <c r="B81" s="49"/>
      <c r="C81" s="49"/>
      <c r="D81" s="49">
        <f>IF(H81=0,wdct(TRIM(C81)),0)</f>
        <v>0</v>
      </c>
      <c r="E81" s="49">
        <f>COUNTIFS('Error Log'!$A:$A,$A81,'Error Log'!$J:$J,E$1)</f>
        <v>0</v>
      </c>
      <c r="F81" s="49">
        <f>COUNTIFS('Error Log'!$A:$A,$A81,'Error Log'!$J:$J,F$1)</f>
        <v>0</v>
      </c>
      <c r="G81" s="49">
        <f>COUNTIFS('Error Log'!$A:$A,$A81,'Error Log'!$J:$J,G$1)</f>
        <v>0</v>
      </c>
      <c r="H81" s="49">
        <f>COUNTIFS('Error Log'!$A:$A,$A81,'Error Log'!$F:$F,"Source")</f>
        <v>0</v>
      </c>
      <c r="I81" s="49">
        <f>COUNTIFS('Error Log'!$A:$A,$A81,'Error Log'!$F:$F,"Target")</f>
        <v>0</v>
      </c>
      <c r="J81" s="50">
        <f t="shared" si="2"/>
        <v>0</v>
      </c>
    </row>
    <row r="82" spans="1:10">
      <c r="A82" s="14"/>
      <c r="B82" s="49"/>
      <c r="C82" s="49"/>
      <c r="D82" s="49">
        <f>IF(H82=0,wdct(TRIM(C82)),0)</f>
        <v>0</v>
      </c>
      <c r="E82" s="49">
        <f>COUNTIFS('Error Log'!$A:$A,$A82,'Error Log'!$J:$J,E$1)</f>
        <v>0</v>
      </c>
      <c r="F82" s="49">
        <f>COUNTIFS('Error Log'!$A:$A,$A82,'Error Log'!$J:$J,F$1)</f>
        <v>0</v>
      </c>
      <c r="G82" s="49">
        <f>COUNTIFS('Error Log'!$A:$A,$A82,'Error Log'!$J:$J,G$1)</f>
        <v>0</v>
      </c>
      <c r="H82" s="49">
        <f>COUNTIFS('Error Log'!$A:$A,$A82,'Error Log'!$F:$F,"Source")</f>
        <v>0</v>
      </c>
      <c r="I82" s="49">
        <f>COUNTIFS('Error Log'!$A:$A,$A82,'Error Log'!$F:$F,"Target")</f>
        <v>0</v>
      </c>
      <c r="J82" s="50">
        <f t="shared" si="2"/>
        <v>0</v>
      </c>
    </row>
    <row r="83" spans="1:10">
      <c r="A83" s="14"/>
      <c r="B83" s="49"/>
      <c r="C83" s="49"/>
      <c r="D83" s="49">
        <f>IF(H83=0,wdct(TRIM(C83)),0)</f>
        <v>0</v>
      </c>
      <c r="E83" s="49">
        <f>COUNTIFS('Error Log'!$A:$A,$A83,'Error Log'!$J:$J,E$1)</f>
        <v>0</v>
      </c>
      <c r="F83" s="49">
        <f>COUNTIFS('Error Log'!$A:$A,$A83,'Error Log'!$J:$J,F$1)</f>
        <v>0</v>
      </c>
      <c r="G83" s="49">
        <f>COUNTIFS('Error Log'!$A:$A,$A83,'Error Log'!$J:$J,G$1)</f>
        <v>0</v>
      </c>
      <c r="H83" s="49">
        <f>COUNTIFS('Error Log'!$A:$A,$A83,'Error Log'!$F:$F,"Source")</f>
        <v>0</v>
      </c>
      <c r="I83" s="49">
        <f>COUNTIFS('Error Log'!$A:$A,$A83,'Error Log'!$F:$F,"Target")</f>
        <v>0</v>
      </c>
      <c r="J83" s="50">
        <f t="shared" si="2"/>
        <v>0</v>
      </c>
    </row>
    <row r="84" spans="1:10">
      <c r="A84" s="14"/>
      <c r="B84" s="49"/>
      <c r="C84" s="49"/>
      <c r="D84" s="49">
        <f>IF(H84=0,wdct(TRIM(C84)),0)</f>
        <v>0</v>
      </c>
      <c r="E84" s="49">
        <f>COUNTIFS('Error Log'!$A:$A,$A84,'Error Log'!$J:$J,E$1)</f>
        <v>0</v>
      </c>
      <c r="F84" s="49">
        <f>COUNTIFS('Error Log'!$A:$A,$A84,'Error Log'!$J:$J,F$1)</f>
        <v>0</v>
      </c>
      <c r="G84" s="49">
        <f>COUNTIFS('Error Log'!$A:$A,$A84,'Error Log'!$J:$J,G$1)</f>
        <v>0</v>
      </c>
      <c r="H84" s="49">
        <f>COUNTIFS('Error Log'!$A:$A,$A84,'Error Log'!$F:$F,"Source")</f>
        <v>0</v>
      </c>
      <c r="I84" s="49">
        <f>COUNTIFS('Error Log'!$A:$A,$A84,'Error Log'!$F:$F,"Target")</f>
        <v>0</v>
      </c>
      <c r="J84" s="50">
        <f t="shared" si="2"/>
        <v>0</v>
      </c>
    </row>
    <row r="85" spans="1:10">
      <c r="A85" s="14"/>
      <c r="B85" s="49"/>
      <c r="C85" s="49"/>
      <c r="D85" s="49">
        <f>IF(H85=0,wdct(TRIM(C85)),0)</f>
        <v>0</v>
      </c>
      <c r="E85" s="49">
        <f>COUNTIFS('Error Log'!$A:$A,$A85,'Error Log'!$J:$J,E$1)</f>
        <v>0</v>
      </c>
      <c r="F85" s="49">
        <f>COUNTIFS('Error Log'!$A:$A,$A85,'Error Log'!$J:$J,F$1)</f>
        <v>0</v>
      </c>
      <c r="G85" s="49">
        <f>COUNTIFS('Error Log'!$A:$A,$A85,'Error Log'!$J:$J,G$1)</f>
        <v>0</v>
      </c>
      <c r="H85" s="49">
        <f>COUNTIFS('Error Log'!$A:$A,$A85,'Error Log'!$F:$F,"Source")</f>
        <v>0</v>
      </c>
      <c r="I85" s="49">
        <f>COUNTIFS('Error Log'!$A:$A,$A85,'Error Log'!$F:$F,"Target")</f>
        <v>0</v>
      </c>
      <c r="J85" s="50">
        <f t="shared" si="2"/>
        <v>0</v>
      </c>
    </row>
    <row r="86" spans="1:10">
      <c r="A86" s="14"/>
      <c r="B86" s="49"/>
      <c r="C86" s="49"/>
      <c r="D86" s="49">
        <f>IF(H86=0,wdct(TRIM(C86)),0)</f>
        <v>0</v>
      </c>
      <c r="E86" s="49">
        <f>COUNTIFS('Error Log'!$A:$A,$A86,'Error Log'!$J:$J,E$1)</f>
        <v>0</v>
      </c>
      <c r="F86" s="49">
        <f>COUNTIFS('Error Log'!$A:$A,$A86,'Error Log'!$J:$J,F$1)</f>
        <v>0</v>
      </c>
      <c r="G86" s="49">
        <f>COUNTIFS('Error Log'!$A:$A,$A86,'Error Log'!$J:$J,G$1)</f>
        <v>0</v>
      </c>
      <c r="H86" s="49">
        <f>COUNTIFS('Error Log'!$A:$A,$A86,'Error Log'!$F:$F,"Source")</f>
        <v>0</v>
      </c>
      <c r="I86" s="49">
        <f>COUNTIFS('Error Log'!$A:$A,$A86,'Error Log'!$F:$F,"Target")</f>
        <v>0</v>
      </c>
      <c r="J86" s="50">
        <f t="shared" ref="J86:J149" si="3">IF(I86=0,IFERROR((((1-((E86*10+F86*5+G86*1)/D86))*100)+100)/2,0),-150)</f>
        <v>0</v>
      </c>
    </row>
    <row r="87" spans="1:10">
      <c r="A87" s="14"/>
      <c r="B87" s="49"/>
      <c r="C87" s="49"/>
      <c r="D87" s="49">
        <f>IF(H87=0,wdct(TRIM(C87)),0)</f>
        <v>0</v>
      </c>
      <c r="E87" s="49">
        <f>COUNTIFS('Error Log'!$A:$A,$A87,'Error Log'!$J:$J,E$1)</f>
        <v>0</v>
      </c>
      <c r="F87" s="49">
        <f>COUNTIFS('Error Log'!$A:$A,$A87,'Error Log'!$J:$J,F$1)</f>
        <v>0</v>
      </c>
      <c r="G87" s="49">
        <f>COUNTIFS('Error Log'!$A:$A,$A87,'Error Log'!$J:$J,G$1)</f>
        <v>0</v>
      </c>
      <c r="H87" s="49">
        <f>COUNTIFS('Error Log'!$A:$A,$A87,'Error Log'!$F:$F,"Source")</f>
        <v>0</v>
      </c>
      <c r="I87" s="49">
        <f>COUNTIFS('Error Log'!$A:$A,$A87,'Error Log'!$F:$F,"Target")</f>
        <v>0</v>
      </c>
      <c r="J87" s="50">
        <f t="shared" si="3"/>
        <v>0</v>
      </c>
    </row>
    <row r="88" spans="1:10">
      <c r="A88" s="14"/>
      <c r="B88" s="49"/>
      <c r="C88" s="49"/>
      <c r="D88" s="49">
        <f>IF(H88=0,wdct(TRIM(C88)),0)</f>
        <v>0</v>
      </c>
      <c r="E88" s="49">
        <f>COUNTIFS('Error Log'!$A:$A,$A88,'Error Log'!$J:$J,E$1)</f>
        <v>0</v>
      </c>
      <c r="F88" s="49">
        <f>COUNTIFS('Error Log'!$A:$A,$A88,'Error Log'!$J:$J,F$1)</f>
        <v>0</v>
      </c>
      <c r="G88" s="49">
        <f>COUNTIFS('Error Log'!$A:$A,$A88,'Error Log'!$J:$J,G$1)</f>
        <v>0</v>
      </c>
      <c r="H88" s="49">
        <f>COUNTIFS('Error Log'!$A:$A,$A88,'Error Log'!$F:$F,"Source")</f>
        <v>0</v>
      </c>
      <c r="I88" s="49">
        <f>COUNTIFS('Error Log'!$A:$A,$A88,'Error Log'!$F:$F,"Target")</f>
        <v>0</v>
      </c>
      <c r="J88" s="50">
        <f t="shared" si="3"/>
        <v>0</v>
      </c>
    </row>
    <row r="89" spans="1:10">
      <c r="A89" s="14"/>
      <c r="B89" s="49"/>
      <c r="C89" s="49"/>
      <c r="D89" s="49">
        <f>IF(H89=0,wdct(TRIM(C89)),0)</f>
        <v>0</v>
      </c>
      <c r="E89" s="49">
        <f>COUNTIFS('Error Log'!$A:$A,$A89,'Error Log'!$J:$J,E$1)</f>
        <v>0</v>
      </c>
      <c r="F89" s="49">
        <f>COUNTIFS('Error Log'!$A:$A,$A89,'Error Log'!$J:$J,F$1)</f>
        <v>0</v>
      </c>
      <c r="G89" s="49">
        <f>COUNTIFS('Error Log'!$A:$A,$A89,'Error Log'!$J:$J,G$1)</f>
        <v>0</v>
      </c>
      <c r="H89" s="49">
        <f>COUNTIFS('Error Log'!$A:$A,$A89,'Error Log'!$F:$F,"Source")</f>
        <v>0</v>
      </c>
      <c r="I89" s="49">
        <f>COUNTIFS('Error Log'!$A:$A,$A89,'Error Log'!$F:$F,"Target")</f>
        <v>0</v>
      </c>
      <c r="J89" s="50">
        <f t="shared" si="3"/>
        <v>0</v>
      </c>
    </row>
    <row r="90" spans="1:10">
      <c r="A90" s="14"/>
      <c r="B90" s="49"/>
      <c r="C90" s="49"/>
      <c r="D90" s="49">
        <f>IF(H90=0,wdct(TRIM(C90)),0)</f>
        <v>0</v>
      </c>
      <c r="E90" s="49">
        <f>COUNTIFS('Error Log'!$A:$A,$A90,'Error Log'!$J:$J,E$1)</f>
        <v>0</v>
      </c>
      <c r="F90" s="49">
        <f>COUNTIFS('Error Log'!$A:$A,$A90,'Error Log'!$J:$J,F$1)</f>
        <v>0</v>
      </c>
      <c r="G90" s="49">
        <f>COUNTIFS('Error Log'!$A:$A,$A90,'Error Log'!$J:$J,G$1)</f>
        <v>0</v>
      </c>
      <c r="H90" s="49">
        <f>COUNTIFS('Error Log'!$A:$A,$A90,'Error Log'!$F:$F,"Source")</f>
        <v>0</v>
      </c>
      <c r="I90" s="49">
        <f>COUNTIFS('Error Log'!$A:$A,$A90,'Error Log'!$F:$F,"Target")</f>
        <v>0</v>
      </c>
      <c r="J90" s="50">
        <f t="shared" si="3"/>
        <v>0</v>
      </c>
    </row>
    <row r="91" spans="1:10">
      <c r="A91" s="14"/>
      <c r="B91" s="49"/>
      <c r="C91" s="49"/>
      <c r="D91" s="49">
        <f>IF(H91=0,wdct(TRIM(C91)),0)</f>
        <v>0</v>
      </c>
      <c r="E91" s="49">
        <f>COUNTIFS('Error Log'!$A:$A,$A91,'Error Log'!$J:$J,E$1)</f>
        <v>0</v>
      </c>
      <c r="F91" s="49">
        <f>COUNTIFS('Error Log'!$A:$A,$A91,'Error Log'!$J:$J,F$1)</f>
        <v>0</v>
      </c>
      <c r="G91" s="49">
        <f>COUNTIFS('Error Log'!$A:$A,$A91,'Error Log'!$J:$J,G$1)</f>
        <v>0</v>
      </c>
      <c r="H91" s="49">
        <f>COUNTIFS('Error Log'!$A:$A,$A91,'Error Log'!$F:$F,"Source")</f>
        <v>0</v>
      </c>
      <c r="I91" s="49">
        <f>COUNTIFS('Error Log'!$A:$A,$A91,'Error Log'!$F:$F,"Target")</f>
        <v>0</v>
      </c>
      <c r="J91" s="50">
        <f t="shared" si="3"/>
        <v>0</v>
      </c>
    </row>
    <row r="92" spans="1:10">
      <c r="A92" s="14"/>
      <c r="B92" s="49"/>
      <c r="C92" s="49"/>
      <c r="D92" s="49">
        <f>IF(H92=0,wdct(TRIM(C92)),0)</f>
        <v>0</v>
      </c>
      <c r="E92" s="49">
        <f>COUNTIFS('Error Log'!$A:$A,$A92,'Error Log'!$J:$J,E$1)</f>
        <v>0</v>
      </c>
      <c r="F92" s="49">
        <f>COUNTIFS('Error Log'!$A:$A,$A92,'Error Log'!$J:$J,F$1)</f>
        <v>0</v>
      </c>
      <c r="G92" s="49">
        <f>COUNTIFS('Error Log'!$A:$A,$A92,'Error Log'!$J:$J,G$1)</f>
        <v>0</v>
      </c>
      <c r="H92" s="49">
        <f>COUNTIFS('Error Log'!$A:$A,$A92,'Error Log'!$F:$F,"Source")</f>
        <v>0</v>
      </c>
      <c r="I92" s="49">
        <f>COUNTIFS('Error Log'!$A:$A,$A92,'Error Log'!$F:$F,"Target")</f>
        <v>0</v>
      </c>
      <c r="J92" s="50">
        <f t="shared" si="3"/>
        <v>0</v>
      </c>
    </row>
    <row r="93" spans="1:10">
      <c r="A93" s="14"/>
      <c r="B93" s="49"/>
      <c r="C93" s="49"/>
      <c r="D93" s="49">
        <f>IF(H93=0,wdct(TRIM(C93)),0)</f>
        <v>0</v>
      </c>
      <c r="E93" s="49">
        <f>COUNTIFS('Error Log'!$A:$A,$A93,'Error Log'!$J:$J,E$1)</f>
        <v>0</v>
      </c>
      <c r="F93" s="49">
        <f>COUNTIFS('Error Log'!$A:$A,$A93,'Error Log'!$J:$J,F$1)</f>
        <v>0</v>
      </c>
      <c r="G93" s="49">
        <f>COUNTIFS('Error Log'!$A:$A,$A93,'Error Log'!$J:$J,G$1)</f>
        <v>0</v>
      </c>
      <c r="H93" s="49">
        <f>COUNTIFS('Error Log'!$A:$A,$A93,'Error Log'!$F:$F,"Source")</f>
        <v>0</v>
      </c>
      <c r="I93" s="49">
        <f>COUNTIFS('Error Log'!$A:$A,$A93,'Error Log'!$F:$F,"Target")</f>
        <v>0</v>
      </c>
      <c r="J93" s="50">
        <f t="shared" si="3"/>
        <v>0</v>
      </c>
    </row>
    <row r="94" spans="1:10">
      <c r="A94" s="14"/>
      <c r="B94" s="49"/>
      <c r="C94" s="49"/>
      <c r="D94" s="49">
        <f>IF(H94=0,wdct(TRIM(C94)),0)</f>
        <v>0</v>
      </c>
      <c r="E94" s="49">
        <f>COUNTIFS('Error Log'!$A:$A,$A94,'Error Log'!$J:$J,E$1)</f>
        <v>0</v>
      </c>
      <c r="F94" s="49">
        <f>COUNTIFS('Error Log'!$A:$A,$A94,'Error Log'!$J:$J,F$1)</f>
        <v>0</v>
      </c>
      <c r="G94" s="49">
        <f>COUNTIFS('Error Log'!$A:$A,$A94,'Error Log'!$J:$J,G$1)</f>
        <v>0</v>
      </c>
      <c r="H94" s="49">
        <f>COUNTIFS('Error Log'!$A:$A,$A94,'Error Log'!$F:$F,"Source")</f>
        <v>0</v>
      </c>
      <c r="I94" s="49">
        <f>COUNTIFS('Error Log'!$A:$A,$A94,'Error Log'!$F:$F,"Target")</f>
        <v>0</v>
      </c>
      <c r="J94" s="50">
        <f t="shared" si="3"/>
        <v>0</v>
      </c>
    </row>
    <row r="95" spans="1:10">
      <c r="A95" s="14"/>
      <c r="B95" s="49"/>
      <c r="C95" s="49"/>
      <c r="D95" s="49">
        <f>IF(H95=0,wdct(TRIM(C95)),0)</f>
        <v>0</v>
      </c>
      <c r="E95" s="49">
        <f>COUNTIFS('Error Log'!$A:$A,$A95,'Error Log'!$J:$J,E$1)</f>
        <v>0</v>
      </c>
      <c r="F95" s="49">
        <f>COUNTIFS('Error Log'!$A:$A,$A95,'Error Log'!$J:$J,F$1)</f>
        <v>0</v>
      </c>
      <c r="G95" s="49">
        <f>COUNTIFS('Error Log'!$A:$A,$A95,'Error Log'!$J:$J,G$1)</f>
        <v>0</v>
      </c>
      <c r="H95" s="49">
        <f>COUNTIFS('Error Log'!$A:$A,$A95,'Error Log'!$F:$F,"Source")</f>
        <v>0</v>
      </c>
      <c r="I95" s="49">
        <f>COUNTIFS('Error Log'!$A:$A,$A95,'Error Log'!$F:$F,"Target")</f>
        <v>0</v>
      </c>
      <c r="J95" s="50">
        <f t="shared" si="3"/>
        <v>0</v>
      </c>
    </row>
    <row r="96" spans="1:10">
      <c r="A96" s="14"/>
      <c r="B96" s="49"/>
      <c r="C96" s="49"/>
      <c r="D96" s="49">
        <f>IF(H96=0,wdct(TRIM(C96)),0)</f>
        <v>0</v>
      </c>
      <c r="E96" s="49">
        <f>COUNTIFS('Error Log'!$A:$A,$A96,'Error Log'!$J:$J,E$1)</f>
        <v>0</v>
      </c>
      <c r="F96" s="49">
        <f>COUNTIFS('Error Log'!$A:$A,$A96,'Error Log'!$J:$J,F$1)</f>
        <v>0</v>
      </c>
      <c r="G96" s="49">
        <f>COUNTIFS('Error Log'!$A:$A,$A96,'Error Log'!$J:$J,G$1)</f>
        <v>0</v>
      </c>
      <c r="H96" s="49">
        <f>COUNTIFS('Error Log'!$A:$A,$A96,'Error Log'!$F:$F,"Source")</f>
        <v>0</v>
      </c>
      <c r="I96" s="49">
        <f>COUNTIFS('Error Log'!$A:$A,$A96,'Error Log'!$F:$F,"Target")</f>
        <v>0</v>
      </c>
      <c r="J96" s="50">
        <f t="shared" si="3"/>
        <v>0</v>
      </c>
    </row>
    <row r="97" spans="1:10">
      <c r="A97" s="14"/>
      <c r="B97" s="49"/>
      <c r="C97" s="49"/>
      <c r="D97" s="49">
        <f>IF(H97=0,wdct(TRIM(C97)),0)</f>
        <v>0</v>
      </c>
      <c r="E97" s="49">
        <f>COUNTIFS('Error Log'!$A:$A,$A97,'Error Log'!$J:$J,E$1)</f>
        <v>0</v>
      </c>
      <c r="F97" s="49">
        <f>COUNTIFS('Error Log'!$A:$A,$A97,'Error Log'!$J:$J,F$1)</f>
        <v>0</v>
      </c>
      <c r="G97" s="49">
        <f>COUNTIFS('Error Log'!$A:$A,$A97,'Error Log'!$J:$J,G$1)</f>
        <v>0</v>
      </c>
      <c r="H97" s="49">
        <f>COUNTIFS('Error Log'!$A:$A,$A97,'Error Log'!$F:$F,"Source")</f>
        <v>0</v>
      </c>
      <c r="I97" s="49">
        <f>COUNTIFS('Error Log'!$A:$A,$A97,'Error Log'!$F:$F,"Target")</f>
        <v>0</v>
      </c>
      <c r="J97" s="50">
        <f t="shared" si="3"/>
        <v>0</v>
      </c>
    </row>
    <row r="98" spans="1:10">
      <c r="A98" s="14"/>
      <c r="B98" s="49"/>
      <c r="C98" s="49"/>
      <c r="D98" s="49">
        <f>IF(H98=0,wdct(TRIM(C98)),0)</f>
        <v>0</v>
      </c>
      <c r="E98" s="49">
        <f>COUNTIFS('Error Log'!$A:$A,$A98,'Error Log'!$J:$J,E$1)</f>
        <v>0</v>
      </c>
      <c r="F98" s="49">
        <f>COUNTIFS('Error Log'!$A:$A,$A98,'Error Log'!$J:$J,F$1)</f>
        <v>0</v>
      </c>
      <c r="G98" s="49">
        <f>COUNTIFS('Error Log'!$A:$A,$A98,'Error Log'!$J:$J,G$1)</f>
        <v>0</v>
      </c>
      <c r="H98" s="49">
        <f>COUNTIFS('Error Log'!$A:$A,$A98,'Error Log'!$F:$F,"Source")</f>
        <v>0</v>
      </c>
      <c r="I98" s="49">
        <f>COUNTIFS('Error Log'!$A:$A,$A98,'Error Log'!$F:$F,"Target")</f>
        <v>0</v>
      </c>
      <c r="J98" s="50">
        <f t="shared" si="3"/>
        <v>0</v>
      </c>
    </row>
    <row r="99" spans="1:10">
      <c r="A99" s="14"/>
      <c r="B99" s="49"/>
      <c r="C99" s="49"/>
      <c r="D99" s="49">
        <f>IF(H99=0,wdct(TRIM(C99)),0)</f>
        <v>0</v>
      </c>
      <c r="E99" s="49">
        <f>COUNTIFS('Error Log'!$A:$A,$A99,'Error Log'!$J:$J,E$1)</f>
        <v>0</v>
      </c>
      <c r="F99" s="49">
        <f>COUNTIFS('Error Log'!$A:$A,$A99,'Error Log'!$J:$J,F$1)</f>
        <v>0</v>
      </c>
      <c r="G99" s="49">
        <f>COUNTIFS('Error Log'!$A:$A,$A99,'Error Log'!$J:$J,G$1)</f>
        <v>0</v>
      </c>
      <c r="H99" s="49">
        <f>COUNTIFS('Error Log'!$A:$A,$A99,'Error Log'!$F:$F,"Source")</f>
        <v>0</v>
      </c>
      <c r="I99" s="49">
        <f>COUNTIFS('Error Log'!$A:$A,$A99,'Error Log'!$F:$F,"Target")</f>
        <v>0</v>
      </c>
      <c r="J99" s="50">
        <f t="shared" si="3"/>
        <v>0</v>
      </c>
    </row>
    <row r="100" spans="1:10">
      <c r="A100" s="14"/>
      <c r="B100" s="49"/>
      <c r="C100" s="49"/>
      <c r="D100" s="49">
        <f>IF(H100=0,wdct(TRIM(C100)),0)</f>
        <v>0</v>
      </c>
      <c r="E100" s="49">
        <f>COUNTIFS('Error Log'!$A:$A,$A100,'Error Log'!$J:$J,E$1)</f>
        <v>0</v>
      </c>
      <c r="F100" s="49">
        <f>COUNTIFS('Error Log'!$A:$A,$A100,'Error Log'!$J:$J,F$1)</f>
        <v>0</v>
      </c>
      <c r="G100" s="49">
        <f>COUNTIFS('Error Log'!$A:$A,$A100,'Error Log'!$J:$J,G$1)</f>
        <v>0</v>
      </c>
      <c r="H100" s="49">
        <f>COUNTIFS('Error Log'!$A:$A,$A100,'Error Log'!$F:$F,"Source")</f>
        <v>0</v>
      </c>
      <c r="I100" s="49">
        <f>COUNTIFS('Error Log'!$A:$A,$A100,'Error Log'!$F:$F,"Target")</f>
        <v>0</v>
      </c>
      <c r="J100" s="50">
        <f t="shared" si="3"/>
        <v>0</v>
      </c>
    </row>
    <row r="101" spans="1:10">
      <c r="A101" s="14"/>
      <c r="B101" s="49"/>
      <c r="C101" s="49"/>
      <c r="D101" s="49">
        <f>IF(H101=0,wdct(TRIM(C101)),0)</f>
        <v>0</v>
      </c>
      <c r="E101" s="49">
        <f>COUNTIFS('Error Log'!$A:$A,$A101,'Error Log'!$J:$J,E$1)</f>
        <v>0</v>
      </c>
      <c r="F101" s="49">
        <f>COUNTIFS('Error Log'!$A:$A,$A101,'Error Log'!$J:$J,F$1)</f>
        <v>0</v>
      </c>
      <c r="G101" s="49">
        <f>COUNTIFS('Error Log'!$A:$A,$A101,'Error Log'!$J:$J,G$1)</f>
        <v>0</v>
      </c>
      <c r="H101" s="49">
        <f>COUNTIFS('Error Log'!$A:$A,$A101,'Error Log'!$F:$F,"Source")</f>
        <v>0</v>
      </c>
      <c r="I101" s="49">
        <f>COUNTIFS('Error Log'!$A:$A,$A101,'Error Log'!$F:$F,"Target")</f>
        <v>0</v>
      </c>
      <c r="J101" s="50">
        <f t="shared" si="3"/>
        <v>0</v>
      </c>
    </row>
    <row r="102" spans="1:10">
      <c r="A102" s="14"/>
      <c r="B102" s="49"/>
      <c r="C102" s="49"/>
      <c r="D102" s="49">
        <f>IF(H102=0,wdct(TRIM(C102)),0)</f>
        <v>0</v>
      </c>
      <c r="E102" s="49">
        <f>COUNTIFS('Error Log'!$A:$A,$A102,'Error Log'!$J:$J,E$1)</f>
        <v>0</v>
      </c>
      <c r="F102" s="49">
        <f>COUNTIFS('Error Log'!$A:$A,$A102,'Error Log'!$J:$J,F$1)</f>
        <v>0</v>
      </c>
      <c r="G102" s="49">
        <f>COUNTIFS('Error Log'!$A:$A,$A102,'Error Log'!$J:$J,G$1)</f>
        <v>0</v>
      </c>
      <c r="H102" s="49">
        <f>COUNTIFS('Error Log'!$A:$A,$A102,'Error Log'!$F:$F,"Source")</f>
        <v>0</v>
      </c>
      <c r="I102" s="49">
        <f>COUNTIFS('Error Log'!$A:$A,$A102,'Error Log'!$F:$F,"Target")</f>
        <v>0</v>
      </c>
      <c r="J102" s="50">
        <f t="shared" si="3"/>
        <v>0</v>
      </c>
    </row>
    <row r="103" spans="1:10">
      <c r="A103" s="14"/>
      <c r="B103" s="49"/>
      <c r="C103" s="49"/>
      <c r="D103" s="49">
        <f>IF(H103=0,wdct(TRIM(C103)),0)</f>
        <v>0</v>
      </c>
      <c r="E103" s="49">
        <f>COUNTIFS('Error Log'!$A:$A,$A103,'Error Log'!$J:$J,E$1)</f>
        <v>0</v>
      </c>
      <c r="F103" s="49">
        <f>COUNTIFS('Error Log'!$A:$A,$A103,'Error Log'!$J:$J,F$1)</f>
        <v>0</v>
      </c>
      <c r="G103" s="49">
        <f>COUNTIFS('Error Log'!$A:$A,$A103,'Error Log'!$J:$J,G$1)</f>
        <v>0</v>
      </c>
      <c r="H103" s="49">
        <f>COUNTIFS('Error Log'!$A:$A,$A103,'Error Log'!$F:$F,"Source")</f>
        <v>0</v>
      </c>
      <c r="I103" s="49">
        <f>COUNTIFS('Error Log'!$A:$A,$A103,'Error Log'!$F:$F,"Target")</f>
        <v>0</v>
      </c>
      <c r="J103" s="50">
        <f t="shared" si="3"/>
        <v>0</v>
      </c>
    </row>
    <row r="104" spans="1:10">
      <c r="A104" s="14"/>
      <c r="B104" s="49"/>
      <c r="C104" s="49"/>
      <c r="D104" s="49">
        <f>IF(H104=0,wdct(TRIM(C104)),0)</f>
        <v>0</v>
      </c>
      <c r="E104" s="49">
        <f>COUNTIFS('Error Log'!$A:$A,$A104,'Error Log'!$J:$J,E$1)</f>
        <v>0</v>
      </c>
      <c r="F104" s="49">
        <f>COUNTIFS('Error Log'!$A:$A,$A104,'Error Log'!$J:$J,F$1)</f>
        <v>0</v>
      </c>
      <c r="G104" s="49">
        <f>COUNTIFS('Error Log'!$A:$A,$A104,'Error Log'!$J:$J,G$1)</f>
        <v>0</v>
      </c>
      <c r="H104" s="49">
        <f>COUNTIFS('Error Log'!$A:$A,$A104,'Error Log'!$F:$F,"Source")</f>
        <v>0</v>
      </c>
      <c r="I104" s="49">
        <f>COUNTIFS('Error Log'!$A:$A,$A104,'Error Log'!$F:$F,"Target")</f>
        <v>0</v>
      </c>
      <c r="J104" s="50">
        <f t="shared" si="3"/>
        <v>0</v>
      </c>
    </row>
    <row r="105" spans="1:10">
      <c r="A105" s="14"/>
      <c r="B105" s="49"/>
      <c r="C105" s="49"/>
      <c r="D105" s="49">
        <f>IF(H105=0,wdct(TRIM(C105)),0)</f>
        <v>0</v>
      </c>
      <c r="E105" s="49">
        <f>COUNTIFS('Error Log'!$A:$A,$A105,'Error Log'!$J:$J,E$1)</f>
        <v>0</v>
      </c>
      <c r="F105" s="49">
        <f>COUNTIFS('Error Log'!$A:$A,$A105,'Error Log'!$J:$J,F$1)</f>
        <v>0</v>
      </c>
      <c r="G105" s="49">
        <f>COUNTIFS('Error Log'!$A:$A,$A105,'Error Log'!$J:$J,G$1)</f>
        <v>0</v>
      </c>
      <c r="H105" s="49">
        <f>COUNTIFS('Error Log'!$A:$A,$A105,'Error Log'!$F:$F,"Source")</f>
        <v>0</v>
      </c>
      <c r="I105" s="49">
        <f>COUNTIFS('Error Log'!$A:$A,$A105,'Error Log'!$F:$F,"Target")</f>
        <v>0</v>
      </c>
      <c r="J105" s="50">
        <f t="shared" si="3"/>
        <v>0</v>
      </c>
    </row>
    <row r="106" spans="1:10">
      <c r="A106" s="14"/>
      <c r="B106" s="49"/>
      <c r="C106" s="49"/>
      <c r="D106" s="49">
        <f>IF(H106=0,wdct(TRIM(C106)),0)</f>
        <v>0</v>
      </c>
      <c r="E106" s="49">
        <f>COUNTIFS('Error Log'!$A:$A,$A106,'Error Log'!$J:$J,E$1)</f>
        <v>0</v>
      </c>
      <c r="F106" s="49">
        <f>COUNTIFS('Error Log'!$A:$A,$A106,'Error Log'!$J:$J,F$1)</f>
        <v>0</v>
      </c>
      <c r="G106" s="49">
        <f>COUNTIFS('Error Log'!$A:$A,$A106,'Error Log'!$J:$J,G$1)</f>
        <v>0</v>
      </c>
      <c r="H106" s="49">
        <f>COUNTIFS('Error Log'!$A:$A,$A106,'Error Log'!$F:$F,"Source")</f>
        <v>0</v>
      </c>
      <c r="I106" s="49">
        <f>COUNTIFS('Error Log'!$A:$A,$A106,'Error Log'!$F:$F,"Target")</f>
        <v>0</v>
      </c>
      <c r="J106" s="50">
        <f t="shared" si="3"/>
        <v>0</v>
      </c>
    </row>
    <row r="107" spans="1:10">
      <c r="A107" s="14"/>
      <c r="B107" s="49"/>
      <c r="C107" s="49"/>
      <c r="D107" s="49">
        <f>IF(H107=0,wdct(TRIM(C107)),0)</f>
        <v>0</v>
      </c>
      <c r="E107" s="49">
        <f>COUNTIFS('Error Log'!$A:$A,$A107,'Error Log'!$J:$J,E$1)</f>
        <v>0</v>
      </c>
      <c r="F107" s="49">
        <f>COUNTIFS('Error Log'!$A:$A,$A107,'Error Log'!$J:$J,F$1)</f>
        <v>0</v>
      </c>
      <c r="G107" s="49">
        <f>COUNTIFS('Error Log'!$A:$A,$A107,'Error Log'!$J:$J,G$1)</f>
        <v>0</v>
      </c>
      <c r="H107" s="49">
        <f>COUNTIFS('Error Log'!$A:$A,$A107,'Error Log'!$F:$F,"Source")</f>
        <v>0</v>
      </c>
      <c r="I107" s="49">
        <f>COUNTIFS('Error Log'!$A:$A,$A107,'Error Log'!$F:$F,"Target")</f>
        <v>0</v>
      </c>
      <c r="J107" s="50">
        <f t="shared" si="3"/>
        <v>0</v>
      </c>
    </row>
    <row r="108" spans="1:10">
      <c r="A108" s="14"/>
      <c r="B108" s="49"/>
      <c r="C108" s="49"/>
      <c r="D108" s="49">
        <f>IF(H108=0,wdct(TRIM(C108)),0)</f>
        <v>0</v>
      </c>
      <c r="E108" s="49">
        <f>COUNTIFS('Error Log'!$A:$A,$A108,'Error Log'!$J:$J,E$1)</f>
        <v>0</v>
      </c>
      <c r="F108" s="49">
        <f>COUNTIFS('Error Log'!$A:$A,$A108,'Error Log'!$J:$J,F$1)</f>
        <v>0</v>
      </c>
      <c r="G108" s="49">
        <f>COUNTIFS('Error Log'!$A:$A,$A108,'Error Log'!$J:$J,G$1)</f>
        <v>0</v>
      </c>
      <c r="H108" s="49">
        <f>COUNTIFS('Error Log'!$A:$A,$A108,'Error Log'!$F:$F,"Source")</f>
        <v>0</v>
      </c>
      <c r="I108" s="49">
        <f>COUNTIFS('Error Log'!$A:$A,$A108,'Error Log'!$F:$F,"Target")</f>
        <v>0</v>
      </c>
      <c r="J108" s="50">
        <f t="shared" si="3"/>
        <v>0</v>
      </c>
    </row>
    <row r="109" spans="1:10">
      <c r="A109" s="14"/>
      <c r="B109" s="49"/>
      <c r="C109" s="49"/>
      <c r="D109" s="49">
        <f>IF(H109=0,wdct(TRIM(C109)),0)</f>
        <v>0</v>
      </c>
      <c r="E109" s="49">
        <f>COUNTIFS('Error Log'!$A:$A,$A109,'Error Log'!$J:$J,E$1)</f>
        <v>0</v>
      </c>
      <c r="F109" s="49">
        <f>COUNTIFS('Error Log'!$A:$A,$A109,'Error Log'!$J:$J,F$1)</f>
        <v>0</v>
      </c>
      <c r="G109" s="49">
        <f>COUNTIFS('Error Log'!$A:$A,$A109,'Error Log'!$J:$J,G$1)</f>
        <v>0</v>
      </c>
      <c r="H109" s="49">
        <f>COUNTIFS('Error Log'!$A:$A,$A109,'Error Log'!$F:$F,"Source")</f>
        <v>0</v>
      </c>
      <c r="I109" s="49">
        <f>COUNTIFS('Error Log'!$A:$A,$A109,'Error Log'!$F:$F,"Target")</f>
        <v>0</v>
      </c>
      <c r="J109" s="50">
        <f t="shared" si="3"/>
        <v>0</v>
      </c>
    </row>
    <row r="110" spans="1:10">
      <c r="A110" s="14"/>
      <c r="B110" s="49"/>
      <c r="C110" s="49"/>
      <c r="D110" s="49">
        <f>IF(H110=0,wdct(TRIM(C110)),0)</f>
        <v>0</v>
      </c>
      <c r="E110" s="49">
        <f>COUNTIFS('Error Log'!$A:$A,$A110,'Error Log'!$J:$J,E$1)</f>
        <v>0</v>
      </c>
      <c r="F110" s="49">
        <f>COUNTIFS('Error Log'!$A:$A,$A110,'Error Log'!$J:$J,F$1)</f>
        <v>0</v>
      </c>
      <c r="G110" s="49">
        <f>COUNTIFS('Error Log'!$A:$A,$A110,'Error Log'!$J:$J,G$1)</f>
        <v>0</v>
      </c>
      <c r="H110" s="49">
        <f>COUNTIFS('Error Log'!$A:$A,$A110,'Error Log'!$F:$F,"Source")</f>
        <v>0</v>
      </c>
      <c r="I110" s="49">
        <f>COUNTIFS('Error Log'!$A:$A,$A110,'Error Log'!$F:$F,"Target")</f>
        <v>0</v>
      </c>
      <c r="J110" s="50">
        <f t="shared" si="3"/>
        <v>0</v>
      </c>
    </row>
    <row r="111" spans="1:10">
      <c r="A111" s="14"/>
      <c r="B111" s="49"/>
      <c r="C111" s="49"/>
      <c r="D111" s="49">
        <f>IF(H111=0,wdct(TRIM(C111)),0)</f>
        <v>0</v>
      </c>
      <c r="E111" s="49">
        <f>COUNTIFS('Error Log'!$A:$A,$A111,'Error Log'!$J:$J,E$1)</f>
        <v>0</v>
      </c>
      <c r="F111" s="49">
        <f>COUNTIFS('Error Log'!$A:$A,$A111,'Error Log'!$J:$J,F$1)</f>
        <v>0</v>
      </c>
      <c r="G111" s="49">
        <f>COUNTIFS('Error Log'!$A:$A,$A111,'Error Log'!$J:$J,G$1)</f>
        <v>0</v>
      </c>
      <c r="H111" s="49">
        <f>COUNTIFS('Error Log'!$A:$A,$A111,'Error Log'!$F:$F,"Source")</f>
        <v>0</v>
      </c>
      <c r="I111" s="49">
        <f>COUNTIFS('Error Log'!$A:$A,$A111,'Error Log'!$F:$F,"Target")</f>
        <v>0</v>
      </c>
      <c r="J111" s="50">
        <f t="shared" si="3"/>
        <v>0</v>
      </c>
    </row>
    <row r="112" spans="1:10">
      <c r="A112" s="14"/>
      <c r="B112" s="49"/>
      <c r="C112" s="49"/>
      <c r="D112" s="49">
        <f>IF(H112=0,wdct(TRIM(C112)),0)</f>
        <v>0</v>
      </c>
      <c r="E112" s="49">
        <f>COUNTIFS('Error Log'!$A:$A,$A112,'Error Log'!$J:$J,E$1)</f>
        <v>0</v>
      </c>
      <c r="F112" s="49">
        <f>COUNTIFS('Error Log'!$A:$A,$A112,'Error Log'!$J:$J,F$1)</f>
        <v>0</v>
      </c>
      <c r="G112" s="49">
        <f>COUNTIFS('Error Log'!$A:$A,$A112,'Error Log'!$J:$J,G$1)</f>
        <v>0</v>
      </c>
      <c r="H112" s="49">
        <f>COUNTIFS('Error Log'!$A:$A,$A112,'Error Log'!$F:$F,"Source")</f>
        <v>0</v>
      </c>
      <c r="I112" s="49">
        <f>COUNTIFS('Error Log'!$A:$A,$A112,'Error Log'!$F:$F,"Target")</f>
        <v>0</v>
      </c>
      <c r="J112" s="50">
        <f t="shared" si="3"/>
        <v>0</v>
      </c>
    </row>
    <row r="113" spans="1:10">
      <c r="A113" s="14"/>
      <c r="B113" s="49"/>
      <c r="C113" s="49"/>
      <c r="D113" s="49">
        <f>IF(H113=0,wdct(TRIM(C113)),0)</f>
        <v>0</v>
      </c>
      <c r="E113" s="49">
        <f>COUNTIFS('Error Log'!$A:$A,$A113,'Error Log'!$J:$J,E$1)</f>
        <v>0</v>
      </c>
      <c r="F113" s="49">
        <f>COUNTIFS('Error Log'!$A:$A,$A113,'Error Log'!$J:$J,F$1)</f>
        <v>0</v>
      </c>
      <c r="G113" s="49">
        <f>COUNTIFS('Error Log'!$A:$A,$A113,'Error Log'!$J:$J,G$1)</f>
        <v>0</v>
      </c>
      <c r="H113" s="49">
        <f>COUNTIFS('Error Log'!$A:$A,$A113,'Error Log'!$F:$F,"Source")</f>
        <v>0</v>
      </c>
      <c r="I113" s="49">
        <f>COUNTIFS('Error Log'!$A:$A,$A113,'Error Log'!$F:$F,"Target")</f>
        <v>0</v>
      </c>
      <c r="J113" s="50">
        <f t="shared" si="3"/>
        <v>0</v>
      </c>
    </row>
    <row r="114" spans="1:10">
      <c r="A114" s="14"/>
      <c r="B114" s="49"/>
      <c r="C114" s="49"/>
      <c r="D114" s="49">
        <f>IF(H114=0,wdct(TRIM(C114)),0)</f>
        <v>0</v>
      </c>
      <c r="E114" s="49">
        <f>COUNTIFS('Error Log'!$A:$A,$A114,'Error Log'!$J:$J,E$1)</f>
        <v>0</v>
      </c>
      <c r="F114" s="49">
        <f>COUNTIFS('Error Log'!$A:$A,$A114,'Error Log'!$J:$J,F$1)</f>
        <v>0</v>
      </c>
      <c r="G114" s="49">
        <f>COUNTIFS('Error Log'!$A:$A,$A114,'Error Log'!$J:$J,G$1)</f>
        <v>0</v>
      </c>
      <c r="H114" s="49">
        <f>COUNTIFS('Error Log'!$A:$A,$A114,'Error Log'!$F:$F,"Source")</f>
        <v>0</v>
      </c>
      <c r="I114" s="49">
        <f>COUNTIFS('Error Log'!$A:$A,$A114,'Error Log'!$F:$F,"Target")</f>
        <v>0</v>
      </c>
      <c r="J114" s="50">
        <f t="shared" si="3"/>
        <v>0</v>
      </c>
    </row>
    <row r="115" spans="1:10">
      <c r="A115" s="14"/>
      <c r="B115" s="49"/>
      <c r="C115" s="49"/>
      <c r="D115" s="49">
        <f>IF(H115=0,wdct(TRIM(C115)),0)</f>
        <v>0</v>
      </c>
      <c r="E115" s="49">
        <f>COUNTIFS('Error Log'!$A:$A,$A115,'Error Log'!$J:$J,E$1)</f>
        <v>0</v>
      </c>
      <c r="F115" s="49">
        <f>COUNTIFS('Error Log'!$A:$A,$A115,'Error Log'!$J:$J,F$1)</f>
        <v>0</v>
      </c>
      <c r="G115" s="49">
        <f>COUNTIFS('Error Log'!$A:$A,$A115,'Error Log'!$J:$J,G$1)</f>
        <v>0</v>
      </c>
      <c r="H115" s="49">
        <f>COUNTIFS('Error Log'!$A:$A,$A115,'Error Log'!$F:$F,"Source")</f>
        <v>0</v>
      </c>
      <c r="I115" s="49">
        <f>COUNTIFS('Error Log'!$A:$A,$A115,'Error Log'!$F:$F,"Target")</f>
        <v>0</v>
      </c>
      <c r="J115" s="50">
        <f t="shared" si="3"/>
        <v>0</v>
      </c>
    </row>
    <row r="116" spans="1:10">
      <c r="A116" s="14"/>
      <c r="B116" s="49"/>
      <c r="C116" s="49"/>
      <c r="D116" s="49">
        <f>IF(H116=0,wdct(TRIM(C116)),0)</f>
        <v>0</v>
      </c>
      <c r="E116" s="49">
        <f>COUNTIFS('Error Log'!$A:$A,$A116,'Error Log'!$J:$J,E$1)</f>
        <v>0</v>
      </c>
      <c r="F116" s="49">
        <f>COUNTIFS('Error Log'!$A:$A,$A116,'Error Log'!$J:$J,F$1)</f>
        <v>0</v>
      </c>
      <c r="G116" s="49">
        <f>COUNTIFS('Error Log'!$A:$A,$A116,'Error Log'!$J:$J,G$1)</f>
        <v>0</v>
      </c>
      <c r="H116" s="49">
        <f>COUNTIFS('Error Log'!$A:$A,$A116,'Error Log'!$F:$F,"Source")</f>
        <v>0</v>
      </c>
      <c r="I116" s="49">
        <f>COUNTIFS('Error Log'!$A:$A,$A116,'Error Log'!$F:$F,"Target")</f>
        <v>0</v>
      </c>
      <c r="J116" s="50">
        <f t="shared" si="3"/>
        <v>0</v>
      </c>
    </row>
    <row r="117" spans="1:10">
      <c r="A117" s="14"/>
      <c r="B117" s="49"/>
      <c r="C117" s="49"/>
      <c r="D117" s="49">
        <f>IF(H117=0,wdct(TRIM(C117)),0)</f>
        <v>0</v>
      </c>
      <c r="E117" s="49">
        <f>COUNTIFS('Error Log'!$A:$A,$A117,'Error Log'!$J:$J,E$1)</f>
        <v>0</v>
      </c>
      <c r="F117" s="49">
        <f>COUNTIFS('Error Log'!$A:$A,$A117,'Error Log'!$J:$J,F$1)</f>
        <v>0</v>
      </c>
      <c r="G117" s="49">
        <f>COUNTIFS('Error Log'!$A:$A,$A117,'Error Log'!$J:$J,G$1)</f>
        <v>0</v>
      </c>
      <c r="H117" s="49">
        <f>COUNTIFS('Error Log'!$A:$A,$A117,'Error Log'!$F:$F,"Source")</f>
        <v>0</v>
      </c>
      <c r="I117" s="49">
        <f>COUNTIFS('Error Log'!$A:$A,$A117,'Error Log'!$F:$F,"Target")</f>
        <v>0</v>
      </c>
      <c r="J117" s="50">
        <f t="shared" si="3"/>
        <v>0</v>
      </c>
    </row>
    <row r="118" spans="1:10">
      <c r="A118" s="14"/>
      <c r="B118" s="49"/>
      <c r="C118" s="49"/>
      <c r="D118" s="49">
        <f>IF(H118=0,wdct(TRIM(C118)),0)</f>
        <v>0</v>
      </c>
      <c r="E118" s="49">
        <f>COUNTIFS('Error Log'!$A:$A,$A118,'Error Log'!$J:$J,E$1)</f>
        <v>0</v>
      </c>
      <c r="F118" s="49">
        <f>COUNTIFS('Error Log'!$A:$A,$A118,'Error Log'!$J:$J,F$1)</f>
        <v>0</v>
      </c>
      <c r="G118" s="49">
        <f>COUNTIFS('Error Log'!$A:$A,$A118,'Error Log'!$J:$J,G$1)</f>
        <v>0</v>
      </c>
      <c r="H118" s="49">
        <f>COUNTIFS('Error Log'!$A:$A,$A118,'Error Log'!$F:$F,"Source")</f>
        <v>0</v>
      </c>
      <c r="I118" s="49">
        <f>COUNTIFS('Error Log'!$A:$A,$A118,'Error Log'!$F:$F,"Target")</f>
        <v>0</v>
      </c>
      <c r="J118" s="50">
        <f t="shared" si="3"/>
        <v>0</v>
      </c>
    </row>
    <row r="119" spans="1:10">
      <c r="A119" s="14"/>
      <c r="B119" s="49"/>
      <c r="C119" s="49"/>
      <c r="D119" s="49">
        <f>IF(H119=0,wdct(TRIM(C119)),0)</f>
        <v>0</v>
      </c>
      <c r="E119" s="49">
        <f>COUNTIFS('Error Log'!$A:$A,$A119,'Error Log'!$J:$J,E$1)</f>
        <v>0</v>
      </c>
      <c r="F119" s="49">
        <f>COUNTIFS('Error Log'!$A:$A,$A119,'Error Log'!$J:$J,F$1)</f>
        <v>0</v>
      </c>
      <c r="G119" s="49">
        <f>COUNTIFS('Error Log'!$A:$A,$A119,'Error Log'!$J:$J,G$1)</f>
        <v>0</v>
      </c>
      <c r="H119" s="49">
        <f>COUNTIFS('Error Log'!$A:$A,$A119,'Error Log'!$F:$F,"Source")</f>
        <v>0</v>
      </c>
      <c r="I119" s="49">
        <f>COUNTIFS('Error Log'!$A:$A,$A119,'Error Log'!$F:$F,"Target")</f>
        <v>0</v>
      </c>
      <c r="J119" s="50">
        <f t="shared" si="3"/>
        <v>0</v>
      </c>
    </row>
    <row r="120" spans="1:10">
      <c r="A120" s="14"/>
      <c r="B120" s="49"/>
      <c r="C120" s="49"/>
      <c r="D120" s="49">
        <f>IF(H120=0,wdct(TRIM(C120)),0)</f>
        <v>0</v>
      </c>
      <c r="E120" s="49">
        <f>COUNTIFS('Error Log'!$A:$A,$A120,'Error Log'!$J:$J,E$1)</f>
        <v>0</v>
      </c>
      <c r="F120" s="49">
        <f>COUNTIFS('Error Log'!$A:$A,$A120,'Error Log'!$J:$J,F$1)</f>
        <v>0</v>
      </c>
      <c r="G120" s="49">
        <f>COUNTIFS('Error Log'!$A:$A,$A120,'Error Log'!$J:$J,G$1)</f>
        <v>0</v>
      </c>
      <c r="H120" s="49">
        <f>COUNTIFS('Error Log'!$A:$A,$A120,'Error Log'!$F:$F,"Source")</f>
        <v>0</v>
      </c>
      <c r="I120" s="49">
        <f>COUNTIFS('Error Log'!$A:$A,$A120,'Error Log'!$F:$F,"Target")</f>
        <v>0</v>
      </c>
      <c r="J120" s="50">
        <f t="shared" si="3"/>
        <v>0</v>
      </c>
    </row>
    <row r="121" spans="1:10">
      <c r="A121" s="14"/>
      <c r="B121" s="49"/>
      <c r="C121" s="49"/>
      <c r="D121" s="49">
        <f>IF(H121=0,wdct(TRIM(C121)),0)</f>
        <v>0</v>
      </c>
      <c r="E121" s="49">
        <f>COUNTIFS('Error Log'!$A:$A,$A121,'Error Log'!$J:$J,E$1)</f>
        <v>0</v>
      </c>
      <c r="F121" s="49">
        <f>COUNTIFS('Error Log'!$A:$A,$A121,'Error Log'!$J:$J,F$1)</f>
        <v>0</v>
      </c>
      <c r="G121" s="49">
        <f>COUNTIFS('Error Log'!$A:$A,$A121,'Error Log'!$J:$J,G$1)</f>
        <v>0</v>
      </c>
      <c r="H121" s="49">
        <f>COUNTIFS('Error Log'!$A:$A,$A121,'Error Log'!$F:$F,"Source")</f>
        <v>0</v>
      </c>
      <c r="I121" s="49">
        <f>COUNTIFS('Error Log'!$A:$A,$A121,'Error Log'!$F:$F,"Target")</f>
        <v>0</v>
      </c>
      <c r="J121" s="50">
        <f t="shared" si="3"/>
        <v>0</v>
      </c>
    </row>
    <row r="122" spans="1:10">
      <c r="A122" s="14"/>
      <c r="B122" s="49"/>
      <c r="C122" s="49"/>
      <c r="D122" s="49">
        <f>IF(H122=0,wdct(TRIM(C122)),0)</f>
        <v>0</v>
      </c>
      <c r="E122" s="49">
        <f>COUNTIFS('Error Log'!$A:$A,$A122,'Error Log'!$J:$J,E$1)</f>
        <v>0</v>
      </c>
      <c r="F122" s="49">
        <f>COUNTIFS('Error Log'!$A:$A,$A122,'Error Log'!$J:$J,F$1)</f>
        <v>0</v>
      </c>
      <c r="G122" s="49">
        <f>COUNTIFS('Error Log'!$A:$A,$A122,'Error Log'!$J:$J,G$1)</f>
        <v>0</v>
      </c>
      <c r="H122" s="49">
        <f>COUNTIFS('Error Log'!$A:$A,$A122,'Error Log'!$F:$F,"Source")</f>
        <v>0</v>
      </c>
      <c r="I122" s="49">
        <f>COUNTIFS('Error Log'!$A:$A,$A122,'Error Log'!$F:$F,"Target")</f>
        <v>0</v>
      </c>
      <c r="J122" s="50">
        <f t="shared" si="3"/>
        <v>0</v>
      </c>
    </row>
    <row r="123" spans="1:10">
      <c r="A123" s="14"/>
      <c r="B123" s="49"/>
      <c r="C123" s="49"/>
      <c r="D123" s="49">
        <f>IF(H123=0,wdct(TRIM(C123)),0)</f>
        <v>0</v>
      </c>
      <c r="E123" s="49">
        <f>COUNTIFS('Error Log'!$A:$A,$A123,'Error Log'!$J:$J,E$1)</f>
        <v>0</v>
      </c>
      <c r="F123" s="49">
        <f>COUNTIFS('Error Log'!$A:$A,$A123,'Error Log'!$J:$J,F$1)</f>
        <v>0</v>
      </c>
      <c r="G123" s="49">
        <f>COUNTIFS('Error Log'!$A:$A,$A123,'Error Log'!$J:$J,G$1)</f>
        <v>0</v>
      </c>
      <c r="H123" s="49">
        <f>COUNTIFS('Error Log'!$A:$A,$A123,'Error Log'!$F:$F,"Source")</f>
        <v>0</v>
      </c>
      <c r="I123" s="49">
        <f>COUNTIFS('Error Log'!$A:$A,$A123,'Error Log'!$F:$F,"Target")</f>
        <v>0</v>
      </c>
      <c r="J123" s="50">
        <f t="shared" si="3"/>
        <v>0</v>
      </c>
    </row>
    <row r="124" spans="1:10">
      <c r="A124" s="14"/>
      <c r="B124" s="49"/>
      <c r="C124" s="49"/>
      <c r="D124" s="49">
        <f>IF(H124=0,wdct(TRIM(C124)),0)</f>
        <v>0</v>
      </c>
      <c r="E124" s="49">
        <f>COUNTIFS('Error Log'!$A:$A,$A124,'Error Log'!$J:$J,E$1)</f>
        <v>0</v>
      </c>
      <c r="F124" s="49">
        <f>COUNTIFS('Error Log'!$A:$A,$A124,'Error Log'!$J:$J,F$1)</f>
        <v>0</v>
      </c>
      <c r="G124" s="49">
        <f>COUNTIFS('Error Log'!$A:$A,$A124,'Error Log'!$J:$J,G$1)</f>
        <v>0</v>
      </c>
      <c r="H124" s="49">
        <f>COUNTIFS('Error Log'!$A:$A,$A124,'Error Log'!$F:$F,"Source")</f>
        <v>0</v>
      </c>
      <c r="I124" s="49">
        <f>COUNTIFS('Error Log'!$A:$A,$A124,'Error Log'!$F:$F,"Target")</f>
        <v>0</v>
      </c>
      <c r="J124" s="50">
        <f t="shared" si="3"/>
        <v>0</v>
      </c>
    </row>
    <row r="125" spans="1:10">
      <c r="A125" s="14"/>
      <c r="B125" s="49"/>
      <c r="C125" s="49"/>
      <c r="D125" s="49">
        <f>IF(H125=0,wdct(TRIM(C125)),0)</f>
        <v>0</v>
      </c>
      <c r="E125" s="49">
        <f>COUNTIFS('Error Log'!$A:$A,$A125,'Error Log'!$J:$J,E$1)</f>
        <v>0</v>
      </c>
      <c r="F125" s="49">
        <f>COUNTIFS('Error Log'!$A:$A,$A125,'Error Log'!$J:$J,F$1)</f>
        <v>0</v>
      </c>
      <c r="G125" s="49">
        <f>COUNTIFS('Error Log'!$A:$A,$A125,'Error Log'!$J:$J,G$1)</f>
        <v>0</v>
      </c>
      <c r="H125" s="49">
        <f>COUNTIFS('Error Log'!$A:$A,$A125,'Error Log'!$F:$F,"Source")</f>
        <v>0</v>
      </c>
      <c r="I125" s="49">
        <f>COUNTIFS('Error Log'!$A:$A,$A125,'Error Log'!$F:$F,"Target")</f>
        <v>0</v>
      </c>
      <c r="J125" s="50">
        <f t="shared" si="3"/>
        <v>0</v>
      </c>
    </row>
    <row r="126" spans="1:10">
      <c r="A126" s="14"/>
      <c r="B126" s="49"/>
      <c r="C126" s="49"/>
      <c r="D126" s="49">
        <f>IF(H126=0,wdct(TRIM(C126)),0)</f>
        <v>0</v>
      </c>
      <c r="E126" s="49">
        <f>COUNTIFS('Error Log'!$A:$A,$A126,'Error Log'!$J:$J,E$1)</f>
        <v>0</v>
      </c>
      <c r="F126" s="49">
        <f>COUNTIFS('Error Log'!$A:$A,$A126,'Error Log'!$J:$J,F$1)</f>
        <v>0</v>
      </c>
      <c r="G126" s="49">
        <f>COUNTIFS('Error Log'!$A:$A,$A126,'Error Log'!$J:$J,G$1)</f>
        <v>0</v>
      </c>
      <c r="H126" s="49">
        <f>COUNTIFS('Error Log'!$A:$A,$A126,'Error Log'!$F:$F,"Source")</f>
        <v>0</v>
      </c>
      <c r="I126" s="49">
        <f>COUNTIFS('Error Log'!$A:$A,$A126,'Error Log'!$F:$F,"Target")</f>
        <v>0</v>
      </c>
      <c r="J126" s="50">
        <f t="shared" si="3"/>
        <v>0</v>
      </c>
    </row>
    <row r="127" spans="1:10">
      <c r="A127" s="14"/>
      <c r="B127" s="49"/>
      <c r="C127" s="49"/>
      <c r="D127" s="49">
        <f>IF(H127=0,wdct(TRIM(C127)),0)</f>
        <v>0</v>
      </c>
      <c r="E127" s="49">
        <f>COUNTIFS('Error Log'!$A:$A,$A127,'Error Log'!$J:$J,E$1)</f>
        <v>0</v>
      </c>
      <c r="F127" s="49">
        <f>COUNTIFS('Error Log'!$A:$A,$A127,'Error Log'!$J:$J,F$1)</f>
        <v>0</v>
      </c>
      <c r="G127" s="49">
        <f>COUNTIFS('Error Log'!$A:$A,$A127,'Error Log'!$J:$J,G$1)</f>
        <v>0</v>
      </c>
      <c r="H127" s="49">
        <f>COUNTIFS('Error Log'!$A:$A,$A127,'Error Log'!$F:$F,"Source")</f>
        <v>0</v>
      </c>
      <c r="I127" s="49">
        <f>COUNTIFS('Error Log'!$A:$A,$A127,'Error Log'!$F:$F,"Target")</f>
        <v>0</v>
      </c>
      <c r="J127" s="50">
        <f t="shared" si="3"/>
        <v>0</v>
      </c>
    </row>
    <row r="128" spans="1:10">
      <c r="A128" s="14"/>
      <c r="B128" s="49"/>
      <c r="C128" s="49"/>
      <c r="D128" s="49">
        <f>IF(H128=0,wdct(TRIM(C128)),0)</f>
        <v>0</v>
      </c>
      <c r="E128" s="49">
        <f>COUNTIFS('Error Log'!$A:$A,$A128,'Error Log'!$J:$J,E$1)</f>
        <v>0</v>
      </c>
      <c r="F128" s="49">
        <f>COUNTIFS('Error Log'!$A:$A,$A128,'Error Log'!$J:$J,F$1)</f>
        <v>0</v>
      </c>
      <c r="G128" s="49">
        <f>COUNTIFS('Error Log'!$A:$A,$A128,'Error Log'!$J:$J,G$1)</f>
        <v>0</v>
      </c>
      <c r="H128" s="49">
        <f>COUNTIFS('Error Log'!$A:$A,$A128,'Error Log'!$F:$F,"Source")</f>
        <v>0</v>
      </c>
      <c r="I128" s="49">
        <f>COUNTIFS('Error Log'!$A:$A,$A128,'Error Log'!$F:$F,"Target")</f>
        <v>0</v>
      </c>
      <c r="J128" s="50">
        <f t="shared" si="3"/>
        <v>0</v>
      </c>
    </row>
    <row r="129" spans="1:10">
      <c r="A129" s="14"/>
      <c r="B129" s="49"/>
      <c r="C129" s="49"/>
      <c r="D129" s="49">
        <f>IF(H129=0,wdct(TRIM(C129)),0)</f>
        <v>0</v>
      </c>
      <c r="E129" s="49">
        <f>COUNTIFS('Error Log'!$A:$A,$A129,'Error Log'!$J:$J,E$1)</f>
        <v>0</v>
      </c>
      <c r="F129" s="49">
        <f>COUNTIFS('Error Log'!$A:$A,$A129,'Error Log'!$J:$J,F$1)</f>
        <v>0</v>
      </c>
      <c r="G129" s="49">
        <f>COUNTIFS('Error Log'!$A:$A,$A129,'Error Log'!$J:$J,G$1)</f>
        <v>0</v>
      </c>
      <c r="H129" s="49">
        <f>COUNTIFS('Error Log'!$A:$A,$A129,'Error Log'!$F:$F,"Source")</f>
        <v>0</v>
      </c>
      <c r="I129" s="49">
        <f>COUNTIFS('Error Log'!$A:$A,$A129,'Error Log'!$F:$F,"Target")</f>
        <v>0</v>
      </c>
      <c r="J129" s="50">
        <f t="shared" si="3"/>
        <v>0</v>
      </c>
    </row>
    <row r="130" spans="1:10">
      <c r="A130" s="14"/>
      <c r="B130" s="49"/>
      <c r="C130" s="49"/>
      <c r="D130" s="49">
        <f>IF(H130=0,wdct(TRIM(C130)),0)</f>
        <v>0</v>
      </c>
      <c r="E130" s="49">
        <f>COUNTIFS('Error Log'!$A:$A,$A130,'Error Log'!$J:$J,E$1)</f>
        <v>0</v>
      </c>
      <c r="F130" s="49">
        <f>COUNTIFS('Error Log'!$A:$A,$A130,'Error Log'!$J:$J,F$1)</f>
        <v>0</v>
      </c>
      <c r="G130" s="49">
        <f>COUNTIFS('Error Log'!$A:$A,$A130,'Error Log'!$J:$J,G$1)</f>
        <v>0</v>
      </c>
      <c r="H130" s="49">
        <f>COUNTIFS('Error Log'!$A:$A,$A130,'Error Log'!$F:$F,"Source")</f>
        <v>0</v>
      </c>
      <c r="I130" s="49">
        <f>COUNTIFS('Error Log'!$A:$A,$A130,'Error Log'!$F:$F,"Target")</f>
        <v>0</v>
      </c>
      <c r="J130" s="50">
        <f t="shared" si="3"/>
        <v>0</v>
      </c>
    </row>
    <row r="131" spans="1:10">
      <c r="A131" s="14"/>
      <c r="B131" s="49"/>
      <c r="C131" s="49"/>
      <c r="D131" s="49">
        <f>IF(H131=0,wdct(TRIM(C131)),0)</f>
        <v>0</v>
      </c>
      <c r="E131" s="49">
        <f>COUNTIFS('Error Log'!$A:$A,$A131,'Error Log'!$J:$J,E$1)</f>
        <v>0</v>
      </c>
      <c r="F131" s="49">
        <f>COUNTIFS('Error Log'!$A:$A,$A131,'Error Log'!$J:$J,F$1)</f>
        <v>0</v>
      </c>
      <c r="G131" s="49">
        <f>COUNTIFS('Error Log'!$A:$A,$A131,'Error Log'!$J:$J,G$1)</f>
        <v>0</v>
      </c>
      <c r="H131" s="49">
        <f>COUNTIFS('Error Log'!$A:$A,$A131,'Error Log'!$F:$F,"Source")</f>
        <v>0</v>
      </c>
      <c r="I131" s="49">
        <f>COUNTIFS('Error Log'!$A:$A,$A131,'Error Log'!$F:$F,"Target")</f>
        <v>0</v>
      </c>
      <c r="J131" s="50">
        <f t="shared" si="3"/>
        <v>0</v>
      </c>
    </row>
    <row r="132" spans="1:10">
      <c r="A132" s="14"/>
      <c r="B132" s="49"/>
      <c r="C132" s="49"/>
      <c r="D132" s="49">
        <f>IF(H132=0,wdct(TRIM(C132)),0)</f>
        <v>0</v>
      </c>
      <c r="E132" s="49">
        <f>COUNTIFS('Error Log'!$A:$A,$A132,'Error Log'!$J:$J,E$1)</f>
        <v>0</v>
      </c>
      <c r="F132" s="49">
        <f>COUNTIFS('Error Log'!$A:$A,$A132,'Error Log'!$J:$J,F$1)</f>
        <v>0</v>
      </c>
      <c r="G132" s="49">
        <f>COUNTIFS('Error Log'!$A:$A,$A132,'Error Log'!$J:$J,G$1)</f>
        <v>0</v>
      </c>
      <c r="H132" s="49">
        <f>COUNTIFS('Error Log'!$A:$A,$A132,'Error Log'!$F:$F,"Source")</f>
        <v>0</v>
      </c>
      <c r="I132" s="49">
        <f>COUNTIFS('Error Log'!$A:$A,$A132,'Error Log'!$F:$F,"Target")</f>
        <v>0</v>
      </c>
      <c r="J132" s="50">
        <f t="shared" si="3"/>
        <v>0</v>
      </c>
    </row>
    <row r="133" spans="1:10">
      <c r="A133" s="14"/>
      <c r="B133" s="49"/>
      <c r="C133" s="49"/>
      <c r="D133" s="49">
        <f>IF(H133=0,wdct(TRIM(C133)),0)</f>
        <v>0</v>
      </c>
      <c r="E133" s="49">
        <f>COUNTIFS('Error Log'!$A:$A,$A133,'Error Log'!$J:$J,E$1)</f>
        <v>0</v>
      </c>
      <c r="F133" s="49">
        <f>COUNTIFS('Error Log'!$A:$A,$A133,'Error Log'!$J:$J,F$1)</f>
        <v>0</v>
      </c>
      <c r="G133" s="49">
        <f>COUNTIFS('Error Log'!$A:$A,$A133,'Error Log'!$J:$J,G$1)</f>
        <v>0</v>
      </c>
      <c r="H133" s="49">
        <f>COUNTIFS('Error Log'!$A:$A,$A133,'Error Log'!$F:$F,"Source")</f>
        <v>0</v>
      </c>
      <c r="I133" s="49">
        <f>COUNTIFS('Error Log'!$A:$A,$A133,'Error Log'!$F:$F,"Target")</f>
        <v>0</v>
      </c>
      <c r="J133" s="50">
        <f t="shared" si="3"/>
        <v>0</v>
      </c>
    </row>
    <row r="134" spans="1:10">
      <c r="A134" s="14"/>
      <c r="B134" s="49"/>
      <c r="C134" s="49"/>
      <c r="D134" s="49">
        <f>IF(H134=0,wdct(TRIM(C134)),0)</f>
        <v>0</v>
      </c>
      <c r="E134" s="49">
        <f>COUNTIFS('Error Log'!$A:$A,$A134,'Error Log'!$J:$J,E$1)</f>
        <v>0</v>
      </c>
      <c r="F134" s="49">
        <f>COUNTIFS('Error Log'!$A:$A,$A134,'Error Log'!$J:$J,F$1)</f>
        <v>0</v>
      </c>
      <c r="G134" s="49">
        <f>COUNTIFS('Error Log'!$A:$A,$A134,'Error Log'!$J:$J,G$1)</f>
        <v>0</v>
      </c>
      <c r="H134" s="49">
        <f>COUNTIFS('Error Log'!$A:$A,$A134,'Error Log'!$F:$F,"Source")</f>
        <v>0</v>
      </c>
      <c r="I134" s="49">
        <f>COUNTIFS('Error Log'!$A:$A,$A134,'Error Log'!$F:$F,"Target")</f>
        <v>0</v>
      </c>
      <c r="J134" s="50">
        <f t="shared" si="3"/>
        <v>0</v>
      </c>
    </row>
    <row r="135" spans="1:10">
      <c r="A135" s="14"/>
      <c r="B135" s="49"/>
      <c r="C135" s="49"/>
      <c r="D135" s="49">
        <f>IF(H135=0,wdct(TRIM(C135)),0)</f>
        <v>0</v>
      </c>
      <c r="E135" s="49">
        <f>COUNTIFS('Error Log'!$A:$A,$A135,'Error Log'!$J:$J,E$1)</f>
        <v>0</v>
      </c>
      <c r="F135" s="49">
        <f>COUNTIFS('Error Log'!$A:$A,$A135,'Error Log'!$J:$J,F$1)</f>
        <v>0</v>
      </c>
      <c r="G135" s="49">
        <f>COUNTIFS('Error Log'!$A:$A,$A135,'Error Log'!$J:$J,G$1)</f>
        <v>0</v>
      </c>
      <c r="H135" s="49">
        <f>COUNTIFS('Error Log'!$A:$A,$A135,'Error Log'!$F:$F,"Source")</f>
        <v>0</v>
      </c>
      <c r="I135" s="49">
        <f>COUNTIFS('Error Log'!$A:$A,$A135,'Error Log'!$F:$F,"Target")</f>
        <v>0</v>
      </c>
      <c r="J135" s="50">
        <f t="shared" si="3"/>
        <v>0</v>
      </c>
    </row>
    <row r="136" spans="1:10">
      <c r="A136" s="14"/>
      <c r="B136" s="49"/>
      <c r="C136" s="49"/>
      <c r="D136" s="49">
        <f>IF(H136=0,wdct(TRIM(C136)),0)</f>
        <v>0</v>
      </c>
      <c r="E136" s="49">
        <f>COUNTIFS('Error Log'!$A:$A,$A136,'Error Log'!$J:$J,E$1)</f>
        <v>0</v>
      </c>
      <c r="F136" s="49">
        <f>COUNTIFS('Error Log'!$A:$A,$A136,'Error Log'!$J:$J,F$1)</f>
        <v>0</v>
      </c>
      <c r="G136" s="49">
        <f>COUNTIFS('Error Log'!$A:$A,$A136,'Error Log'!$J:$J,G$1)</f>
        <v>0</v>
      </c>
      <c r="H136" s="49">
        <f>COUNTIFS('Error Log'!$A:$A,$A136,'Error Log'!$F:$F,"Source")</f>
        <v>0</v>
      </c>
      <c r="I136" s="49">
        <f>COUNTIFS('Error Log'!$A:$A,$A136,'Error Log'!$F:$F,"Target")</f>
        <v>0</v>
      </c>
      <c r="J136" s="50">
        <f t="shared" si="3"/>
        <v>0</v>
      </c>
    </row>
    <row r="137" spans="1:10">
      <c r="A137" s="14"/>
      <c r="B137" s="49"/>
      <c r="C137" s="49"/>
      <c r="D137" s="49">
        <f>IF(H137=0,wdct(TRIM(C137)),0)</f>
        <v>0</v>
      </c>
      <c r="E137" s="49">
        <f>COUNTIFS('Error Log'!$A:$A,$A137,'Error Log'!$J:$J,E$1)</f>
        <v>0</v>
      </c>
      <c r="F137" s="49">
        <f>COUNTIFS('Error Log'!$A:$A,$A137,'Error Log'!$J:$J,F$1)</f>
        <v>0</v>
      </c>
      <c r="G137" s="49">
        <f>COUNTIFS('Error Log'!$A:$A,$A137,'Error Log'!$J:$J,G$1)</f>
        <v>0</v>
      </c>
      <c r="H137" s="49">
        <f>COUNTIFS('Error Log'!$A:$A,$A137,'Error Log'!$F:$F,"Source")</f>
        <v>0</v>
      </c>
      <c r="I137" s="49">
        <f>COUNTIFS('Error Log'!$A:$A,$A137,'Error Log'!$F:$F,"Target")</f>
        <v>0</v>
      </c>
      <c r="J137" s="50">
        <f t="shared" si="3"/>
        <v>0</v>
      </c>
    </row>
    <row r="138" spans="1:10">
      <c r="A138" s="14"/>
      <c r="B138" s="49"/>
      <c r="C138" s="49"/>
      <c r="D138" s="49">
        <f>IF(H138=0,wdct(TRIM(C138)),0)</f>
        <v>0</v>
      </c>
      <c r="E138" s="49">
        <f>COUNTIFS('Error Log'!$A:$A,$A138,'Error Log'!$J:$J,E$1)</f>
        <v>0</v>
      </c>
      <c r="F138" s="49">
        <f>COUNTIFS('Error Log'!$A:$A,$A138,'Error Log'!$J:$J,F$1)</f>
        <v>0</v>
      </c>
      <c r="G138" s="49">
        <f>COUNTIFS('Error Log'!$A:$A,$A138,'Error Log'!$J:$J,G$1)</f>
        <v>0</v>
      </c>
      <c r="H138" s="49">
        <f>COUNTIFS('Error Log'!$A:$A,$A138,'Error Log'!$F:$F,"Source")</f>
        <v>0</v>
      </c>
      <c r="I138" s="49">
        <f>COUNTIFS('Error Log'!$A:$A,$A138,'Error Log'!$F:$F,"Target")</f>
        <v>0</v>
      </c>
      <c r="J138" s="50">
        <f t="shared" si="3"/>
        <v>0</v>
      </c>
    </row>
    <row r="139" spans="1:10">
      <c r="A139" s="14"/>
      <c r="B139" s="49"/>
      <c r="C139" s="49"/>
      <c r="D139" s="49">
        <f>IF(H139=0,wdct(TRIM(C139)),0)</f>
        <v>0</v>
      </c>
      <c r="E139" s="49">
        <f>COUNTIFS('Error Log'!$A:$A,$A139,'Error Log'!$J:$J,E$1)</f>
        <v>0</v>
      </c>
      <c r="F139" s="49">
        <f>COUNTIFS('Error Log'!$A:$A,$A139,'Error Log'!$J:$J,F$1)</f>
        <v>0</v>
      </c>
      <c r="G139" s="49">
        <f>COUNTIFS('Error Log'!$A:$A,$A139,'Error Log'!$J:$J,G$1)</f>
        <v>0</v>
      </c>
      <c r="H139" s="49">
        <f>COUNTIFS('Error Log'!$A:$A,$A139,'Error Log'!$F:$F,"Source")</f>
        <v>0</v>
      </c>
      <c r="I139" s="49">
        <f>COUNTIFS('Error Log'!$A:$A,$A139,'Error Log'!$F:$F,"Target")</f>
        <v>0</v>
      </c>
      <c r="J139" s="50">
        <f t="shared" si="3"/>
        <v>0</v>
      </c>
    </row>
    <row r="140" spans="1:10">
      <c r="A140" s="14"/>
      <c r="B140" s="49"/>
      <c r="C140" s="49"/>
      <c r="D140" s="49">
        <f>IF(H140=0,wdct(TRIM(C140)),0)</f>
        <v>0</v>
      </c>
      <c r="E140" s="49">
        <f>COUNTIFS('Error Log'!$A:$A,$A140,'Error Log'!$J:$J,E$1)</f>
        <v>0</v>
      </c>
      <c r="F140" s="49">
        <f>COUNTIFS('Error Log'!$A:$A,$A140,'Error Log'!$J:$J,F$1)</f>
        <v>0</v>
      </c>
      <c r="G140" s="49">
        <f>COUNTIFS('Error Log'!$A:$A,$A140,'Error Log'!$J:$J,G$1)</f>
        <v>0</v>
      </c>
      <c r="H140" s="49">
        <f>COUNTIFS('Error Log'!$A:$A,$A140,'Error Log'!$F:$F,"Source")</f>
        <v>0</v>
      </c>
      <c r="I140" s="49">
        <f>COUNTIFS('Error Log'!$A:$A,$A140,'Error Log'!$F:$F,"Target")</f>
        <v>0</v>
      </c>
      <c r="J140" s="50">
        <f t="shared" si="3"/>
        <v>0</v>
      </c>
    </row>
    <row r="141" spans="1:10">
      <c r="A141" s="14"/>
      <c r="B141" s="49"/>
      <c r="C141" s="49"/>
      <c r="D141" s="49">
        <f>IF(H141=0,wdct(TRIM(C141)),0)</f>
        <v>0</v>
      </c>
      <c r="E141" s="49">
        <f>COUNTIFS('Error Log'!$A:$A,$A141,'Error Log'!$J:$J,E$1)</f>
        <v>0</v>
      </c>
      <c r="F141" s="49">
        <f>COUNTIFS('Error Log'!$A:$A,$A141,'Error Log'!$J:$J,F$1)</f>
        <v>0</v>
      </c>
      <c r="G141" s="49">
        <f>COUNTIFS('Error Log'!$A:$A,$A141,'Error Log'!$J:$J,G$1)</f>
        <v>0</v>
      </c>
      <c r="H141" s="49">
        <f>COUNTIFS('Error Log'!$A:$A,$A141,'Error Log'!$F:$F,"Source")</f>
        <v>0</v>
      </c>
      <c r="I141" s="49">
        <f>COUNTIFS('Error Log'!$A:$A,$A141,'Error Log'!$F:$F,"Target")</f>
        <v>0</v>
      </c>
      <c r="J141" s="50">
        <f t="shared" si="3"/>
        <v>0</v>
      </c>
    </row>
    <row r="142" spans="1:10">
      <c r="A142" s="14"/>
      <c r="B142" s="49"/>
      <c r="C142" s="49"/>
      <c r="D142" s="49">
        <f>IF(H142=0,wdct(TRIM(C142)),0)</f>
        <v>0</v>
      </c>
      <c r="E142" s="49">
        <f>COUNTIFS('Error Log'!$A:$A,$A142,'Error Log'!$J:$J,E$1)</f>
        <v>0</v>
      </c>
      <c r="F142" s="49">
        <f>COUNTIFS('Error Log'!$A:$A,$A142,'Error Log'!$J:$J,F$1)</f>
        <v>0</v>
      </c>
      <c r="G142" s="49">
        <f>COUNTIFS('Error Log'!$A:$A,$A142,'Error Log'!$J:$J,G$1)</f>
        <v>0</v>
      </c>
      <c r="H142" s="49">
        <f>COUNTIFS('Error Log'!$A:$A,$A142,'Error Log'!$F:$F,"Source")</f>
        <v>0</v>
      </c>
      <c r="I142" s="49">
        <f>COUNTIFS('Error Log'!$A:$A,$A142,'Error Log'!$F:$F,"Target")</f>
        <v>0</v>
      </c>
      <c r="J142" s="50">
        <f t="shared" si="3"/>
        <v>0</v>
      </c>
    </row>
    <row r="143" spans="1:10">
      <c r="A143" s="14"/>
      <c r="B143" s="49"/>
      <c r="C143" s="49"/>
      <c r="D143" s="49">
        <f>IF(H143=0,wdct(TRIM(C143)),0)</f>
        <v>0</v>
      </c>
      <c r="E143" s="49">
        <f>COUNTIFS('Error Log'!$A:$A,$A143,'Error Log'!$J:$J,E$1)</f>
        <v>0</v>
      </c>
      <c r="F143" s="49">
        <f>COUNTIFS('Error Log'!$A:$A,$A143,'Error Log'!$J:$J,F$1)</f>
        <v>0</v>
      </c>
      <c r="G143" s="49">
        <f>COUNTIFS('Error Log'!$A:$A,$A143,'Error Log'!$J:$J,G$1)</f>
        <v>0</v>
      </c>
      <c r="H143" s="49">
        <f>COUNTIFS('Error Log'!$A:$A,$A143,'Error Log'!$F:$F,"Source")</f>
        <v>0</v>
      </c>
      <c r="I143" s="49">
        <f>COUNTIFS('Error Log'!$A:$A,$A143,'Error Log'!$F:$F,"Target")</f>
        <v>0</v>
      </c>
      <c r="J143" s="50">
        <f t="shared" si="3"/>
        <v>0</v>
      </c>
    </row>
    <row r="144" spans="1:10">
      <c r="A144" s="14"/>
      <c r="B144" s="49"/>
      <c r="C144" s="49"/>
      <c r="D144" s="49">
        <f>IF(H144=0,wdct(TRIM(C144)),0)</f>
        <v>0</v>
      </c>
      <c r="E144" s="49">
        <f>COUNTIFS('Error Log'!$A:$A,$A144,'Error Log'!$J:$J,E$1)</f>
        <v>0</v>
      </c>
      <c r="F144" s="49">
        <f>COUNTIFS('Error Log'!$A:$A,$A144,'Error Log'!$J:$J,F$1)</f>
        <v>0</v>
      </c>
      <c r="G144" s="49">
        <f>COUNTIFS('Error Log'!$A:$A,$A144,'Error Log'!$J:$J,G$1)</f>
        <v>0</v>
      </c>
      <c r="H144" s="49">
        <f>COUNTIFS('Error Log'!$A:$A,$A144,'Error Log'!$F:$F,"Source")</f>
        <v>0</v>
      </c>
      <c r="I144" s="49">
        <f>COUNTIFS('Error Log'!$A:$A,$A144,'Error Log'!$F:$F,"Target")</f>
        <v>0</v>
      </c>
      <c r="J144" s="50">
        <f t="shared" si="3"/>
        <v>0</v>
      </c>
    </row>
    <row r="145" spans="1:10">
      <c r="A145" s="14"/>
      <c r="B145" s="49"/>
      <c r="C145" s="49"/>
      <c r="D145" s="49">
        <f>IF(H145=0,wdct(TRIM(C145)),0)</f>
        <v>0</v>
      </c>
      <c r="E145" s="49">
        <f>COUNTIFS('Error Log'!$A:$A,$A145,'Error Log'!$J:$J,E$1)</f>
        <v>0</v>
      </c>
      <c r="F145" s="49">
        <f>COUNTIFS('Error Log'!$A:$A,$A145,'Error Log'!$J:$J,F$1)</f>
        <v>0</v>
      </c>
      <c r="G145" s="49">
        <f>COUNTIFS('Error Log'!$A:$A,$A145,'Error Log'!$J:$J,G$1)</f>
        <v>0</v>
      </c>
      <c r="H145" s="49">
        <f>COUNTIFS('Error Log'!$A:$A,$A145,'Error Log'!$F:$F,"Source")</f>
        <v>0</v>
      </c>
      <c r="I145" s="49">
        <f>COUNTIFS('Error Log'!$A:$A,$A145,'Error Log'!$F:$F,"Target")</f>
        <v>0</v>
      </c>
      <c r="J145" s="50">
        <f t="shared" si="3"/>
        <v>0</v>
      </c>
    </row>
    <row r="146" spans="1:10">
      <c r="A146" s="14"/>
      <c r="B146" s="49"/>
      <c r="C146" s="49"/>
      <c r="D146" s="49">
        <f>IF(H146=0,wdct(TRIM(C146)),0)</f>
        <v>0</v>
      </c>
      <c r="E146" s="49">
        <f>COUNTIFS('Error Log'!$A:$A,$A146,'Error Log'!$J:$J,E$1)</f>
        <v>0</v>
      </c>
      <c r="F146" s="49">
        <f>COUNTIFS('Error Log'!$A:$A,$A146,'Error Log'!$J:$J,F$1)</f>
        <v>0</v>
      </c>
      <c r="G146" s="49">
        <f>COUNTIFS('Error Log'!$A:$A,$A146,'Error Log'!$J:$J,G$1)</f>
        <v>0</v>
      </c>
      <c r="H146" s="49">
        <f>COUNTIFS('Error Log'!$A:$A,$A146,'Error Log'!$F:$F,"Source")</f>
        <v>0</v>
      </c>
      <c r="I146" s="49">
        <f>COUNTIFS('Error Log'!$A:$A,$A146,'Error Log'!$F:$F,"Target")</f>
        <v>0</v>
      </c>
      <c r="J146" s="50">
        <f t="shared" si="3"/>
        <v>0</v>
      </c>
    </row>
    <row r="147" spans="1:10">
      <c r="A147" s="14"/>
      <c r="B147" s="49"/>
      <c r="C147" s="49"/>
      <c r="D147" s="49">
        <f>IF(H147=0,wdct(TRIM(C147)),0)</f>
        <v>0</v>
      </c>
      <c r="E147" s="49">
        <f>COUNTIFS('Error Log'!$A:$A,$A147,'Error Log'!$J:$J,E$1)</f>
        <v>0</v>
      </c>
      <c r="F147" s="49">
        <f>COUNTIFS('Error Log'!$A:$A,$A147,'Error Log'!$J:$J,F$1)</f>
        <v>0</v>
      </c>
      <c r="G147" s="49">
        <f>COUNTIFS('Error Log'!$A:$A,$A147,'Error Log'!$J:$J,G$1)</f>
        <v>0</v>
      </c>
      <c r="H147" s="49">
        <f>COUNTIFS('Error Log'!$A:$A,$A147,'Error Log'!$F:$F,"Source")</f>
        <v>0</v>
      </c>
      <c r="I147" s="49">
        <f>COUNTIFS('Error Log'!$A:$A,$A147,'Error Log'!$F:$F,"Target")</f>
        <v>0</v>
      </c>
      <c r="J147" s="50">
        <f t="shared" si="3"/>
        <v>0</v>
      </c>
    </row>
    <row r="148" spans="1:10">
      <c r="A148" s="14"/>
      <c r="B148" s="49"/>
      <c r="C148" s="49"/>
      <c r="D148" s="49">
        <f>IF(H148=0,wdct(TRIM(C148)),0)</f>
        <v>0</v>
      </c>
      <c r="E148" s="49">
        <f>COUNTIFS('Error Log'!$A:$A,$A148,'Error Log'!$J:$J,E$1)</f>
        <v>0</v>
      </c>
      <c r="F148" s="49">
        <f>COUNTIFS('Error Log'!$A:$A,$A148,'Error Log'!$J:$J,F$1)</f>
        <v>0</v>
      </c>
      <c r="G148" s="49">
        <f>COUNTIFS('Error Log'!$A:$A,$A148,'Error Log'!$J:$J,G$1)</f>
        <v>0</v>
      </c>
      <c r="H148" s="49">
        <f>COUNTIFS('Error Log'!$A:$A,$A148,'Error Log'!$F:$F,"Source")</f>
        <v>0</v>
      </c>
      <c r="I148" s="49">
        <f>COUNTIFS('Error Log'!$A:$A,$A148,'Error Log'!$F:$F,"Target")</f>
        <v>0</v>
      </c>
      <c r="J148" s="50">
        <f t="shared" si="3"/>
        <v>0</v>
      </c>
    </row>
    <row r="149" spans="1:10">
      <c r="A149" s="14"/>
      <c r="B149" s="49"/>
      <c r="C149" s="49"/>
      <c r="D149" s="49">
        <f>IF(H149=0,wdct(TRIM(C149)),0)</f>
        <v>0</v>
      </c>
      <c r="E149" s="49">
        <f>COUNTIFS('Error Log'!$A:$A,$A149,'Error Log'!$J:$J,E$1)</f>
        <v>0</v>
      </c>
      <c r="F149" s="49">
        <f>COUNTIFS('Error Log'!$A:$A,$A149,'Error Log'!$J:$J,F$1)</f>
        <v>0</v>
      </c>
      <c r="G149" s="49">
        <f>COUNTIFS('Error Log'!$A:$A,$A149,'Error Log'!$J:$J,G$1)</f>
        <v>0</v>
      </c>
      <c r="H149" s="49">
        <f>COUNTIFS('Error Log'!$A:$A,$A149,'Error Log'!$F:$F,"Source")</f>
        <v>0</v>
      </c>
      <c r="I149" s="49">
        <f>COUNTIFS('Error Log'!$A:$A,$A149,'Error Log'!$F:$F,"Target")</f>
        <v>0</v>
      </c>
      <c r="J149" s="50">
        <f t="shared" si="3"/>
        <v>0</v>
      </c>
    </row>
    <row r="150" spans="1:10">
      <c r="A150" s="14"/>
      <c r="B150" s="49"/>
      <c r="C150" s="49"/>
      <c r="D150" s="49">
        <f>IF(H150=0,wdct(TRIM(C150)),0)</f>
        <v>0</v>
      </c>
      <c r="E150" s="49">
        <f>COUNTIFS('Error Log'!$A:$A,$A150,'Error Log'!$J:$J,E$1)</f>
        <v>0</v>
      </c>
      <c r="F150" s="49">
        <f>COUNTIFS('Error Log'!$A:$A,$A150,'Error Log'!$J:$J,F$1)</f>
        <v>0</v>
      </c>
      <c r="G150" s="49">
        <f>COUNTIFS('Error Log'!$A:$A,$A150,'Error Log'!$J:$J,G$1)</f>
        <v>0</v>
      </c>
      <c r="H150" s="49">
        <f>COUNTIFS('Error Log'!$A:$A,$A150,'Error Log'!$F:$F,"Source")</f>
        <v>0</v>
      </c>
      <c r="I150" s="49">
        <f>COUNTIFS('Error Log'!$A:$A,$A150,'Error Log'!$F:$F,"Target")</f>
        <v>0</v>
      </c>
      <c r="J150" s="50">
        <f t="shared" ref="J150:J203" si="4">IF(I150=0,IFERROR((((1-((E150*10+F150*5+G150*1)/D150))*100)+100)/2,0),-150)</f>
        <v>0</v>
      </c>
    </row>
    <row r="151" spans="1:10">
      <c r="A151" s="14"/>
      <c r="B151" s="49"/>
      <c r="C151" s="49"/>
      <c r="D151" s="49">
        <f>IF(H151=0,wdct(TRIM(C151)),0)</f>
        <v>0</v>
      </c>
      <c r="E151" s="49">
        <f>COUNTIFS('Error Log'!$A:$A,$A151,'Error Log'!$J:$J,E$1)</f>
        <v>0</v>
      </c>
      <c r="F151" s="49">
        <f>COUNTIFS('Error Log'!$A:$A,$A151,'Error Log'!$J:$J,F$1)</f>
        <v>0</v>
      </c>
      <c r="G151" s="49">
        <f>COUNTIFS('Error Log'!$A:$A,$A151,'Error Log'!$J:$J,G$1)</f>
        <v>0</v>
      </c>
      <c r="H151" s="49">
        <f>COUNTIFS('Error Log'!$A:$A,$A151,'Error Log'!$F:$F,"Source")</f>
        <v>0</v>
      </c>
      <c r="I151" s="49">
        <f>COUNTIFS('Error Log'!$A:$A,$A151,'Error Log'!$F:$F,"Target")</f>
        <v>0</v>
      </c>
      <c r="J151" s="50">
        <f t="shared" si="4"/>
        <v>0</v>
      </c>
    </row>
    <row r="152" spans="1:10">
      <c r="A152" s="14"/>
      <c r="B152" s="49"/>
      <c r="C152" s="49"/>
      <c r="D152" s="49">
        <f>IF(H152=0,wdct(TRIM(C152)),0)</f>
        <v>0</v>
      </c>
      <c r="E152" s="49">
        <f>COUNTIFS('Error Log'!$A:$A,$A152,'Error Log'!$J:$J,E$1)</f>
        <v>0</v>
      </c>
      <c r="F152" s="49">
        <f>COUNTIFS('Error Log'!$A:$A,$A152,'Error Log'!$J:$J,F$1)</f>
        <v>0</v>
      </c>
      <c r="G152" s="49">
        <f>COUNTIFS('Error Log'!$A:$A,$A152,'Error Log'!$J:$J,G$1)</f>
        <v>0</v>
      </c>
      <c r="H152" s="49">
        <f>COUNTIFS('Error Log'!$A:$A,$A152,'Error Log'!$F:$F,"Source")</f>
        <v>0</v>
      </c>
      <c r="I152" s="49">
        <f>COUNTIFS('Error Log'!$A:$A,$A152,'Error Log'!$F:$F,"Target")</f>
        <v>0</v>
      </c>
      <c r="J152" s="50">
        <f t="shared" si="4"/>
        <v>0</v>
      </c>
    </row>
    <row r="153" spans="1:10">
      <c r="A153" s="14"/>
      <c r="B153" s="49"/>
      <c r="C153" s="49"/>
      <c r="D153" s="49">
        <f>IF(H153=0,wdct(TRIM(C153)),0)</f>
        <v>0</v>
      </c>
      <c r="E153" s="49">
        <f>COUNTIFS('Error Log'!$A:$A,$A153,'Error Log'!$J:$J,E$1)</f>
        <v>0</v>
      </c>
      <c r="F153" s="49">
        <f>COUNTIFS('Error Log'!$A:$A,$A153,'Error Log'!$J:$J,F$1)</f>
        <v>0</v>
      </c>
      <c r="G153" s="49">
        <f>COUNTIFS('Error Log'!$A:$A,$A153,'Error Log'!$J:$J,G$1)</f>
        <v>0</v>
      </c>
      <c r="H153" s="49">
        <f>COUNTIFS('Error Log'!$A:$A,$A153,'Error Log'!$F:$F,"Source")</f>
        <v>0</v>
      </c>
      <c r="I153" s="49">
        <f>COUNTIFS('Error Log'!$A:$A,$A153,'Error Log'!$F:$F,"Target")</f>
        <v>0</v>
      </c>
      <c r="J153" s="50">
        <f t="shared" si="4"/>
        <v>0</v>
      </c>
    </row>
    <row r="154" spans="1:10">
      <c r="A154" s="14"/>
      <c r="B154" s="49"/>
      <c r="C154" s="49"/>
      <c r="D154" s="49">
        <f>IF(H154=0,wdct(TRIM(C154)),0)</f>
        <v>0</v>
      </c>
      <c r="E154" s="49">
        <f>COUNTIFS('Error Log'!$A:$A,$A154,'Error Log'!$J:$J,E$1)</f>
        <v>0</v>
      </c>
      <c r="F154" s="49">
        <f>COUNTIFS('Error Log'!$A:$A,$A154,'Error Log'!$J:$J,F$1)</f>
        <v>0</v>
      </c>
      <c r="G154" s="49">
        <f>COUNTIFS('Error Log'!$A:$A,$A154,'Error Log'!$J:$J,G$1)</f>
        <v>0</v>
      </c>
      <c r="H154" s="49">
        <f>COUNTIFS('Error Log'!$A:$A,$A154,'Error Log'!$F:$F,"Source")</f>
        <v>0</v>
      </c>
      <c r="I154" s="49">
        <f>COUNTIFS('Error Log'!$A:$A,$A154,'Error Log'!$F:$F,"Target")</f>
        <v>0</v>
      </c>
      <c r="J154" s="50">
        <f t="shared" si="4"/>
        <v>0</v>
      </c>
    </row>
    <row r="155" spans="1:10">
      <c r="A155" s="14"/>
      <c r="B155" s="49"/>
      <c r="C155" s="49"/>
      <c r="D155" s="49">
        <f>IF(H155=0,wdct(TRIM(C155)),0)</f>
        <v>0</v>
      </c>
      <c r="E155" s="49">
        <f>COUNTIFS('Error Log'!$A:$A,$A155,'Error Log'!$J:$J,E$1)</f>
        <v>0</v>
      </c>
      <c r="F155" s="49">
        <f>COUNTIFS('Error Log'!$A:$A,$A155,'Error Log'!$J:$J,F$1)</f>
        <v>0</v>
      </c>
      <c r="G155" s="49">
        <f>COUNTIFS('Error Log'!$A:$A,$A155,'Error Log'!$J:$J,G$1)</f>
        <v>0</v>
      </c>
      <c r="H155" s="49">
        <f>COUNTIFS('Error Log'!$A:$A,$A155,'Error Log'!$F:$F,"Source")</f>
        <v>0</v>
      </c>
      <c r="I155" s="49">
        <f>COUNTIFS('Error Log'!$A:$A,$A155,'Error Log'!$F:$F,"Target")</f>
        <v>0</v>
      </c>
      <c r="J155" s="50">
        <f t="shared" si="4"/>
        <v>0</v>
      </c>
    </row>
    <row r="156" spans="1:10">
      <c r="A156" s="14"/>
      <c r="B156" s="49"/>
      <c r="C156" s="49"/>
      <c r="D156" s="49">
        <f>IF(H156=0,wdct(TRIM(C156)),0)</f>
        <v>0</v>
      </c>
      <c r="E156" s="49">
        <f>COUNTIFS('Error Log'!$A:$A,$A156,'Error Log'!$J:$J,E$1)</f>
        <v>0</v>
      </c>
      <c r="F156" s="49">
        <f>COUNTIFS('Error Log'!$A:$A,$A156,'Error Log'!$J:$J,F$1)</f>
        <v>0</v>
      </c>
      <c r="G156" s="49">
        <f>COUNTIFS('Error Log'!$A:$A,$A156,'Error Log'!$J:$J,G$1)</f>
        <v>0</v>
      </c>
      <c r="H156" s="49">
        <f>COUNTIFS('Error Log'!$A:$A,$A156,'Error Log'!$F:$F,"Source")</f>
        <v>0</v>
      </c>
      <c r="I156" s="49">
        <f>COUNTIFS('Error Log'!$A:$A,$A156,'Error Log'!$F:$F,"Target")</f>
        <v>0</v>
      </c>
      <c r="J156" s="50">
        <f t="shared" si="4"/>
        <v>0</v>
      </c>
    </row>
    <row r="157" spans="1:10">
      <c r="A157" s="14"/>
      <c r="B157" s="49"/>
      <c r="C157" s="49"/>
      <c r="D157" s="49">
        <f>IF(H157=0,wdct(TRIM(C157)),0)</f>
        <v>0</v>
      </c>
      <c r="E157" s="49">
        <f>COUNTIFS('Error Log'!$A:$A,$A157,'Error Log'!$J:$J,E$1)</f>
        <v>0</v>
      </c>
      <c r="F157" s="49">
        <f>COUNTIFS('Error Log'!$A:$A,$A157,'Error Log'!$J:$J,F$1)</f>
        <v>0</v>
      </c>
      <c r="G157" s="49">
        <f>COUNTIFS('Error Log'!$A:$A,$A157,'Error Log'!$J:$J,G$1)</f>
        <v>0</v>
      </c>
      <c r="H157" s="49">
        <f>COUNTIFS('Error Log'!$A:$A,$A157,'Error Log'!$F:$F,"Source")</f>
        <v>0</v>
      </c>
      <c r="I157" s="49">
        <f>COUNTIFS('Error Log'!$A:$A,$A157,'Error Log'!$F:$F,"Target")</f>
        <v>0</v>
      </c>
      <c r="J157" s="50">
        <f t="shared" si="4"/>
        <v>0</v>
      </c>
    </row>
    <row r="158" spans="1:10">
      <c r="A158" s="14"/>
      <c r="B158" s="49"/>
      <c r="C158" s="49"/>
      <c r="D158" s="49">
        <f>IF(H158=0,wdct(TRIM(C158)),0)</f>
        <v>0</v>
      </c>
      <c r="E158" s="49">
        <f>COUNTIFS('Error Log'!$A:$A,$A158,'Error Log'!$J:$J,E$1)</f>
        <v>0</v>
      </c>
      <c r="F158" s="49">
        <f>COUNTIFS('Error Log'!$A:$A,$A158,'Error Log'!$J:$J,F$1)</f>
        <v>0</v>
      </c>
      <c r="G158" s="49">
        <f>COUNTIFS('Error Log'!$A:$A,$A158,'Error Log'!$J:$J,G$1)</f>
        <v>0</v>
      </c>
      <c r="H158" s="49">
        <f>COUNTIFS('Error Log'!$A:$A,$A158,'Error Log'!$F:$F,"Source")</f>
        <v>0</v>
      </c>
      <c r="I158" s="49">
        <f>COUNTIFS('Error Log'!$A:$A,$A158,'Error Log'!$F:$F,"Target")</f>
        <v>0</v>
      </c>
      <c r="J158" s="50">
        <f t="shared" si="4"/>
        <v>0</v>
      </c>
    </row>
    <row r="159" spans="1:10">
      <c r="A159" s="14"/>
      <c r="B159" s="49"/>
      <c r="C159" s="49"/>
      <c r="D159" s="49">
        <f>IF(H159=0,wdct(TRIM(C159)),0)</f>
        <v>0</v>
      </c>
      <c r="E159" s="49">
        <f>COUNTIFS('Error Log'!$A:$A,$A159,'Error Log'!$J:$J,E$1)</f>
        <v>0</v>
      </c>
      <c r="F159" s="49">
        <f>COUNTIFS('Error Log'!$A:$A,$A159,'Error Log'!$J:$J,F$1)</f>
        <v>0</v>
      </c>
      <c r="G159" s="49">
        <f>COUNTIFS('Error Log'!$A:$A,$A159,'Error Log'!$J:$J,G$1)</f>
        <v>0</v>
      </c>
      <c r="H159" s="49">
        <f>COUNTIFS('Error Log'!$A:$A,$A159,'Error Log'!$F:$F,"Source")</f>
        <v>0</v>
      </c>
      <c r="I159" s="49">
        <f>COUNTIFS('Error Log'!$A:$A,$A159,'Error Log'!$F:$F,"Target")</f>
        <v>0</v>
      </c>
      <c r="J159" s="50">
        <f t="shared" si="4"/>
        <v>0</v>
      </c>
    </row>
    <row r="160" spans="1:10">
      <c r="A160" s="14"/>
      <c r="B160" s="49"/>
      <c r="C160" s="49"/>
      <c r="D160" s="49">
        <f>IF(H160=0,wdct(TRIM(C160)),0)</f>
        <v>0</v>
      </c>
      <c r="E160" s="49">
        <f>COUNTIFS('Error Log'!$A:$A,$A160,'Error Log'!$J:$J,E$1)</f>
        <v>0</v>
      </c>
      <c r="F160" s="49">
        <f>COUNTIFS('Error Log'!$A:$A,$A160,'Error Log'!$J:$J,F$1)</f>
        <v>0</v>
      </c>
      <c r="G160" s="49">
        <f>COUNTIFS('Error Log'!$A:$A,$A160,'Error Log'!$J:$J,G$1)</f>
        <v>0</v>
      </c>
      <c r="H160" s="49">
        <f>COUNTIFS('Error Log'!$A:$A,$A160,'Error Log'!$F:$F,"Source")</f>
        <v>0</v>
      </c>
      <c r="I160" s="49">
        <f>COUNTIFS('Error Log'!$A:$A,$A160,'Error Log'!$F:$F,"Target")</f>
        <v>0</v>
      </c>
      <c r="J160" s="50">
        <f t="shared" si="4"/>
        <v>0</v>
      </c>
    </row>
    <row r="161" spans="1:10">
      <c r="A161" s="14"/>
      <c r="B161" s="49"/>
      <c r="C161" s="49"/>
      <c r="D161" s="49">
        <f>IF(H161=0,wdct(TRIM(C161)),0)</f>
        <v>0</v>
      </c>
      <c r="E161" s="49">
        <f>COUNTIFS('Error Log'!$A:$A,$A161,'Error Log'!$J:$J,E$1)</f>
        <v>0</v>
      </c>
      <c r="F161" s="49">
        <f>COUNTIFS('Error Log'!$A:$A,$A161,'Error Log'!$J:$J,F$1)</f>
        <v>0</v>
      </c>
      <c r="G161" s="49">
        <f>COUNTIFS('Error Log'!$A:$A,$A161,'Error Log'!$J:$J,G$1)</f>
        <v>0</v>
      </c>
      <c r="H161" s="49">
        <f>COUNTIFS('Error Log'!$A:$A,$A161,'Error Log'!$F:$F,"Source")</f>
        <v>0</v>
      </c>
      <c r="I161" s="49">
        <f>COUNTIFS('Error Log'!$A:$A,$A161,'Error Log'!$F:$F,"Target")</f>
        <v>0</v>
      </c>
      <c r="J161" s="50">
        <f t="shared" si="4"/>
        <v>0</v>
      </c>
    </row>
    <row r="162" spans="1:10">
      <c r="A162" s="14"/>
      <c r="B162" s="49"/>
      <c r="C162" s="49"/>
      <c r="D162" s="49">
        <f>IF(H162=0,wdct(TRIM(C162)),0)</f>
        <v>0</v>
      </c>
      <c r="E162" s="49">
        <f>COUNTIFS('Error Log'!$A:$A,$A162,'Error Log'!$J:$J,E$1)</f>
        <v>0</v>
      </c>
      <c r="F162" s="49">
        <f>COUNTIFS('Error Log'!$A:$A,$A162,'Error Log'!$J:$J,F$1)</f>
        <v>0</v>
      </c>
      <c r="G162" s="49">
        <f>COUNTIFS('Error Log'!$A:$A,$A162,'Error Log'!$J:$J,G$1)</f>
        <v>0</v>
      </c>
      <c r="H162" s="49">
        <f>COUNTIFS('Error Log'!$A:$A,$A162,'Error Log'!$F:$F,"Source")</f>
        <v>0</v>
      </c>
      <c r="I162" s="49">
        <f>COUNTIFS('Error Log'!$A:$A,$A162,'Error Log'!$F:$F,"Target")</f>
        <v>0</v>
      </c>
      <c r="J162" s="50">
        <f t="shared" si="4"/>
        <v>0</v>
      </c>
    </row>
    <row r="163" spans="1:10">
      <c r="A163" s="14"/>
      <c r="B163" s="49"/>
      <c r="C163" s="49"/>
      <c r="D163" s="49">
        <f>IF(H163=0,wdct(TRIM(C163)),0)</f>
        <v>0</v>
      </c>
      <c r="E163" s="49">
        <f>COUNTIFS('Error Log'!$A:$A,$A163,'Error Log'!$J:$J,E$1)</f>
        <v>0</v>
      </c>
      <c r="F163" s="49">
        <f>COUNTIFS('Error Log'!$A:$A,$A163,'Error Log'!$J:$J,F$1)</f>
        <v>0</v>
      </c>
      <c r="G163" s="49">
        <f>COUNTIFS('Error Log'!$A:$A,$A163,'Error Log'!$J:$J,G$1)</f>
        <v>0</v>
      </c>
      <c r="H163" s="49">
        <f>COUNTIFS('Error Log'!$A:$A,$A163,'Error Log'!$F:$F,"Source")</f>
        <v>0</v>
      </c>
      <c r="I163" s="49">
        <f>COUNTIFS('Error Log'!$A:$A,$A163,'Error Log'!$F:$F,"Target")</f>
        <v>0</v>
      </c>
      <c r="J163" s="50">
        <f t="shared" si="4"/>
        <v>0</v>
      </c>
    </row>
    <row r="164" spans="1:10">
      <c r="A164" s="14"/>
      <c r="B164" s="49"/>
      <c r="C164" s="49"/>
      <c r="D164" s="49">
        <f>IF(H164=0,wdct(TRIM(C164)),0)</f>
        <v>0</v>
      </c>
      <c r="E164" s="49">
        <f>COUNTIFS('Error Log'!$A:$A,$A164,'Error Log'!$J:$J,E$1)</f>
        <v>0</v>
      </c>
      <c r="F164" s="49">
        <f>COUNTIFS('Error Log'!$A:$A,$A164,'Error Log'!$J:$J,F$1)</f>
        <v>0</v>
      </c>
      <c r="G164" s="49">
        <f>COUNTIFS('Error Log'!$A:$A,$A164,'Error Log'!$J:$J,G$1)</f>
        <v>0</v>
      </c>
      <c r="H164" s="49">
        <f>COUNTIFS('Error Log'!$A:$A,$A164,'Error Log'!$F:$F,"Source")</f>
        <v>0</v>
      </c>
      <c r="I164" s="49">
        <f>COUNTIFS('Error Log'!$A:$A,$A164,'Error Log'!$F:$F,"Target")</f>
        <v>0</v>
      </c>
      <c r="J164" s="50">
        <f t="shared" si="4"/>
        <v>0</v>
      </c>
    </row>
    <row r="165" spans="1:10">
      <c r="A165" s="14"/>
      <c r="B165" s="49"/>
      <c r="C165" s="49"/>
      <c r="D165" s="49">
        <f>IF(H165=0,wdct(TRIM(C165)),0)</f>
        <v>0</v>
      </c>
      <c r="E165" s="49">
        <f>COUNTIFS('Error Log'!$A:$A,$A165,'Error Log'!$J:$J,E$1)</f>
        <v>0</v>
      </c>
      <c r="F165" s="49">
        <f>COUNTIFS('Error Log'!$A:$A,$A165,'Error Log'!$J:$J,F$1)</f>
        <v>0</v>
      </c>
      <c r="G165" s="49">
        <f>COUNTIFS('Error Log'!$A:$A,$A165,'Error Log'!$J:$J,G$1)</f>
        <v>0</v>
      </c>
      <c r="H165" s="49">
        <f>COUNTIFS('Error Log'!$A:$A,$A165,'Error Log'!$F:$F,"Source")</f>
        <v>0</v>
      </c>
      <c r="I165" s="49">
        <f>COUNTIFS('Error Log'!$A:$A,$A165,'Error Log'!$F:$F,"Target")</f>
        <v>0</v>
      </c>
      <c r="J165" s="50">
        <f t="shared" si="4"/>
        <v>0</v>
      </c>
    </row>
    <row r="166" spans="1:10">
      <c r="A166" s="14"/>
      <c r="B166" s="49"/>
      <c r="C166" s="49"/>
      <c r="D166" s="49">
        <f>IF(H166=0,wdct(TRIM(C166)),0)</f>
        <v>0</v>
      </c>
      <c r="E166" s="49">
        <f>COUNTIFS('Error Log'!$A:$A,$A166,'Error Log'!$J:$J,E$1)</f>
        <v>0</v>
      </c>
      <c r="F166" s="49">
        <f>COUNTIFS('Error Log'!$A:$A,$A166,'Error Log'!$J:$J,F$1)</f>
        <v>0</v>
      </c>
      <c r="G166" s="49">
        <f>COUNTIFS('Error Log'!$A:$A,$A166,'Error Log'!$J:$J,G$1)</f>
        <v>0</v>
      </c>
      <c r="H166" s="49">
        <f>COUNTIFS('Error Log'!$A:$A,$A166,'Error Log'!$F:$F,"Source")</f>
        <v>0</v>
      </c>
      <c r="I166" s="49">
        <f>COUNTIFS('Error Log'!$A:$A,$A166,'Error Log'!$F:$F,"Target")</f>
        <v>0</v>
      </c>
      <c r="J166" s="50">
        <f t="shared" si="4"/>
        <v>0</v>
      </c>
    </row>
    <row r="167" spans="1:10">
      <c r="A167" s="14"/>
      <c r="B167" s="49"/>
      <c r="C167" s="49"/>
      <c r="D167" s="49">
        <f>IF(H167=0,wdct(TRIM(C167)),0)</f>
        <v>0</v>
      </c>
      <c r="E167" s="49">
        <f>COUNTIFS('Error Log'!$A:$A,$A167,'Error Log'!$J:$J,E$1)</f>
        <v>0</v>
      </c>
      <c r="F167" s="49">
        <f>COUNTIFS('Error Log'!$A:$A,$A167,'Error Log'!$J:$J,F$1)</f>
        <v>0</v>
      </c>
      <c r="G167" s="49">
        <f>COUNTIFS('Error Log'!$A:$A,$A167,'Error Log'!$J:$J,G$1)</f>
        <v>0</v>
      </c>
      <c r="H167" s="49">
        <f>COUNTIFS('Error Log'!$A:$A,$A167,'Error Log'!$F:$F,"Source")</f>
        <v>0</v>
      </c>
      <c r="I167" s="49">
        <f>COUNTIFS('Error Log'!$A:$A,$A167,'Error Log'!$F:$F,"Target")</f>
        <v>0</v>
      </c>
      <c r="J167" s="50">
        <f t="shared" si="4"/>
        <v>0</v>
      </c>
    </row>
    <row r="168" spans="1:10">
      <c r="A168" s="14"/>
      <c r="B168" s="49"/>
      <c r="C168" s="49"/>
      <c r="D168" s="49">
        <f>IF(H168=0,wdct(TRIM(C168)),0)</f>
        <v>0</v>
      </c>
      <c r="E168" s="49">
        <f>COUNTIFS('Error Log'!$A:$A,$A168,'Error Log'!$J:$J,E$1)</f>
        <v>0</v>
      </c>
      <c r="F168" s="49">
        <f>COUNTIFS('Error Log'!$A:$A,$A168,'Error Log'!$J:$J,F$1)</f>
        <v>0</v>
      </c>
      <c r="G168" s="49">
        <f>COUNTIFS('Error Log'!$A:$A,$A168,'Error Log'!$J:$J,G$1)</f>
        <v>0</v>
      </c>
      <c r="H168" s="49">
        <f>COUNTIFS('Error Log'!$A:$A,$A168,'Error Log'!$F:$F,"Source")</f>
        <v>0</v>
      </c>
      <c r="I168" s="49">
        <f>COUNTIFS('Error Log'!$A:$A,$A168,'Error Log'!$F:$F,"Target")</f>
        <v>0</v>
      </c>
      <c r="J168" s="50">
        <f t="shared" si="4"/>
        <v>0</v>
      </c>
    </row>
    <row r="169" spans="1:10">
      <c r="A169" s="14"/>
      <c r="B169" s="49"/>
      <c r="C169" s="49"/>
      <c r="D169" s="49">
        <f>IF(H169=0,wdct(TRIM(C169)),0)</f>
        <v>0</v>
      </c>
      <c r="E169" s="49">
        <f>COUNTIFS('Error Log'!$A:$A,$A169,'Error Log'!$J:$J,E$1)</f>
        <v>0</v>
      </c>
      <c r="F169" s="49">
        <f>COUNTIFS('Error Log'!$A:$A,$A169,'Error Log'!$J:$J,F$1)</f>
        <v>0</v>
      </c>
      <c r="G169" s="49">
        <f>COUNTIFS('Error Log'!$A:$A,$A169,'Error Log'!$J:$J,G$1)</f>
        <v>0</v>
      </c>
      <c r="H169" s="49">
        <f>COUNTIFS('Error Log'!$A:$A,$A169,'Error Log'!$F:$F,"Source")</f>
        <v>0</v>
      </c>
      <c r="I169" s="49">
        <f>COUNTIFS('Error Log'!$A:$A,$A169,'Error Log'!$F:$F,"Target")</f>
        <v>0</v>
      </c>
      <c r="J169" s="50">
        <f t="shared" si="4"/>
        <v>0</v>
      </c>
    </row>
    <row r="170" spans="1:10">
      <c r="A170" s="14"/>
      <c r="B170" s="49"/>
      <c r="C170" s="49"/>
      <c r="D170" s="49">
        <f>IF(H170=0,wdct(TRIM(C170)),0)</f>
        <v>0</v>
      </c>
      <c r="E170" s="49">
        <f>COUNTIFS('Error Log'!$A:$A,$A170,'Error Log'!$J:$J,E$1)</f>
        <v>0</v>
      </c>
      <c r="F170" s="49">
        <f>COUNTIFS('Error Log'!$A:$A,$A170,'Error Log'!$J:$J,F$1)</f>
        <v>0</v>
      </c>
      <c r="G170" s="49">
        <f>COUNTIFS('Error Log'!$A:$A,$A170,'Error Log'!$J:$J,G$1)</f>
        <v>0</v>
      </c>
      <c r="H170" s="49">
        <f>COUNTIFS('Error Log'!$A:$A,$A170,'Error Log'!$F:$F,"Source")</f>
        <v>0</v>
      </c>
      <c r="I170" s="49">
        <f>COUNTIFS('Error Log'!$A:$A,$A170,'Error Log'!$F:$F,"Target")</f>
        <v>0</v>
      </c>
      <c r="J170" s="50">
        <f t="shared" si="4"/>
        <v>0</v>
      </c>
    </row>
    <row r="171" spans="1:10">
      <c r="A171" s="14"/>
      <c r="B171" s="49"/>
      <c r="C171" s="49"/>
      <c r="D171" s="49">
        <f>IF(H171=0,wdct(TRIM(C171)),0)</f>
        <v>0</v>
      </c>
      <c r="E171" s="49">
        <f>COUNTIFS('Error Log'!$A:$A,$A171,'Error Log'!$J:$J,E$1)</f>
        <v>0</v>
      </c>
      <c r="F171" s="49">
        <f>COUNTIFS('Error Log'!$A:$A,$A171,'Error Log'!$J:$J,F$1)</f>
        <v>0</v>
      </c>
      <c r="G171" s="49">
        <f>COUNTIFS('Error Log'!$A:$A,$A171,'Error Log'!$J:$J,G$1)</f>
        <v>0</v>
      </c>
      <c r="H171" s="49">
        <f>COUNTIFS('Error Log'!$A:$A,$A171,'Error Log'!$F:$F,"Source")</f>
        <v>0</v>
      </c>
      <c r="I171" s="49">
        <f>COUNTIFS('Error Log'!$A:$A,$A171,'Error Log'!$F:$F,"Target")</f>
        <v>0</v>
      </c>
      <c r="J171" s="50">
        <f t="shared" si="4"/>
        <v>0</v>
      </c>
    </row>
    <row r="172" spans="1:10">
      <c r="A172" s="14"/>
      <c r="B172" s="49"/>
      <c r="C172" s="49"/>
      <c r="D172" s="49">
        <f>IF(H172=0,wdct(TRIM(C172)),0)</f>
        <v>0</v>
      </c>
      <c r="E172" s="49">
        <f>COUNTIFS('Error Log'!$A:$A,$A172,'Error Log'!$J:$J,E$1)</f>
        <v>0</v>
      </c>
      <c r="F172" s="49">
        <f>COUNTIFS('Error Log'!$A:$A,$A172,'Error Log'!$J:$J,F$1)</f>
        <v>0</v>
      </c>
      <c r="G172" s="49">
        <f>COUNTIFS('Error Log'!$A:$A,$A172,'Error Log'!$J:$J,G$1)</f>
        <v>0</v>
      </c>
      <c r="H172" s="49">
        <f>COUNTIFS('Error Log'!$A:$A,$A172,'Error Log'!$F:$F,"Source")</f>
        <v>0</v>
      </c>
      <c r="I172" s="49">
        <f>COUNTIFS('Error Log'!$A:$A,$A172,'Error Log'!$F:$F,"Target")</f>
        <v>0</v>
      </c>
      <c r="J172" s="50">
        <f t="shared" si="4"/>
        <v>0</v>
      </c>
    </row>
    <row r="173" spans="1:10">
      <c r="A173" s="14"/>
      <c r="B173" s="49"/>
      <c r="C173" s="49"/>
      <c r="D173" s="49">
        <f>IF(H173=0,wdct(TRIM(C173)),0)</f>
        <v>0</v>
      </c>
      <c r="E173" s="49">
        <f>COUNTIFS('Error Log'!$A:$A,$A173,'Error Log'!$J:$J,E$1)</f>
        <v>0</v>
      </c>
      <c r="F173" s="49">
        <f>COUNTIFS('Error Log'!$A:$A,$A173,'Error Log'!$J:$J,F$1)</f>
        <v>0</v>
      </c>
      <c r="G173" s="49">
        <f>COUNTIFS('Error Log'!$A:$A,$A173,'Error Log'!$J:$J,G$1)</f>
        <v>0</v>
      </c>
      <c r="H173" s="49">
        <f>COUNTIFS('Error Log'!$A:$A,$A173,'Error Log'!$F:$F,"Source")</f>
        <v>0</v>
      </c>
      <c r="I173" s="49">
        <f>COUNTIFS('Error Log'!$A:$A,$A173,'Error Log'!$F:$F,"Target")</f>
        <v>0</v>
      </c>
      <c r="J173" s="50">
        <f t="shared" si="4"/>
        <v>0</v>
      </c>
    </row>
    <row r="174" spans="1:10">
      <c r="A174" s="14"/>
      <c r="B174" s="49"/>
      <c r="C174" s="49"/>
      <c r="D174" s="49">
        <f>IF(H174=0,wdct(TRIM(C174)),0)</f>
        <v>0</v>
      </c>
      <c r="E174" s="49">
        <f>COUNTIFS('Error Log'!$A:$A,$A174,'Error Log'!$J:$J,E$1)</f>
        <v>0</v>
      </c>
      <c r="F174" s="49">
        <f>COUNTIFS('Error Log'!$A:$A,$A174,'Error Log'!$J:$J,F$1)</f>
        <v>0</v>
      </c>
      <c r="G174" s="49">
        <f>COUNTIFS('Error Log'!$A:$A,$A174,'Error Log'!$J:$J,G$1)</f>
        <v>0</v>
      </c>
      <c r="H174" s="49">
        <f>COUNTIFS('Error Log'!$A:$A,$A174,'Error Log'!$F:$F,"Source")</f>
        <v>0</v>
      </c>
      <c r="I174" s="49">
        <f>COUNTIFS('Error Log'!$A:$A,$A174,'Error Log'!$F:$F,"Target")</f>
        <v>0</v>
      </c>
      <c r="J174" s="50">
        <f t="shared" si="4"/>
        <v>0</v>
      </c>
    </row>
    <row r="175" spans="1:10">
      <c r="A175" s="14"/>
      <c r="B175" s="49"/>
      <c r="C175" s="49"/>
      <c r="D175" s="49">
        <f>IF(H175=0,wdct(TRIM(C175)),0)</f>
        <v>0</v>
      </c>
      <c r="E175" s="49">
        <f>COUNTIFS('Error Log'!$A:$A,$A175,'Error Log'!$J:$J,E$1)</f>
        <v>0</v>
      </c>
      <c r="F175" s="49">
        <f>COUNTIFS('Error Log'!$A:$A,$A175,'Error Log'!$J:$J,F$1)</f>
        <v>0</v>
      </c>
      <c r="G175" s="49">
        <f>COUNTIFS('Error Log'!$A:$A,$A175,'Error Log'!$J:$J,G$1)</f>
        <v>0</v>
      </c>
      <c r="H175" s="49">
        <f>COUNTIFS('Error Log'!$A:$A,$A175,'Error Log'!$F:$F,"Source")</f>
        <v>0</v>
      </c>
      <c r="I175" s="49">
        <f>COUNTIFS('Error Log'!$A:$A,$A175,'Error Log'!$F:$F,"Target")</f>
        <v>0</v>
      </c>
      <c r="J175" s="50">
        <f t="shared" si="4"/>
        <v>0</v>
      </c>
    </row>
    <row r="176" spans="1:10">
      <c r="A176" s="14"/>
      <c r="B176" s="49"/>
      <c r="C176" s="49"/>
      <c r="D176" s="49">
        <f>IF(H176=0,wdct(TRIM(C176)),0)</f>
        <v>0</v>
      </c>
      <c r="E176" s="49">
        <f>COUNTIFS('Error Log'!$A:$A,$A176,'Error Log'!$J:$J,E$1)</f>
        <v>0</v>
      </c>
      <c r="F176" s="49">
        <f>COUNTIFS('Error Log'!$A:$A,$A176,'Error Log'!$J:$J,F$1)</f>
        <v>0</v>
      </c>
      <c r="G176" s="49">
        <f>COUNTIFS('Error Log'!$A:$A,$A176,'Error Log'!$J:$J,G$1)</f>
        <v>0</v>
      </c>
      <c r="H176" s="49">
        <f>COUNTIFS('Error Log'!$A:$A,$A176,'Error Log'!$F:$F,"Source")</f>
        <v>0</v>
      </c>
      <c r="I176" s="49">
        <f>COUNTIFS('Error Log'!$A:$A,$A176,'Error Log'!$F:$F,"Target")</f>
        <v>0</v>
      </c>
      <c r="J176" s="50">
        <f t="shared" si="4"/>
        <v>0</v>
      </c>
    </row>
    <row r="177" spans="1:10">
      <c r="A177" s="14"/>
      <c r="B177" s="49"/>
      <c r="C177" s="49"/>
      <c r="D177" s="49">
        <f>IF(H177=0,wdct(TRIM(C177)),0)</f>
        <v>0</v>
      </c>
      <c r="E177" s="49">
        <f>COUNTIFS('Error Log'!$A:$A,$A177,'Error Log'!$J:$J,E$1)</f>
        <v>0</v>
      </c>
      <c r="F177" s="49">
        <f>COUNTIFS('Error Log'!$A:$A,$A177,'Error Log'!$J:$J,F$1)</f>
        <v>0</v>
      </c>
      <c r="G177" s="49">
        <f>COUNTIFS('Error Log'!$A:$A,$A177,'Error Log'!$J:$J,G$1)</f>
        <v>0</v>
      </c>
      <c r="H177" s="49">
        <f>COUNTIFS('Error Log'!$A:$A,$A177,'Error Log'!$F:$F,"Source")</f>
        <v>0</v>
      </c>
      <c r="I177" s="49">
        <f>COUNTIFS('Error Log'!$A:$A,$A177,'Error Log'!$F:$F,"Target")</f>
        <v>0</v>
      </c>
      <c r="J177" s="50">
        <f t="shared" si="4"/>
        <v>0</v>
      </c>
    </row>
    <row r="178" spans="1:10">
      <c r="A178" s="14"/>
      <c r="B178" s="49"/>
      <c r="C178" s="49"/>
      <c r="D178" s="49">
        <f>IF(H178=0,wdct(TRIM(C178)),0)</f>
        <v>0</v>
      </c>
      <c r="E178" s="49">
        <f>COUNTIFS('Error Log'!$A:$A,$A178,'Error Log'!$J:$J,E$1)</f>
        <v>0</v>
      </c>
      <c r="F178" s="49">
        <f>COUNTIFS('Error Log'!$A:$A,$A178,'Error Log'!$J:$J,F$1)</f>
        <v>0</v>
      </c>
      <c r="G178" s="49">
        <f>COUNTIFS('Error Log'!$A:$A,$A178,'Error Log'!$J:$J,G$1)</f>
        <v>0</v>
      </c>
      <c r="H178" s="49">
        <f>COUNTIFS('Error Log'!$A:$A,$A178,'Error Log'!$F:$F,"Source")</f>
        <v>0</v>
      </c>
      <c r="I178" s="49">
        <f>COUNTIFS('Error Log'!$A:$A,$A178,'Error Log'!$F:$F,"Target")</f>
        <v>0</v>
      </c>
      <c r="J178" s="50">
        <f t="shared" si="4"/>
        <v>0</v>
      </c>
    </row>
    <row r="179" spans="1:10">
      <c r="A179" s="14"/>
      <c r="B179" s="49"/>
      <c r="C179" s="49"/>
      <c r="D179" s="49">
        <f>IF(H179=0,wdct(TRIM(C179)),0)</f>
        <v>0</v>
      </c>
      <c r="E179" s="49">
        <f>COUNTIFS('Error Log'!$A:$A,$A179,'Error Log'!$J:$J,E$1)</f>
        <v>0</v>
      </c>
      <c r="F179" s="49">
        <f>COUNTIFS('Error Log'!$A:$A,$A179,'Error Log'!$J:$J,F$1)</f>
        <v>0</v>
      </c>
      <c r="G179" s="49">
        <f>COUNTIFS('Error Log'!$A:$A,$A179,'Error Log'!$J:$J,G$1)</f>
        <v>0</v>
      </c>
      <c r="H179" s="49">
        <f>COUNTIFS('Error Log'!$A:$A,$A179,'Error Log'!$F:$F,"Source")</f>
        <v>0</v>
      </c>
      <c r="I179" s="49">
        <f>COUNTIFS('Error Log'!$A:$A,$A179,'Error Log'!$F:$F,"Target")</f>
        <v>0</v>
      </c>
      <c r="J179" s="50">
        <f t="shared" si="4"/>
        <v>0</v>
      </c>
    </row>
    <row r="180" spans="1:10">
      <c r="A180" s="14"/>
      <c r="B180" s="49"/>
      <c r="C180" s="49"/>
      <c r="D180" s="49">
        <f>IF(H180=0,wdct(TRIM(C180)),0)</f>
        <v>0</v>
      </c>
      <c r="E180" s="49">
        <f>COUNTIFS('Error Log'!$A:$A,$A180,'Error Log'!$J:$J,E$1)</f>
        <v>0</v>
      </c>
      <c r="F180" s="49">
        <f>COUNTIFS('Error Log'!$A:$A,$A180,'Error Log'!$J:$J,F$1)</f>
        <v>0</v>
      </c>
      <c r="G180" s="49">
        <f>COUNTIFS('Error Log'!$A:$A,$A180,'Error Log'!$J:$J,G$1)</f>
        <v>0</v>
      </c>
      <c r="H180" s="49">
        <f>COUNTIFS('Error Log'!$A:$A,$A180,'Error Log'!$F:$F,"Source")</f>
        <v>0</v>
      </c>
      <c r="I180" s="49">
        <f>COUNTIFS('Error Log'!$A:$A,$A180,'Error Log'!$F:$F,"Target")</f>
        <v>0</v>
      </c>
      <c r="J180" s="50">
        <f t="shared" si="4"/>
        <v>0</v>
      </c>
    </row>
    <row r="181" spans="1:10">
      <c r="A181" s="14"/>
      <c r="B181" s="49"/>
      <c r="C181" s="49"/>
      <c r="D181" s="49">
        <f>IF(H181=0,wdct(TRIM(C181)),0)</f>
        <v>0</v>
      </c>
      <c r="E181" s="49">
        <f>COUNTIFS('Error Log'!$A:$A,$A181,'Error Log'!$J:$J,E$1)</f>
        <v>0</v>
      </c>
      <c r="F181" s="49">
        <f>COUNTIFS('Error Log'!$A:$A,$A181,'Error Log'!$J:$J,F$1)</f>
        <v>0</v>
      </c>
      <c r="G181" s="49">
        <f>COUNTIFS('Error Log'!$A:$A,$A181,'Error Log'!$J:$J,G$1)</f>
        <v>0</v>
      </c>
      <c r="H181" s="49">
        <f>COUNTIFS('Error Log'!$A:$A,$A181,'Error Log'!$F:$F,"Source")</f>
        <v>0</v>
      </c>
      <c r="I181" s="49">
        <f>COUNTIFS('Error Log'!$A:$A,$A181,'Error Log'!$F:$F,"Target")</f>
        <v>0</v>
      </c>
      <c r="J181" s="50">
        <f t="shared" si="4"/>
        <v>0</v>
      </c>
    </row>
    <row r="182" spans="1:10">
      <c r="A182" s="14"/>
      <c r="B182" s="49"/>
      <c r="C182" s="49"/>
      <c r="D182" s="49">
        <f>IF(H182=0,wdct(TRIM(C182)),0)</f>
        <v>0</v>
      </c>
      <c r="E182" s="49">
        <f>COUNTIFS('Error Log'!$A:$A,$A182,'Error Log'!$J:$J,E$1)</f>
        <v>0</v>
      </c>
      <c r="F182" s="49">
        <f>COUNTIFS('Error Log'!$A:$A,$A182,'Error Log'!$J:$J,F$1)</f>
        <v>0</v>
      </c>
      <c r="G182" s="49">
        <f>COUNTIFS('Error Log'!$A:$A,$A182,'Error Log'!$J:$J,G$1)</f>
        <v>0</v>
      </c>
      <c r="H182" s="49">
        <f>COUNTIFS('Error Log'!$A:$A,$A182,'Error Log'!$F:$F,"Source")</f>
        <v>0</v>
      </c>
      <c r="I182" s="49">
        <f>COUNTIFS('Error Log'!$A:$A,$A182,'Error Log'!$F:$F,"Target")</f>
        <v>0</v>
      </c>
      <c r="J182" s="50">
        <f t="shared" si="4"/>
        <v>0</v>
      </c>
    </row>
    <row r="183" spans="1:10">
      <c r="A183" s="14"/>
      <c r="B183" s="49"/>
      <c r="C183" s="49"/>
      <c r="D183" s="49">
        <f>IF(H183=0,wdct(TRIM(C183)),0)</f>
        <v>0</v>
      </c>
      <c r="E183" s="49">
        <f>COUNTIFS('Error Log'!$A:$A,$A183,'Error Log'!$J:$J,E$1)</f>
        <v>0</v>
      </c>
      <c r="F183" s="49">
        <f>COUNTIFS('Error Log'!$A:$A,$A183,'Error Log'!$J:$J,F$1)</f>
        <v>0</v>
      </c>
      <c r="G183" s="49">
        <f>COUNTIFS('Error Log'!$A:$A,$A183,'Error Log'!$J:$J,G$1)</f>
        <v>0</v>
      </c>
      <c r="H183" s="49">
        <f>COUNTIFS('Error Log'!$A:$A,$A183,'Error Log'!$F:$F,"Source")</f>
        <v>0</v>
      </c>
      <c r="I183" s="49">
        <f>COUNTIFS('Error Log'!$A:$A,$A183,'Error Log'!$F:$F,"Target")</f>
        <v>0</v>
      </c>
      <c r="J183" s="50">
        <f t="shared" si="4"/>
        <v>0</v>
      </c>
    </row>
    <row r="184" spans="1:10">
      <c r="A184" s="14"/>
      <c r="B184" s="49"/>
      <c r="C184" s="49"/>
      <c r="D184" s="49">
        <f>IF(H184=0,wdct(TRIM(C184)),0)</f>
        <v>0</v>
      </c>
      <c r="E184" s="49">
        <f>COUNTIFS('Error Log'!$A:$A,$A184,'Error Log'!$J:$J,E$1)</f>
        <v>0</v>
      </c>
      <c r="F184" s="49">
        <f>COUNTIFS('Error Log'!$A:$A,$A184,'Error Log'!$J:$J,F$1)</f>
        <v>0</v>
      </c>
      <c r="G184" s="49">
        <f>COUNTIFS('Error Log'!$A:$A,$A184,'Error Log'!$J:$J,G$1)</f>
        <v>0</v>
      </c>
      <c r="H184" s="49">
        <f>COUNTIFS('Error Log'!$A:$A,$A184,'Error Log'!$F:$F,"Source")</f>
        <v>0</v>
      </c>
      <c r="I184" s="49">
        <f>COUNTIFS('Error Log'!$A:$A,$A184,'Error Log'!$F:$F,"Target")</f>
        <v>0</v>
      </c>
      <c r="J184" s="50">
        <f t="shared" si="4"/>
        <v>0</v>
      </c>
    </row>
    <row r="185" spans="1:10">
      <c r="A185" s="14"/>
      <c r="B185" s="49"/>
      <c r="C185" s="49"/>
      <c r="D185" s="49">
        <f>IF(H185=0,wdct(TRIM(C185)),0)</f>
        <v>0</v>
      </c>
      <c r="E185" s="49">
        <f>COUNTIFS('Error Log'!$A:$A,$A185,'Error Log'!$J:$J,E$1)</f>
        <v>0</v>
      </c>
      <c r="F185" s="49">
        <f>COUNTIFS('Error Log'!$A:$A,$A185,'Error Log'!$J:$J,F$1)</f>
        <v>0</v>
      </c>
      <c r="G185" s="49">
        <f>COUNTIFS('Error Log'!$A:$A,$A185,'Error Log'!$J:$J,G$1)</f>
        <v>0</v>
      </c>
      <c r="H185" s="49">
        <f>COUNTIFS('Error Log'!$A:$A,$A185,'Error Log'!$F:$F,"Source")</f>
        <v>0</v>
      </c>
      <c r="I185" s="49">
        <f>COUNTIFS('Error Log'!$A:$A,$A185,'Error Log'!$F:$F,"Target")</f>
        <v>0</v>
      </c>
      <c r="J185" s="50">
        <f t="shared" si="4"/>
        <v>0</v>
      </c>
    </row>
    <row r="186" spans="1:10">
      <c r="A186" s="14"/>
      <c r="B186" s="49"/>
      <c r="C186" s="49"/>
      <c r="D186" s="49">
        <f>IF(H186=0,wdct(TRIM(C186)),0)</f>
        <v>0</v>
      </c>
      <c r="E186" s="49">
        <f>COUNTIFS('Error Log'!$A:$A,$A186,'Error Log'!$J:$J,E$1)</f>
        <v>0</v>
      </c>
      <c r="F186" s="49">
        <f>COUNTIFS('Error Log'!$A:$A,$A186,'Error Log'!$J:$J,F$1)</f>
        <v>0</v>
      </c>
      <c r="G186" s="49">
        <f>COUNTIFS('Error Log'!$A:$A,$A186,'Error Log'!$J:$J,G$1)</f>
        <v>0</v>
      </c>
      <c r="H186" s="49">
        <f>COUNTIFS('Error Log'!$A:$A,$A186,'Error Log'!$F:$F,"Source")</f>
        <v>0</v>
      </c>
      <c r="I186" s="49">
        <f>COUNTIFS('Error Log'!$A:$A,$A186,'Error Log'!$F:$F,"Target")</f>
        <v>0</v>
      </c>
      <c r="J186" s="50">
        <f t="shared" si="4"/>
        <v>0</v>
      </c>
    </row>
    <row r="187" spans="1:10">
      <c r="A187" s="14"/>
      <c r="B187" s="49"/>
      <c r="C187" s="49"/>
      <c r="D187" s="49">
        <f>IF(H187=0,wdct(TRIM(C187)),0)</f>
        <v>0</v>
      </c>
      <c r="E187" s="49">
        <f>COUNTIFS('Error Log'!$A:$A,$A187,'Error Log'!$J:$J,E$1)</f>
        <v>0</v>
      </c>
      <c r="F187" s="49">
        <f>COUNTIFS('Error Log'!$A:$A,$A187,'Error Log'!$J:$J,F$1)</f>
        <v>0</v>
      </c>
      <c r="G187" s="49">
        <f>COUNTIFS('Error Log'!$A:$A,$A187,'Error Log'!$J:$J,G$1)</f>
        <v>0</v>
      </c>
      <c r="H187" s="49">
        <f>COUNTIFS('Error Log'!$A:$A,$A187,'Error Log'!$F:$F,"Source")</f>
        <v>0</v>
      </c>
      <c r="I187" s="49">
        <f>COUNTIFS('Error Log'!$A:$A,$A187,'Error Log'!$F:$F,"Target")</f>
        <v>0</v>
      </c>
      <c r="J187" s="50">
        <f t="shared" si="4"/>
        <v>0</v>
      </c>
    </row>
    <row r="188" spans="1:10">
      <c r="A188" s="14"/>
      <c r="B188" s="49"/>
      <c r="C188" s="49"/>
      <c r="D188" s="49">
        <f>IF(H188=0,wdct(TRIM(C188)),0)</f>
        <v>0</v>
      </c>
      <c r="E188" s="49">
        <f>COUNTIFS('Error Log'!$A:$A,$A188,'Error Log'!$J:$J,E$1)</f>
        <v>0</v>
      </c>
      <c r="F188" s="49">
        <f>COUNTIFS('Error Log'!$A:$A,$A188,'Error Log'!$J:$J,F$1)</f>
        <v>0</v>
      </c>
      <c r="G188" s="49">
        <f>COUNTIFS('Error Log'!$A:$A,$A188,'Error Log'!$J:$J,G$1)</f>
        <v>0</v>
      </c>
      <c r="H188" s="49">
        <f>COUNTIFS('Error Log'!$A:$A,$A188,'Error Log'!$F:$F,"Source")</f>
        <v>0</v>
      </c>
      <c r="I188" s="49">
        <f>COUNTIFS('Error Log'!$A:$A,$A188,'Error Log'!$F:$F,"Target")</f>
        <v>0</v>
      </c>
      <c r="J188" s="50">
        <f t="shared" si="4"/>
        <v>0</v>
      </c>
    </row>
    <row r="189" spans="1:10">
      <c r="A189" s="14"/>
      <c r="B189" s="49"/>
      <c r="C189" s="49"/>
      <c r="D189" s="49">
        <f>IF(H189=0,wdct(TRIM(C189)),0)</f>
        <v>0</v>
      </c>
      <c r="E189" s="49">
        <f>COUNTIFS('Error Log'!$A:$A,$A189,'Error Log'!$J:$J,E$1)</f>
        <v>0</v>
      </c>
      <c r="F189" s="49">
        <f>COUNTIFS('Error Log'!$A:$A,$A189,'Error Log'!$J:$J,F$1)</f>
        <v>0</v>
      </c>
      <c r="G189" s="49">
        <f>COUNTIFS('Error Log'!$A:$A,$A189,'Error Log'!$J:$J,G$1)</f>
        <v>0</v>
      </c>
      <c r="H189" s="49">
        <f>COUNTIFS('Error Log'!$A:$A,$A189,'Error Log'!$F:$F,"Source")</f>
        <v>0</v>
      </c>
      <c r="I189" s="49">
        <f>COUNTIFS('Error Log'!$A:$A,$A189,'Error Log'!$F:$F,"Target")</f>
        <v>0</v>
      </c>
      <c r="J189" s="50">
        <f t="shared" si="4"/>
        <v>0</v>
      </c>
    </row>
    <row r="190" spans="1:10">
      <c r="A190" s="14"/>
      <c r="B190" s="49"/>
      <c r="C190" s="49"/>
      <c r="D190" s="49">
        <f>IF(H190=0,wdct(TRIM(C190)),0)</f>
        <v>0</v>
      </c>
      <c r="E190" s="49">
        <f>COUNTIFS('Error Log'!$A:$A,$A190,'Error Log'!$J:$J,E$1)</f>
        <v>0</v>
      </c>
      <c r="F190" s="49">
        <f>COUNTIFS('Error Log'!$A:$A,$A190,'Error Log'!$J:$J,F$1)</f>
        <v>0</v>
      </c>
      <c r="G190" s="49">
        <f>COUNTIFS('Error Log'!$A:$A,$A190,'Error Log'!$J:$J,G$1)</f>
        <v>0</v>
      </c>
      <c r="H190" s="49">
        <f>COUNTIFS('Error Log'!$A:$A,$A190,'Error Log'!$F:$F,"Source")</f>
        <v>0</v>
      </c>
      <c r="I190" s="49">
        <f>COUNTIFS('Error Log'!$A:$A,$A190,'Error Log'!$F:$F,"Target")</f>
        <v>0</v>
      </c>
      <c r="J190" s="50">
        <f t="shared" si="4"/>
        <v>0</v>
      </c>
    </row>
    <row r="191" spans="1:10">
      <c r="A191" s="14"/>
      <c r="B191" s="49"/>
      <c r="C191" s="49"/>
      <c r="D191" s="49">
        <f>IF(H191=0,wdct(TRIM(C191)),0)</f>
        <v>0</v>
      </c>
      <c r="E191" s="49">
        <f>COUNTIFS('Error Log'!$A:$A,$A191,'Error Log'!$J:$J,E$1)</f>
        <v>0</v>
      </c>
      <c r="F191" s="49">
        <f>COUNTIFS('Error Log'!$A:$A,$A191,'Error Log'!$J:$J,F$1)</f>
        <v>0</v>
      </c>
      <c r="G191" s="49">
        <f>COUNTIFS('Error Log'!$A:$A,$A191,'Error Log'!$J:$J,G$1)</f>
        <v>0</v>
      </c>
      <c r="H191" s="49">
        <f>COUNTIFS('Error Log'!$A:$A,$A191,'Error Log'!$F:$F,"Source")</f>
        <v>0</v>
      </c>
      <c r="I191" s="49">
        <f>COUNTIFS('Error Log'!$A:$A,$A191,'Error Log'!$F:$F,"Target")</f>
        <v>0</v>
      </c>
      <c r="J191" s="50">
        <f t="shared" si="4"/>
        <v>0</v>
      </c>
    </row>
    <row r="192" spans="1:10">
      <c r="A192" s="14"/>
      <c r="B192" s="49"/>
      <c r="C192" s="49"/>
      <c r="D192" s="49">
        <f>IF(H192=0,wdct(TRIM(C192)),0)</f>
        <v>0</v>
      </c>
      <c r="E192" s="49">
        <f>COUNTIFS('Error Log'!$A:$A,$A192,'Error Log'!$J:$J,E$1)</f>
        <v>0</v>
      </c>
      <c r="F192" s="49">
        <f>COUNTIFS('Error Log'!$A:$A,$A192,'Error Log'!$J:$J,F$1)</f>
        <v>0</v>
      </c>
      <c r="G192" s="49">
        <f>COUNTIFS('Error Log'!$A:$A,$A192,'Error Log'!$J:$J,G$1)</f>
        <v>0</v>
      </c>
      <c r="H192" s="49">
        <f>COUNTIFS('Error Log'!$A:$A,$A192,'Error Log'!$F:$F,"Source")</f>
        <v>0</v>
      </c>
      <c r="I192" s="49">
        <f>COUNTIFS('Error Log'!$A:$A,$A192,'Error Log'!$F:$F,"Target")</f>
        <v>0</v>
      </c>
      <c r="J192" s="50">
        <f t="shared" si="4"/>
        <v>0</v>
      </c>
    </row>
    <row r="193" spans="1:10">
      <c r="A193" s="14"/>
      <c r="B193" s="49"/>
      <c r="C193" s="49"/>
      <c r="D193" s="49">
        <f>IF(H193=0,wdct(TRIM(C193)),0)</f>
        <v>0</v>
      </c>
      <c r="E193" s="49">
        <f>COUNTIFS('Error Log'!$A:$A,$A193,'Error Log'!$J:$J,E$1)</f>
        <v>0</v>
      </c>
      <c r="F193" s="49">
        <f>COUNTIFS('Error Log'!$A:$A,$A193,'Error Log'!$J:$J,F$1)</f>
        <v>0</v>
      </c>
      <c r="G193" s="49">
        <f>COUNTIFS('Error Log'!$A:$A,$A193,'Error Log'!$J:$J,G$1)</f>
        <v>0</v>
      </c>
      <c r="H193" s="49">
        <f>COUNTIFS('Error Log'!$A:$A,$A193,'Error Log'!$F:$F,"Source")</f>
        <v>0</v>
      </c>
      <c r="I193" s="49">
        <f>COUNTIFS('Error Log'!$A:$A,$A193,'Error Log'!$F:$F,"Target")</f>
        <v>0</v>
      </c>
      <c r="J193" s="50">
        <f t="shared" si="4"/>
        <v>0</v>
      </c>
    </row>
    <row r="194" spans="1:10">
      <c r="A194" s="14"/>
      <c r="B194" s="49"/>
      <c r="C194" s="49"/>
      <c r="D194" s="49">
        <f>IF(H194=0,wdct(TRIM(C194)),0)</f>
        <v>0</v>
      </c>
      <c r="E194" s="49">
        <f>COUNTIFS('Error Log'!$A:$A,$A194,'Error Log'!$J:$J,E$1)</f>
        <v>0</v>
      </c>
      <c r="F194" s="49">
        <f>COUNTIFS('Error Log'!$A:$A,$A194,'Error Log'!$J:$J,F$1)</f>
        <v>0</v>
      </c>
      <c r="G194" s="49">
        <f>COUNTIFS('Error Log'!$A:$A,$A194,'Error Log'!$J:$J,G$1)</f>
        <v>0</v>
      </c>
      <c r="H194" s="49">
        <f>COUNTIFS('Error Log'!$A:$A,$A194,'Error Log'!$F:$F,"Source")</f>
        <v>0</v>
      </c>
      <c r="I194" s="49">
        <f>COUNTIFS('Error Log'!$A:$A,$A194,'Error Log'!$F:$F,"Target")</f>
        <v>0</v>
      </c>
      <c r="J194" s="50">
        <f t="shared" si="4"/>
        <v>0</v>
      </c>
    </row>
    <row r="195" spans="1:10">
      <c r="A195" s="14"/>
      <c r="B195" s="49"/>
      <c r="C195" s="49"/>
      <c r="D195" s="49">
        <f>IF(H195=0,wdct(TRIM(C195)),0)</f>
        <v>0</v>
      </c>
      <c r="E195" s="49">
        <f>COUNTIFS('Error Log'!$A:$A,$A195,'Error Log'!$J:$J,E$1)</f>
        <v>0</v>
      </c>
      <c r="F195" s="49">
        <f>COUNTIFS('Error Log'!$A:$A,$A195,'Error Log'!$J:$J,F$1)</f>
        <v>0</v>
      </c>
      <c r="G195" s="49">
        <f>COUNTIFS('Error Log'!$A:$A,$A195,'Error Log'!$J:$J,G$1)</f>
        <v>0</v>
      </c>
      <c r="H195" s="49">
        <f>COUNTIFS('Error Log'!$A:$A,$A195,'Error Log'!$F:$F,"Source")</f>
        <v>0</v>
      </c>
      <c r="I195" s="49">
        <f>COUNTIFS('Error Log'!$A:$A,$A195,'Error Log'!$F:$F,"Target")</f>
        <v>0</v>
      </c>
      <c r="J195" s="50">
        <f t="shared" si="4"/>
        <v>0</v>
      </c>
    </row>
    <row r="196" spans="1:10">
      <c r="A196" s="14"/>
      <c r="B196" s="49"/>
      <c r="C196" s="49"/>
      <c r="D196" s="49">
        <f>IF(H196=0,wdct(TRIM(C196)),0)</f>
        <v>0</v>
      </c>
      <c r="E196" s="49">
        <f>COUNTIFS('Error Log'!$A:$A,$A196,'Error Log'!$J:$J,E$1)</f>
        <v>0</v>
      </c>
      <c r="F196" s="49">
        <f>COUNTIFS('Error Log'!$A:$A,$A196,'Error Log'!$J:$J,F$1)</f>
        <v>0</v>
      </c>
      <c r="G196" s="49">
        <f>COUNTIFS('Error Log'!$A:$A,$A196,'Error Log'!$J:$J,G$1)</f>
        <v>0</v>
      </c>
      <c r="H196" s="49">
        <f>COUNTIFS('Error Log'!$A:$A,$A196,'Error Log'!$F:$F,"Source")</f>
        <v>0</v>
      </c>
      <c r="I196" s="49">
        <f>COUNTIFS('Error Log'!$A:$A,$A196,'Error Log'!$F:$F,"Target")</f>
        <v>0</v>
      </c>
      <c r="J196" s="50">
        <f t="shared" si="4"/>
        <v>0</v>
      </c>
    </row>
    <row r="197" spans="1:10">
      <c r="A197" s="14"/>
      <c r="B197" s="49"/>
      <c r="C197" s="49"/>
      <c r="D197" s="49">
        <f>IF(H197=0,wdct(TRIM(C197)),0)</f>
        <v>0</v>
      </c>
      <c r="E197" s="49">
        <f>COUNTIFS('Error Log'!$A:$A,$A197,'Error Log'!$J:$J,E$1)</f>
        <v>0</v>
      </c>
      <c r="F197" s="49">
        <f>COUNTIFS('Error Log'!$A:$A,$A197,'Error Log'!$J:$J,F$1)</f>
        <v>0</v>
      </c>
      <c r="G197" s="49">
        <f>COUNTIFS('Error Log'!$A:$A,$A197,'Error Log'!$J:$J,G$1)</f>
        <v>0</v>
      </c>
      <c r="H197" s="49">
        <f>COUNTIFS('Error Log'!$A:$A,$A197,'Error Log'!$F:$F,"Source")</f>
        <v>0</v>
      </c>
      <c r="I197" s="49">
        <f>COUNTIFS('Error Log'!$A:$A,$A197,'Error Log'!$F:$F,"Target")</f>
        <v>0</v>
      </c>
      <c r="J197" s="50">
        <f t="shared" si="4"/>
        <v>0</v>
      </c>
    </row>
    <row r="198" spans="1:10">
      <c r="A198" s="14"/>
      <c r="B198" s="49"/>
      <c r="C198" s="49"/>
      <c r="D198" s="49">
        <f>IF(H198=0,wdct(TRIM(C198)),0)</f>
        <v>0</v>
      </c>
      <c r="E198" s="49">
        <f>COUNTIFS('Error Log'!$A:$A,$A198,'Error Log'!$J:$J,E$1)</f>
        <v>0</v>
      </c>
      <c r="F198" s="49">
        <f>COUNTIFS('Error Log'!$A:$A,$A198,'Error Log'!$J:$J,F$1)</f>
        <v>0</v>
      </c>
      <c r="G198" s="49">
        <f>COUNTIFS('Error Log'!$A:$A,$A198,'Error Log'!$J:$J,G$1)</f>
        <v>0</v>
      </c>
      <c r="H198" s="49">
        <f>COUNTIFS('Error Log'!$A:$A,$A198,'Error Log'!$F:$F,"Source")</f>
        <v>0</v>
      </c>
      <c r="I198" s="49">
        <f>COUNTIFS('Error Log'!$A:$A,$A198,'Error Log'!$F:$F,"Target")</f>
        <v>0</v>
      </c>
      <c r="J198" s="50">
        <f t="shared" si="4"/>
        <v>0</v>
      </c>
    </row>
    <row r="199" spans="1:10">
      <c r="A199" s="14"/>
      <c r="B199" s="49"/>
      <c r="C199" s="49"/>
      <c r="D199" s="49">
        <f>IF(H199=0,wdct(TRIM(C199)),0)</f>
        <v>0</v>
      </c>
      <c r="E199" s="49">
        <f>COUNTIFS('Error Log'!$A:$A,$A199,'Error Log'!$J:$J,E$1)</f>
        <v>0</v>
      </c>
      <c r="F199" s="49">
        <f>COUNTIFS('Error Log'!$A:$A,$A199,'Error Log'!$J:$J,F$1)</f>
        <v>0</v>
      </c>
      <c r="G199" s="49">
        <f>COUNTIFS('Error Log'!$A:$A,$A199,'Error Log'!$J:$J,G$1)</f>
        <v>0</v>
      </c>
      <c r="H199" s="49">
        <f>COUNTIFS('Error Log'!$A:$A,$A199,'Error Log'!$F:$F,"Source")</f>
        <v>0</v>
      </c>
      <c r="I199" s="49">
        <f>COUNTIFS('Error Log'!$A:$A,$A199,'Error Log'!$F:$F,"Target")</f>
        <v>0</v>
      </c>
      <c r="J199" s="50">
        <f t="shared" si="4"/>
        <v>0</v>
      </c>
    </row>
    <row r="200" spans="1:10">
      <c r="A200" s="14"/>
      <c r="B200" s="49"/>
      <c r="C200" s="49"/>
      <c r="D200" s="49">
        <f>IF(H200=0,wdct(TRIM(C200)),0)</f>
        <v>0</v>
      </c>
      <c r="E200" s="49">
        <f>COUNTIFS('Error Log'!$A:$A,$A200,'Error Log'!$J:$J,E$1)</f>
        <v>0</v>
      </c>
      <c r="F200" s="49">
        <f>COUNTIFS('Error Log'!$A:$A,$A200,'Error Log'!$J:$J,F$1)</f>
        <v>0</v>
      </c>
      <c r="G200" s="49">
        <f>COUNTIFS('Error Log'!$A:$A,$A200,'Error Log'!$J:$J,G$1)</f>
        <v>0</v>
      </c>
      <c r="H200" s="49">
        <f>COUNTIFS('Error Log'!$A:$A,$A200,'Error Log'!$F:$F,"Source")</f>
        <v>0</v>
      </c>
      <c r="I200" s="49">
        <f>COUNTIFS('Error Log'!$A:$A,$A200,'Error Log'!$F:$F,"Target")</f>
        <v>0</v>
      </c>
      <c r="J200" s="50">
        <f t="shared" si="4"/>
        <v>0</v>
      </c>
    </row>
    <row r="201" spans="1:10">
      <c r="A201" s="14"/>
      <c r="B201" s="49"/>
      <c r="C201" s="49"/>
      <c r="D201" s="49">
        <f>IF(H201=0,wdct(TRIM(C201)),0)</f>
        <v>0</v>
      </c>
      <c r="E201" s="49">
        <f>COUNTIFS('Error Log'!$A:$A,$A201,'Error Log'!$J:$J,E$1)</f>
        <v>0</v>
      </c>
      <c r="F201" s="49">
        <f>COUNTIFS('Error Log'!$A:$A,$A201,'Error Log'!$J:$J,F$1)</f>
        <v>0</v>
      </c>
      <c r="G201" s="49">
        <f>COUNTIFS('Error Log'!$A:$A,$A201,'Error Log'!$J:$J,G$1)</f>
        <v>0</v>
      </c>
      <c r="H201" s="49">
        <f>COUNTIFS('Error Log'!$A:$A,$A201,'Error Log'!$F:$F,"Source")</f>
        <v>0</v>
      </c>
      <c r="I201" s="49">
        <f>COUNTIFS('Error Log'!$A:$A,$A201,'Error Log'!$F:$F,"Target")</f>
        <v>0</v>
      </c>
      <c r="J201" s="50">
        <f t="shared" si="4"/>
        <v>0</v>
      </c>
    </row>
    <row r="202" spans="1:10">
      <c r="A202" s="14"/>
      <c r="B202" s="49"/>
      <c r="C202" s="49"/>
      <c r="D202" s="49">
        <f>IF(H202=0,wdct(TRIM(C202)),0)</f>
        <v>0</v>
      </c>
      <c r="E202" s="49">
        <f>COUNTIFS('Error Log'!$A:$A,$A202,'Error Log'!$J:$J,E$1)</f>
        <v>0</v>
      </c>
      <c r="F202" s="49">
        <f>COUNTIFS('Error Log'!$A:$A,$A202,'Error Log'!$J:$J,F$1)</f>
        <v>0</v>
      </c>
      <c r="G202" s="49">
        <f>COUNTIFS('Error Log'!$A:$A,$A202,'Error Log'!$J:$J,G$1)</f>
        <v>0</v>
      </c>
      <c r="H202" s="49">
        <f>COUNTIFS('Error Log'!$A:$A,$A202,'Error Log'!$F:$F,"Source")</f>
        <v>0</v>
      </c>
      <c r="I202" s="49">
        <f>COUNTIFS('Error Log'!$A:$A,$A202,'Error Log'!$F:$F,"Target")</f>
        <v>0</v>
      </c>
      <c r="J202" s="50">
        <f t="shared" si="4"/>
        <v>0</v>
      </c>
    </row>
    <row r="203" spans="1:10">
      <c r="A203" s="14"/>
      <c r="B203" s="49"/>
      <c r="C203" s="49"/>
      <c r="D203" s="49">
        <f>IF(H203=0,wdct(TRIM(C203)),0)</f>
        <v>0</v>
      </c>
      <c r="E203" s="49">
        <f>COUNTIFS('Error Log'!$A:$A,$A203,'Error Log'!$J:$J,E$1)</f>
        <v>0</v>
      </c>
      <c r="F203" s="49">
        <f>COUNTIFS('Error Log'!$A:$A,$A203,'Error Log'!$J:$J,F$1)</f>
        <v>0</v>
      </c>
      <c r="G203" s="49">
        <f>COUNTIFS('Error Log'!$A:$A,$A203,'Error Log'!$J:$J,G$1)</f>
        <v>0</v>
      </c>
      <c r="H203" s="49">
        <f>COUNTIFS('Error Log'!$A:$A,$A203,'Error Log'!$F:$F,"Source")</f>
        <v>0</v>
      </c>
      <c r="I203" s="49">
        <f>COUNTIFS('Error Log'!$A:$A,$A203,'Error Log'!$F:$F,"Target")</f>
        <v>0</v>
      </c>
      <c r="J203" s="50">
        <f t="shared" si="4"/>
        <v>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57"/>
  <sheetViews>
    <sheetView tabSelected="1" zoomScale="70" zoomScaleNormal="70" zoomScalePageLayoutView="80" workbookViewId="0">
      <pane ySplit="1" topLeftCell="A17" activePane="bottomLeft" state="frozen"/>
      <selection pane="bottomLeft" activeCell="E42" sqref="E42"/>
    </sheetView>
  </sheetViews>
  <sheetFormatPr defaultColWidth="9" defaultRowHeight="14.4"/>
  <cols>
    <col min="1" max="1" width="21.69921875" style="1" customWidth="1"/>
    <col min="2" max="2" width="30" style="1" customWidth="1"/>
    <col min="3" max="3" width="22.19921875" style="1" bestFit="1" customWidth="1"/>
    <col min="4" max="4" width="21.69921875" style="1" bestFit="1" customWidth="1"/>
    <col min="5" max="5" width="22.19921875" style="1" bestFit="1" customWidth="1"/>
    <col min="6" max="7" width="18.69921875" style="1" bestFit="1" customWidth="1"/>
    <col min="8" max="8" width="16.5" style="1" bestFit="1" customWidth="1"/>
    <col min="9" max="9" width="24.5" style="1" customWidth="1"/>
    <col min="10" max="10" width="16.09765625" style="1" customWidth="1"/>
    <col min="11" max="11" width="12.69921875" style="1" bestFit="1" customWidth="1"/>
    <col min="12" max="12" width="11.5" style="1" bestFit="1" customWidth="1"/>
    <col min="13" max="13" width="14" style="1" bestFit="1" customWidth="1"/>
    <col min="14" max="16384" width="9" style="51"/>
  </cols>
  <sheetData>
    <row r="1" spans="1:14">
      <c r="A1" s="84" t="s">
        <v>43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6"/>
    </row>
    <row r="2" spans="1:14">
      <c r="A2" s="4" t="s">
        <v>28</v>
      </c>
      <c r="B2" s="4" t="s">
        <v>27</v>
      </c>
      <c r="C2" s="4" t="s">
        <v>73</v>
      </c>
      <c r="D2" s="4" t="s">
        <v>74</v>
      </c>
      <c r="E2" s="4" t="s">
        <v>75</v>
      </c>
      <c r="F2" s="4" t="s">
        <v>26</v>
      </c>
      <c r="G2" s="4" t="s">
        <v>24</v>
      </c>
      <c r="H2" s="4" t="s">
        <v>25</v>
      </c>
      <c r="I2" s="4" t="s">
        <v>76</v>
      </c>
      <c r="J2" s="4" t="s">
        <v>45</v>
      </c>
    </row>
    <row r="3" spans="1:14">
      <c r="A3" s="83" t="s">
        <v>18</v>
      </c>
      <c r="B3" s="3" t="s">
        <v>19</v>
      </c>
      <c r="C3" s="2" t="s">
        <v>22</v>
      </c>
      <c r="D3" s="2" t="s">
        <v>22</v>
      </c>
      <c r="E3" s="2" t="s">
        <v>22</v>
      </c>
      <c r="F3" s="2" t="s">
        <v>20</v>
      </c>
      <c r="G3" s="2" t="s">
        <v>20</v>
      </c>
      <c r="H3" s="2" t="s">
        <v>20</v>
      </c>
      <c r="I3" s="2" t="s">
        <v>46</v>
      </c>
      <c r="J3" s="2" t="s">
        <v>20</v>
      </c>
      <c r="N3" s="1"/>
    </row>
    <row r="4" spans="1:14">
      <c r="A4" s="83"/>
      <c r="B4" s="3" t="s">
        <v>7</v>
      </c>
      <c r="C4" s="2" t="s">
        <v>22</v>
      </c>
      <c r="D4" s="2" t="s">
        <v>22</v>
      </c>
      <c r="E4" s="2" t="s">
        <v>22</v>
      </c>
      <c r="F4" s="2" t="s">
        <v>47</v>
      </c>
      <c r="G4" s="2" t="s">
        <v>20</v>
      </c>
      <c r="H4" s="2" t="s">
        <v>20</v>
      </c>
      <c r="I4" s="2" t="s">
        <v>46</v>
      </c>
      <c r="J4" s="2" t="s">
        <v>47</v>
      </c>
      <c r="N4" s="1"/>
    </row>
    <row r="5" spans="1:14">
      <c r="A5" s="83"/>
      <c r="B5" s="3" t="s">
        <v>50</v>
      </c>
      <c r="C5" s="2" t="s">
        <v>22</v>
      </c>
      <c r="D5" s="2" t="s">
        <v>22</v>
      </c>
      <c r="E5" s="2" t="s">
        <v>22</v>
      </c>
      <c r="F5" s="2" t="s">
        <v>47</v>
      </c>
      <c r="G5" s="2" t="s">
        <v>47</v>
      </c>
      <c r="H5" s="2" t="s">
        <v>20</v>
      </c>
      <c r="I5" s="2" t="s">
        <v>46</v>
      </c>
      <c r="J5" s="2" t="s">
        <v>21</v>
      </c>
      <c r="N5" s="1"/>
    </row>
    <row r="6" spans="1:14">
      <c r="A6" s="83"/>
      <c r="B6" s="3" t="s">
        <v>51</v>
      </c>
      <c r="C6" s="2" t="s">
        <v>22</v>
      </c>
      <c r="D6" s="2" t="s">
        <v>22</v>
      </c>
      <c r="E6" s="2" t="s">
        <v>22</v>
      </c>
      <c r="F6" s="2" t="s">
        <v>22</v>
      </c>
      <c r="G6" s="2" t="s">
        <v>22</v>
      </c>
      <c r="H6" s="2" t="s">
        <v>22</v>
      </c>
      <c r="I6" s="2" t="s">
        <v>46</v>
      </c>
      <c r="J6" s="2" t="s">
        <v>21</v>
      </c>
      <c r="N6" s="1"/>
    </row>
    <row r="7" spans="1:14">
      <c r="A7" s="83"/>
      <c r="B7" s="3" t="s">
        <v>39</v>
      </c>
      <c r="C7" s="2" t="s">
        <v>21</v>
      </c>
      <c r="D7" s="2" t="s">
        <v>21</v>
      </c>
      <c r="E7" s="2" t="s">
        <v>22</v>
      </c>
      <c r="F7" s="2" t="s">
        <v>21</v>
      </c>
      <c r="G7" s="2" t="s">
        <v>21</v>
      </c>
      <c r="H7" s="2" t="s">
        <v>48</v>
      </c>
      <c r="I7" s="2" t="s">
        <v>21</v>
      </c>
      <c r="J7" s="2" t="s">
        <v>21</v>
      </c>
      <c r="N7" s="1"/>
    </row>
    <row r="8" spans="1:14">
      <c r="A8" s="83" t="s">
        <v>2</v>
      </c>
      <c r="B8" s="3" t="s">
        <v>52</v>
      </c>
      <c r="C8" s="2" t="s">
        <v>21</v>
      </c>
      <c r="D8" s="2" t="s">
        <v>21</v>
      </c>
      <c r="E8" s="2" t="s">
        <v>20</v>
      </c>
      <c r="F8" s="2" t="s">
        <v>21</v>
      </c>
      <c r="G8" s="2" t="s">
        <v>21</v>
      </c>
      <c r="H8" s="2" t="s">
        <v>20</v>
      </c>
      <c r="I8" s="2" t="s">
        <v>1</v>
      </c>
      <c r="J8" s="2" t="s">
        <v>21</v>
      </c>
      <c r="N8" s="1"/>
    </row>
    <row r="9" spans="1:14">
      <c r="A9" s="83"/>
      <c r="B9" s="3" t="s">
        <v>23</v>
      </c>
      <c r="C9" s="2" t="s">
        <v>20</v>
      </c>
      <c r="D9" s="2" t="s">
        <v>20</v>
      </c>
      <c r="E9" s="2" t="s">
        <v>20</v>
      </c>
      <c r="F9" s="2" t="s">
        <v>20</v>
      </c>
      <c r="G9" s="2" t="s">
        <v>20</v>
      </c>
      <c r="H9" s="2" t="s">
        <v>20</v>
      </c>
      <c r="I9" s="2" t="s">
        <v>46</v>
      </c>
      <c r="J9" s="2" t="s">
        <v>20</v>
      </c>
      <c r="N9" s="1"/>
    </row>
    <row r="10" spans="1:14" ht="13.8" customHeight="1">
      <c r="A10" s="83"/>
      <c r="B10" s="3" t="s">
        <v>53</v>
      </c>
      <c r="C10" s="2" t="s">
        <v>1</v>
      </c>
      <c r="D10" s="2" t="s">
        <v>1</v>
      </c>
      <c r="E10" s="2" t="s">
        <v>1</v>
      </c>
      <c r="F10" s="2" t="s">
        <v>1</v>
      </c>
      <c r="G10" s="2" t="s">
        <v>1</v>
      </c>
      <c r="H10" s="2" t="s">
        <v>1</v>
      </c>
      <c r="I10" s="2" t="s">
        <v>1</v>
      </c>
      <c r="J10" s="2" t="s">
        <v>21</v>
      </c>
      <c r="N10" s="1"/>
    </row>
    <row r="11" spans="1:14">
      <c r="A11" s="52"/>
      <c r="B11" s="52"/>
      <c r="C11" s="53"/>
      <c r="D11" s="53"/>
      <c r="E11" s="53"/>
      <c r="F11" s="53"/>
      <c r="G11" s="53"/>
      <c r="H11" s="53"/>
      <c r="N11" s="1"/>
    </row>
    <row r="13" spans="1:14">
      <c r="A13" s="8" t="s">
        <v>28</v>
      </c>
      <c r="B13" s="7" t="s">
        <v>18</v>
      </c>
      <c r="C13" s="7" t="s">
        <v>2</v>
      </c>
    </row>
    <row r="14" spans="1:14">
      <c r="A14" s="6" t="s">
        <v>18</v>
      </c>
      <c r="B14" s="9" t="s">
        <v>19</v>
      </c>
      <c r="C14" s="9" t="s">
        <v>52</v>
      </c>
    </row>
    <row r="15" spans="1:14">
      <c r="A15" s="6" t="s">
        <v>2</v>
      </c>
      <c r="B15" s="9" t="s">
        <v>7</v>
      </c>
      <c r="C15" s="9" t="s">
        <v>23</v>
      </c>
    </row>
    <row r="16" spans="1:14">
      <c r="A16" s="6"/>
      <c r="B16" s="9" t="s">
        <v>50</v>
      </c>
      <c r="C16" s="9" t="s">
        <v>53</v>
      </c>
    </row>
    <row r="17" spans="1:5">
      <c r="A17" s="6"/>
      <c r="B17" s="9" t="s">
        <v>51</v>
      </c>
      <c r="C17" s="51"/>
      <c r="D17" s="5"/>
    </row>
    <row r="18" spans="1:5">
      <c r="B18" s="9" t="s">
        <v>39</v>
      </c>
      <c r="C18" s="51"/>
      <c r="D18" s="5"/>
    </row>
    <row r="19" spans="1:5">
      <c r="B19" s="5"/>
      <c r="C19" s="5"/>
      <c r="D19" s="5"/>
    </row>
    <row r="20" spans="1:5">
      <c r="A20" s="5"/>
      <c r="B20" s="5"/>
      <c r="C20" s="5"/>
      <c r="D20" s="5"/>
    </row>
    <row r="21" spans="1:5">
      <c r="A21" s="5"/>
      <c r="B21" s="5"/>
      <c r="D21" s="5"/>
    </row>
    <row r="24" spans="1:5">
      <c r="A24" s="7" t="s">
        <v>18</v>
      </c>
      <c r="B24" s="7" t="s">
        <v>18</v>
      </c>
      <c r="C24" s="7" t="s">
        <v>18</v>
      </c>
      <c r="D24" s="7" t="s">
        <v>18</v>
      </c>
      <c r="E24" s="7" t="s">
        <v>18</v>
      </c>
    </row>
    <row r="25" spans="1:5">
      <c r="A25" s="7" t="s">
        <v>19</v>
      </c>
      <c r="B25" s="7" t="s">
        <v>7</v>
      </c>
      <c r="C25" s="7" t="s">
        <v>50</v>
      </c>
      <c r="D25" s="7" t="s">
        <v>51</v>
      </c>
      <c r="E25" s="7" t="s">
        <v>39</v>
      </c>
    </row>
    <row r="26" spans="1:5">
      <c r="A26" s="10" t="s">
        <v>73</v>
      </c>
      <c r="B26" s="10" t="s">
        <v>73</v>
      </c>
      <c r="C26" s="10" t="s">
        <v>73</v>
      </c>
      <c r="D26" s="10" t="s">
        <v>73</v>
      </c>
      <c r="E26" s="10" t="s">
        <v>75</v>
      </c>
    </row>
    <row r="27" spans="1:5">
      <c r="A27" s="10" t="s">
        <v>74</v>
      </c>
      <c r="B27" s="10" t="s">
        <v>74</v>
      </c>
      <c r="C27" s="10" t="s">
        <v>74</v>
      </c>
      <c r="D27" s="10" t="s">
        <v>74</v>
      </c>
      <c r="E27" s="10" t="s">
        <v>25</v>
      </c>
    </row>
    <row r="28" spans="1:5">
      <c r="A28" s="10" t="s">
        <v>75</v>
      </c>
      <c r="B28" s="10" t="s">
        <v>75</v>
      </c>
      <c r="C28" s="10" t="s">
        <v>75</v>
      </c>
      <c r="D28" s="10" t="s">
        <v>75</v>
      </c>
    </row>
    <row r="29" spans="1:5">
      <c r="A29" s="10" t="s">
        <v>26</v>
      </c>
      <c r="B29" s="10" t="s">
        <v>26</v>
      </c>
      <c r="C29" s="10" t="s">
        <v>26</v>
      </c>
      <c r="D29" s="10" t="s">
        <v>26</v>
      </c>
    </row>
    <row r="30" spans="1:5">
      <c r="A30" s="10" t="s">
        <v>24</v>
      </c>
      <c r="B30" s="10" t="s">
        <v>24</v>
      </c>
      <c r="C30" s="10" t="s">
        <v>24</v>
      </c>
      <c r="D30" s="10" t="s">
        <v>24</v>
      </c>
    </row>
    <row r="31" spans="1:5">
      <c r="A31" s="10" t="s">
        <v>25</v>
      </c>
      <c r="B31" s="10" t="s">
        <v>25</v>
      </c>
      <c r="C31" s="10" t="s">
        <v>25</v>
      </c>
      <c r="D31" s="10" t="s">
        <v>25</v>
      </c>
    </row>
    <row r="32" spans="1:5">
      <c r="A32" s="10" t="s">
        <v>76</v>
      </c>
      <c r="B32" s="10" t="s">
        <v>76</v>
      </c>
      <c r="C32" s="10" t="s">
        <v>76</v>
      </c>
      <c r="D32" s="10"/>
    </row>
    <row r="33" spans="1:13">
      <c r="A33" s="10" t="s">
        <v>45</v>
      </c>
      <c r="B33" s="10" t="s">
        <v>45</v>
      </c>
      <c r="C33" s="51"/>
    </row>
    <row r="34" spans="1:13">
      <c r="A34" s="51"/>
      <c r="B34" s="51"/>
      <c r="C34" s="51"/>
    </row>
    <row r="35" spans="1:13">
      <c r="A35" s="51"/>
      <c r="B35" s="51"/>
      <c r="C35" s="51"/>
    </row>
    <row r="36" spans="1:13">
      <c r="A36" s="51"/>
      <c r="B36" s="51"/>
      <c r="C36" s="54"/>
    </row>
    <row r="37" spans="1:13">
      <c r="A37" s="54"/>
      <c r="E37" s="54"/>
    </row>
    <row r="39" spans="1:13">
      <c r="A39" s="7" t="s">
        <v>2</v>
      </c>
      <c r="B39" s="7" t="s">
        <v>2</v>
      </c>
      <c r="C39" s="7" t="s">
        <v>2</v>
      </c>
      <c r="K39" s="51"/>
      <c r="L39" s="51"/>
      <c r="M39" s="51"/>
    </row>
    <row r="40" spans="1:13">
      <c r="A40" s="7" t="s">
        <v>52</v>
      </c>
      <c r="B40" s="7" t="s">
        <v>23</v>
      </c>
      <c r="C40" s="7" t="s">
        <v>54</v>
      </c>
      <c r="K40" s="51"/>
      <c r="L40" s="51"/>
      <c r="M40" s="51"/>
    </row>
    <row r="41" spans="1:13">
      <c r="A41" s="10" t="s">
        <v>75</v>
      </c>
      <c r="B41" s="10" t="s">
        <v>73</v>
      </c>
      <c r="C41" s="10" t="s">
        <v>73</v>
      </c>
      <c r="K41" s="51"/>
      <c r="L41" s="51"/>
      <c r="M41" s="51"/>
    </row>
    <row r="42" spans="1:13">
      <c r="A42" s="10" t="s">
        <v>25</v>
      </c>
      <c r="B42" s="10" t="s">
        <v>74</v>
      </c>
      <c r="C42" s="10" t="s">
        <v>74</v>
      </c>
      <c r="K42" s="51"/>
      <c r="L42" s="51"/>
      <c r="M42" s="51"/>
    </row>
    <row r="43" spans="1:13">
      <c r="A43" s="10" t="s">
        <v>76</v>
      </c>
      <c r="B43" s="10" t="s">
        <v>75</v>
      </c>
      <c r="C43" s="10" t="s">
        <v>75</v>
      </c>
      <c r="K43" s="51"/>
      <c r="L43" s="51"/>
      <c r="M43" s="51"/>
    </row>
    <row r="44" spans="1:13">
      <c r="A44" s="10"/>
      <c r="B44" s="10" t="s">
        <v>26</v>
      </c>
      <c r="C44" s="10" t="s">
        <v>26</v>
      </c>
      <c r="K44" s="51"/>
      <c r="L44" s="51"/>
      <c r="M44" s="51"/>
    </row>
    <row r="45" spans="1:13">
      <c r="A45" s="10"/>
      <c r="B45" s="10" t="s">
        <v>24</v>
      </c>
      <c r="C45" s="10" t="s">
        <v>24</v>
      </c>
      <c r="K45" s="51"/>
      <c r="L45" s="51"/>
      <c r="M45" s="51"/>
    </row>
    <row r="46" spans="1:13">
      <c r="B46" s="10" t="s">
        <v>25</v>
      </c>
      <c r="C46" s="10" t="s">
        <v>25</v>
      </c>
      <c r="K46" s="51"/>
      <c r="L46" s="51"/>
      <c r="M46" s="51"/>
    </row>
    <row r="47" spans="1:13">
      <c r="B47" s="10" t="s">
        <v>76</v>
      </c>
      <c r="K47" s="51"/>
      <c r="L47" s="51"/>
      <c r="M47" s="51"/>
    </row>
    <row r="48" spans="1:13">
      <c r="B48" s="10" t="s">
        <v>45</v>
      </c>
      <c r="L48" s="51"/>
      <c r="M48" s="51"/>
    </row>
    <row r="51" spans="1:1">
      <c r="A51" s="54"/>
    </row>
    <row r="53" spans="1:1">
      <c r="A53" s="54"/>
    </row>
    <row r="55" spans="1:1">
      <c r="A55" s="54"/>
    </row>
    <row r="57" spans="1:1">
      <c r="A57" s="54"/>
    </row>
  </sheetData>
  <mergeCells count="3">
    <mergeCell ref="A8:A10"/>
    <mergeCell ref="A3:A7"/>
    <mergeCell ref="A1:M1"/>
  </mergeCells>
  <phoneticPr fontId="15" type="noConversion"/>
  <pageMargins left="0.7" right="0.7" top="0.75" bottom="0.75" header="0.3" footer="0.3"/>
  <pageSetup paperSize="9" orientation="portrait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11</vt:i4>
      </vt:variant>
    </vt:vector>
  </HeadingPairs>
  <TitlesOfParts>
    <vt:vector size="15" baseType="lpstr">
      <vt:lpstr>ScoreCard</vt:lpstr>
      <vt:lpstr>Error Log</vt:lpstr>
      <vt:lpstr>Scores per segment</vt:lpstr>
      <vt:lpstr>Severity_Matrix</vt:lpstr>
      <vt:lpstr>Accuracy</vt:lpstr>
      <vt:lpstr>Addition</vt:lpstr>
      <vt:lpstr>Duplication</vt:lpstr>
      <vt:lpstr>Fluency</vt:lpstr>
      <vt:lpstr>Inaccuracy_external</vt:lpstr>
      <vt:lpstr>Inaccuracy_internal</vt:lpstr>
      <vt:lpstr>Issue_Type</vt:lpstr>
      <vt:lpstr>Omission</vt:lpstr>
      <vt:lpstr>Positive_Negative_Aspect</vt:lpstr>
      <vt:lpstr>Word_From</vt:lpstr>
      <vt:lpstr>Word_Order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庵 怒</dc:creator>
  <cp:lastModifiedBy>hdd</cp:lastModifiedBy>
  <dcterms:created xsi:type="dcterms:W3CDTF">2016-06-07T12:18:19Z</dcterms:created>
  <dcterms:modified xsi:type="dcterms:W3CDTF">2020-10-28T11:12:54Z</dcterms:modified>
</cp:coreProperties>
</file>